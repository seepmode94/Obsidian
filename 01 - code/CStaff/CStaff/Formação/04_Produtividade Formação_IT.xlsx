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/O meu disco/03_Seep PT/Reuniões/2026/Formação/20260506_PED/"/>
    </mc:Choice>
  </mc:AlternateContent>
  <xr:revisionPtr revIDLastSave="7" documentId="13_ncr:1_{6804F7F2-2822-0241-93E5-4A120FE636DE}" xr6:coauthVersionLast="47" xr6:coauthVersionMax="47" xr10:uidLastSave="{1702341D-A1DA-4368-8300-E695116EB162}"/>
  <bookViews>
    <workbookView xWindow="2660" yWindow="600" windowWidth="34440" windowHeight="19540" tabRatio="910" firstSheet="1" activeTab="1" xr2:uid="{00000000-000D-0000-FFFF-FFFF00000000}"/>
  </bookViews>
  <sheets>
    <sheet name="02 - 2025" sheetId="14" r:id="rId1"/>
    <sheet name="02 - 2026" sheetId="90" r:id="rId2"/>
    <sheet name="01 - Tx Crescimento" sheetId="17" r:id="rId3"/>
    <sheet name="GLOBAIS" sheetId="105" r:id="rId4"/>
    <sheet name="Analise " sheetId="108" r:id="rId5"/>
  </sheets>
  <definedNames>
    <definedName name="_xlnm._FilterDatabase" localSheetId="2" hidden="1">'01 - Tx Crescimento'!$A$3:$W$166</definedName>
    <definedName name="_xlnm._FilterDatabase" localSheetId="0" hidden="1">'02 - 2025'!$A$3:$AV$2081</definedName>
    <definedName name="_xlnm._FilterDatabase" localSheetId="1" hidden="1">'02 - 2026'!$C$3:$BW$943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08" l="1"/>
  <c r="M10" i="108"/>
  <c r="N515" i="90"/>
  <c r="N514" i="90"/>
  <c r="N513" i="90"/>
  <c r="N512" i="90"/>
  <c r="N511" i="90"/>
  <c r="N510" i="90"/>
  <c r="N509" i="90"/>
  <c r="N507" i="90"/>
  <c r="N506" i="90"/>
  <c r="N505" i="90"/>
  <c r="N504" i="90"/>
  <c r="N503" i="90"/>
  <c r="N502" i="90"/>
  <c r="N501" i="90"/>
  <c r="N497" i="90"/>
  <c r="N470" i="90"/>
  <c r="N469" i="90"/>
  <c r="N468" i="90"/>
  <c r="N467" i="90"/>
  <c r="N466" i="90"/>
  <c r="N465" i="90"/>
  <c r="N464" i="90"/>
  <c r="N463" i="90"/>
  <c r="N462" i="90"/>
  <c r="N461" i="90"/>
  <c r="N460" i="90"/>
  <c r="N459" i="90"/>
  <c r="N458" i="90"/>
  <c r="N457" i="90"/>
  <c r="N456" i="90"/>
  <c r="N455" i="90"/>
  <c r="N454" i="90"/>
  <c r="N453" i="90"/>
  <c r="N450" i="90"/>
  <c r="N448" i="90"/>
  <c r="N447" i="90"/>
  <c r="N443" i="90"/>
  <c r="N417" i="90"/>
  <c r="N416" i="90"/>
  <c r="N415" i="90"/>
  <c r="N414" i="90"/>
  <c r="N413" i="90"/>
  <c r="N412" i="90"/>
  <c r="N411" i="90"/>
  <c r="N410" i="90"/>
  <c r="N409" i="90"/>
  <c r="N408" i="90"/>
  <c r="N407" i="90"/>
  <c r="N406" i="90"/>
  <c r="N405" i="90"/>
  <c r="N404" i="90"/>
  <c r="N401" i="90"/>
  <c r="N398" i="90"/>
  <c r="N373" i="90"/>
  <c r="N371" i="90"/>
  <c r="N370" i="90"/>
  <c r="N369" i="90"/>
  <c r="N368" i="90"/>
  <c r="N366" i="90"/>
  <c r="N365" i="90"/>
  <c r="A939" i="90"/>
  <c r="A938" i="90"/>
  <c r="A937" i="90"/>
  <c r="A936" i="90"/>
  <c r="A935" i="90"/>
  <c r="A934" i="90"/>
  <c r="A933" i="90"/>
  <c r="A932" i="90"/>
  <c r="A931" i="90"/>
  <c r="A930" i="90"/>
  <c r="A929" i="90"/>
  <c r="A928" i="90"/>
  <c r="A927" i="90"/>
  <c r="A926" i="90"/>
  <c r="A925" i="90"/>
  <c r="A924" i="90"/>
  <c r="A923" i="90"/>
  <c r="A922" i="90"/>
  <c r="A921" i="90"/>
  <c r="K921" i="90" s="1"/>
  <c r="A920" i="90"/>
  <c r="K920" i="90" s="1"/>
  <c r="A919" i="90"/>
  <c r="K919" i="90" s="1"/>
  <c r="A918" i="90"/>
  <c r="K918" i="90" s="1"/>
  <c r="A917" i="90"/>
  <c r="K917" i="90" s="1"/>
  <c r="A916" i="90"/>
  <c r="K916" i="90" s="1"/>
  <c r="A915" i="90"/>
  <c r="K915" i="90" s="1"/>
  <c r="A914" i="90"/>
  <c r="K914" i="90" s="1"/>
  <c r="A913" i="90"/>
  <c r="K913" i="90" s="1"/>
  <c r="A912" i="90"/>
  <c r="K912" i="90" s="1"/>
  <c r="A911" i="90"/>
  <c r="K911" i="90" s="1"/>
  <c r="A910" i="90"/>
  <c r="K910" i="90" s="1"/>
  <c r="A909" i="90"/>
  <c r="K909" i="90" s="1"/>
  <c r="A908" i="90"/>
  <c r="K908" i="90" s="1"/>
  <c r="A907" i="90"/>
  <c r="K907" i="90" s="1"/>
  <c r="A906" i="90"/>
  <c r="K906" i="90" s="1"/>
  <c r="A905" i="90"/>
  <c r="K905" i="90" s="1"/>
  <c r="A904" i="90"/>
  <c r="K904" i="90" s="1"/>
  <c r="A903" i="90"/>
  <c r="K903" i="90" s="1"/>
  <c r="A902" i="90"/>
  <c r="K902" i="90" s="1"/>
  <c r="A901" i="90"/>
  <c r="K901" i="90" s="1"/>
  <c r="A900" i="90"/>
  <c r="K900" i="90" s="1"/>
  <c r="A899" i="90"/>
  <c r="K899" i="90" s="1"/>
  <c r="A898" i="90"/>
  <c r="K898" i="90" s="1"/>
  <c r="A897" i="90"/>
  <c r="K897" i="90" s="1"/>
  <c r="A896" i="90"/>
  <c r="K896" i="90" s="1"/>
  <c r="A895" i="90"/>
  <c r="K895" i="90" s="1"/>
  <c r="A894" i="90"/>
  <c r="K894" i="90" s="1"/>
  <c r="A893" i="90"/>
  <c r="K893" i="90" s="1"/>
  <c r="A892" i="90"/>
  <c r="K892" i="90" s="1"/>
  <c r="A891" i="90"/>
  <c r="K891" i="90" s="1"/>
  <c r="A890" i="90"/>
  <c r="K890" i="90" s="1"/>
  <c r="A889" i="90"/>
  <c r="K889" i="90" s="1"/>
  <c r="A888" i="90"/>
  <c r="K888" i="90" s="1"/>
  <c r="A887" i="90"/>
  <c r="K887" i="90" s="1"/>
  <c r="A886" i="90"/>
  <c r="K886" i="90" s="1"/>
  <c r="A885" i="90"/>
  <c r="K885" i="90" s="1"/>
  <c r="A884" i="90"/>
  <c r="K884" i="90" s="1"/>
  <c r="A883" i="90"/>
  <c r="K883" i="90" s="1"/>
  <c r="A882" i="90"/>
  <c r="K882" i="90" s="1"/>
  <c r="A881" i="90"/>
  <c r="K881" i="90" s="1"/>
  <c r="A880" i="90"/>
  <c r="K880" i="90" s="1"/>
  <c r="A879" i="90"/>
  <c r="K879" i="90" s="1"/>
  <c r="A878" i="90"/>
  <c r="K878" i="90" s="1"/>
  <c r="A877" i="90"/>
  <c r="K877" i="90" s="1"/>
  <c r="A876" i="90"/>
  <c r="K876" i="90" s="1"/>
  <c r="A875" i="90"/>
  <c r="K875" i="90" s="1"/>
  <c r="A874" i="90"/>
  <c r="K874" i="90" s="1"/>
  <c r="A873" i="90"/>
  <c r="K873" i="90" s="1"/>
  <c r="A872" i="90"/>
  <c r="K872" i="90" s="1"/>
  <c r="A871" i="90"/>
  <c r="K871" i="90" s="1"/>
  <c r="A870" i="90"/>
  <c r="K870" i="90" s="1"/>
  <c r="A869" i="90"/>
  <c r="K869" i="90" s="1"/>
  <c r="A868" i="90"/>
  <c r="K868" i="90" s="1"/>
  <c r="A867" i="90"/>
  <c r="K867" i="90" s="1"/>
  <c r="A866" i="90"/>
  <c r="K866" i="90" s="1"/>
  <c r="A865" i="90"/>
  <c r="K865" i="90" s="1"/>
  <c r="A864" i="90"/>
  <c r="K864" i="90" s="1"/>
  <c r="A863" i="90"/>
  <c r="K863" i="90" s="1"/>
  <c r="A862" i="90"/>
  <c r="K862" i="90" s="1"/>
  <c r="A861" i="90"/>
  <c r="K861" i="90" s="1"/>
  <c r="A860" i="90"/>
  <c r="K860" i="90" s="1"/>
  <c r="A859" i="90"/>
  <c r="K859" i="90" s="1"/>
  <c r="A858" i="90"/>
  <c r="K858" i="90" s="1"/>
  <c r="A857" i="90"/>
  <c r="K857" i="90" s="1"/>
  <c r="A856" i="90"/>
  <c r="K856" i="90" s="1"/>
  <c r="A855" i="90"/>
  <c r="K855" i="90" s="1"/>
  <c r="A854" i="90"/>
  <c r="K854" i="90" s="1"/>
  <c r="A853" i="90"/>
  <c r="K853" i="90" s="1"/>
  <c r="A852" i="90"/>
  <c r="K852" i="90" s="1"/>
  <c r="A851" i="90"/>
  <c r="K851" i="90" s="1"/>
  <c r="A850" i="90"/>
  <c r="K850" i="90" s="1"/>
  <c r="A849" i="90"/>
  <c r="K849" i="90" s="1"/>
  <c r="A848" i="90"/>
  <c r="K848" i="90" s="1"/>
  <c r="A847" i="90"/>
  <c r="K847" i="90" s="1"/>
  <c r="A846" i="90"/>
  <c r="K846" i="90" s="1"/>
  <c r="A845" i="90"/>
  <c r="K845" i="90" s="1"/>
  <c r="A844" i="90"/>
  <c r="K844" i="90" s="1"/>
  <c r="A843" i="90"/>
  <c r="K843" i="90" s="1"/>
  <c r="A842" i="90"/>
  <c r="K842" i="90" s="1"/>
  <c r="A841" i="90"/>
  <c r="K841" i="90" s="1"/>
  <c r="A840" i="90"/>
  <c r="K840" i="90" s="1"/>
  <c r="A839" i="90"/>
  <c r="K839" i="90" s="1"/>
  <c r="A838" i="90"/>
  <c r="K838" i="90" s="1"/>
  <c r="A837" i="90"/>
  <c r="K837" i="90" s="1"/>
  <c r="A836" i="90"/>
  <c r="K836" i="90" s="1"/>
  <c r="A835" i="90"/>
  <c r="K835" i="90" s="1"/>
  <c r="A834" i="90"/>
  <c r="K834" i="90" s="1"/>
  <c r="A833" i="90"/>
  <c r="K833" i="90" s="1"/>
  <c r="A832" i="90"/>
  <c r="K832" i="90" s="1"/>
  <c r="A831" i="90"/>
  <c r="K831" i="90" s="1"/>
  <c r="A830" i="90"/>
  <c r="K830" i="90" s="1"/>
  <c r="A829" i="90"/>
  <c r="K829" i="90" s="1"/>
  <c r="A828" i="90"/>
  <c r="K828" i="90" s="1"/>
  <c r="A827" i="90"/>
  <c r="K827" i="90" s="1"/>
  <c r="A826" i="90"/>
  <c r="K826" i="90" s="1"/>
  <c r="A825" i="90"/>
  <c r="K825" i="90" s="1"/>
  <c r="A824" i="90"/>
  <c r="K824" i="90" s="1"/>
  <c r="A823" i="90"/>
  <c r="K823" i="90" s="1"/>
  <c r="A822" i="90"/>
  <c r="K822" i="90" s="1"/>
  <c r="A821" i="90"/>
  <c r="K821" i="90" s="1"/>
  <c r="A820" i="90"/>
  <c r="K820" i="90" s="1"/>
  <c r="A819" i="90"/>
  <c r="K819" i="90" s="1"/>
  <c r="A818" i="90"/>
  <c r="K818" i="90" s="1"/>
  <c r="A817" i="90"/>
  <c r="K817" i="90" s="1"/>
  <c r="A816" i="90"/>
  <c r="K816" i="90" s="1"/>
  <c r="A815" i="90"/>
  <c r="K815" i="90" s="1"/>
  <c r="A814" i="90"/>
  <c r="K814" i="90" s="1"/>
  <c r="A813" i="90"/>
  <c r="K813" i="90" s="1"/>
  <c r="A812" i="90"/>
  <c r="K812" i="90" s="1"/>
  <c r="A811" i="90"/>
  <c r="K811" i="90" s="1"/>
  <c r="A810" i="90"/>
  <c r="K810" i="90" s="1"/>
  <c r="A809" i="90"/>
  <c r="K809" i="90" s="1"/>
  <c r="A808" i="90"/>
  <c r="K808" i="90" s="1"/>
  <c r="A807" i="90"/>
  <c r="K807" i="90" s="1"/>
  <c r="A806" i="90"/>
  <c r="K806" i="90" s="1"/>
  <c r="A805" i="90"/>
  <c r="K805" i="90" s="1"/>
  <c r="A804" i="90"/>
  <c r="K804" i="90" s="1"/>
  <c r="A803" i="90"/>
  <c r="K803" i="90" s="1"/>
  <c r="A802" i="90"/>
  <c r="K802" i="90" s="1"/>
  <c r="A801" i="90"/>
  <c r="K801" i="90" s="1"/>
  <c r="A800" i="90"/>
  <c r="K800" i="90" s="1"/>
  <c r="A799" i="90"/>
  <c r="K799" i="90" s="1"/>
  <c r="A798" i="90"/>
  <c r="K798" i="90" s="1"/>
  <c r="A797" i="90"/>
  <c r="K797" i="90" s="1"/>
  <c r="A796" i="90"/>
  <c r="K796" i="90" s="1"/>
  <c r="A795" i="90"/>
  <c r="K795" i="90" s="1"/>
  <c r="A794" i="90"/>
  <c r="K794" i="90" s="1"/>
  <c r="A793" i="90"/>
  <c r="K793" i="90" s="1"/>
  <c r="A792" i="90"/>
  <c r="K792" i="90" s="1"/>
  <c r="A791" i="90"/>
  <c r="K791" i="90" s="1"/>
  <c r="A790" i="90"/>
  <c r="K790" i="90" s="1"/>
  <c r="A789" i="90"/>
  <c r="K789" i="90" s="1"/>
  <c r="A788" i="90"/>
  <c r="K788" i="90" s="1"/>
  <c r="A787" i="90"/>
  <c r="K787" i="90" s="1"/>
  <c r="A786" i="90"/>
  <c r="K786" i="90" s="1"/>
  <c r="A785" i="90"/>
  <c r="K785" i="90" s="1"/>
  <c r="A784" i="90"/>
  <c r="K784" i="90" s="1"/>
  <c r="A783" i="90"/>
  <c r="K783" i="90" s="1"/>
  <c r="A782" i="90"/>
  <c r="K782" i="90" s="1"/>
  <c r="A781" i="90"/>
  <c r="K781" i="90" s="1"/>
  <c r="A780" i="90"/>
  <c r="K780" i="90" s="1"/>
  <c r="A779" i="90"/>
  <c r="K779" i="90" s="1"/>
  <c r="A778" i="90"/>
  <c r="K778" i="90" s="1"/>
  <c r="A777" i="90"/>
  <c r="K777" i="90" s="1"/>
  <c r="A776" i="90"/>
  <c r="K776" i="90" s="1"/>
  <c r="A775" i="90"/>
  <c r="K775" i="90" s="1"/>
  <c r="A774" i="90"/>
  <c r="K774" i="90" s="1"/>
  <c r="A773" i="90"/>
  <c r="K773" i="90" s="1"/>
  <c r="A772" i="90"/>
  <c r="K772" i="90" s="1"/>
  <c r="A771" i="90"/>
  <c r="K771" i="90" s="1"/>
  <c r="A770" i="90"/>
  <c r="K770" i="90" s="1"/>
  <c r="A769" i="90"/>
  <c r="K769" i="90" s="1"/>
  <c r="A768" i="90"/>
  <c r="K768" i="90" s="1"/>
  <c r="A767" i="90"/>
  <c r="K767" i="90" s="1"/>
  <c r="A766" i="90"/>
  <c r="K766" i="90" s="1"/>
  <c r="A765" i="90"/>
  <c r="K765" i="90" s="1"/>
  <c r="A764" i="90"/>
  <c r="K764" i="90" s="1"/>
  <c r="A763" i="90"/>
  <c r="K763" i="90" s="1"/>
  <c r="A762" i="90"/>
  <c r="K762" i="90" s="1"/>
  <c r="A761" i="90"/>
  <c r="K761" i="90" s="1"/>
  <c r="A760" i="90"/>
  <c r="K760" i="90" s="1"/>
  <c r="A759" i="90"/>
  <c r="K759" i="90" s="1"/>
  <c r="A758" i="90"/>
  <c r="K758" i="90" s="1"/>
  <c r="A757" i="90"/>
  <c r="K757" i="90" s="1"/>
  <c r="A756" i="90"/>
  <c r="K756" i="90" s="1"/>
  <c r="A755" i="90"/>
  <c r="K755" i="90" s="1"/>
  <c r="A754" i="90"/>
  <c r="K754" i="90" s="1"/>
  <c r="A753" i="90"/>
  <c r="K753" i="90" s="1"/>
  <c r="A752" i="90"/>
  <c r="K752" i="90" s="1"/>
  <c r="A751" i="90"/>
  <c r="K751" i="90" s="1"/>
  <c r="A750" i="90"/>
  <c r="K750" i="90" s="1"/>
  <c r="A749" i="90"/>
  <c r="K749" i="90" s="1"/>
  <c r="A748" i="90"/>
  <c r="K748" i="90" s="1"/>
  <c r="A747" i="90"/>
  <c r="K747" i="90" s="1"/>
  <c r="A746" i="90"/>
  <c r="K746" i="90" s="1"/>
  <c r="A745" i="90"/>
  <c r="K745" i="90" s="1"/>
  <c r="A744" i="90"/>
  <c r="K744" i="90" s="1"/>
  <c r="A743" i="90"/>
  <c r="K743" i="90" s="1"/>
  <c r="A742" i="90"/>
  <c r="K742" i="90" s="1"/>
  <c r="A741" i="90"/>
  <c r="K741" i="90" s="1"/>
  <c r="A740" i="90"/>
  <c r="K740" i="90" s="1"/>
  <c r="A739" i="90"/>
  <c r="K739" i="90" s="1"/>
  <c r="A738" i="90"/>
  <c r="K738" i="90" s="1"/>
  <c r="A737" i="90"/>
  <c r="K737" i="90" s="1"/>
  <c r="A736" i="90"/>
  <c r="K736" i="90" s="1"/>
  <c r="A735" i="90"/>
  <c r="K735" i="90" s="1"/>
  <c r="A734" i="90"/>
  <c r="K734" i="90" s="1"/>
  <c r="A733" i="90"/>
  <c r="K733" i="90" s="1"/>
  <c r="A732" i="90"/>
  <c r="K732" i="90" s="1"/>
  <c r="A731" i="90"/>
  <c r="K731" i="90" s="1"/>
  <c r="A730" i="90"/>
  <c r="K730" i="90" s="1"/>
  <c r="A729" i="90"/>
  <c r="K729" i="90" s="1"/>
  <c r="A728" i="90"/>
  <c r="K728" i="90" s="1"/>
  <c r="A727" i="90"/>
  <c r="K727" i="90" s="1"/>
  <c r="A726" i="90"/>
  <c r="K726" i="90" s="1"/>
  <c r="A725" i="90"/>
  <c r="K725" i="90" s="1"/>
  <c r="A724" i="90"/>
  <c r="K724" i="90" s="1"/>
  <c r="A723" i="90"/>
  <c r="K723" i="90" s="1"/>
  <c r="A722" i="90"/>
  <c r="K722" i="90" s="1"/>
  <c r="A721" i="90"/>
  <c r="K721" i="90" s="1"/>
  <c r="A720" i="90"/>
  <c r="K720" i="90" s="1"/>
  <c r="A719" i="90"/>
  <c r="K719" i="90" s="1"/>
  <c r="A718" i="90"/>
  <c r="K718" i="90" s="1"/>
  <c r="A717" i="90"/>
  <c r="K717" i="90" s="1"/>
  <c r="A716" i="90"/>
  <c r="K716" i="90" s="1"/>
  <c r="A715" i="90"/>
  <c r="K715" i="90" s="1"/>
  <c r="A714" i="90"/>
  <c r="K714" i="90" s="1"/>
  <c r="A713" i="90"/>
  <c r="K713" i="90" s="1"/>
  <c r="A712" i="90"/>
  <c r="K712" i="90" s="1"/>
  <c r="A711" i="90"/>
  <c r="K711" i="90" s="1"/>
  <c r="A710" i="90"/>
  <c r="K710" i="90" s="1"/>
  <c r="A709" i="90"/>
  <c r="K709" i="90" s="1"/>
  <c r="A708" i="90"/>
  <c r="K708" i="90" s="1"/>
  <c r="A707" i="90"/>
  <c r="K707" i="90" s="1"/>
  <c r="A706" i="90"/>
  <c r="K706" i="90" s="1"/>
  <c r="A705" i="90"/>
  <c r="K705" i="90" s="1"/>
  <c r="A704" i="90"/>
  <c r="K704" i="90" s="1"/>
  <c r="A703" i="90"/>
  <c r="K703" i="90" s="1"/>
  <c r="A702" i="90"/>
  <c r="K702" i="90" s="1"/>
  <c r="A701" i="90"/>
  <c r="K701" i="90" s="1"/>
  <c r="A700" i="90"/>
  <c r="K700" i="90" s="1"/>
  <c r="A699" i="90"/>
  <c r="K699" i="90" s="1"/>
  <c r="A698" i="90"/>
  <c r="K698" i="90" s="1"/>
  <c r="A697" i="90"/>
  <c r="K697" i="90" s="1"/>
  <c r="A696" i="90"/>
  <c r="K696" i="90" s="1"/>
  <c r="A695" i="90"/>
  <c r="K695" i="90" s="1"/>
  <c r="A694" i="90"/>
  <c r="K694" i="90" s="1"/>
  <c r="A693" i="90"/>
  <c r="K693" i="90" s="1"/>
  <c r="A692" i="90"/>
  <c r="K692" i="90" s="1"/>
  <c r="A691" i="90"/>
  <c r="K691" i="90" s="1"/>
  <c r="A690" i="90"/>
  <c r="K690" i="90" s="1"/>
  <c r="A689" i="90"/>
  <c r="K689" i="90" s="1"/>
  <c r="A688" i="90"/>
  <c r="K688" i="90" s="1"/>
  <c r="A687" i="90"/>
  <c r="K687" i="90" s="1"/>
  <c r="A686" i="90"/>
  <c r="K686" i="90" s="1"/>
  <c r="A685" i="90"/>
  <c r="K685" i="90" s="1"/>
  <c r="A684" i="90"/>
  <c r="K684" i="90" s="1"/>
  <c r="A683" i="90"/>
  <c r="K683" i="90" s="1"/>
  <c r="A682" i="90"/>
  <c r="K682" i="90" s="1"/>
  <c r="A681" i="90"/>
  <c r="K681" i="90" s="1"/>
  <c r="A680" i="90"/>
  <c r="K680" i="90" s="1"/>
  <c r="A679" i="90"/>
  <c r="K679" i="90" s="1"/>
  <c r="A678" i="90"/>
  <c r="K678" i="90" s="1"/>
  <c r="A677" i="90"/>
  <c r="K677" i="90" s="1"/>
  <c r="A676" i="90"/>
  <c r="K676" i="90" s="1"/>
  <c r="A675" i="90"/>
  <c r="K675" i="90" s="1"/>
  <c r="A674" i="90"/>
  <c r="K674" i="90" s="1"/>
  <c r="A673" i="90"/>
  <c r="K673" i="90" s="1"/>
  <c r="A672" i="90"/>
  <c r="K672" i="90" s="1"/>
  <c r="A671" i="90"/>
  <c r="K671" i="90" s="1"/>
  <c r="A670" i="90"/>
  <c r="K670" i="90" s="1"/>
  <c r="A669" i="90"/>
  <c r="K669" i="90" s="1"/>
  <c r="A668" i="90"/>
  <c r="K668" i="90" s="1"/>
  <c r="A667" i="90"/>
  <c r="K667" i="90" s="1"/>
  <c r="A666" i="90"/>
  <c r="K666" i="90" s="1"/>
  <c r="A665" i="90"/>
  <c r="K665" i="90" s="1"/>
  <c r="A664" i="90"/>
  <c r="K664" i="90" s="1"/>
  <c r="A663" i="90"/>
  <c r="K663" i="90" s="1"/>
  <c r="A662" i="90"/>
  <c r="K662" i="90" s="1"/>
  <c r="A661" i="90"/>
  <c r="K661" i="90" s="1"/>
  <c r="A660" i="90"/>
  <c r="K660" i="90" s="1"/>
  <c r="A659" i="90"/>
  <c r="K659" i="90" s="1"/>
  <c r="A658" i="90"/>
  <c r="K658" i="90" s="1"/>
  <c r="A657" i="90"/>
  <c r="K657" i="90" s="1"/>
  <c r="A656" i="90"/>
  <c r="K656" i="90" s="1"/>
  <c r="A655" i="90"/>
  <c r="K655" i="90" s="1"/>
  <c r="A654" i="90"/>
  <c r="K654" i="90" s="1"/>
  <c r="A653" i="90"/>
  <c r="K653" i="90" s="1"/>
  <c r="A652" i="90"/>
  <c r="K652" i="90" s="1"/>
  <c r="A651" i="90"/>
  <c r="K651" i="90" s="1"/>
  <c r="A650" i="90"/>
  <c r="K650" i="90" s="1"/>
  <c r="A649" i="90"/>
  <c r="K649" i="90" s="1"/>
  <c r="A648" i="90"/>
  <c r="K648" i="90" s="1"/>
  <c r="A647" i="90"/>
  <c r="K647" i="90" s="1"/>
  <c r="A646" i="90"/>
  <c r="K646" i="90" s="1"/>
  <c r="A645" i="90"/>
  <c r="K645" i="90" s="1"/>
  <c r="A644" i="90"/>
  <c r="K644" i="90" s="1"/>
  <c r="A643" i="90"/>
  <c r="K643" i="90" s="1"/>
  <c r="A642" i="90"/>
  <c r="K642" i="90" s="1"/>
  <c r="A641" i="90"/>
  <c r="K641" i="90" s="1"/>
  <c r="A640" i="90"/>
  <c r="K640" i="90" s="1"/>
  <c r="A639" i="90"/>
  <c r="K639" i="90" s="1"/>
  <c r="A638" i="90"/>
  <c r="K638" i="90" s="1"/>
  <c r="A637" i="90"/>
  <c r="K637" i="90" s="1"/>
  <c r="A636" i="90"/>
  <c r="K636" i="90" s="1"/>
  <c r="A635" i="90"/>
  <c r="K635" i="90" s="1"/>
  <c r="A634" i="90"/>
  <c r="K634" i="90" s="1"/>
  <c r="A633" i="90"/>
  <c r="K633" i="90" s="1"/>
  <c r="A632" i="90"/>
  <c r="K632" i="90" s="1"/>
  <c r="A631" i="90"/>
  <c r="K631" i="90" s="1"/>
  <c r="A630" i="90"/>
  <c r="K630" i="90" s="1"/>
  <c r="A629" i="90"/>
  <c r="K629" i="90" s="1"/>
  <c r="A628" i="90"/>
  <c r="K628" i="90" s="1"/>
  <c r="A627" i="90"/>
  <c r="K627" i="90" s="1"/>
  <c r="A626" i="90"/>
  <c r="K626" i="90" s="1"/>
  <c r="A625" i="90"/>
  <c r="K625" i="90" s="1"/>
  <c r="A624" i="90"/>
  <c r="K624" i="90" s="1"/>
  <c r="A623" i="90"/>
  <c r="K623" i="90" s="1"/>
  <c r="A622" i="90"/>
  <c r="K622" i="90" s="1"/>
  <c r="A621" i="90"/>
  <c r="K621" i="90" s="1"/>
  <c r="A620" i="90"/>
  <c r="K620" i="90" s="1"/>
  <c r="A619" i="90"/>
  <c r="K619" i="90" s="1"/>
  <c r="A618" i="90"/>
  <c r="K618" i="90" s="1"/>
  <c r="A617" i="90"/>
  <c r="K617" i="90" s="1"/>
  <c r="A616" i="90"/>
  <c r="K616" i="90" s="1"/>
  <c r="A615" i="90"/>
  <c r="K615" i="90" s="1"/>
  <c r="A614" i="90"/>
  <c r="K614" i="90" s="1"/>
  <c r="A613" i="90"/>
  <c r="K613" i="90" s="1"/>
  <c r="A612" i="90"/>
  <c r="K612" i="90" s="1"/>
  <c r="A611" i="90"/>
  <c r="K611" i="90" s="1"/>
  <c r="A610" i="90"/>
  <c r="K610" i="90" s="1"/>
  <c r="A609" i="90"/>
  <c r="K609" i="90" s="1"/>
  <c r="A608" i="90"/>
  <c r="K608" i="90" s="1"/>
  <c r="A607" i="90"/>
  <c r="K607" i="90" s="1"/>
  <c r="A606" i="90"/>
  <c r="K606" i="90" s="1"/>
  <c r="A605" i="90"/>
  <c r="K605" i="90" s="1"/>
  <c r="A604" i="90"/>
  <c r="K604" i="90" s="1"/>
  <c r="A603" i="90"/>
  <c r="K603" i="90" s="1"/>
  <c r="A602" i="90"/>
  <c r="K602" i="90" s="1"/>
  <c r="A601" i="90"/>
  <c r="K601" i="90" s="1"/>
  <c r="A600" i="90"/>
  <c r="K600" i="90" s="1"/>
  <c r="A599" i="90"/>
  <c r="K599" i="90" s="1"/>
  <c r="A598" i="90"/>
  <c r="K598" i="90" s="1"/>
  <c r="A597" i="90"/>
  <c r="K597" i="90" s="1"/>
  <c r="A596" i="90"/>
  <c r="K596" i="90" s="1"/>
  <c r="A595" i="90"/>
  <c r="K595" i="90" s="1"/>
  <c r="A594" i="90"/>
  <c r="K594" i="90" s="1"/>
  <c r="A593" i="90"/>
  <c r="K593" i="90" s="1"/>
  <c r="A592" i="90"/>
  <c r="K592" i="90" s="1"/>
  <c r="A591" i="90"/>
  <c r="K591" i="90" s="1"/>
  <c r="A590" i="90"/>
  <c r="K590" i="90" s="1"/>
  <c r="A589" i="90"/>
  <c r="K589" i="90" s="1"/>
  <c r="A588" i="90"/>
  <c r="K588" i="90" s="1"/>
  <c r="A587" i="90"/>
  <c r="K587" i="90" s="1"/>
  <c r="A586" i="90"/>
  <c r="K586" i="90" s="1"/>
  <c r="A585" i="90"/>
  <c r="K585" i="90" s="1"/>
  <c r="A584" i="90"/>
  <c r="K584" i="90" s="1"/>
  <c r="A583" i="90"/>
  <c r="K583" i="90" s="1"/>
  <c r="A582" i="90"/>
  <c r="K582" i="90" s="1"/>
  <c r="A581" i="90"/>
  <c r="K581" i="90" s="1"/>
  <c r="A580" i="90"/>
  <c r="K580" i="90" s="1"/>
  <c r="A579" i="90"/>
  <c r="K579" i="90" s="1"/>
  <c r="A578" i="90"/>
  <c r="K578" i="90" s="1"/>
  <c r="A577" i="90"/>
  <c r="K577" i="90" s="1"/>
  <c r="A576" i="90"/>
  <c r="K576" i="90" s="1"/>
  <c r="A575" i="90"/>
  <c r="K575" i="90" s="1"/>
  <c r="A574" i="90"/>
  <c r="K574" i="90" s="1"/>
  <c r="A573" i="90"/>
  <c r="K573" i="90" s="1"/>
  <c r="A572" i="90"/>
  <c r="K572" i="90" s="1"/>
  <c r="A571" i="90"/>
  <c r="K571" i="90" s="1"/>
  <c r="A570" i="90"/>
  <c r="K570" i="90" s="1"/>
  <c r="A569" i="90"/>
  <c r="K569" i="90" s="1"/>
  <c r="A568" i="90"/>
  <c r="K568" i="90" s="1"/>
  <c r="A567" i="90"/>
  <c r="K567" i="90" s="1"/>
  <c r="A566" i="90"/>
  <c r="K566" i="90" s="1"/>
  <c r="A565" i="90"/>
  <c r="K565" i="90" s="1"/>
  <c r="A564" i="90"/>
  <c r="K564" i="90" s="1"/>
  <c r="A563" i="90"/>
  <c r="K563" i="90" s="1"/>
  <c r="A562" i="90"/>
  <c r="K562" i="90" s="1"/>
  <c r="A561" i="90"/>
  <c r="K561" i="90" s="1"/>
  <c r="A560" i="90"/>
  <c r="K560" i="90" s="1"/>
  <c r="A559" i="90"/>
  <c r="K559" i="90" s="1"/>
  <c r="A558" i="90"/>
  <c r="K558" i="90" s="1"/>
  <c r="A557" i="90"/>
  <c r="K557" i="90" s="1"/>
  <c r="A556" i="90"/>
  <c r="K556" i="90" s="1"/>
  <c r="A555" i="90"/>
  <c r="K555" i="90" s="1"/>
  <c r="A554" i="90"/>
  <c r="K554" i="90" s="1"/>
  <c r="A553" i="90"/>
  <c r="K553" i="90" s="1"/>
  <c r="A552" i="90"/>
  <c r="K552" i="90" s="1"/>
  <c r="A551" i="90"/>
  <c r="K551" i="90" s="1"/>
  <c r="A550" i="90"/>
  <c r="K550" i="90" s="1"/>
  <c r="A549" i="90"/>
  <c r="K549" i="90" s="1"/>
  <c r="A548" i="90"/>
  <c r="K548" i="90" s="1"/>
  <c r="A547" i="90"/>
  <c r="K547" i="90" s="1"/>
  <c r="A546" i="90"/>
  <c r="K546" i="90" s="1"/>
  <c r="A545" i="90"/>
  <c r="K545" i="90" s="1"/>
  <c r="A544" i="90"/>
  <c r="K544" i="90" s="1"/>
  <c r="A543" i="90"/>
  <c r="K543" i="90" s="1"/>
  <c r="A542" i="90"/>
  <c r="K542" i="90" s="1"/>
  <c r="A541" i="90"/>
  <c r="K541" i="90" s="1"/>
  <c r="A540" i="90"/>
  <c r="K540" i="90" s="1"/>
  <c r="A539" i="90"/>
  <c r="K539" i="90" s="1"/>
  <c r="A538" i="90"/>
  <c r="K538" i="90" s="1"/>
  <c r="A537" i="90"/>
  <c r="K537" i="90" s="1"/>
  <c r="A536" i="90"/>
  <c r="K536" i="90" s="1"/>
  <c r="A535" i="90"/>
  <c r="K535" i="90" s="1"/>
  <c r="A534" i="90"/>
  <c r="K534" i="90" s="1"/>
  <c r="A533" i="90"/>
  <c r="K533" i="90" s="1"/>
  <c r="A532" i="90"/>
  <c r="K532" i="90" s="1"/>
  <c r="A531" i="90"/>
  <c r="K531" i="90" s="1"/>
  <c r="A530" i="90"/>
  <c r="K530" i="90" s="1"/>
  <c r="A529" i="90"/>
  <c r="K529" i="90" s="1"/>
  <c r="A528" i="90"/>
  <c r="K528" i="90" s="1"/>
  <c r="A527" i="90"/>
  <c r="K527" i="90" s="1"/>
  <c r="A526" i="90"/>
  <c r="K526" i="90" s="1"/>
  <c r="A525" i="90"/>
  <c r="K525" i="90" s="1"/>
  <c r="A524" i="90"/>
  <c r="K524" i="90" s="1"/>
  <c r="A523" i="90"/>
  <c r="K523" i="90" s="1"/>
  <c r="A522" i="90"/>
  <c r="K522" i="90" s="1"/>
  <c r="A521" i="90"/>
  <c r="K521" i="90" s="1"/>
  <c r="A520" i="90"/>
  <c r="K520" i="90" s="1"/>
  <c r="A519" i="90"/>
  <c r="K519" i="90" s="1"/>
  <c r="A518" i="90"/>
  <c r="K518" i="90" s="1"/>
  <c r="A517" i="90"/>
  <c r="K517" i="90" s="1"/>
  <c r="A516" i="90"/>
  <c r="K516" i="90" s="1"/>
  <c r="A515" i="90"/>
  <c r="K515" i="90" s="1"/>
  <c r="A514" i="90"/>
  <c r="K514" i="90" s="1"/>
  <c r="A513" i="90"/>
  <c r="K513" i="90" s="1"/>
  <c r="A512" i="90"/>
  <c r="K512" i="90" s="1"/>
  <c r="A511" i="90"/>
  <c r="K511" i="90" s="1"/>
  <c r="A510" i="90"/>
  <c r="K510" i="90" s="1"/>
  <c r="A509" i="90"/>
  <c r="K509" i="90" s="1"/>
  <c r="A508" i="90"/>
  <c r="K508" i="90" s="1"/>
  <c r="A507" i="90"/>
  <c r="K507" i="90" s="1"/>
  <c r="A506" i="90"/>
  <c r="K506" i="90" s="1"/>
  <c r="A505" i="90"/>
  <c r="K505" i="90" s="1"/>
  <c r="A504" i="90"/>
  <c r="K504" i="90" s="1"/>
  <c r="A503" i="90"/>
  <c r="K503" i="90" s="1"/>
  <c r="A502" i="90"/>
  <c r="K502" i="90" s="1"/>
  <c r="A501" i="90"/>
  <c r="K501" i="90" s="1"/>
  <c r="A500" i="90"/>
  <c r="K500" i="90" s="1"/>
  <c r="A499" i="90"/>
  <c r="K499" i="90" s="1"/>
  <c r="A498" i="90"/>
  <c r="K498" i="90" s="1"/>
  <c r="A497" i="90"/>
  <c r="K497" i="90" s="1"/>
  <c r="A496" i="90"/>
  <c r="K496" i="90" s="1"/>
  <c r="A495" i="90"/>
  <c r="K495" i="90" s="1"/>
  <c r="A494" i="90"/>
  <c r="K494" i="90" s="1"/>
  <c r="A493" i="90"/>
  <c r="K493" i="90" s="1"/>
  <c r="A492" i="90"/>
  <c r="K492" i="90" s="1"/>
  <c r="A491" i="90"/>
  <c r="K491" i="90" s="1"/>
  <c r="A490" i="90"/>
  <c r="K490" i="90" s="1"/>
  <c r="A489" i="90"/>
  <c r="K489" i="90" s="1"/>
  <c r="A488" i="90"/>
  <c r="K488" i="90" s="1"/>
  <c r="A487" i="90"/>
  <c r="K487" i="90" s="1"/>
  <c r="A486" i="90"/>
  <c r="K486" i="90" s="1"/>
  <c r="A485" i="90"/>
  <c r="K485" i="90" s="1"/>
  <c r="A484" i="90"/>
  <c r="K484" i="90" s="1"/>
  <c r="A483" i="90"/>
  <c r="K483" i="90" s="1"/>
  <c r="A482" i="90"/>
  <c r="K482" i="90" s="1"/>
  <c r="A481" i="90"/>
  <c r="K481" i="90" s="1"/>
  <c r="A480" i="90"/>
  <c r="K480" i="90" s="1"/>
  <c r="A479" i="90"/>
  <c r="K479" i="90" s="1"/>
  <c r="A478" i="90"/>
  <c r="K478" i="90" s="1"/>
  <c r="A477" i="90"/>
  <c r="K477" i="90" s="1"/>
  <c r="A476" i="90"/>
  <c r="K476" i="90" s="1"/>
  <c r="A475" i="90"/>
  <c r="K475" i="90" s="1"/>
  <c r="A474" i="90"/>
  <c r="K474" i="90" s="1"/>
  <c r="A473" i="90"/>
  <c r="K473" i="90" s="1"/>
  <c r="A472" i="90"/>
  <c r="K472" i="90" s="1"/>
  <c r="A471" i="90"/>
  <c r="K471" i="90" s="1"/>
  <c r="A470" i="90"/>
  <c r="K470" i="90" s="1"/>
  <c r="A469" i="90"/>
  <c r="K469" i="90" s="1"/>
  <c r="A468" i="90"/>
  <c r="K468" i="90" s="1"/>
  <c r="A467" i="90"/>
  <c r="K467" i="90" s="1"/>
  <c r="A466" i="90"/>
  <c r="K466" i="90" s="1"/>
  <c r="A465" i="90"/>
  <c r="K465" i="90" s="1"/>
  <c r="A464" i="90"/>
  <c r="K464" i="90" s="1"/>
  <c r="A463" i="90"/>
  <c r="K463" i="90" s="1"/>
  <c r="A462" i="90"/>
  <c r="K462" i="90" s="1"/>
  <c r="A461" i="90"/>
  <c r="K461" i="90" s="1"/>
  <c r="A460" i="90"/>
  <c r="K460" i="90" s="1"/>
  <c r="A459" i="90"/>
  <c r="K459" i="90" s="1"/>
  <c r="A458" i="90"/>
  <c r="K458" i="90" s="1"/>
  <c r="A457" i="90"/>
  <c r="K457" i="90" s="1"/>
  <c r="A456" i="90"/>
  <c r="K456" i="90" s="1"/>
  <c r="A455" i="90"/>
  <c r="K455" i="90" s="1"/>
  <c r="A454" i="90"/>
  <c r="K454" i="90" s="1"/>
  <c r="A453" i="90"/>
  <c r="K453" i="90" s="1"/>
  <c r="A452" i="90"/>
  <c r="K452" i="90" s="1"/>
  <c r="A451" i="90"/>
  <c r="K451" i="90" s="1"/>
  <c r="A450" i="90"/>
  <c r="K450" i="90" s="1"/>
  <c r="A449" i="90"/>
  <c r="K449" i="90" s="1"/>
  <c r="A448" i="90"/>
  <c r="K448" i="90" s="1"/>
  <c r="A447" i="90"/>
  <c r="K447" i="90" s="1"/>
  <c r="A446" i="90"/>
  <c r="K446" i="90" s="1"/>
  <c r="A445" i="90"/>
  <c r="K445" i="90" s="1"/>
  <c r="A444" i="90"/>
  <c r="K444" i="90" s="1"/>
  <c r="A443" i="90"/>
  <c r="K443" i="90" s="1"/>
  <c r="A442" i="90"/>
  <c r="K442" i="90" s="1"/>
  <c r="A441" i="90"/>
  <c r="K441" i="90" s="1"/>
  <c r="A440" i="90"/>
  <c r="K440" i="90" s="1"/>
  <c r="A439" i="90"/>
  <c r="K439" i="90" s="1"/>
  <c r="A438" i="90"/>
  <c r="K438" i="90" s="1"/>
  <c r="A437" i="90"/>
  <c r="K437" i="90" s="1"/>
  <c r="A436" i="90"/>
  <c r="K436" i="90" s="1"/>
  <c r="A435" i="90"/>
  <c r="K435" i="90" s="1"/>
  <c r="A434" i="90"/>
  <c r="K434" i="90" s="1"/>
  <c r="A433" i="90"/>
  <c r="K433" i="90" s="1"/>
  <c r="A432" i="90"/>
  <c r="K432" i="90" s="1"/>
  <c r="A431" i="90"/>
  <c r="K431" i="90" s="1"/>
  <c r="A430" i="90"/>
  <c r="K430" i="90" s="1"/>
  <c r="A429" i="90"/>
  <c r="K429" i="90" s="1"/>
  <c r="A428" i="90"/>
  <c r="K428" i="90" s="1"/>
  <c r="A427" i="90"/>
  <c r="K427" i="90" s="1"/>
  <c r="A426" i="90"/>
  <c r="K426" i="90" s="1"/>
  <c r="A425" i="90"/>
  <c r="K425" i="90" s="1"/>
  <c r="A424" i="90"/>
  <c r="K424" i="90" s="1"/>
  <c r="A423" i="90"/>
  <c r="K423" i="90" s="1"/>
  <c r="A422" i="90"/>
  <c r="K422" i="90" s="1"/>
  <c r="A421" i="90"/>
  <c r="K421" i="90" s="1"/>
  <c r="A420" i="90"/>
  <c r="K420" i="90" s="1"/>
  <c r="A419" i="90"/>
  <c r="K419" i="90" s="1"/>
  <c r="A418" i="90"/>
  <c r="K418" i="90" s="1"/>
  <c r="A417" i="90"/>
  <c r="K417" i="90" s="1"/>
  <c r="A416" i="90"/>
  <c r="K416" i="90" s="1"/>
  <c r="A415" i="90"/>
  <c r="K415" i="90" s="1"/>
  <c r="A414" i="90"/>
  <c r="K414" i="90" s="1"/>
  <c r="A413" i="90"/>
  <c r="K413" i="90" s="1"/>
  <c r="A412" i="90"/>
  <c r="K412" i="90" s="1"/>
  <c r="A411" i="90"/>
  <c r="K411" i="90" s="1"/>
  <c r="A410" i="90"/>
  <c r="K410" i="90" s="1"/>
  <c r="A409" i="90"/>
  <c r="K409" i="90" s="1"/>
  <c r="A408" i="90"/>
  <c r="K408" i="90" s="1"/>
  <c r="A407" i="90"/>
  <c r="K407" i="90" s="1"/>
  <c r="A406" i="90"/>
  <c r="A405" i="90"/>
  <c r="K405" i="90" s="1"/>
  <c r="A404" i="90"/>
  <c r="K404" i="90" s="1"/>
  <c r="A403" i="90"/>
  <c r="K403" i="90" s="1"/>
  <c r="A402" i="90"/>
  <c r="K402" i="90" s="1"/>
  <c r="A401" i="90"/>
  <c r="K401" i="90" s="1"/>
  <c r="A400" i="90"/>
  <c r="K400" i="90" s="1"/>
  <c r="A399" i="90"/>
  <c r="K399" i="90" s="1"/>
  <c r="A398" i="90"/>
  <c r="K398" i="90" s="1"/>
  <c r="A397" i="90"/>
  <c r="K397" i="90" s="1"/>
  <c r="A396" i="90"/>
  <c r="K396" i="90" s="1"/>
  <c r="A395" i="90"/>
  <c r="K395" i="90" s="1"/>
  <c r="A394" i="90"/>
  <c r="K394" i="90" s="1"/>
  <c r="A393" i="90"/>
  <c r="K393" i="90" s="1"/>
  <c r="A392" i="90"/>
  <c r="K392" i="90" s="1"/>
  <c r="A391" i="90"/>
  <c r="K391" i="90" s="1"/>
  <c r="A390" i="90"/>
  <c r="K390" i="90" s="1"/>
  <c r="A389" i="90"/>
  <c r="K389" i="90" s="1"/>
  <c r="A388" i="90"/>
  <c r="K388" i="90" s="1"/>
  <c r="A387" i="90"/>
  <c r="K387" i="90" s="1"/>
  <c r="A386" i="90"/>
  <c r="K386" i="90" s="1"/>
  <c r="A385" i="90"/>
  <c r="K385" i="90" s="1"/>
  <c r="A384" i="90"/>
  <c r="K384" i="90" s="1"/>
  <c r="A383" i="90"/>
  <c r="K383" i="90" s="1"/>
  <c r="A382" i="90"/>
  <c r="K382" i="90" s="1"/>
  <c r="A381" i="90"/>
  <c r="K381" i="90" s="1"/>
  <c r="A380" i="90"/>
  <c r="K380" i="90" s="1"/>
  <c r="A379" i="90"/>
  <c r="K379" i="90" s="1"/>
  <c r="A378" i="90"/>
  <c r="K378" i="90" s="1"/>
  <c r="A377" i="90"/>
  <c r="K377" i="90" s="1"/>
  <c r="A376" i="90"/>
  <c r="K376" i="90" s="1"/>
  <c r="A375" i="90"/>
  <c r="K375" i="90" s="1"/>
  <c r="A374" i="90"/>
  <c r="K374" i="90" s="1"/>
  <c r="A373" i="90"/>
  <c r="K373" i="90" s="1"/>
  <c r="A372" i="90"/>
  <c r="K372" i="90" s="1"/>
  <c r="A371" i="90"/>
  <c r="K371" i="90" s="1"/>
  <c r="A370" i="90"/>
  <c r="K370" i="90" s="1"/>
  <c r="A369" i="90"/>
  <c r="K369" i="90" s="1"/>
  <c r="A368" i="90"/>
  <c r="K368" i="90" s="1"/>
  <c r="A367" i="90"/>
  <c r="K367" i="90" s="1"/>
  <c r="A366" i="90"/>
  <c r="K366" i="90" s="1"/>
  <c r="A365" i="90"/>
  <c r="K365" i="90" s="1"/>
  <c r="A364" i="90"/>
  <c r="K364" i="90" s="1"/>
  <c r="A363" i="90"/>
  <c r="K363" i="90" s="1"/>
  <c r="A362" i="90"/>
  <c r="K362" i="90" s="1"/>
  <c r="A361" i="90"/>
  <c r="K361" i="90" s="1"/>
  <c r="A360" i="90"/>
  <c r="K360" i="90" s="1"/>
  <c r="A359" i="90"/>
  <c r="K359" i="90" s="1"/>
  <c r="A358" i="90"/>
  <c r="K358" i="90" s="1"/>
  <c r="A357" i="90"/>
  <c r="K357" i="90" s="1"/>
  <c r="A356" i="90"/>
  <c r="K356" i="90" s="1"/>
  <c r="A355" i="90"/>
  <c r="K355" i="90" s="1"/>
  <c r="A354" i="90"/>
  <c r="K354" i="90" s="1"/>
  <c r="A353" i="90"/>
  <c r="K353" i="90" s="1"/>
  <c r="A352" i="90"/>
  <c r="K352" i="90" s="1"/>
  <c r="A351" i="90"/>
  <c r="K351" i="90" s="1"/>
  <c r="A350" i="90"/>
  <c r="K350" i="90" s="1"/>
  <c r="A349" i="90"/>
  <c r="K349" i="90" s="1"/>
  <c r="A348" i="90"/>
  <c r="K348" i="90" s="1"/>
  <c r="A347" i="90"/>
  <c r="K347" i="90" s="1"/>
  <c r="A346" i="90"/>
  <c r="K346" i="90" s="1"/>
  <c r="A345" i="90"/>
  <c r="K345" i="90" s="1"/>
  <c r="A344" i="90"/>
  <c r="K344" i="90" s="1"/>
  <c r="A343" i="90"/>
  <c r="K343" i="90" s="1"/>
  <c r="A342" i="90"/>
  <c r="K342" i="90" s="1"/>
  <c r="A341" i="90"/>
  <c r="K341" i="90" s="1"/>
  <c r="A340" i="90"/>
  <c r="K340" i="90" s="1"/>
  <c r="A339" i="90"/>
  <c r="K339" i="90" s="1"/>
  <c r="A338" i="90"/>
  <c r="K338" i="90" s="1"/>
  <c r="A337" i="90"/>
  <c r="K337" i="90" s="1"/>
  <c r="A336" i="90"/>
  <c r="K336" i="90" s="1"/>
  <c r="A335" i="90"/>
  <c r="K335" i="90" s="1"/>
  <c r="A334" i="90"/>
  <c r="K334" i="90" s="1"/>
  <c r="A333" i="90"/>
  <c r="K333" i="90" s="1"/>
  <c r="A332" i="90"/>
  <c r="K332" i="90" s="1"/>
  <c r="A331" i="90"/>
  <c r="K331" i="90" s="1"/>
  <c r="A330" i="90"/>
  <c r="K330" i="90" s="1"/>
  <c r="A329" i="90"/>
  <c r="K329" i="90" s="1"/>
  <c r="A328" i="90"/>
  <c r="K328" i="90" s="1"/>
  <c r="A327" i="90"/>
  <c r="K327" i="90" s="1"/>
  <c r="A326" i="90"/>
  <c r="K326" i="90" s="1"/>
  <c r="A325" i="90"/>
  <c r="K325" i="90" s="1"/>
  <c r="A324" i="90"/>
  <c r="K324" i="90" s="1"/>
  <c r="A323" i="90"/>
  <c r="K323" i="90" s="1"/>
  <c r="A322" i="90"/>
  <c r="K322" i="90" s="1"/>
  <c r="A321" i="90"/>
  <c r="K321" i="90" s="1"/>
  <c r="A320" i="90"/>
  <c r="K320" i="90" s="1"/>
  <c r="A319" i="90"/>
  <c r="K319" i="90" s="1"/>
  <c r="A318" i="90"/>
  <c r="K318" i="90" s="1"/>
  <c r="A317" i="90"/>
  <c r="K317" i="90" s="1"/>
  <c r="A316" i="90"/>
  <c r="K316" i="90" s="1"/>
  <c r="A315" i="90"/>
  <c r="K315" i="90" s="1"/>
  <c r="A314" i="90"/>
  <c r="K314" i="90" s="1"/>
  <c r="A313" i="90"/>
  <c r="K313" i="90" s="1"/>
  <c r="A312" i="90"/>
  <c r="K312" i="90" s="1"/>
  <c r="A311" i="90"/>
  <c r="K311" i="90" s="1"/>
  <c r="A310" i="90"/>
  <c r="K310" i="90" s="1"/>
  <c r="A309" i="90"/>
  <c r="K309" i="90" s="1"/>
  <c r="A308" i="90"/>
  <c r="K308" i="90" s="1"/>
  <c r="A307" i="90"/>
  <c r="K307" i="90" s="1"/>
  <c r="A306" i="90"/>
  <c r="K306" i="90" s="1"/>
  <c r="A305" i="90"/>
  <c r="K305" i="90" s="1"/>
  <c r="A304" i="90"/>
  <c r="K304" i="90" s="1"/>
  <c r="A303" i="90"/>
  <c r="K303" i="90" s="1"/>
  <c r="A302" i="90"/>
  <c r="K302" i="90" s="1"/>
  <c r="A301" i="90"/>
  <c r="K301" i="90" s="1"/>
  <c r="A300" i="90"/>
  <c r="K300" i="90" s="1"/>
  <c r="A299" i="90"/>
  <c r="K299" i="90" s="1"/>
  <c r="A298" i="90"/>
  <c r="K298" i="90" s="1"/>
  <c r="A297" i="90"/>
  <c r="K297" i="90" s="1"/>
  <c r="A296" i="90"/>
  <c r="K296" i="90" s="1"/>
  <c r="A295" i="90"/>
  <c r="K295" i="90" s="1"/>
  <c r="A294" i="90"/>
  <c r="K294" i="90" s="1"/>
  <c r="A293" i="90"/>
  <c r="K293" i="90" s="1"/>
  <c r="A292" i="90"/>
  <c r="K292" i="90" s="1"/>
  <c r="A291" i="90"/>
  <c r="K291" i="90" s="1"/>
  <c r="A290" i="90"/>
  <c r="K290" i="90" s="1"/>
  <c r="A289" i="90"/>
  <c r="K289" i="90" s="1"/>
  <c r="A288" i="90"/>
  <c r="K288" i="90" s="1"/>
  <c r="A287" i="90"/>
  <c r="K287" i="90" s="1"/>
  <c r="A286" i="90"/>
  <c r="K286" i="90" s="1"/>
  <c r="A285" i="90"/>
  <c r="K285" i="90" s="1"/>
  <c r="A284" i="90"/>
  <c r="K284" i="90" s="1"/>
  <c r="A283" i="90"/>
  <c r="K283" i="90" s="1"/>
  <c r="A282" i="90"/>
  <c r="K282" i="90" s="1"/>
  <c r="A281" i="90"/>
  <c r="K281" i="90" s="1"/>
  <c r="A280" i="90"/>
  <c r="K280" i="90" s="1"/>
  <c r="A279" i="90"/>
  <c r="K279" i="90" s="1"/>
  <c r="A278" i="90"/>
  <c r="K278" i="90" s="1"/>
  <c r="A277" i="90"/>
  <c r="K277" i="90" s="1"/>
  <c r="A276" i="90"/>
  <c r="K276" i="90" s="1"/>
  <c r="A275" i="90"/>
  <c r="K275" i="90" s="1"/>
  <c r="A274" i="90"/>
  <c r="K274" i="90" s="1"/>
  <c r="A273" i="90"/>
  <c r="K273" i="90" s="1"/>
  <c r="A272" i="90"/>
  <c r="K272" i="90" s="1"/>
  <c r="A271" i="90"/>
  <c r="K271" i="90" s="1"/>
  <c r="A270" i="90"/>
  <c r="K270" i="90" s="1"/>
  <c r="A269" i="90"/>
  <c r="K269" i="90" s="1"/>
  <c r="A268" i="90"/>
  <c r="K268" i="90" s="1"/>
  <c r="A267" i="90"/>
  <c r="K267" i="90" s="1"/>
  <c r="A266" i="90"/>
  <c r="K266" i="90" s="1"/>
  <c r="A265" i="90"/>
  <c r="K265" i="90" s="1"/>
  <c r="A264" i="90"/>
  <c r="K264" i="90" s="1"/>
  <c r="A263" i="90"/>
  <c r="K263" i="90" s="1"/>
  <c r="A262" i="90"/>
  <c r="K262" i="90" s="1"/>
  <c r="A261" i="90"/>
  <c r="K261" i="90" s="1"/>
  <c r="A260" i="90"/>
  <c r="K260" i="90" s="1"/>
  <c r="A259" i="90"/>
  <c r="K259" i="90" s="1"/>
  <c r="A258" i="90"/>
  <c r="K258" i="90" s="1"/>
  <c r="A257" i="90"/>
  <c r="K257" i="90" s="1"/>
  <c r="A256" i="90"/>
  <c r="K256" i="90" s="1"/>
  <c r="A255" i="90"/>
  <c r="K255" i="90" s="1"/>
  <c r="A254" i="90"/>
  <c r="K254" i="90" s="1"/>
  <c r="A253" i="90"/>
  <c r="K253" i="90" s="1"/>
  <c r="A252" i="90"/>
  <c r="K252" i="90" s="1"/>
  <c r="A251" i="90"/>
  <c r="K251" i="90" s="1"/>
  <c r="A250" i="90"/>
  <c r="K250" i="90" s="1"/>
  <c r="A249" i="90"/>
  <c r="K249" i="90" s="1"/>
  <c r="A248" i="90"/>
  <c r="K248" i="90" s="1"/>
  <c r="A247" i="90"/>
  <c r="K247" i="90" s="1"/>
  <c r="A246" i="90"/>
  <c r="K246" i="90" s="1"/>
  <c r="A245" i="90"/>
  <c r="K245" i="90" s="1"/>
  <c r="A244" i="90"/>
  <c r="K244" i="90" s="1"/>
  <c r="A243" i="90"/>
  <c r="K243" i="90" s="1"/>
  <c r="A242" i="90"/>
  <c r="K242" i="90" s="1"/>
  <c r="A241" i="90"/>
  <c r="K241" i="90" s="1"/>
  <c r="A240" i="90"/>
  <c r="K240" i="90" s="1"/>
  <c r="A239" i="90"/>
  <c r="K239" i="90" s="1"/>
  <c r="A238" i="90"/>
  <c r="K238" i="90" s="1"/>
  <c r="A237" i="90"/>
  <c r="K237" i="90" s="1"/>
  <c r="A236" i="90"/>
  <c r="K236" i="90" s="1"/>
  <c r="A235" i="90"/>
  <c r="K235" i="90" s="1"/>
  <c r="A234" i="90"/>
  <c r="K234" i="90" s="1"/>
  <c r="A233" i="90"/>
  <c r="K233" i="90" s="1"/>
  <c r="A232" i="90"/>
  <c r="K232" i="90" s="1"/>
  <c r="A231" i="90"/>
  <c r="K231" i="90" s="1"/>
  <c r="A230" i="90"/>
  <c r="K230" i="90" s="1"/>
  <c r="A229" i="90"/>
  <c r="K229" i="90" s="1"/>
  <c r="A228" i="90"/>
  <c r="K228" i="90" s="1"/>
  <c r="A227" i="90"/>
  <c r="K227" i="90" s="1"/>
  <c r="A226" i="90"/>
  <c r="K226" i="90" s="1"/>
  <c r="A225" i="90"/>
  <c r="K225" i="90" s="1"/>
  <c r="A224" i="90"/>
  <c r="K224" i="90" s="1"/>
  <c r="A223" i="90"/>
  <c r="K223" i="90" s="1"/>
  <c r="A222" i="90"/>
  <c r="K222" i="90" s="1"/>
  <c r="A221" i="90"/>
  <c r="K221" i="90" s="1"/>
  <c r="A220" i="90"/>
  <c r="K220" i="90" s="1"/>
  <c r="A219" i="90"/>
  <c r="K219" i="90" s="1"/>
  <c r="A218" i="90"/>
  <c r="K218" i="90" s="1"/>
  <c r="A217" i="90"/>
  <c r="K217" i="90" s="1"/>
  <c r="A216" i="90"/>
  <c r="K216" i="90" s="1"/>
  <c r="A215" i="90"/>
  <c r="K215" i="90" s="1"/>
  <c r="A214" i="90"/>
  <c r="K214" i="90" s="1"/>
  <c r="A213" i="90"/>
  <c r="K213" i="90" s="1"/>
  <c r="A212" i="90"/>
  <c r="K212" i="90" s="1"/>
  <c r="A211" i="90"/>
  <c r="K211" i="90" s="1"/>
  <c r="A210" i="90"/>
  <c r="K210" i="90" s="1"/>
  <c r="A209" i="90"/>
  <c r="K209" i="90" s="1"/>
  <c r="A208" i="90"/>
  <c r="K208" i="90" s="1"/>
  <c r="A207" i="90"/>
  <c r="K207" i="90" s="1"/>
  <c r="A206" i="90"/>
  <c r="K206" i="90" s="1"/>
  <c r="A205" i="90"/>
  <c r="K205" i="90" s="1"/>
  <c r="A204" i="90"/>
  <c r="K204" i="90" s="1"/>
  <c r="A203" i="90"/>
  <c r="K203" i="90" s="1"/>
  <c r="A202" i="90"/>
  <c r="K202" i="90" s="1"/>
  <c r="A201" i="90"/>
  <c r="K201" i="90" s="1"/>
  <c r="A200" i="90"/>
  <c r="K200" i="90" s="1"/>
  <c r="A199" i="90"/>
  <c r="K199" i="90" s="1"/>
  <c r="A198" i="90"/>
  <c r="K198" i="90" s="1"/>
  <c r="A197" i="90"/>
  <c r="K197" i="90" s="1"/>
  <c r="A196" i="90"/>
  <c r="K196" i="90" s="1"/>
  <c r="A195" i="90"/>
  <c r="K195" i="90" s="1"/>
  <c r="A194" i="90"/>
  <c r="K194" i="90" s="1"/>
  <c r="A193" i="90"/>
  <c r="K193" i="90" s="1"/>
  <c r="A192" i="90"/>
  <c r="K192" i="90" s="1"/>
  <c r="A191" i="90"/>
  <c r="K191" i="90" s="1"/>
  <c r="A190" i="90"/>
  <c r="K190" i="90" s="1"/>
  <c r="A189" i="90"/>
  <c r="K189" i="90" s="1"/>
  <c r="A188" i="90"/>
  <c r="K188" i="90" s="1"/>
  <c r="A187" i="90"/>
  <c r="K187" i="90" s="1"/>
  <c r="A186" i="90"/>
  <c r="K186" i="90" s="1"/>
  <c r="A185" i="90"/>
  <c r="K185" i="90" s="1"/>
  <c r="A184" i="90"/>
  <c r="K184" i="90" s="1"/>
  <c r="A183" i="90"/>
  <c r="K183" i="90" s="1"/>
  <c r="A182" i="90"/>
  <c r="K182" i="90" s="1"/>
  <c r="A181" i="90"/>
  <c r="K181" i="90" s="1"/>
  <c r="A180" i="90"/>
  <c r="K180" i="90" s="1"/>
  <c r="A179" i="90"/>
  <c r="K179" i="90" s="1"/>
  <c r="A178" i="90"/>
  <c r="K178" i="90" s="1"/>
  <c r="A177" i="90"/>
  <c r="K177" i="90" s="1"/>
  <c r="A176" i="90"/>
  <c r="K176" i="90" s="1"/>
  <c r="A175" i="90"/>
  <c r="K175" i="90" s="1"/>
  <c r="A174" i="90"/>
  <c r="K174" i="90" s="1"/>
  <c r="A173" i="90"/>
  <c r="K173" i="90" s="1"/>
  <c r="A172" i="90"/>
  <c r="K172" i="90" s="1"/>
  <c r="A171" i="90"/>
  <c r="K171" i="90" s="1"/>
  <c r="A170" i="90"/>
  <c r="K170" i="90" s="1"/>
  <c r="A169" i="90"/>
  <c r="K169" i="90" s="1"/>
  <c r="A168" i="90"/>
  <c r="K168" i="90" s="1"/>
  <c r="A167" i="90"/>
  <c r="K167" i="90" s="1"/>
  <c r="A166" i="90"/>
  <c r="K166" i="90" s="1"/>
  <c r="A165" i="90"/>
  <c r="K165" i="90" s="1"/>
  <c r="A164" i="90"/>
  <c r="K164" i="90" s="1"/>
  <c r="A163" i="90"/>
  <c r="K163" i="90" s="1"/>
  <c r="A162" i="90"/>
  <c r="K162" i="90" s="1"/>
  <c r="A161" i="90"/>
  <c r="K161" i="90" s="1"/>
  <c r="A160" i="90"/>
  <c r="K160" i="90" s="1"/>
  <c r="A159" i="90"/>
  <c r="K159" i="90" s="1"/>
  <c r="A158" i="90"/>
  <c r="K158" i="90" s="1"/>
  <c r="A157" i="90"/>
  <c r="K157" i="90" s="1"/>
  <c r="A156" i="90"/>
  <c r="K156" i="90" s="1"/>
  <c r="A155" i="90"/>
  <c r="K155" i="90" s="1"/>
  <c r="A154" i="90"/>
  <c r="K154" i="90" s="1"/>
  <c r="A153" i="90"/>
  <c r="K153" i="90" s="1"/>
  <c r="A152" i="90"/>
  <c r="K152" i="90" s="1"/>
  <c r="A151" i="90"/>
  <c r="K151" i="90" s="1"/>
  <c r="A150" i="90"/>
  <c r="K150" i="90" s="1"/>
  <c r="A149" i="90"/>
  <c r="K149" i="90" s="1"/>
  <c r="A148" i="90"/>
  <c r="K148" i="90" s="1"/>
  <c r="A147" i="90"/>
  <c r="K147" i="90" s="1"/>
  <c r="A146" i="90"/>
  <c r="K146" i="90" s="1"/>
  <c r="A145" i="90"/>
  <c r="K145" i="90" s="1"/>
  <c r="A144" i="90"/>
  <c r="K144" i="90" s="1"/>
  <c r="A143" i="90"/>
  <c r="K143" i="90" s="1"/>
  <c r="A142" i="90"/>
  <c r="K142" i="90" s="1"/>
  <c r="A141" i="90"/>
  <c r="K141" i="90" s="1"/>
  <c r="A140" i="90"/>
  <c r="K140" i="90" s="1"/>
  <c r="A139" i="90"/>
  <c r="K139" i="90" s="1"/>
  <c r="A138" i="90"/>
  <c r="K138" i="90" s="1"/>
  <c r="A137" i="90"/>
  <c r="K137" i="90" s="1"/>
  <c r="A136" i="90"/>
  <c r="K136" i="90" s="1"/>
  <c r="A135" i="90"/>
  <c r="K135" i="90" s="1"/>
  <c r="A134" i="90"/>
  <c r="K134" i="90" s="1"/>
  <c r="A133" i="90"/>
  <c r="K133" i="90" s="1"/>
  <c r="A132" i="90"/>
  <c r="K132" i="90" s="1"/>
  <c r="A131" i="90"/>
  <c r="K131" i="90" s="1"/>
  <c r="A130" i="90"/>
  <c r="K130" i="90" s="1"/>
  <c r="A129" i="90"/>
  <c r="K129" i="90" s="1"/>
  <c r="A128" i="90"/>
  <c r="K128" i="90" s="1"/>
  <c r="A127" i="90"/>
  <c r="K127" i="90" s="1"/>
  <c r="A126" i="90"/>
  <c r="K126" i="90" s="1"/>
  <c r="A125" i="90"/>
  <c r="K125" i="90" s="1"/>
  <c r="A124" i="90"/>
  <c r="K124" i="90" s="1"/>
  <c r="A123" i="90"/>
  <c r="K123" i="90" s="1"/>
  <c r="A122" i="90"/>
  <c r="K122" i="90" s="1"/>
  <c r="A121" i="90"/>
  <c r="K121" i="90" s="1"/>
  <c r="A120" i="90"/>
  <c r="K120" i="90" s="1"/>
  <c r="A119" i="90"/>
  <c r="K119" i="90" s="1"/>
  <c r="A118" i="90"/>
  <c r="K118" i="90" s="1"/>
  <c r="A117" i="90"/>
  <c r="K117" i="90" s="1"/>
  <c r="A116" i="90"/>
  <c r="K116" i="90" s="1"/>
  <c r="A115" i="90"/>
  <c r="K115" i="90" s="1"/>
  <c r="A114" i="90"/>
  <c r="K114" i="90" s="1"/>
  <c r="A113" i="90"/>
  <c r="K113" i="90" s="1"/>
  <c r="A112" i="90"/>
  <c r="K112" i="90" s="1"/>
  <c r="A111" i="90"/>
  <c r="K111" i="90" s="1"/>
  <c r="A110" i="90"/>
  <c r="K110" i="90" s="1"/>
  <c r="A109" i="90"/>
  <c r="K109" i="90" s="1"/>
  <c r="A108" i="90"/>
  <c r="K108" i="90" s="1"/>
  <c r="A107" i="90"/>
  <c r="K107" i="90" s="1"/>
  <c r="A106" i="90"/>
  <c r="K106" i="90" s="1"/>
  <c r="A105" i="90"/>
  <c r="K105" i="90" s="1"/>
  <c r="A104" i="90"/>
  <c r="K104" i="90" s="1"/>
  <c r="A103" i="90"/>
  <c r="K103" i="90" s="1"/>
  <c r="A102" i="90"/>
  <c r="K102" i="90" s="1"/>
  <c r="A101" i="90"/>
  <c r="K101" i="90" s="1"/>
  <c r="A100" i="90"/>
  <c r="K100" i="90" s="1"/>
  <c r="A99" i="90"/>
  <c r="K99" i="90" s="1"/>
  <c r="A98" i="90"/>
  <c r="K98" i="90" s="1"/>
  <c r="A97" i="90"/>
  <c r="K97" i="90" s="1"/>
  <c r="A96" i="90"/>
  <c r="K96" i="90" s="1"/>
  <c r="A95" i="90"/>
  <c r="K95" i="90" s="1"/>
  <c r="A94" i="90"/>
  <c r="K94" i="90" s="1"/>
  <c r="A93" i="90"/>
  <c r="K93" i="90" s="1"/>
  <c r="A92" i="90"/>
  <c r="K92" i="90" s="1"/>
  <c r="A91" i="90"/>
  <c r="K91" i="90" s="1"/>
  <c r="A90" i="90"/>
  <c r="K90" i="90" s="1"/>
  <c r="A89" i="90"/>
  <c r="K89" i="90" s="1"/>
  <c r="A88" i="90"/>
  <c r="K88" i="90" s="1"/>
  <c r="A87" i="90"/>
  <c r="K87" i="90" s="1"/>
  <c r="A86" i="90"/>
  <c r="K86" i="90" s="1"/>
  <c r="A85" i="90"/>
  <c r="K85" i="90" s="1"/>
  <c r="A84" i="90"/>
  <c r="K84" i="90" s="1"/>
  <c r="A83" i="90"/>
  <c r="K83" i="90" s="1"/>
  <c r="A82" i="90"/>
  <c r="K82" i="90" s="1"/>
  <c r="A81" i="90"/>
  <c r="K81" i="90" s="1"/>
  <c r="A80" i="90"/>
  <c r="K80" i="90" s="1"/>
  <c r="A79" i="90"/>
  <c r="K79" i="90" s="1"/>
  <c r="A78" i="90"/>
  <c r="K78" i="90" s="1"/>
  <c r="A77" i="90"/>
  <c r="K77" i="90" s="1"/>
  <c r="A76" i="90"/>
  <c r="K76" i="90" s="1"/>
  <c r="A75" i="90"/>
  <c r="K75" i="90" s="1"/>
  <c r="A74" i="90"/>
  <c r="K74" i="90" s="1"/>
  <c r="A73" i="90"/>
  <c r="K73" i="90" s="1"/>
  <c r="A72" i="90"/>
  <c r="K72" i="90" s="1"/>
  <c r="A71" i="90"/>
  <c r="K71" i="90" s="1"/>
  <c r="A70" i="90"/>
  <c r="K70" i="90" s="1"/>
  <c r="A69" i="90"/>
  <c r="K69" i="90" s="1"/>
  <c r="A68" i="90"/>
  <c r="K68" i="90" s="1"/>
  <c r="A67" i="90"/>
  <c r="K67" i="90" s="1"/>
  <c r="A66" i="90"/>
  <c r="K66" i="90" s="1"/>
  <c r="A65" i="90"/>
  <c r="K65" i="90" s="1"/>
  <c r="A64" i="90"/>
  <c r="K64" i="90" s="1"/>
  <c r="A63" i="90"/>
  <c r="K63" i="90" s="1"/>
  <c r="A62" i="90"/>
  <c r="K62" i="90" s="1"/>
  <c r="A61" i="90"/>
  <c r="K61" i="90" s="1"/>
  <c r="A60" i="90"/>
  <c r="K60" i="90" s="1"/>
  <c r="A59" i="90"/>
  <c r="K59" i="90" s="1"/>
  <c r="A58" i="90"/>
  <c r="K58" i="90" s="1"/>
  <c r="A57" i="90"/>
  <c r="K57" i="90" s="1"/>
  <c r="A56" i="90"/>
  <c r="K56" i="90" s="1"/>
  <c r="A55" i="90"/>
  <c r="K55" i="90" s="1"/>
  <c r="A54" i="90"/>
  <c r="K54" i="90" s="1"/>
  <c r="A53" i="90"/>
  <c r="K53" i="90" s="1"/>
  <c r="A52" i="90"/>
  <c r="K52" i="90" s="1"/>
  <c r="A51" i="90"/>
  <c r="K51" i="90" s="1"/>
  <c r="A50" i="90"/>
  <c r="K50" i="90" s="1"/>
  <c r="A49" i="90"/>
  <c r="K49" i="90" s="1"/>
  <c r="A48" i="90"/>
  <c r="K48" i="90" s="1"/>
  <c r="A47" i="90"/>
  <c r="K47" i="90" s="1"/>
  <c r="A46" i="90"/>
  <c r="K46" i="90" s="1"/>
  <c r="A45" i="90"/>
  <c r="K45" i="90" s="1"/>
  <c r="A44" i="90"/>
  <c r="K44" i="90" s="1"/>
  <c r="A43" i="90"/>
  <c r="K43" i="90" s="1"/>
  <c r="A42" i="90"/>
  <c r="K42" i="90" s="1"/>
  <c r="A41" i="90"/>
  <c r="K41" i="90" s="1"/>
  <c r="A40" i="90"/>
  <c r="K40" i="90" s="1"/>
  <c r="A39" i="90"/>
  <c r="K39" i="90" s="1"/>
  <c r="A38" i="90"/>
  <c r="K38" i="90" s="1"/>
  <c r="A37" i="90"/>
  <c r="K37" i="90" s="1"/>
  <c r="A36" i="90"/>
  <c r="K36" i="90" s="1"/>
  <c r="A35" i="90"/>
  <c r="K35" i="90" s="1"/>
  <c r="A34" i="90"/>
  <c r="K34" i="90" s="1"/>
  <c r="A33" i="90"/>
  <c r="K33" i="90" s="1"/>
  <c r="A32" i="90"/>
  <c r="K32" i="90" s="1"/>
  <c r="A31" i="90"/>
  <c r="K31" i="90" s="1"/>
  <c r="A30" i="90"/>
  <c r="K30" i="90" s="1"/>
  <c r="A29" i="90"/>
  <c r="K29" i="90" s="1"/>
  <c r="A28" i="90"/>
  <c r="K28" i="90" s="1"/>
  <c r="A27" i="90"/>
  <c r="K27" i="90" s="1"/>
  <c r="A26" i="90"/>
  <c r="K26" i="90" s="1"/>
  <c r="A25" i="90"/>
  <c r="K25" i="90" s="1"/>
  <c r="A24" i="90"/>
  <c r="K24" i="90" s="1"/>
  <c r="A23" i="90"/>
  <c r="K23" i="90" s="1"/>
  <c r="A22" i="90"/>
  <c r="K22" i="90" s="1"/>
  <c r="A21" i="90"/>
  <c r="K21" i="90" s="1"/>
  <c r="A20" i="90"/>
  <c r="K20" i="90" s="1"/>
  <c r="A19" i="90"/>
  <c r="K19" i="90" s="1"/>
  <c r="A18" i="90"/>
  <c r="K18" i="90" s="1"/>
  <c r="A17" i="90"/>
  <c r="K17" i="90" s="1"/>
  <c r="A16" i="90"/>
  <c r="K16" i="90" s="1"/>
  <c r="A15" i="90"/>
  <c r="K15" i="90" s="1"/>
  <c r="A14" i="90"/>
  <c r="K14" i="90" s="1"/>
  <c r="A13" i="90"/>
  <c r="K13" i="90" s="1"/>
  <c r="A12" i="90"/>
  <c r="K12" i="90" s="1"/>
  <c r="A11" i="90"/>
  <c r="K11" i="90" s="1"/>
  <c r="A10" i="90"/>
  <c r="K10" i="90" s="1"/>
  <c r="A9" i="90"/>
  <c r="K9" i="90" s="1"/>
  <c r="A8" i="90"/>
  <c r="K8" i="90" s="1"/>
  <c r="A7" i="90"/>
  <c r="K7" i="90" s="1"/>
  <c r="A6" i="90"/>
  <c r="K6" i="90" s="1"/>
  <c r="A5" i="90"/>
  <c r="K5" i="90" s="1"/>
  <c r="A4" i="90"/>
  <c r="K4" i="90" s="1"/>
  <c r="D2" i="90"/>
  <c r="BZ589" i="90"/>
  <c r="O9" i="108"/>
  <c r="I19" i="108"/>
  <c r="R14" i="108"/>
  <c r="V14" i="108" s="1"/>
  <c r="P9" i="108"/>
  <c r="U14" i="108"/>
  <c r="N14" i="108"/>
  <c r="F10" i="108"/>
  <c r="N15" i="108"/>
  <c r="M15" i="108"/>
  <c r="F15" i="108"/>
  <c r="E15" i="108"/>
  <c r="M14" i="108"/>
  <c r="F14" i="108"/>
  <c r="E14" i="108"/>
  <c r="U13" i="108"/>
  <c r="T13" i="108"/>
  <c r="R13" i="108"/>
  <c r="N13" i="108"/>
  <c r="M13" i="108"/>
  <c r="F13" i="108"/>
  <c r="E13" i="108"/>
  <c r="U12" i="108"/>
  <c r="T12" i="108"/>
  <c r="R12" i="108"/>
  <c r="V12" i="108" s="1"/>
  <c r="N12" i="108"/>
  <c r="M12" i="108"/>
  <c r="F12" i="108"/>
  <c r="E12" i="108"/>
  <c r="U11" i="108"/>
  <c r="T11" i="108"/>
  <c r="R11" i="108"/>
  <c r="N11" i="108"/>
  <c r="M11" i="108"/>
  <c r="F11" i="108"/>
  <c r="E11" i="108"/>
  <c r="U10" i="108"/>
  <c r="T10" i="108"/>
  <c r="R10" i="108"/>
  <c r="V10" i="108" s="1"/>
  <c r="E10" i="108"/>
  <c r="Q9" i="108"/>
  <c r="L9" i="108"/>
  <c r="J9" i="108"/>
  <c r="N9" i="108" s="1"/>
  <c r="E9" i="108"/>
  <c r="N2" i="90" l="1"/>
  <c r="J27" i="90"/>
  <c r="Q59" i="90"/>
  <c r="J123" i="90"/>
  <c r="J763" i="90"/>
  <c r="L12" i="90"/>
  <c r="L44" i="90"/>
  <c r="L76" i="90"/>
  <c r="T108" i="90"/>
  <c r="S156" i="90"/>
  <c r="L172" i="90"/>
  <c r="L204" i="90"/>
  <c r="T236" i="90"/>
  <c r="L300" i="90"/>
  <c r="L332" i="90"/>
  <c r="L364" i="90"/>
  <c r="S412" i="90"/>
  <c r="L428" i="90"/>
  <c r="L460" i="90"/>
  <c r="T476" i="90"/>
  <c r="L492" i="90"/>
  <c r="L556" i="90"/>
  <c r="L588" i="90"/>
  <c r="L620" i="90"/>
  <c r="L652" i="90"/>
  <c r="S668" i="90"/>
  <c r="L716" i="90"/>
  <c r="T732" i="90"/>
  <c r="V748" i="90"/>
  <c r="L780" i="90"/>
  <c r="L844" i="90"/>
  <c r="V876" i="90"/>
  <c r="R892" i="90"/>
  <c r="L908" i="90"/>
  <c r="M13" i="90"/>
  <c r="M45" i="90"/>
  <c r="M77" i="90"/>
  <c r="M109" i="90"/>
  <c r="M173" i="90"/>
  <c r="M205" i="90"/>
  <c r="M237" i="90"/>
  <c r="M269" i="90"/>
  <c r="M333" i="90"/>
  <c r="M557" i="90"/>
  <c r="M589" i="90"/>
  <c r="M621" i="90"/>
  <c r="M653" i="90"/>
  <c r="M749" i="90"/>
  <c r="M781" i="90"/>
  <c r="R9" i="108"/>
  <c r="P30" i="90"/>
  <c r="M78" i="90"/>
  <c r="O94" i="90"/>
  <c r="O126" i="90"/>
  <c r="M142" i="90"/>
  <c r="P158" i="90"/>
  <c r="L206" i="90"/>
  <c r="O222" i="90"/>
  <c r="O254" i="90"/>
  <c r="L270" i="90"/>
  <c r="P286" i="90"/>
  <c r="P350" i="90"/>
  <c r="P382" i="90"/>
  <c r="M398" i="90"/>
  <c r="Q430" i="90"/>
  <c r="P478" i="90"/>
  <c r="P542" i="90"/>
  <c r="P606" i="90"/>
  <c r="P638" i="90"/>
  <c r="M654" i="90"/>
  <c r="P670" i="90"/>
  <c r="P734" i="90"/>
  <c r="O750" i="90"/>
  <c r="P766" i="90"/>
  <c r="P798" i="90"/>
  <c r="P862" i="90"/>
  <c r="Q47" i="90"/>
  <c r="O143" i="90"/>
  <c r="O239" i="90"/>
  <c r="J367" i="90"/>
  <c r="J447" i="90"/>
  <c r="V575" i="90"/>
  <c r="O623" i="90"/>
  <c r="L687" i="90"/>
  <c r="T735" i="90"/>
  <c r="J751" i="90"/>
  <c r="L767" i="90"/>
  <c r="Q799" i="90"/>
  <c r="J815" i="90"/>
  <c r="L831" i="90"/>
  <c r="J847" i="90"/>
  <c r="J863" i="90"/>
  <c r="J879" i="90"/>
  <c r="L895" i="90"/>
  <c r="T64" i="90"/>
  <c r="P80" i="90"/>
  <c r="S128" i="90"/>
  <c r="Q144" i="90"/>
  <c r="T192" i="90"/>
  <c r="P208" i="90"/>
  <c r="Q272" i="90"/>
  <c r="S384" i="90"/>
  <c r="Q400" i="90"/>
  <c r="T448" i="90"/>
  <c r="Q528" i="90"/>
  <c r="S640" i="90"/>
  <c r="Q656" i="90"/>
  <c r="T704" i="90"/>
  <c r="Q784" i="90"/>
  <c r="R864" i="90"/>
  <c r="S896" i="90"/>
  <c r="Q912" i="90"/>
  <c r="O15" i="90"/>
  <c r="Q31" i="90"/>
  <c r="R63" i="90"/>
  <c r="O79" i="90"/>
  <c r="T111" i="90"/>
  <c r="Q159" i="90"/>
  <c r="O175" i="90"/>
  <c r="J191" i="90"/>
  <c r="J207" i="90"/>
  <c r="J223" i="90"/>
  <c r="J255" i="90"/>
  <c r="J271" i="90"/>
  <c r="O303" i="90"/>
  <c r="J319" i="90"/>
  <c r="O335" i="90"/>
  <c r="J351" i="90"/>
  <c r="J383" i="90"/>
  <c r="J399" i="90"/>
  <c r="O431" i="90"/>
  <c r="J463" i="90"/>
  <c r="J511" i="90"/>
  <c r="O527" i="90"/>
  <c r="Q543" i="90"/>
  <c r="J559" i="90"/>
  <c r="T591" i="90"/>
  <c r="J607" i="90"/>
  <c r="J639" i="90"/>
  <c r="Q671" i="90"/>
  <c r="J49" i="90"/>
  <c r="J65" i="90"/>
  <c r="J113" i="90"/>
  <c r="J129" i="90"/>
  <c r="J145" i="90"/>
  <c r="J34" i="90"/>
  <c r="P66" i="90"/>
  <c r="J98" i="90"/>
  <c r="L162" i="90"/>
  <c r="M178" i="90"/>
  <c r="J226" i="90"/>
  <c r="M242" i="90"/>
  <c r="M274" i="90"/>
  <c r="M306" i="90"/>
  <c r="L354" i="90"/>
  <c r="M370" i="90"/>
  <c r="M402" i="90"/>
  <c r="T434" i="90"/>
  <c r="J482" i="90"/>
  <c r="M498" i="90"/>
  <c r="M530" i="90"/>
  <c r="M562" i="90"/>
  <c r="L610" i="90"/>
  <c r="M626" i="90"/>
  <c r="M658" i="90"/>
  <c r="M722" i="90"/>
  <c r="M738" i="90"/>
  <c r="M754" i="90"/>
  <c r="M786" i="90"/>
  <c r="T818" i="90"/>
  <c r="M850" i="90"/>
  <c r="M882" i="90"/>
  <c r="M914" i="90"/>
  <c r="Q19" i="90"/>
  <c r="O67" i="90"/>
  <c r="L99" i="90"/>
  <c r="Q131" i="90"/>
  <c r="Q147" i="90"/>
  <c r="L163" i="90"/>
  <c r="J179" i="90"/>
  <c r="J195" i="90"/>
  <c r="J211" i="90"/>
  <c r="J243" i="90"/>
  <c r="O259" i="90"/>
  <c r="J275" i="90"/>
  <c r="J307" i="90"/>
  <c r="J323" i="90"/>
  <c r="J339" i="90"/>
  <c r="J371" i="90"/>
  <c r="L387" i="90"/>
  <c r="J403" i="90"/>
  <c r="J435" i="90"/>
  <c r="J451" i="90"/>
  <c r="J467" i="90"/>
  <c r="J499" i="90"/>
  <c r="Q515" i="90"/>
  <c r="Q531" i="90"/>
  <c r="J547" i="90"/>
  <c r="J563" i="90"/>
  <c r="O579" i="90"/>
  <c r="J595" i="90"/>
  <c r="J611" i="90"/>
  <c r="J627" i="90"/>
  <c r="Q643" i="90"/>
  <c r="Q659" i="90"/>
  <c r="J675" i="90"/>
  <c r="J691" i="90"/>
  <c r="O707" i="90"/>
  <c r="L723" i="90"/>
  <c r="O739" i="90"/>
  <c r="J755" i="90"/>
  <c r="Q771" i="90"/>
  <c r="L787" i="90"/>
  <c r="J803" i="90"/>
  <c r="J819" i="90"/>
  <c r="V835" i="90"/>
  <c r="L851" i="90"/>
  <c r="O867" i="90"/>
  <c r="J883" i="90"/>
  <c r="Q899" i="90"/>
  <c r="Q915" i="90"/>
  <c r="P52" i="90"/>
  <c r="S100" i="90"/>
  <c r="Q116" i="90"/>
  <c r="R148" i="90"/>
  <c r="M164" i="90"/>
  <c r="P180" i="90"/>
  <c r="T196" i="90"/>
  <c r="M228" i="90"/>
  <c r="S244" i="90"/>
  <c r="M292" i="90"/>
  <c r="P308" i="90"/>
  <c r="R324" i="90"/>
  <c r="S356" i="90"/>
  <c r="Q372" i="90"/>
  <c r="T420" i="90"/>
  <c r="R452" i="90"/>
  <c r="P484" i="90"/>
  <c r="Q500" i="90"/>
  <c r="P548" i="90"/>
  <c r="R580" i="90"/>
  <c r="S612" i="90"/>
  <c r="Q628" i="90"/>
  <c r="Q756" i="90"/>
  <c r="L772" i="90"/>
  <c r="Q884" i="90"/>
  <c r="J6" i="90"/>
  <c r="U22" i="90"/>
  <c r="Q38" i="90"/>
  <c r="J54" i="90"/>
  <c r="J70" i="90"/>
  <c r="Q102" i="90"/>
  <c r="R134" i="90"/>
  <c r="U150" i="90"/>
  <c r="Q166" i="90"/>
  <c r="J198" i="90"/>
  <c r="J214" i="90"/>
  <c r="Q230" i="90"/>
  <c r="U278" i="90"/>
  <c r="Q294" i="90"/>
  <c r="J326" i="90"/>
  <c r="J342" i="90"/>
  <c r="Q358" i="90"/>
  <c r="U406" i="90"/>
  <c r="Q486" i="90"/>
  <c r="U534" i="90"/>
  <c r="Q550" i="90"/>
  <c r="J566" i="90"/>
  <c r="Q614" i="90"/>
  <c r="S710" i="90"/>
  <c r="Q742" i="90"/>
  <c r="Q806" i="90"/>
  <c r="S838" i="90"/>
  <c r="J55" i="90"/>
  <c r="J455" i="90"/>
  <c r="J551" i="90"/>
  <c r="L599" i="90"/>
  <c r="T647" i="90"/>
  <c r="L663" i="90"/>
  <c r="J679" i="90"/>
  <c r="L695" i="90"/>
  <c r="J711" i="90"/>
  <c r="J727" i="90"/>
  <c r="J743" i="90"/>
  <c r="L759" i="90"/>
  <c r="L775" i="90"/>
  <c r="T791" i="90"/>
  <c r="J807" i="90"/>
  <c r="L823" i="90"/>
  <c r="J839" i="90"/>
  <c r="J855" i="90"/>
  <c r="J871" i="90"/>
  <c r="J103" i="90"/>
  <c r="J183" i="90"/>
  <c r="J231" i="90"/>
  <c r="J327" i="90"/>
  <c r="J359" i="90"/>
  <c r="J439" i="90"/>
  <c r="J503" i="90"/>
  <c r="J535" i="90"/>
  <c r="J583" i="90"/>
  <c r="J615" i="90"/>
  <c r="J919" i="90"/>
  <c r="M24" i="90"/>
  <c r="O56" i="90"/>
  <c r="R120" i="90"/>
  <c r="O184" i="90"/>
  <c r="O248" i="90"/>
  <c r="O312" i="90"/>
  <c r="O376" i="90"/>
  <c r="O440" i="90"/>
  <c r="O504" i="90"/>
  <c r="P504" i="90" s="1"/>
  <c r="O568" i="90"/>
  <c r="O632" i="90"/>
  <c r="L680" i="90"/>
  <c r="V696" i="90"/>
  <c r="L744" i="90"/>
  <c r="O760" i="90"/>
  <c r="L808" i="90"/>
  <c r="O824" i="90"/>
  <c r="L872" i="90"/>
  <c r="O888" i="90"/>
  <c r="J39" i="90"/>
  <c r="J135" i="90"/>
  <c r="J199" i="90"/>
  <c r="J247" i="90"/>
  <c r="J311" i="90"/>
  <c r="J487" i="90"/>
  <c r="J903" i="90"/>
  <c r="J71" i="90"/>
  <c r="J119" i="90"/>
  <c r="J167" i="90"/>
  <c r="J263" i="90"/>
  <c r="J295" i="90"/>
  <c r="J375" i="90"/>
  <c r="J423" i="90"/>
  <c r="J519" i="90"/>
  <c r="J567" i="90"/>
  <c r="J631" i="90"/>
  <c r="L887" i="90"/>
  <c r="O26" i="90"/>
  <c r="S42" i="90"/>
  <c r="Q74" i="90"/>
  <c r="O90" i="90"/>
  <c r="R106" i="90"/>
  <c r="O154" i="90"/>
  <c r="S170" i="90"/>
  <c r="Q202" i="90"/>
  <c r="O218" i="90"/>
  <c r="J234" i="90"/>
  <c r="O250" i="90"/>
  <c r="J266" i="90"/>
  <c r="O282" i="90"/>
  <c r="S298" i="90"/>
  <c r="J330" i="90"/>
  <c r="O346" i="90"/>
  <c r="J362" i="90"/>
  <c r="P378" i="90"/>
  <c r="Q394" i="90"/>
  <c r="O410" i="90"/>
  <c r="P410" i="90" s="1"/>
  <c r="S426" i="90"/>
  <c r="Q458" i="90"/>
  <c r="Q474" i="90"/>
  <c r="J490" i="90"/>
  <c r="O506" i="90"/>
  <c r="P506" i="90" s="1"/>
  <c r="Q522" i="90"/>
  <c r="J538" i="90"/>
  <c r="J554" i="90"/>
  <c r="O570" i="90"/>
  <c r="J586" i="90"/>
  <c r="R602" i="90"/>
  <c r="J618" i="90"/>
  <c r="T650" i="90"/>
  <c r="J666" i="90"/>
  <c r="Q730" i="90"/>
  <c r="P762" i="90"/>
  <c r="L794" i="90"/>
  <c r="S810" i="90"/>
  <c r="Q842" i="90"/>
  <c r="P858" i="90"/>
  <c r="J43" i="90"/>
  <c r="Q75" i="90"/>
  <c r="R91" i="90"/>
  <c r="J107" i="90"/>
  <c r="J139" i="90"/>
  <c r="J155" i="90"/>
  <c r="J171" i="90"/>
  <c r="J187" i="90"/>
  <c r="J235" i="90"/>
  <c r="J251" i="90"/>
  <c r="J267" i="90"/>
  <c r="J283" i="90"/>
  <c r="J299" i="90"/>
  <c r="J315" i="90"/>
  <c r="J347" i="90"/>
  <c r="J363" i="90"/>
  <c r="J379" i="90"/>
  <c r="J395" i="90"/>
  <c r="J411" i="90"/>
  <c r="J427" i="90"/>
  <c r="J443" i="90"/>
  <c r="J475" i="90"/>
  <c r="J491" i="90"/>
  <c r="J523" i="90"/>
  <c r="J539" i="90"/>
  <c r="J555" i="90"/>
  <c r="Q571" i="90"/>
  <c r="Q587" i="90"/>
  <c r="J603" i="90"/>
  <c r="T619" i="90"/>
  <c r="J635" i="90"/>
  <c r="J683" i="90"/>
  <c r="Q699" i="90"/>
  <c r="Q715" i="90"/>
  <c r="Q843" i="90"/>
  <c r="J915" i="90"/>
  <c r="J911" i="90"/>
  <c r="J851" i="90"/>
  <c r="J787" i="90"/>
  <c r="J723" i="90"/>
  <c r="J659" i="90"/>
  <c r="J531" i="90"/>
  <c r="L739" i="90"/>
  <c r="L515" i="90"/>
  <c r="O899" i="90"/>
  <c r="O591" i="90"/>
  <c r="J891" i="90"/>
  <c r="J859" i="90"/>
  <c r="J827" i="90"/>
  <c r="J795" i="90"/>
  <c r="J731" i="90"/>
  <c r="J699" i="90"/>
  <c r="J667" i="90"/>
  <c r="J571" i="90"/>
  <c r="L567" i="90"/>
  <c r="M568" i="90"/>
  <c r="O643" i="90"/>
  <c r="J899" i="90"/>
  <c r="J867" i="90"/>
  <c r="J835" i="90"/>
  <c r="J771" i="90"/>
  <c r="J739" i="90"/>
  <c r="J707" i="90"/>
  <c r="J643" i="90"/>
  <c r="J579" i="90"/>
  <c r="J515" i="90"/>
  <c r="M824" i="90"/>
  <c r="O696" i="90"/>
  <c r="J907" i="90"/>
  <c r="J875" i="90"/>
  <c r="J843" i="90"/>
  <c r="J811" i="90"/>
  <c r="J779" i="90"/>
  <c r="J747" i="90"/>
  <c r="J715" i="90"/>
  <c r="J651" i="90"/>
  <c r="J619" i="90"/>
  <c r="J587" i="90"/>
  <c r="L839" i="90"/>
  <c r="L703" i="90"/>
  <c r="O847" i="90"/>
  <c r="R4" i="90"/>
  <c r="L4" i="90"/>
  <c r="J23" i="90"/>
  <c r="L23" i="90"/>
  <c r="O122" i="90"/>
  <c r="R122" i="90"/>
  <c r="R174" i="90"/>
  <c r="O174" i="90"/>
  <c r="M174" i="90"/>
  <c r="L174" i="90"/>
  <c r="Q422" i="90"/>
  <c r="T422" i="90"/>
  <c r="O442" i="90"/>
  <c r="S442" i="90"/>
  <c r="P446" i="90"/>
  <c r="Q446" i="90"/>
  <c r="U450" i="90"/>
  <c r="M450" i="90"/>
  <c r="L450" i="90"/>
  <c r="S454" i="90"/>
  <c r="R462" i="90"/>
  <c r="O462" i="90"/>
  <c r="P462" i="90" s="1"/>
  <c r="M466" i="90"/>
  <c r="U470" i="90"/>
  <c r="Q494" i="90"/>
  <c r="M494" i="90"/>
  <c r="L494" i="90"/>
  <c r="R494" i="90"/>
  <c r="P494" i="90"/>
  <c r="R526" i="90"/>
  <c r="S526" i="90"/>
  <c r="P526" i="90"/>
  <c r="O526" i="90"/>
  <c r="P574" i="90"/>
  <c r="Q574" i="90"/>
  <c r="U578" i="90"/>
  <c r="M578" i="90"/>
  <c r="L578" i="90"/>
  <c r="S582" i="90"/>
  <c r="R590" i="90"/>
  <c r="P590" i="90"/>
  <c r="O590" i="90"/>
  <c r="M594" i="90"/>
  <c r="U598" i="90"/>
  <c r="Q622" i="90"/>
  <c r="M622" i="90"/>
  <c r="L622" i="90"/>
  <c r="R622" i="90"/>
  <c r="P622" i="90"/>
  <c r="T634" i="90"/>
  <c r="O634" i="90"/>
  <c r="U662" i="90"/>
  <c r="Q678" i="90"/>
  <c r="T678" i="90"/>
  <c r="S682" i="90"/>
  <c r="L682" i="90"/>
  <c r="R686" i="90"/>
  <c r="P686" i="90"/>
  <c r="M686" i="90"/>
  <c r="T690" i="90"/>
  <c r="L690" i="90"/>
  <c r="U726" i="90"/>
  <c r="L770" i="90"/>
  <c r="U770" i="90"/>
  <c r="M770" i="90"/>
  <c r="Q778" i="90"/>
  <c r="R782" i="90"/>
  <c r="P782" i="90"/>
  <c r="O782" i="90"/>
  <c r="S782" i="90"/>
  <c r="L782" i="90"/>
  <c r="L826" i="90"/>
  <c r="O826" i="90"/>
  <c r="P830" i="90"/>
  <c r="L830" i="90"/>
  <c r="Q830" i="90"/>
  <c r="U834" i="90"/>
  <c r="M834" i="90"/>
  <c r="U854" i="90"/>
  <c r="Q878" i="90"/>
  <c r="M878" i="90"/>
  <c r="P878" i="90"/>
  <c r="T890" i="90"/>
  <c r="O890" i="90"/>
  <c r="P894" i="90"/>
  <c r="R894" i="90"/>
  <c r="L898" i="90"/>
  <c r="U898" i="90"/>
  <c r="M898" i="90"/>
  <c r="Q906" i="90"/>
  <c r="S910" i="90"/>
  <c r="P910" i="90"/>
  <c r="O910" i="90"/>
  <c r="L910" i="90"/>
  <c r="J502" i="90"/>
  <c r="J486" i="90"/>
  <c r="J470" i="90"/>
  <c r="J454" i="90"/>
  <c r="J438" i="90"/>
  <c r="J422" i="90"/>
  <c r="J406" i="90"/>
  <c r="J390" i="90"/>
  <c r="J374" i="90"/>
  <c r="J358" i="90"/>
  <c r="J310" i="90"/>
  <c r="J294" i="90"/>
  <c r="J278" i="90"/>
  <c r="J262" i="90"/>
  <c r="J246" i="90"/>
  <c r="J230" i="90"/>
  <c r="J182" i="90"/>
  <c r="J166" i="90"/>
  <c r="J134" i="90"/>
  <c r="J102" i="90"/>
  <c r="J38" i="90"/>
  <c r="L874" i="90"/>
  <c r="L674" i="90"/>
  <c r="L462" i="90"/>
  <c r="L418" i="90"/>
  <c r="L311" i="90"/>
  <c r="L259" i="90"/>
  <c r="L108" i="90"/>
  <c r="L55" i="90"/>
  <c r="M910" i="90"/>
  <c r="M482" i="90"/>
  <c r="M312" i="90"/>
  <c r="M226" i="90"/>
  <c r="M56" i="90"/>
  <c r="O794" i="90"/>
  <c r="O538" i="90"/>
  <c r="O494" i="90"/>
  <c r="O367" i="90"/>
  <c r="O111" i="90"/>
  <c r="O47" i="90"/>
  <c r="P890" i="90"/>
  <c r="P634" i="90"/>
  <c r="P222" i="90"/>
  <c r="Q758" i="90"/>
  <c r="Q686" i="90"/>
  <c r="Q586" i="90"/>
  <c r="Q502" i="90"/>
  <c r="Q330" i="90"/>
  <c r="Q246" i="90"/>
  <c r="Q174" i="90"/>
  <c r="R906" i="90"/>
  <c r="R666" i="90"/>
  <c r="R410" i="90"/>
  <c r="R150" i="90"/>
  <c r="S470" i="90"/>
  <c r="S158" i="90"/>
  <c r="T506" i="90"/>
  <c r="T306" i="90"/>
  <c r="U858" i="90"/>
  <c r="U602" i="90"/>
  <c r="U346" i="90"/>
  <c r="U90" i="90"/>
  <c r="V235" i="90"/>
  <c r="J151" i="90"/>
  <c r="L151" i="90"/>
  <c r="Q10" i="90"/>
  <c r="P10" i="90"/>
  <c r="S14" i="90"/>
  <c r="M14" i="90"/>
  <c r="O14" i="90"/>
  <c r="M18" i="90"/>
  <c r="J18" i="90"/>
  <c r="Q110" i="90"/>
  <c r="M110" i="90"/>
  <c r="L110" i="90"/>
  <c r="P110" i="90"/>
  <c r="O110" i="90"/>
  <c r="M114" i="90"/>
  <c r="J114" i="90"/>
  <c r="Q138" i="90"/>
  <c r="P138" i="90"/>
  <c r="S142" i="90"/>
  <c r="O142" i="90"/>
  <c r="M146" i="90"/>
  <c r="J146" i="90"/>
  <c r="J162" i="90"/>
  <c r="P186" i="90"/>
  <c r="S186" i="90"/>
  <c r="O186" i="90"/>
  <c r="O190" i="90"/>
  <c r="Q190" i="90"/>
  <c r="U194" i="90"/>
  <c r="M194" i="90"/>
  <c r="L194" i="90"/>
  <c r="S198" i="90"/>
  <c r="R206" i="90"/>
  <c r="O206" i="90"/>
  <c r="M210" i="90"/>
  <c r="P210" i="90"/>
  <c r="U214" i="90"/>
  <c r="Q238" i="90"/>
  <c r="P238" i="90"/>
  <c r="M238" i="90"/>
  <c r="L238" i="90"/>
  <c r="R238" i="90"/>
  <c r="O238" i="90"/>
  <c r="P314" i="90"/>
  <c r="O314" i="90"/>
  <c r="O318" i="90"/>
  <c r="Q318" i="90"/>
  <c r="U322" i="90"/>
  <c r="M322" i="90"/>
  <c r="L322" i="90"/>
  <c r="S326" i="90"/>
  <c r="R334" i="90"/>
  <c r="P334" i="90"/>
  <c r="O334" i="90"/>
  <c r="M338" i="90"/>
  <c r="U342" i="90"/>
  <c r="T378" i="90"/>
  <c r="O378" i="90"/>
  <c r="U386" i="90"/>
  <c r="M386" i="90"/>
  <c r="L386" i="90"/>
  <c r="S398" i="90"/>
  <c r="O398" i="90"/>
  <c r="P398" i="90" s="1"/>
  <c r="R430" i="90"/>
  <c r="P430" i="90"/>
  <c r="O430" i="90"/>
  <c r="M430" i="90"/>
  <c r="L430" i="90"/>
  <c r="U514" i="90"/>
  <c r="M514" i="90"/>
  <c r="L514" i="90"/>
  <c r="R558" i="90"/>
  <c r="P558" i="90"/>
  <c r="M558" i="90"/>
  <c r="L558" i="90"/>
  <c r="U642" i="90"/>
  <c r="M642" i="90"/>
  <c r="L642" i="90"/>
  <c r="Q650" i="90"/>
  <c r="S654" i="90"/>
  <c r="P654" i="90"/>
  <c r="O654" i="90"/>
  <c r="L698" i="90"/>
  <c r="S698" i="90"/>
  <c r="O698" i="90"/>
  <c r="P702" i="90"/>
  <c r="Q702" i="90"/>
  <c r="L702" i="90"/>
  <c r="U706" i="90"/>
  <c r="M706" i="90"/>
  <c r="R718" i="90"/>
  <c r="P718" i="90"/>
  <c r="O718" i="90"/>
  <c r="L738" i="90"/>
  <c r="Q750" i="90"/>
  <c r="M750" i="90"/>
  <c r="R750" i="90"/>
  <c r="P750" i="90"/>
  <c r="L762" i="90"/>
  <c r="O762" i="90"/>
  <c r="U790" i="90"/>
  <c r="L810" i="90"/>
  <c r="R814" i="90"/>
  <c r="P814" i="90"/>
  <c r="M814" i="90"/>
  <c r="M818" i="90"/>
  <c r="L818" i="90"/>
  <c r="R842" i="90"/>
  <c r="P846" i="90"/>
  <c r="O846" i="90"/>
  <c r="L866" i="90"/>
  <c r="R870" i="90"/>
  <c r="Q870" i="90"/>
  <c r="U918" i="90"/>
  <c r="J10" i="90"/>
  <c r="J14" i="90"/>
  <c r="J918" i="90"/>
  <c r="J910" i="90"/>
  <c r="J902" i="90"/>
  <c r="J894" i="90"/>
  <c r="J886" i="90"/>
  <c r="J878" i="90"/>
  <c r="J870" i="90"/>
  <c r="J862" i="90"/>
  <c r="J854" i="90"/>
  <c r="J846" i="90"/>
  <c r="J838" i="90"/>
  <c r="J830" i="90"/>
  <c r="J822" i="90"/>
  <c r="J814" i="90"/>
  <c r="J806" i="90"/>
  <c r="J798" i="90"/>
  <c r="J790" i="90"/>
  <c r="J782" i="90"/>
  <c r="J774" i="90"/>
  <c r="J766" i="90"/>
  <c r="J758" i="90"/>
  <c r="J750" i="90"/>
  <c r="J742" i="90"/>
  <c r="J734" i="90"/>
  <c r="J726" i="90"/>
  <c r="J718" i="90"/>
  <c r="J710" i="90"/>
  <c r="J702" i="90"/>
  <c r="J694" i="90"/>
  <c r="J686" i="90"/>
  <c r="J678" i="90"/>
  <c r="J670" i="90"/>
  <c r="J662" i="90"/>
  <c r="J654" i="90"/>
  <c r="J646" i="90"/>
  <c r="J638" i="90"/>
  <c r="J630" i="90"/>
  <c r="J622" i="90"/>
  <c r="J614" i="90"/>
  <c r="J606" i="90"/>
  <c r="J598" i="90"/>
  <c r="J590" i="90"/>
  <c r="J582" i="90"/>
  <c r="J574" i="90"/>
  <c r="J558" i="90"/>
  <c r="J550" i="90"/>
  <c r="J542" i="90"/>
  <c r="J534" i="90"/>
  <c r="J526" i="90"/>
  <c r="J518" i="90"/>
  <c r="J506" i="90"/>
  <c r="J474" i="90"/>
  <c r="J458" i="90"/>
  <c r="J442" i="90"/>
  <c r="J426" i="90"/>
  <c r="J410" i="90"/>
  <c r="J394" i="90"/>
  <c r="J378" i="90"/>
  <c r="J346" i="90"/>
  <c r="J314" i="90"/>
  <c r="J298" i="90"/>
  <c r="J282" i="90"/>
  <c r="J250" i="90"/>
  <c r="J218" i="90"/>
  <c r="J202" i="90"/>
  <c r="J186" i="90"/>
  <c r="J170" i="90"/>
  <c r="J75" i="90"/>
  <c r="L915" i="90"/>
  <c r="L882" i="90"/>
  <c r="L846" i="90"/>
  <c r="L815" i="90"/>
  <c r="L746" i="90"/>
  <c r="L711" i="90"/>
  <c r="L631" i="90"/>
  <c r="L579" i="90"/>
  <c r="L526" i="90"/>
  <c r="L482" i="90"/>
  <c r="L375" i="90"/>
  <c r="L323" i="90"/>
  <c r="L226" i="90"/>
  <c r="L119" i="90"/>
  <c r="L67" i="90"/>
  <c r="L14" i="90"/>
  <c r="M846" i="90"/>
  <c r="M760" i="90"/>
  <c r="M674" i="90"/>
  <c r="M590" i="90"/>
  <c r="M504" i="90"/>
  <c r="M418" i="90"/>
  <c r="M334" i="90"/>
  <c r="M248" i="90"/>
  <c r="M162" i="90"/>
  <c r="O911" i="90"/>
  <c r="O858" i="90"/>
  <c r="O814" i="90"/>
  <c r="O655" i="90"/>
  <c r="O602" i="90"/>
  <c r="O558" i="90"/>
  <c r="O451" i="90"/>
  <c r="O387" i="90"/>
  <c r="O323" i="90"/>
  <c r="O195" i="90"/>
  <c r="O131" i="90"/>
  <c r="P4" i="90"/>
  <c r="P794" i="90"/>
  <c r="P666" i="90"/>
  <c r="P538" i="90"/>
  <c r="P250" i="90"/>
  <c r="P94" i="90"/>
  <c r="Q858" i="90"/>
  <c r="Q787" i="90"/>
  <c r="Q602" i="90"/>
  <c r="Q443" i="90"/>
  <c r="Q346" i="90"/>
  <c r="Q275" i="90"/>
  <c r="Q187" i="90"/>
  <c r="Q90" i="90"/>
  <c r="R730" i="90"/>
  <c r="R474" i="90"/>
  <c r="R218" i="90"/>
  <c r="R6" i="90"/>
  <c r="S554" i="90"/>
  <c r="S214" i="90"/>
  <c r="T875" i="90"/>
  <c r="T706" i="90"/>
  <c r="T534" i="90"/>
  <c r="T363" i="90"/>
  <c r="T23" i="90"/>
  <c r="U686" i="90"/>
  <c r="U430" i="90"/>
  <c r="U174" i="90"/>
  <c r="V583" i="90"/>
  <c r="L35" i="90"/>
  <c r="R35" i="90"/>
  <c r="L87" i="90"/>
  <c r="J87" i="90"/>
  <c r="J46" i="90"/>
  <c r="O46" i="90"/>
  <c r="M46" i="90"/>
  <c r="L46" i="90"/>
  <c r="M50" i="90"/>
  <c r="J50" i="90"/>
  <c r="P58" i="90"/>
  <c r="O58" i="90"/>
  <c r="O62" i="90"/>
  <c r="Q62" i="90"/>
  <c r="U66" i="90"/>
  <c r="M66" i="90"/>
  <c r="L66" i="90"/>
  <c r="J66" i="90"/>
  <c r="S70" i="90"/>
  <c r="R78" i="90"/>
  <c r="O78" i="90"/>
  <c r="M82" i="90"/>
  <c r="P82" i="90"/>
  <c r="J82" i="90"/>
  <c r="U86" i="90"/>
  <c r="P130" i="90"/>
  <c r="U130" i="90"/>
  <c r="M130" i="90"/>
  <c r="L130" i="90"/>
  <c r="J130" i="90"/>
  <c r="P258" i="90"/>
  <c r="U258" i="90"/>
  <c r="M258" i="90"/>
  <c r="L258" i="90"/>
  <c r="Q266" i="90"/>
  <c r="P266" i="90"/>
  <c r="R270" i="90"/>
  <c r="S270" i="90"/>
  <c r="O270" i="90"/>
  <c r="R302" i="90"/>
  <c r="O302" i="90"/>
  <c r="M302" i="90"/>
  <c r="L302" i="90"/>
  <c r="Q366" i="90"/>
  <c r="M366" i="90"/>
  <c r="L366" i="90"/>
  <c r="R366" i="90"/>
  <c r="O366" i="90"/>
  <c r="P366" i="90" s="1"/>
  <c r="Q88" i="90"/>
  <c r="M88" i="90"/>
  <c r="L140" i="90"/>
  <c r="T152" i="90"/>
  <c r="M152" i="90"/>
  <c r="Q216" i="90"/>
  <c r="M216" i="90"/>
  <c r="R260" i="90"/>
  <c r="L268" i="90"/>
  <c r="P280" i="90"/>
  <c r="M280" i="90"/>
  <c r="Q344" i="90"/>
  <c r="M344" i="90"/>
  <c r="R388" i="90"/>
  <c r="L396" i="90"/>
  <c r="O408" i="90"/>
  <c r="P408" i="90" s="1"/>
  <c r="M408" i="90"/>
  <c r="Q472" i="90"/>
  <c r="O472" i="90"/>
  <c r="M472" i="90"/>
  <c r="R516" i="90"/>
  <c r="L524" i="90"/>
  <c r="M536" i="90"/>
  <c r="O536" i="90"/>
  <c r="Q600" i="90"/>
  <c r="O600" i="90"/>
  <c r="M600" i="90"/>
  <c r="R644" i="90"/>
  <c r="M664" i="90"/>
  <c r="O664" i="90"/>
  <c r="T676" i="90"/>
  <c r="R708" i="90"/>
  <c r="L708" i="90"/>
  <c r="Q728" i="90"/>
  <c r="O728" i="90"/>
  <c r="M728" i="90"/>
  <c r="P740" i="90"/>
  <c r="R772" i="90"/>
  <c r="V792" i="90"/>
  <c r="M792" i="90"/>
  <c r="O792" i="90"/>
  <c r="P804" i="90"/>
  <c r="R836" i="90"/>
  <c r="L836" i="90"/>
  <c r="Q856" i="90"/>
  <c r="O856" i="90"/>
  <c r="M856" i="90"/>
  <c r="S868" i="90"/>
  <c r="P900" i="90"/>
  <c r="V920" i="90"/>
  <c r="M920" i="90"/>
  <c r="O920" i="90"/>
  <c r="J4" i="90"/>
  <c r="J895" i="90"/>
  <c r="J887" i="90"/>
  <c r="J831" i="90"/>
  <c r="J823" i="90"/>
  <c r="J799" i="90"/>
  <c r="J791" i="90"/>
  <c r="J783" i="90"/>
  <c r="J775" i="90"/>
  <c r="J767" i="90"/>
  <c r="J759" i="90"/>
  <c r="J735" i="90"/>
  <c r="J719" i="90"/>
  <c r="J703" i="90"/>
  <c r="J695" i="90"/>
  <c r="J687" i="90"/>
  <c r="J671" i="90"/>
  <c r="J663" i="90"/>
  <c r="J655" i="90"/>
  <c r="J647" i="90"/>
  <c r="J623" i="90"/>
  <c r="J599" i="90"/>
  <c r="J591" i="90"/>
  <c r="J575" i="90"/>
  <c r="J543" i="90"/>
  <c r="J527" i="90"/>
  <c r="J510" i="90"/>
  <c r="J494" i="90"/>
  <c r="J478" i="90"/>
  <c r="J462" i="90"/>
  <c r="J446" i="90"/>
  <c r="J430" i="90"/>
  <c r="J414" i="90"/>
  <c r="J398" i="90"/>
  <c r="J382" i="90"/>
  <c r="J366" i="90"/>
  <c r="J350" i="90"/>
  <c r="J334" i="90"/>
  <c r="J318" i="90"/>
  <c r="J302" i="90"/>
  <c r="J286" i="90"/>
  <c r="J270" i="90"/>
  <c r="J254" i="90"/>
  <c r="J238" i="90"/>
  <c r="J222" i="90"/>
  <c r="J206" i="90"/>
  <c r="J190" i="90"/>
  <c r="J174" i="90"/>
  <c r="J150" i="90"/>
  <c r="J118" i="90"/>
  <c r="J86" i="90"/>
  <c r="J22" i="90"/>
  <c r="L894" i="90"/>
  <c r="L858" i="90"/>
  <c r="L754" i="90"/>
  <c r="L718" i="90"/>
  <c r="L643" i="90"/>
  <c r="L590" i="90"/>
  <c r="L546" i="90"/>
  <c r="L439" i="90"/>
  <c r="L334" i="90"/>
  <c r="L290" i="90"/>
  <c r="L236" i="90"/>
  <c r="L183" i="90"/>
  <c r="L131" i="90"/>
  <c r="L78" i="90"/>
  <c r="L34" i="90"/>
  <c r="M866" i="90"/>
  <c r="M782" i="90"/>
  <c r="M696" i="90"/>
  <c r="M610" i="90"/>
  <c r="M526" i="90"/>
  <c r="M440" i="90"/>
  <c r="M354" i="90"/>
  <c r="M270" i="90"/>
  <c r="M184" i="90"/>
  <c r="M98" i="90"/>
  <c r="O4" i="90"/>
  <c r="O878" i="90"/>
  <c r="O771" i="90"/>
  <c r="O719" i="90"/>
  <c r="O666" i="90"/>
  <c r="O622" i="90"/>
  <c r="O515" i="90"/>
  <c r="P515" i="90" s="1"/>
  <c r="O463" i="90"/>
  <c r="P463" i="90" s="1"/>
  <c r="O399" i="90"/>
  <c r="O271" i="90"/>
  <c r="O207" i="90"/>
  <c r="P826" i="90"/>
  <c r="P698" i="90"/>
  <c r="P570" i="90"/>
  <c r="P442" i="90"/>
  <c r="P322" i="90"/>
  <c r="P122" i="90"/>
  <c r="Q886" i="90"/>
  <c r="Q814" i="90"/>
  <c r="Q714" i="90"/>
  <c r="Q630" i="90"/>
  <c r="Q558" i="90"/>
  <c r="Q374" i="90"/>
  <c r="Q302" i="90"/>
  <c r="Q118" i="90"/>
  <c r="Q46" i="90"/>
  <c r="R794" i="90"/>
  <c r="R538" i="90"/>
  <c r="R282" i="90"/>
  <c r="S670" i="90"/>
  <c r="T906" i="90"/>
  <c r="T762" i="90"/>
  <c r="T562" i="90"/>
  <c r="T394" i="90"/>
  <c r="T151" i="90"/>
  <c r="U730" i="90"/>
  <c r="U474" i="90"/>
  <c r="U218" i="90"/>
  <c r="V795" i="90"/>
  <c r="Q175" i="90"/>
  <c r="J175" i="90"/>
  <c r="Q203" i="90"/>
  <c r="J203" i="90"/>
  <c r="L215" i="90"/>
  <c r="J215" i="90"/>
  <c r="V219" i="90"/>
  <c r="J219" i="90"/>
  <c r="L227" i="90"/>
  <c r="J227" i="90"/>
  <c r="T239" i="90"/>
  <c r="J239" i="90"/>
  <c r="Q259" i="90"/>
  <c r="J259" i="90"/>
  <c r="J279" i="90"/>
  <c r="T279" i="90"/>
  <c r="L279" i="90"/>
  <c r="J287" i="90"/>
  <c r="Q287" i="90"/>
  <c r="L291" i="90"/>
  <c r="J291" i="90"/>
  <c r="Q303" i="90"/>
  <c r="J303" i="90"/>
  <c r="Q331" i="90"/>
  <c r="J331" i="90"/>
  <c r="T335" i="90"/>
  <c r="J335" i="90"/>
  <c r="L343" i="90"/>
  <c r="J343" i="90"/>
  <c r="L355" i="90"/>
  <c r="J355" i="90"/>
  <c r="Q387" i="90"/>
  <c r="J387" i="90"/>
  <c r="J391" i="90"/>
  <c r="T391" i="90"/>
  <c r="J407" i="90"/>
  <c r="L407" i="90"/>
  <c r="J415" i="90"/>
  <c r="Q415" i="90"/>
  <c r="L419" i="90"/>
  <c r="J419" i="90"/>
  <c r="Q431" i="90"/>
  <c r="J431" i="90"/>
  <c r="Q459" i="90"/>
  <c r="J459" i="90"/>
  <c r="L471" i="90"/>
  <c r="J471" i="90"/>
  <c r="J479" i="90"/>
  <c r="T479" i="90"/>
  <c r="O483" i="90"/>
  <c r="L483" i="90"/>
  <c r="J483" i="90"/>
  <c r="O495" i="90"/>
  <c r="J495" i="90"/>
  <c r="T507" i="90"/>
  <c r="J507" i="90"/>
  <c r="T535" i="90"/>
  <c r="L535" i="90"/>
  <c r="O547" i="90"/>
  <c r="L547" i="90"/>
  <c r="Q559" i="90"/>
  <c r="O559" i="90"/>
  <c r="O611" i="90"/>
  <c r="L611" i="90"/>
  <c r="O675" i="90"/>
  <c r="L675" i="90"/>
  <c r="Q687" i="90"/>
  <c r="O687" i="90"/>
  <c r="V699" i="90"/>
  <c r="O751" i="90"/>
  <c r="L751" i="90"/>
  <c r="T763" i="90"/>
  <c r="O803" i="90"/>
  <c r="L803" i="90"/>
  <c r="Q815" i="90"/>
  <c r="O815" i="90"/>
  <c r="T847" i="90"/>
  <c r="O879" i="90"/>
  <c r="L879" i="90"/>
  <c r="T903" i="90"/>
  <c r="L903" i="90"/>
  <c r="J914" i="90"/>
  <c r="J906" i="90"/>
  <c r="J898" i="90"/>
  <c r="J890" i="90"/>
  <c r="J882" i="90"/>
  <c r="J874" i="90"/>
  <c r="J866" i="90"/>
  <c r="J858" i="90"/>
  <c r="J850" i="90"/>
  <c r="J842" i="90"/>
  <c r="J834" i="90"/>
  <c r="J826" i="90"/>
  <c r="J818" i="90"/>
  <c r="J810" i="90"/>
  <c r="J802" i="90"/>
  <c r="J794" i="90"/>
  <c r="J786" i="90"/>
  <c r="J778" i="90"/>
  <c r="J770" i="90"/>
  <c r="J762" i="90"/>
  <c r="J754" i="90"/>
  <c r="J746" i="90"/>
  <c r="J738" i="90"/>
  <c r="J730" i="90"/>
  <c r="J722" i="90"/>
  <c r="J714" i="90"/>
  <c r="J706" i="90"/>
  <c r="J698" i="90"/>
  <c r="J690" i="90"/>
  <c r="J682" i="90"/>
  <c r="J674" i="90"/>
  <c r="J658" i="90"/>
  <c r="J650" i="90"/>
  <c r="J642" i="90"/>
  <c r="J634" i="90"/>
  <c r="J626" i="90"/>
  <c r="J610" i="90"/>
  <c r="J602" i="90"/>
  <c r="J594" i="90"/>
  <c r="J578" i="90"/>
  <c r="J570" i="90"/>
  <c r="J562" i="90"/>
  <c r="J546" i="90"/>
  <c r="J530" i="90"/>
  <c r="J522" i="90"/>
  <c r="J514" i="90"/>
  <c r="J498" i="90"/>
  <c r="J466" i="90"/>
  <c r="J450" i="90"/>
  <c r="J434" i="90"/>
  <c r="J418" i="90"/>
  <c r="J402" i="90"/>
  <c r="J386" i="90"/>
  <c r="J370" i="90"/>
  <c r="J354" i="90"/>
  <c r="J338" i="90"/>
  <c r="J322" i="90"/>
  <c r="J306" i="90"/>
  <c r="J290" i="90"/>
  <c r="J274" i="90"/>
  <c r="J258" i="90"/>
  <c r="J242" i="90"/>
  <c r="J210" i="90"/>
  <c r="J194" i="90"/>
  <c r="J178" i="90"/>
  <c r="J91" i="90"/>
  <c r="J59" i="90"/>
  <c r="L900" i="90"/>
  <c r="L867" i="90"/>
  <c r="L802" i="90"/>
  <c r="L766" i="90"/>
  <c r="L730" i="90"/>
  <c r="L654" i="90"/>
  <c r="L503" i="90"/>
  <c r="L451" i="90"/>
  <c r="L398" i="90"/>
  <c r="L247" i="90"/>
  <c r="L195" i="90"/>
  <c r="L142" i="90"/>
  <c r="L98" i="90"/>
  <c r="M888" i="90"/>
  <c r="M802" i="90"/>
  <c r="M718" i="90"/>
  <c r="M632" i="90"/>
  <c r="M546" i="90"/>
  <c r="M462" i="90"/>
  <c r="M376" i="90"/>
  <c r="M290" i="90"/>
  <c r="M206" i="90"/>
  <c r="M120" i="90"/>
  <c r="M34" i="90"/>
  <c r="O835" i="90"/>
  <c r="O783" i="90"/>
  <c r="O730" i="90"/>
  <c r="O686" i="90"/>
  <c r="O474" i="90"/>
  <c r="O419" i="90"/>
  <c r="O355" i="90"/>
  <c r="O291" i="90"/>
  <c r="O227" i="90"/>
  <c r="O163" i="90"/>
  <c r="O99" i="90"/>
  <c r="O35" i="90"/>
  <c r="P730" i="90"/>
  <c r="P602" i="90"/>
  <c r="P474" i="90"/>
  <c r="P346" i="90"/>
  <c r="P194" i="90"/>
  <c r="Q827" i="90"/>
  <c r="Q403" i="90"/>
  <c r="Q315" i="90"/>
  <c r="Q218" i="90"/>
  <c r="R878" i="90"/>
  <c r="R346" i="90"/>
  <c r="R94" i="90"/>
  <c r="S726" i="90"/>
  <c r="S414" i="90"/>
  <c r="T790" i="90"/>
  <c r="T450" i="90"/>
  <c r="T278" i="90"/>
  <c r="U814" i="90"/>
  <c r="U558" i="90"/>
  <c r="U302" i="90"/>
  <c r="U46" i="90"/>
  <c r="Z9" i="90"/>
  <c r="Y9" i="90"/>
  <c r="X9" i="90"/>
  <c r="V9" i="90"/>
  <c r="W9" i="90"/>
  <c r="T9" i="90"/>
  <c r="R9" i="90"/>
  <c r="U9" i="90"/>
  <c r="Q9" i="90"/>
  <c r="O9" i="90"/>
  <c r="L9" i="90"/>
  <c r="S9" i="90"/>
  <c r="M9" i="90"/>
  <c r="P9" i="90"/>
  <c r="Z17" i="90"/>
  <c r="Y17" i="90"/>
  <c r="X17" i="90"/>
  <c r="V17" i="90"/>
  <c r="T17" i="90"/>
  <c r="R17" i="90"/>
  <c r="W17" i="90"/>
  <c r="U17" i="90"/>
  <c r="Q17" i="90"/>
  <c r="P17" i="90"/>
  <c r="O17" i="90"/>
  <c r="L17" i="90"/>
  <c r="S17" i="90"/>
  <c r="M17" i="90"/>
  <c r="Z29" i="90"/>
  <c r="Y29" i="90"/>
  <c r="X29" i="90"/>
  <c r="V29" i="90"/>
  <c r="T29" i="90"/>
  <c r="R29" i="90"/>
  <c r="W29" i="90"/>
  <c r="S29" i="90"/>
  <c r="Q29" i="90"/>
  <c r="O29" i="90"/>
  <c r="L29" i="90"/>
  <c r="U29" i="90"/>
  <c r="P29" i="90"/>
  <c r="M29" i="90"/>
  <c r="J29" i="90"/>
  <c r="Z33" i="90"/>
  <c r="Y33" i="90"/>
  <c r="V33" i="90"/>
  <c r="X33" i="90"/>
  <c r="T33" i="90"/>
  <c r="R33" i="90"/>
  <c r="W33" i="90"/>
  <c r="U33" i="90"/>
  <c r="Q33" i="90"/>
  <c r="S33" i="90"/>
  <c r="P33" i="90"/>
  <c r="O33" i="90"/>
  <c r="L33" i="90"/>
  <c r="M33" i="90"/>
  <c r="Z41" i="90"/>
  <c r="Y41" i="90"/>
  <c r="X41" i="90"/>
  <c r="V41" i="90"/>
  <c r="W41" i="90"/>
  <c r="T41" i="90"/>
  <c r="R41" i="90"/>
  <c r="U41" i="90"/>
  <c r="Q41" i="90"/>
  <c r="S41" i="90"/>
  <c r="O41" i="90"/>
  <c r="L41" i="90"/>
  <c r="P41" i="90"/>
  <c r="M41" i="90"/>
  <c r="J41" i="90"/>
  <c r="Z49" i="90"/>
  <c r="Y49" i="90"/>
  <c r="V49" i="90"/>
  <c r="T49" i="90"/>
  <c r="R49" i="90"/>
  <c r="X49" i="90"/>
  <c r="W49" i="90"/>
  <c r="U49" i="90"/>
  <c r="Q49" i="90"/>
  <c r="P49" i="90"/>
  <c r="O49" i="90"/>
  <c r="L49" i="90"/>
  <c r="M49" i="90"/>
  <c r="S49" i="90"/>
  <c r="Z53" i="90"/>
  <c r="Y53" i="90"/>
  <c r="X53" i="90"/>
  <c r="V53" i="90"/>
  <c r="T53" i="90"/>
  <c r="R53" i="90"/>
  <c r="W53" i="90"/>
  <c r="Q53" i="90"/>
  <c r="U53" i="90"/>
  <c r="O53" i="90"/>
  <c r="L53" i="90"/>
  <c r="S53" i="90"/>
  <c r="M53" i="90"/>
  <c r="J53" i="90"/>
  <c r="P53" i="90"/>
  <c r="Z65" i="90"/>
  <c r="Y65" i="90"/>
  <c r="X65" i="90"/>
  <c r="V65" i="90"/>
  <c r="T65" i="90"/>
  <c r="R65" i="90"/>
  <c r="W65" i="90"/>
  <c r="U65" i="90"/>
  <c r="Q65" i="90"/>
  <c r="P65" i="90"/>
  <c r="O65" i="90"/>
  <c r="L65" i="90"/>
  <c r="S65" i="90"/>
  <c r="M65" i="90"/>
  <c r="Z73" i="90"/>
  <c r="Y73" i="90"/>
  <c r="X73" i="90"/>
  <c r="V73" i="90"/>
  <c r="W73" i="90"/>
  <c r="T73" i="90"/>
  <c r="R73" i="90"/>
  <c r="U73" i="90"/>
  <c r="Q73" i="90"/>
  <c r="O73" i="90"/>
  <c r="L73" i="90"/>
  <c r="M73" i="90"/>
  <c r="P73" i="90"/>
  <c r="J73" i="90"/>
  <c r="S73" i="90"/>
  <c r="Z81" i="90"/>
  <c r="Y81" i="90"/>
  <c r="X81" i="90"/>
  <c r="V81" i="90"/>
  <c r="T81" i="90"/>
  <c r="R81" i="90"/>
  <c r="W81" i="90"/>
  <c r="U81" i="90"/>
  <c r="Q81" i="90"/>
  <c r="P81" i="90"/>
  <c r="O81" i="90"/>
  <c r="L81" i="90"/>
  <c r="S81" i="90"/>
  <c r="M81" i="90"/>
  <c r="Z89" i="90"/>
  <c r="Y89" i="90"/>
  <c r="X89" i="90"/>
  <c r="V89" i="90"/>
  <c r="W89" i="90"/>
  <c r="T89" i="90"/>
  <c r="R89" i="90"/>
  <c r="U89" i="90"/>
  <c r="Q89" i="90"/>
  <c r="O89" i="90"/>
  <c r="L89" i="90"/>
  <c r="S89" i="90"/>
  <c r="P89" i="90"/>
  <c r="J89" i="90"/>
  <c r="M89" i="90"/>
  <c r="Z97" i="90"/>
  <c r="Y97" i="90"/>
  <c r="X97" i="90"/>
  <c r="V97" i="90"/>
  <c r="T97" i="90"/>
  <c r="R97" i="90"/>
  <c r="W97" i="90"/>
  <c r="U97" i="90"/>
  <c r="Q97" i="90"/>
  <c r="S97" i="90"/>
  <c r="P97" i="90"/>
  <c r="O97" i="90"/>
  <c r="L97" i="90"/>
  <c r="M97" i="90"/>
  <c r="Z105" i="90"/>
  <c r="Y105" i="90"/>
  <c r="X105" i="90"/>
  <c r="V105" i="90"/>
  <c r="W105" i="90"/>
  <c r="T105" i="90"/>
  <c r="R105" i="90"/>
  <c r="U105" i="90"/>
  <c r="Q105" i="90"/>
  <c r="S105" i="90"/>
  <c r="O105" i="90"/>
  <c r="L105" i="90"/>
  <c r="P105" i="90"/>
  <c r="M105" i="90"/>
  <c r="J105" i="90"/>
  <c r="Z113" i="90"/>
  <c r="X113" i="90"/>
  <c r="Y113" i="90"/>
  <c r="V113" i="90"/>
  <c r="T113" i="90"/>
  <c r="R113" i="90"/>
  <c r="W113" i="90"/>
  <c r="U113" i="90"/>
  <c r="Q113" i="90"/>
  <c r="P113" i="90"/>
  <c r="O113" i="90"/>
  <c r="L113" i="90"/>
  <c r="M113" i="90"/>
  <c r="S113" i="90"/>
  <c r="Z121" i="90"/>
  <c r="Y121" i="90"/>
  <c r="X121" i="90"/>
  <c r="V121" i="90"/>
  <c r="W121" i="90"/>
  <c r="T121" i="90"/>
  <c r="R121" i="90"/>
  <c r="U121" i="90"/>
  <c r="Q121" i="90"/>
  <c r="O121" i="90"/>
  <c r="L121" i="90"/>
  <c r="P121" i="90"/>
  <c r="S121" i="90"/>
  <c r="J121" i="90"/>
  <c r="M121" i="90"/>
  <c r="Z133" i="90"/>
  <c r="X133" i="90"/>
  <c r="Y133" i="90"/>
  <c r="V133" i="90"/>
  <c r="T133" i="90"/>
  <c r="R133" i="90"/>
  <c r="W133" i="90"/>
  <c r="Q133" i="90"/>
  <c r="S133" i="90"/>
  <c r="O133" i="90"/>
  <c r="L133" i="90"/>
  <c r="P133" i="90"/>
  <c r="M133" i="90"/>
  <c r="J133" i="90"/>
  <c r="U133" i="90"/>
  <c r="Z141" i="90"/>
  <c r="Y141" i="90"/>
  <c r="X141" i="90"/>
  <c r="V141" i="90"/>
  <c r="T141" i="90"/>
  <c r="R141" i="90"/>
  <c r="W141" i="90"/>
  <c r="S141" i="90"/>
  <c r="Q141" i="90"/>
  <c r="O141" i="90"/>
  <c r="L141" i="90"/>
  <c r="U141" i="90"/>
  <c r="P141" i="90"/>
  <c r="J141" i="90"/>
  <c r="Z149" i="90"/>
  <c r="X149" i="90"/>
  <c r="Y149" i="90"/>
  <c r="V149" i="90"/>
  <c r="T149" i="90"/>
  <c r="R149" i="90"/>
  <c r="W149" i="90"/>
  <c r="Q149" i="90"/>
  <c r="U149" i="90"/>
  <c r="O149" i="90"/>
  <c r="L149" i="90"/>
  <c r="P149" i="90"/>
  <c r="S149" i="90"/>
  <c r="M149" i="90"/>
  <c r="J149" i="90"/>
  <c r="Z157" i="90"/>
  <c r="Y157" i="90"/>
  <c r="X157" i="90"/>
  <c r="V157" i="90"/>
  <c r="T157" i="90"/>
  <c r="R157" i="90"/>
  <c r="W157" i="90"/>
  <c r="S157" i="90"/>
  <c r="Q157" i="90"/>
  <c r="O157" i="90"/>
  <c r="L157" i="90"/>
  <c r="U157" i="90"/>
  <c r="P157" i="90"/>
  <c r="J157" i="90"/>
  <c r="M157" i="90"/>
  <c r="Z165" i="90"/>
  <c r="X165" i="90"/>
  <c r="Y165" i="90"/>
  <c r="V165" i="90"/>
  <c r="T165" i="90"/>
  <c r="R165" i="90"/>
  <c r="W165" i="90"/>
  <c r="Q165" i="90"/>
  <c r="O165" i="90"/>
  <c r="L165" i="90"/>
  <c r="U165" i="90"/>
  <c r="S165" i="90"/>
  <c r="M165" i="90"/>
  <c r="J165" i="90"/>
  <c r="P165" i="90"/>
  <c r="Z169" i="90"/>
  <c r="Y169" i="90"/>
  <c r="X169" i="90"/>
  <c r="V169" i="90"/>
  <c r="W169" i="90"/>
  <c r="T169" i="90"/>
  <c r="U169" i="90"/>
  <c r="Q169" i="90"/>
  <c r="S169" i="90"/>
  <c r="O169" i="90"/>
  <c r="L169" i="90"/>
  <c r="R169" i="90"/>
  <c r="P169" i="90"/>
  <c r="M169" i="90"/>
  <c r="J169" i="90"/>
  <c r="Z177" i="90"/>
  <c r="X177" i="90"/>
  <c r="Y177" i="90"/>
  <c r="V177" i="90"/>
  <c r="T177" i="90"/>
  <c r="W177" i="90"/>
  <c r="U177" i="90"/>
  <c r="Q177" i="90"/>
  <c r="P177" i="90"/>
  <c r="O177" i="90"/>
  <c r="L177" i="90"/>
  <c r="R177" i="90"/>
  <c r="M177" i="90"/>
  <c r="S177" i="90"/>
  <c r="J177" i="90"/>
  <c r="Z185" i="90"/>
  <c r="Y185" i="90"/>
  <c r="X185" i="90"/>
  <c r="V185" i="90"/>
  <c r="W185" i="90"/>
  <c r="T185" i="90"/>
  <c r="U185" i="90"/>
  <c r="Q185" i="90"/>
  <c r="O185" i="90"/>
  <c r="L185" i="90"/>
  <c r="P185" i="90"/>
  <c r="J185" i="90"/>
  <c r="R185" i="90"/>
  <c r="M185" i="90"/>
  <c r="S185" i="90"/>
  <c r="Z193" i="90"/>
  <c r="X193" i="90"/>
  <c r="Y193" i="90"/>
  <c r="V193" i="90"/>
  <c r="T193" i="90"/>
  <c r="W193" i="90"/>
  <c r="U193" i="90"/>
  <c r="Q193" i="90"/>
  <c r="P193" i="90"/>
  <c r="O193" i="90"/>
  <c r="L193" i="90"/>
  <c r="R193" i="90"/>
  <c r="S193" i="90"/>
  <c r="M193" i="90"/>
  <c r="J193" i="90"/>
  <c r="Z201" i="90"/>
  <c r="Y201" i="90"/>
  <c r="X201" i="90"/>
  <c r="V201" i="90"/>
  <c r="W201" i="90"/>
  <c r="T201" i="90"/>
  <c r="U201" i="90"/>
  <c r="Q201" i="90"/>
  <c r="O201" i="90"/>
  <c r="L201" i="90"/>
  <c r="R201" i="90"/>
  <c r="S201" i="90"/>
  <c r="M201" i="90"/>
  <c r="J201" i="90"/>
  <c r="P201" i="90"/>
  <c r="Z209" i="90"/>
  <c r="X209" i="90"/>
  <c r="V209" i="90"/>
  <c r="T209" i="90"/>
  <c r="W209" i="90"/>
  <c r="Y209" i="90"/>
  <c r="U209" i="90"/>
  <c r="Q209" i="90"/>
  <c r="P209" i="90"/>
  <c r="O209" i="90"/>
  <c r="L209" i="90"/>
  <c r="S209" i="90"/>
  <c r="R209" i="90"/>
  <c r="M209" i="90"/>
  <c r="J209" i="90"/>
  <c r="Z217" i="90"/>
  <c r="Y217" i="90"/>
  <c r="X217" i="90"/>
  <c r="V217" i="90"/>
  <c r="W217" i="90"/>
  <c r="T217" i="90"/>
  <c r="U217" i="90"/>
  <c r="Q217" i="90"/>
  <c r="O217" i="90"/>
  <c r="L217" i="90"/>
  <c r="S217" i="90"/>
  <c r="P217" i="90"/>
  <c r="J217" i="90"/>
  <c r="M217" i="90"/>
  <c r="R217" i="90"/>
  <c r="Z225" i="90"/>
  <c r="X225" i="90"/>
  <c r="V225" i="90"/>
  <c r="Y225" i="90"/>
  <c r="T225" i="90"/>
  <c r="W225" i="90"/>
  <c r="U225" i="90"/>
  <c r="Q225" i="90"/>
  <c r="S225" i="90"/>
  <c r="P225" i="90"/>
  <c r="O225" i="90"/>
  <c r="L225" i="90"/>
  <c r="R225" i="90"/>
  <c r="M225" i="90"/>
  <c r="J225" i="90"/>
  <c r="Z233" i="90"/>
  <c r="Y233" i="90"/>
  <c r="X233" i="90"/>
  <c r="V233" i="90"/>
  <c r="W233" i="90"/>
  <c r="T233" i="90"/>
  <c r="U233" i="90"/>
  <c r="Q233" i="90"/>
  <c r="S233" i="90"/>
  <c r="O233" i="90"/>
  <c r="L233" i="90"/>
  <c r="R233" i="90"/>
  <c r="P233" i="90"/>
  <c r="M233" i="90"/>
  <c r="J233" i="90"/>
  <c r="Z241" i="90"/>
  <c r="X241" i="90"/>
  <c r="Y241" i="90"/>
  <c r="V241" i="90"/>
  <c r="T241" i="90"/>
  <c r="W241" i="90"/>
  <c r="U241" i="90"/>
  <c r="Q241" i="90"/>
  <c r="P241" i="90"/>
  <c r="O241" i="90"/>
  <c r="L241" i="90"/>
  <c r="R241" i="90"/>
  <c r="M241" i="90"/>
  <c r="J241" i="90"/>
  <c r="S241" i="90"/>
  <c r="Z249" i="90"/>
  <c r="Y249" i="90"/>
  <c r="X249" i="90"/>
  <c r="V249" i="90"/>
  <c r="W249" i="90"/>
  <c r="T249" i="90"/>
  <c r="U249" i="90"/>
  <c r="Q249" i="90"/>
  <c r="O249" i="90"/>
  <c r="L249" i="90"/>
  <c r="P249" i="90"/>
  <c r="S249" i="90"/>
  <c r="J249" i="90"/>
  <c r="R249" i="90"/>
  <c r="M249" i="90"/>
  <c r="Z257" i="90"/>
  <c r="X257" i="90"/>
  <c r="Y257" i="90"/>
  <c r="V257" i="90"/>
  <c r="T257" i="90"/>
  <c r="W257" i="90"/>
  <c r="U257" i="90"/>
  <c r="Q257" i="90"/>
  <c r="P257" i="90"/>
  <c r="O257" i="90"/>
  <c r="L257" i="90"/>
  <c r="R257" i="90"/>
  <c r="M257" i="90"/>
  <c r="S257" i="90"/>
  <c r="J257" i="90"/>
  <c r="Z265" i="90"/>
  <c r="Y265" i="90"/>
  <c r="X265" i="90"/>
  <c r="V265" i="90"/>
  <c r="W265" i="90"/>
  <c r="T265" i="90"/>
  <c r="U265" i="90"/>
  <c r="Q265" i="90"/>
  <c r="O265" i="90"/>
  <c r="L265" i="90"/>
  <c r="S265" i="90"/>
  <c r="R265" i="90"/>
  <c r="M265" i="90"/>
  <c r="J265" i="90"/>
  <c r="P265" i="90"/>
  <c r="Z277" i="90"/>
  <c r="X277" i="90"/>
  <c r="Y277" i="90"/>
  <c r="V277" i="90"/>
  <c r="T277" i="90"/>
  <c r="W277" i="90"/>
  <c r="Q277" i="90"/>
  <c r="U277" i="90"/>
  <c r="O277" i="90"/>
  <c r="L277" i="90"/>
  <c r="R277" i="90"/>
  <c r="P277" i="90"/>
  <c r="S277" i="90"/>
  <c r="M277" i="90"/>
  <c r="J277" i="90"/>
  <c r="Z285" i="90"/>
  <c r="Y285" i="90"/>
  <c r="X285" i="90"/>
  <c r="V285" i="90"/>
  <c r="T285" i="90"/>
  <c r="W285" i="90"/>
  <c r="S285" i="90"/>
  <c r="Q285" i="90"/>
  <c r="R285" i="90"/>
  <c r="O285" i="90"/>
  <c r="L285" i="90"/>
  <c r="U285" i="90"/>
  <c r="P285" i="90"/>
  <c r="J285" i="90"/>
  <c r="M285" i="90"/>
  <c r="Z293" i="90"/>
  <c r="X293" i="90"/>
  <c r="Y293" i="90"/>
  <c r="V293" i="90"/>
  <c r="T293" i="90"/>
  <c r="W293" i="90"/>
  <c r="Q293" i="90"/>
  <c r="O293" i="90"/>
  <c r="L293" i="90"/>
  <c r="U293" i="90"/>
  <c r="S293" i="90"/>
  <c r="M293" i="90"/>
  <c r="R293" i="90"/>
  <c r="J293" i="90"/>
  <c r="P293" i="90"/>
  <c r="Z301" i="90"/>
  <c r="Y301" i="90"/>
  <c r="X301" i="90"/>
  <c r="V301" i="90"/>
  <c r="T301" i="90"/>
  <c r="W301" i="90"/>
  <c r="S301" i="90"/>
  <c r="Q301" i="90"/>
  <c r="R301" i="90"/>
  <c r="O301" i="90"/>
  <c r="L301" i="90"/>
  <c r="J301" i="90"/>
  <c r="P301" i="90"/>
  <c r="U301" i="90"/>
  <c r="Z309" i="90"/>
  <c r="X309" i="90"/>
  <c r="Y309" i="90"/>
  <c r="V309" i="90"/>
  <c r="T309" i="90"/>
  <c r="W309" i="90"/>
  <c r="Q309" i="90"/>
  <c r="U309" i="90"/>
  <c r="O309" i="90"/>
  <c r="L309" i="90"/>
  <c r="S309" i="90"/>
  <c r="R309" i="90"/>
  <c r="M309" i="90"/>
  <c r="J309" i="90"/>
  <c r="P309" i="90"/>
  <c r="Z317" i="90"/>
  <c r="Y317" i="90"/>
  <c r="X317" i="90"/>
  <c r="V317" i="90"/>
  <c r="T317" i="90"/>
  <c r="W317" i="90"/>
  <c r="S317" i="90"/>
  <c r="Q317" i="90"/>
  <c r="R317" i="90"/>
  <c r="O317" i="90"/>
  <c r="L317" i="90"/>
  <c r="U317" i="90"/>
  <c r="P317" i="90"/>
  <c r="J317" i="90"/>
  <c r="M317" i="90"/>
  <c r="Z325" i="90"/>
  <c r="X325" i="90"/>
  <c r="Y325" i="90"/>
  <c r="V325" i="90"/>
  <c r="T325" i="90"/>
  <c r="W325" i="90"/>
  <c r="Q325" i="90"/>
  <c r="S325" i="90"/>
  <c r="O325" i="90"/>
  <c r="L325" i="90"/>
  <c r="P325" i="90"/>
  <c r="M325" i="90"/>
  <c r="U325" i="90"/>
  <c r="J325" i="90"/>
  <c r="R325" i="90"/>
  <c r="Z337" i="90"/>
  <c r="X337" i="90"/>
  <c r="V337" i="90"/>
  <c r="T337" i="90"/>
  <c r="Y337" i="90"/>
  <c r="W337" i="90"/>
  <c r="U337" i="90"/>
  <c r="Q337" i="90"/>
  <c r="O337" i="90"/>
  <c r="L337" i="90"/>
  <c r="S337" i="90"/>
  <c r="R337" i="90"/>
  <c r="M337" i="90"/>
  <c r="P337" i="90"/>
  <c r="J337" i="90"/>
  <c r="Z349" i="90"/>
  <c r="Y349" i="90"/>
  <c r="X349" i="90"/>
  <c r="V349" i="90"/>
  <c r="T349" i="90"/>
  <c r="W349" i="90"/>
  <c r="S349" i="90"/>
  <c r="Q349" i="90"/>
  <c r="R349" i="90"/>
  <c r="O349" i="90"/>
  <c r="L349" i="90"/>
  <c r="U349" i="90"/>
  <c r="P349" i="90"/>
  <c r="J349" i="90"/>
  <c r="M349" i="90"/>
  <c r="Z357" i="90"/>
  <c r="X357" i="90"/>
  <c r="Y357" i="90"/>
  <c r="V357" i="90"/>
  <c r="T357" i="90"/>
  <c r="W357" i="90"/>
  <c r="Q357" i="90"/>
  <c r="O357" i="90"/>
  <c r="L357" i="90"/>
  <c r="U357" i="90"/>
  <c r="M357" i="90"/>
  <c r="R357" i="90"/>
  <c r="J357" i="90"/>
  <c r="P357" i="90"/>
  <c r="S357" i="90"/>
  <c r="Z365" i="90"/>
  <c r="Y365" i="90"/>
  <c r="X365" i="90"/>
  <c r="V365" i="90"/>
  <c r="T365" i="90"/>
  <c r="W365" i="90"/>
  <c r="S365" i="90"/>
  <c r="Q365" i="90"/>
  <c r="R365" i="90"/>
  <c r="O365" i="90"/>
  <c r="P365" i="90" s="1"/>
  <c r="L365" i="90"/>
  <c r="J365" i="90"/>
  <c r="U365" i="90"/>
  <c r="Z373" i="90"/>
  <c r="X373" i="90"/>
  <c r="Y373" i="90"/>
  <c r="V373" i="90"/>
  <c r="T373" i="90"/>
  <c r="W373" i="90"/>
  <c r="Q373" i="90"/>
  <c r="U373" i="90"/>
  <c r="O373" i="90"/>
  <c r="P373" i="90" s="1"/>
  <c r="L373" i="90"/>
  <c r="S373" i="90"/>
  <c r="R373" i="90"/>
  <c r="M373" i="90"/>
  <c r="J373" i="90"/>
  <c r="Z381" i="90"/>
  <c r="Y381" i="90"/>
  <c r="X381" i="90"/>
  <c r="V381" i="90"/>
  <c r="T381" i="90"/>
  <c r="W381" i="90"/>
  <c r="S381" i="90"/>
  <c r="Q381" i="90"/>
  <c r="R381" i="90"/>
  <c r="O381" i="90"/>
  <c r="L381" i="90"/>
  <c r="U381" i="90"/>
  <c r="P381" i="90"/>
  <c r="J381" i="90"/>
  <c r="M381" i="90"/>
  <c r="Z389" i="90"/>
  <c r="X389" i="90"/>
  <c r="Y389" i="90"/>
  <c r="V389" i="90"/>
  <c r="T389" i="90"/>
  <c r="W389" i="90"/>
  <c r="Q389" i="90"/>
  <c r="S389" i="90"/>
  <c r="O389" i="90"/>
  <c r="L389" i="90"/>
  <c r="M389" i="90"/>
  <c r="J389" i="90"/>
  <c r="U389" i="90"/>
  <c r="R389" i="90"/>
  <c r="P389" i="90"/>
  <c r="Z397" i="90"/>
  <c r="Y397" i="90"/>
  <c r="X397" i="90"/>
  <c r="V397" i="90"/>
  <c r="T397" i="90"/>
  <c r="W397" i="90"/>
  <c r="S397" i="90"/>
  <c r="Q397" i="90"/>
  <c r="R397" i="90"/>
  <c r="O397" i="90"/>
  <c r="L397" i="90"/>
  <c r="P397" i="90"/>
  <c r="U397" i="90"/>
  <c r="J397" i="90"/>
  <c r="Z405" i="90"/>
  <c r="X405" i="90"/>
  <c r="Y405" i="90"/>
  <c r="V405" i="90"/>
  <c r="T405" i="90"/>
  <c r="W405" i="90"/>
  <c r="Q405" i="90"/>
  <c r="U405" i="90"/>
  <c r="O405" i="90"/>
  <c r="P405" i="90" s="1"/>
  <c r="L405" i="90"/>
  <c r="R405" i="90"/>
  <c r="S405" i="90"/>
  <c r="M405" i="90"/>
  <c r="J405" i="90"/>
  <c r="Z413" i="90"/>
  <c r="Y413" i="90"/>
  <c r="X413" i="90"/>
  <c r="V413" i="90"/>
  <c r="T413" i="90"/>
  <c r="W413" i="90"/>
  <c r="S413" i="90"/>
  <c r="Q413" i="90"/>
  <c r="R413" i="90"/>
  <c r="O413" i="90"/>
  <c r="P413" i="90" s="1"/>
  <c r="L413" i="90"/>
  <c r="U413" i="90"/>
  <c r="J413" i="90"/>
  <c r="M413" i="90"/>
  <c r="Z421" i="90"/>
  <c r="X421" i="90"/>
  <c r="Y421" i="90"/>
  <c r="T421" i="90"/>
  <c r="W421" i="90"/>
  <c r="V421" i="90"/>
  <c r="Q421" i="90"/>
  <c r="O421" i="90"/>
  <c r="L421" i="90"/>
  <c r="U421" i="90"/>
  <c r="S421" i="90"/>
  <c r="M421" i="90"/>
  <c r="R421" i="90"/>
  <c r="J421" i="90"/>
  <c r="P421" i="90"/>
  <c r="Z429" i="90"/>
  <c r="Y429" i="90"/>
  <c r="X429" i="90"/>
  <c r="T429" i="90"/>
  <c r="W429" i="90"/>
  <c r="V429" i="90"/>
  <c r="S429" i="90"/>
  <c r="Q429" i="90"/>
  <c r="R429" i="90"/>
  <c r="O429" i="90"/>
  <c r="L429" i="90"/>
  <c r="P429" i="90"/>
  <c r="J429" i="90"/>
  <c r="U429" i="90"/>
  <c r="Z437" i="90"/>
  <c r="X437" i="90"/>
  <c r="Y437" i="90"/>
  <c r="T437" i="90"/>
  <c r="W437" i="90"/>
  <c r="V437" i="90"/>
  <c r="Q437" i="90"/>
  <c r="U437" i="90"/>
  <c r="O437" i="90"/>
  <c r="L437" i="90"/>
  <c r="S437" i="90"/>
  <c r="R437" i="90"/>
  <c r="M437" i="90"/>
  <c r="P437" i="90"/>
  <c r="J437" i="90"/>
  <c r="Z445" i="90"/>
  <c r="Y445" i="90"/>
  <c r="X445" i="90"/>
  <c r="T445" i="90"/>
  <c r="W445" i="90"/>
  <c r="V445" i="90"/>
  <c r="S445" i="90"/>
  <c r="Q445" i="90"/>
  <c r="R445" i="90"/>
  <c r="O445" i="90"/>
  <c r="L445" i="90"/>
  <c r="U445" i="90"/>
  <c r="P445" i="90"/>
  <c r="J445" i="90"/>
  <c r="M445" i="90"/>
  <c r="Z453" i="90"/>
  <c r="X453" i="90"/>
  <c r="Y453" i="90"/>
  <c r="T453" i="90"/>
  <c r="W453" i="90"/>
  <c r="V453" i="90"/>
  <c r="Q453" i="90"/>
  <c r="S453" i="90"/>
  <c r="O453" i="90"/>
  <c r="P453" i="90" s="1"/>
  <c r="L453" i="90"/>
  <c r="M453" i="90"/>
  <c r="U453" i="90"/>
  <c r="J453" i="90"/>
  <c r="R453" i="90"/>
  <c r="Z461" i="90"/>
  <c r="Y461" i="90"/>
  <c r="X461" i="90"/>
  <c r="T461" i="90"/>
  <c r="W461" i="90"/>
  <c r="V461" i="90"/>
  <c r="S461" i="90"/>
  <c r="Q461" i="90"/>
  <c r="R461" i="90"/>
  <c r="O461" i="90"/>
  <c r="P461" i="90" s="1"/>
  <c r="L461" i="90"/>
  <c r="U461" i="90"/>
  <c r="J461" i="90"/>
  <c r="Z469" i="90"/>
  <c r="X469" i="90"/>
  <c r="Y469" i="90"/>
  <c r="T469" i="90"/>
  <c r="W469" i="90"/>
  <c r="V469" i="90"/>
  <c r="Q469" i="90"/>
  <c r="U469" i="90"/>
  <c r="O469" i="90"/>
  <c r="P469" i="90" s="1"/>
  <c r="L469" i="90"/>
  <c r="R469" i="90"/>
  <c r="M469" i="90"/>
  <c r="J469" i="90"/>
  <c r="S469" i="90"/>
  <c r="Z477" i="90"/>
  <c r="Y477" i="90"/>
  <c r="X477" i="90"/>
  <c r="T477" i="90"/>
  <c r="W477" i="90"/>
  <c r="V477" i="90"/>
  <c r="S477" i="90"/>
  <c r="Q477" i="90"/>
  <c r="R477" i="90"/>
  <c r="O477" i="90"/>
  <c r="L477" i="90"/>
  <c r="U477" i="90"/>
  <c r="P477" i="90"/>
  <c r="J477" i="90"/>
  <c r="M477" i="90"/>
  <c r="Z485" i="90"/>
  <c r="X485" i="90"/>
  <c r="Y485" i="90"/>
  <c r="T485" i="90"/>
  <c r="W485" i="90"/>
  <c r="V485" i="90"/>
  <c r="Q485" i="90"/>
  <c r="O485" i="90"/>
  <c r="L485" i="90"/>
  <c r="U485" i="90"/>
  <c r="M485" i="90"/>
  <c r="S485" i="90"/>
  <c r="R485" i="90"/>
  <c r="J485" i="90"/>
  <c r="P485" i="90"/>
  <c r="Z493" i="90"/>
  <c r="Y493" i="90"/>
  <c r="X493" i="90"/>
  <c r="T493" i="90"/>
  <c r="W493" i="90"/>
  <c r="V493" i="90"/>
  <c r="S493" i="90"/>
  <c r="Q493" i="90"/>
  <c r="R493" i="90"/>
  <c r="O493" i="90"/>
  <c r="L493" i="90"/>
  <c r="P493" i="90"/>
  <c r="J493" i="90"/>
  <c r="U493" i="90"/>
  <c r="Z501" i="90"/>
  <c r="X501" i="90"/>
  <c r="Y501" i="90"/>
  <c r="T501" i="90"/>
  <c r="W501" i="90"/>
  <c r="V501" i="90"/>
  <c r="Q501" i="90"/>
  <c r="U501" i="90"/>
  <c r="O501" i="90"/>
  <c r="P501" i="90" s="1"/>
  <c r="L501" i="90"/>
  <c r="S501" i="90"/>
  <c r="R501" i="90"/>
  <c r="M501" i="90"/>
  <c r="J501" i="90"/>
  <c r="Z509" i="90"/>
  <c r="X509" i="90"/>
  <c r="Y509" i="90"/>
  <c r="T509" i="90"/>
  <c r="W509" i="90"/>
  <c r="V509" i="90"/>
  <c r="S509" i="90"/>
  <c r="Q509" i="90"/>
  <c r="R509" i="90"/>
  <c r="O509" i="90"/>
  <c r="P509" i="90" s="1"/>
  <c r="L509" i="90"/>
  <c r="U509" i="90"/>
  <c r="J509" i="90"/>
  <c r="M509" i="90"/>
  <c r="Z517" i="90"/>
  <c r="X517" i="90"/>
  <c r="T517" i="90"/>
  <c r="W517" i="90"/>
  <c r="Y517" i="90"/>
  <c r="V517" i="90"/>
  <c r="Q517" i="90"/>
  <c r="S517" i="90"/>
  <c r="O517" i="90"/>
  <c r="L517" i="90"/>
  <c r="M517" i="90"/>
  <c r="J517" i="90"/>
  <c r="U517" i="90"/>
  <c r="R517" i="90"/>
  <c r="P517" i="90"/>
  <c r="Z525" i="90"/>
  <c r="X525" i="90"/>
  <c r="Y525" i="90"/>
  <c r="T525" i="90"/>
  <c r="W525" i="90"/>
  <c r="V525" i="90"/>
  <c r="S525" i="90"/>
  <c r="Q525" i="90"/>
  <c r="R525" i="90"/>
  <c r="O525" i="90"/>
  <c r="L525" i="90"/>
  <c r="P525" i="90"/>
  <c r="U525" i="90"/>
  <c r="J525" i="90"/>
  <c r="Z533" i="90"/>
  <c r="Y533" i="90"/>
  <c r="X533" i="90"/>
  <c r="T533" i="90"/>
  <c r="W533" i="90"/>
  <c r="V533" i="90"/>
  <c r="Q533" i="90"/>
  <c r="U533" i="90"/>
  <c r="O533" i="90"/>
  <c r="L533" i="90"/>
  <c r="R533" i="90"/>
  <c r="S533" i="90"/>
  <c r="M533" i="90"/>
  <c r="P533" i="90"/>
  <c r="J533" i="90"/>
  <c r="Z541" i="90"/>
  <c r="X541" i="90"/>
  <c r="Y541" i="90"/>
  <c r="T541" i="90"/>
  <c r="W541" i="90"/>
  <c r="V541" i="90"/>
  <c r="S541" i="90"/>
  <c r="Q541" i="90"/>
  <c r="R541" i="90"/>
  <c r="O541" i="90"/>
  <c r="L541" i="90"/>
  <c r="U541" i="90"/>
  <c r="P541" i="90"/>
  <c r="J541" i="90"/>
  <c r="M541" i="90"/>
  <c r="Z549" i="90"/>
  <c r="Y549" i="90"/>
  <c r="X549" i="90"/>
  <c r="T549" i="90"/>
  <c r="W549" i="90"/>
  <c r="V549" i="90"/>
  <c r="Q549" i="90"/>
  <c r="O549" i="90"/>
  <c r="L549" i="90"/>
  <c r="U549" i="90"/>
  <c r="S549" i="90"/>
  <c r="M549" i="90"/>
  <c r="R549" i="90"/>
  <c r="J549" i="90"/>
  <c r="P549" i="90"/>
  <c r="Z553" i="90"/>
  <c r="Y553" i="90"/>
  <c r="X553" i="90"/>
  <c r="W553" i="90"/>
  <c r="T553" i="90"/>
  <c r="V553" i="90"/>
  <c r="U553" i="90"/>
  <c r="Q553" i="90"/>
  <c r="S553" i="90"/>
  <c r="O553" i="90"/>
  <c r="L553" i="90"/>
  <c r="R553" i="90"/>
  <c r="M553" i="90"/>
  <c r="J553" i="90"/>
  <c r="P553" i="90"/>
  <c r="Z565" i="90"/>
  <c r="Y565" i="90"/>
  <c r="X565" i="90"/>
  <c r="T565" i="90"/>
  <c r="W565" i="90"/>
  <c r="V565" i="90"/>
  <c r="Q565" i="90"/>
  <c r="U565" i="90"/>
  <c r="O565" i="90"/>
  <c r="L565" i="90"/>
  <c r="S565" i="90"/>
  <c r="R565" i="90"/>
  <c r="M565" i="90"/>
  <c r="P565" i="90"/>
  <c r="J565" i="90"/>
  <c r="Z573" i="90"/>
  <c r="X573" i="90"/>
  <c r="Y573" i="90"/>
  <c r="T573" i="90"/>
  <c r="W573" i="90"/>
  <c r="V573" i="90"/>
  <c r="S573" i="90"/>
  <c r="Q573" i="90"/>
  <c r="R573" i="90"/>
  <c r="O573" i="90"/>
  <c r="L573" i="90"/>
  <c r="U573" i="90"/>
  <c r="P573" i="90"/>
  <c r="J573" i="90"/>
  <c r="M573" i="90"/>
  <c r="Z581" i="90"/>
  <c r="Y581" i="90"/>
  <c r="X581" i="90"/>
  <c r="T581" i="90"/>
  <c r="W581" i="90"/>
  <c r="V581" i="90"/>
  <c r="Q581" i="90"/>
  <c r="S581" i="90"/>
  <c r="O581" i="90"/>
  <c r="L581" i="90"/>
  <c r="M581" i="90"/>
  <c r="U581" i="90"/>
  <c r="J581" i="90"/>
  <c r="P581" i="90"/>
  <c r="R581" i="90"/>
  <c r="Z585" i="90"/>
  <c r="Y585" i="90"/>
  <c r="X585" i="90"/>
  <c r="W585" i="90"/>
  <c r="T585" i="90"/>
  <c r="V585" i="90"/>
  <c r="U585" i="90"/>
  <c r="Q585" i="90"/>
  <c r="O585" i="90"/>
  <c r="L585" i="90"/>
  <c r="R585" i="90"/>
  <c r="M585" i="90"/>
  <c r="J585" i="90"/>
  <c r="P585" i="90"/>
  <c r="S585" i="90"/>
  <c r="Z593" i="90"/>
  <c r="X593" i="90"/>
  <c r="Y593" i="90"/>
  <c r="T593" i="90"/>
  <c r="V593" i="90"/>
  <c r="W593" i="90"/>
  <c r="U593" i="90"/>
  <c r="Q593" i="90"/>
  <c r="O593" i="90"/>
  <c r="L593" i="90"/>
  <c r="S593" i="90"/>
  <c r="R593" i="90"/>
  <c r="M593" i="90"/>
  <c r="P593" i="90"/>
  <c r="J593" i="90"/>
  <c r="Z601" i="90"/>
  <c r="Y601" i="90"/>
  <c r="X601" i="90"/>
  <c r="W601" i="90"/>
  <c r="T601" i="90"/>
  <c r="V601" i="90"/>
  <c r="U601" i="90"/>
  <c r="Q601" i="90"/>
  <c r="O601" i="90"/>
  <c r="L601" i="90"/>
  <c r="S601" i="90"/>
  <c r="J601" i="90"/>
  <c r="M601" i="90"/>
  <c r="R601" i="90"/>
  <c r="P601" i="90"/>
  <c r="Z609" i="90"/>
  <c r="X609" i="90"/>
  <c r="Y609" i="90"/>
  <c r="T609" i="90"/>
  <c r="V609" i="90"/>
  <c r="W609" i="90"/>
  <c r="U609" i="90"/>
  <c r="Q609" i="90"/>
  <c r="S609" i="90"/>
  <c r="O609" i="90"/>
  <c r="L609" i="90"/>
  <c r="R609" i="90"/>
  <c r="M609" i="90"/>
  <c r="P609" i="90"/>
  <c r="J609" i="90"/>
  <c r="Z617" i="90"/>
  <c r="Y617" i="90"/>
  <c r="X617" i="90"/>
  <c r="W617" i="90"/>
  <c r="T617" i="90"/>
  <c r="V617" i="90"/>
  <c r="U617" i="90"/>
  <c r="Q617" i="90"/>
  <c r="S617" i="90"/>
  <c r="O617" i="90"/>
  <c r="L617" i="90"/>
  <c r="R617" i="90"/>
  <c r="M617" i="90"/>
  <c r="J617" i="90"/>
  <c r="P617" i="90"/>
  <c r="Z625" i="90"/>
  <c r="X625" i="90"/>
  <c r="T625" i="90"/>
  <c r="Y625" i="90"/>
  <c r="V625" i="90"/>
  <c r="U625" i="90"/>
  <c r="Q625" i="90"/>
  <c r="O625" i="90"/>
  <c r="L625" i="90"/>
  <c r="R625" i="90"/>
  <c r="M625" i="90"/>
  <c r="P625" i="90"/>
  <c r="J625" i="90"/>
  <c r="S625" i="90"/>
  <c r="W625" i="90"/>
  <c r="Z633" i="90"/>
  <c r="Y633" i="90"/>
  <c r="X633" i="90"/>
  <c r="W633" i="90"/>
  <c r="V633" i="90"/>
  <c r="T633" i="90"/>
  <c r="U633" i="90"/>
  <c r="Q633" i="90"/>
  <c r="O633" i="90"/>
  <c r="L633" i="90"/>
  <c r="S633" i="90"/>
  <c r="J633" i="90"/>
  <c r="M633" i="90"/>
  <c r="R633" i="90"/>
  <c r="P633" i="90"/>
  <c r="Z641" i="90"/>
  <c r="Y641" i="90"/>
  <c r="X641" i="90"/>
  <c r="V641" i="90"/>
  <c r="T641" i="90"/>
  <c r="U641" i="90"/>
  <c r="Q641" i="90"/>
  <c r="O641" i="90"/>
  <c r="L641" i="90"/>
  <c r="R641" i="90"/>
  <c r="M641" i="90"/>
  <c r="P641" i="90"/>
  <c r="J641" i="90"/>
  <c r="W641" i="90"/>
  <c r="S641" i="90"/>
  <c r="Z649" i="90"/>
  <c r="Y649" i="90"/>
  <c r="X649" i="90"/>
  <c r="W649" i="90"/>
  <c r="V649" i="90"/>
  <c r="T649" i="90"/>
  <c r="U649" i="90"/>
  <c r="Q649" i="90"/>
  <c r="O649" i="90"/>
  <c r="L649" i="90"/>
  <c r="S649" i="90"/>
  <c r="R649" i="90"/>
  <c r="M649" i="90"/>
  <c r="J649" i="90"/>
  <c r="P649" i="90"/>
  <c r="Z661" i="90"/>
  <c r="Y661" i="90"/>
  <c r="X661" i="90"/>
  <c r="V661" i="90"/>
  <c r="T661" i="90"/>
  <c r="W661" i="90"/>
  <c r="Q661" i="90"/>
  <c r="U661" i="90"/>
  <c r="O661" i="90"/>
  <c r="L661" i="90"/>
  <c r="R661" i="90"/>
  <c r="S661" i="90"/>
  <c r="M661" i="90"/>
  <c r="P661" i="90"/>
  <c r="J661" i="90"/>
  <c r="Z669" i="90"/>
  <c r="Y669" i="90"/>
  <c r="X669" i="90"/>
  <c r="V669" i="90"/>
  <c r="T669" i="90"/>
  <c r="W669" i="90"/>
  <c r="S669" i="90"/>
  <c r="Q669" i="90"/>
  <c r="R669" i="90"/>
  <c r="O669" i="90"/>
  <c r="L669" i="90"/>
  <c r="U669" i="90"/>
  <c r="P669" i="90"/>
  <c r="J669" i="90"/>
  <c r="M669" i="90"/>
  <c r="Z673" i="90"/>
  <c r="X673" i="90"/>
  <c r="Y673" i="90"/>
  <c r="V673" i="90"/>
  <c r="T673" i="90"/>
  <c r="W673" i="90"/>
  <c r="U673" i="90"/>
  <c r="Q673" i="90"/>
  <c r="S673" i="90"/>
  <c r="O673" i="90"/>
  <c r="L673" i="90"/>
  <c r="R673" i="90"/>
  <c r="M673" i="90"/>
  <c r="P673" i="90"/>
  <c r="J673" i="90"/>
  <c r="Z685" i="90"/>
  <c r="Y685" i="90"/>
  <c r="X685" i="90"/>
  <c r="V685" i="90"/>
  <c r="T685" i="90"/>
  <c r="W685" i="90"/>
  <c r="S685" i="90"/>
  <c r="Q685" i="90"/>
  <c r="R685" i="90"/>
  <c r="O685" i="90"/>
  <c r="L685" i="90"/>
  <c r="P685" i="90"/>
  <c r="J685" i="90"/>
  <c r="U685" i="90"/>
  <c r="Z693" i="90"/>
  <c r="Y693" i="90"/>
  <c r="X693" i="90"/>
  <c r="V693" i="90"/>
  <c r="T693" i="90"/>
  <c r="W693" i="90"/>
  <c r="Q693" i="90"/>
  <c r="U693" i="90"/>
  <c r="O693" i="90"/>
  <c r="L693" i="90"/>
  <c r="S693" i="90"/>
  <c r="R693" i="90"/>
  <c r="M693" i="90"/>
  <c r="P693" i="90"/>
  <c r="J693" i="90"/>
  <c r="Z701" i="90"/>
  <c r="Y701" i="90"/>
  <c r="X701" i="90"/>
  <c r="V701" i="90"/>
  <c r="T701" i="90"/>
  <c r="W701" i="90"/>
  <c r="S701" i="90"/>
  <c r="Q701" i="90"/>
  <c r="R701" i="90"/>
  <c r="O701" i="90"/>
  <c r="L701" i="90"/>
  <c r="U701" i="90"/>
  <c r="P701" i="90"/>
  <c r="J701" i="90"/>
  <c r="M701" i="90"/>
  <c r="Z709" i="90"/>
  <c r="Y709" i="90"/>
  <c r="X709" i="90"/>
  <c r="V709" i="90"/>
  <c r="T709" i="90"/>
  <c r="W709" i="90"/>
  <c r="Q709" i="90"/>
  <c r="S709" i="90"/>
  <c r="O709" i="90"/>
  <c r="L709" i="90"/>
  <c r="M709" i="90"/>
  <c r="U709" i="90"/>
  <c r="J709" i="90"/>
  <c r="R709" i="90"/>
  <c r="P709" i="90"/>
  <c r="Z717" i="90"/>
  <c r="Y717" i="90"/>
  <c r="X717" i="90"/>
  <c r="V717" i="90"/>
  <c r="T717" i="90"/>
  <c r="W717" i="90"/>
  <c r="S717" i="90"/>
  <c r="Q717" i="90"/>
  <c r="R717" i="90"/>
  <c r="O717" i="90"/>
  <c r="L717" i="90"/>
  <c r="P717" i="90"/>
  <c r="U717" i="90"/>
  <c r="J717" i="90"/>
  <c r="Z725" i="90"/>
  <c r="Y725" i="90"/>
  <c r="X725" i="90"/>
  <c r="V725" i="90"/>
  <c r="T725" i="90"/>
  <c r="W725" i="90"/>
  <c r="Q725" i="90"/>
  <c r="U725" i="90"/>
  <c r="O725" i="90"/>
  <c r="L725" i="90"/>
  <c r="R725" i="90"/>
  <c r="M725" i="90"/>
  <c r="P725" i="90"/>
  <c r="J725" i="90"/>
  <c r="S725" i="90"/>
  <c r="Z733" i="90"/>
  <c r="Y733" i="90"/>
  <c r="X733" i="90"/>
  <c r="V733" i="90"/>
  <c r="T733" i="90"/>
  <c r="W733" i="90"/>
  <c r="S733" i="90"/>
  <c r="Q733" i="90"/>
  <c r="R733" i="90"/>
  <c r="O733" i="90"/>
  <c r="L733" i="90"/>
  <c r="U733" i="90"/>
  <c r="P733" i="90"/>
  <c r="J733" i="90"/>
  <c r="M733" i="90"/>
  <c r="Z737" i="90"/>
  <c r="X737" i="90"/>
  <c r="Y737" i="90"/>
  <c r="V737" i="90"/>
  <c r="T737" i="90"/>
  <c r="W737" i="90"/>
  <c r="U737" i="90"/>
  <c r="Q737" i="90"/>
  <c r="S737" i="90"/>
  <c r="O737" i="90"/>
  <c r="L737" i="90"/>
  <c r="R737" i="90"/>
  <c r="M737" i="90"/>
  <c r="P737" i="90"/>
  <c r="J737" i="90"/>
  <c r="Z745" i="90"/>
  <c r="Y745" i="90"/>
  <c r="X745" i="90"/>
  <c r="W745" i="90"/>
  <c r="V745" i="90"/>
  <c r="T745" i="90"/>
  <c r="U745" i="90"/>
  <c r="Q745" i="90"/>
  <c r="S745" i="90"/>
  <c r="O745" i="90"/>
  <c r="L745" i="90"/>
  <c r="R745" i="90"/>
  <c r="M745" i="90"/>
  <c r="J745" i="90"/>
  <c r="P745" i="90"/>
  <c r="Z753" i="90"/>
  <c r="X753" i="90"/>
  <c r="V753" i="90"/>
  <c r="T753" i="90"/>
  <c r="Y753" i="90"/>
  <c r="U753" i="90"/>
  <c r="Q753" i="90"/>
  <c r="O753" i="90"/>
  <c r="L753" i="90"/>
  <c r="R753" i="90"/>
  <c r="M753" i="90"/>
  <c r="W753" i="90"/>
  <c r="P753" i="90"/>
  <c r="J753" i="90"/>
  <c r="S753" i="90"/>
  <c r="Z761" i="90"/>
  <c r="Y761" i="90"/>
  <c r="X761" i="90"/>
  <c r="W761" i="90"/>
  <c r="V761" i="90"/>
  <c r="T761" i="90"/>
  <c r="U761" i="90"/>
  <c r="Q761" i="90"/>
  <c r="O761" i="90"/>
  <c r="L761" i="90"/>
  <c r="S761" i="90"/>
  <c r="J761" i="90"/>
  <c r="R761" i="90"/>
  <c r="M761" i="90"/>
  <c r="P761" i="90"/>
  <c r="Z773" i="90"/>
  <c r="Y773" i="90"/>
  <c r="X773" i="90"/>
  <c r="V773" i="90"/>
  <c r="T773" i="90"/>
  <c r="W773" i="90"/>
  <c r="Q773" i="90"/>
  <c r="S773" i="90"/>
  <c r="O773" i="90"/>
  <c r="L773" i="90"/>
  <c r="M773" i="90"/>
  <c r="J773" i="90"/>
  <c r="U773" i="90"/>
  <c r="R773" i="90"/>
  <c r="P773" i="90"/>
  <c r="Z777" i="90"/>
  <c r="Y777" i="90"/>
  <c r="X777" i="90"/>
  <c r="W777" i="90"/>
  <c r="V777" i="90"/>
  <c r="T777" i="90"/>
  <c r="U777" i="90"/>
  <c r="Q777" i="90"/>
  <c r="O777" i="90"/>
  <c r="L777" i="90"/>
  <c r="S777" i="90"/>
  <c r="R777" i="90"/>
  <c r="M777" i="90"/>
  <c r="J777" i="90"/>
  <c r="P777" i="90"/>
  <c r="Z785" i="90"/>
  <c r="Y785" i="90"/>
  <c r="X785" i="90"/>
  <c r="V785" i="90"/>
  <c r="T785" i="90"/>
  <c r="U785" i="90"/>
  <c r="Q785" i="90"/>
  <c r="W785" i="90"/>
  <c r="O785" i="90"/>
  <c r="L785" i="90"/>
  <c r="S785" i="90"/>
  <c r="R785" i="90"/>
  <c r="M785" i="90"/>
  <c r="P785" i="90"/>
  <c r="J785" i="90"/>
  <c r="Z793" i="90"/>
  <c r="Y793" i="90"/>
  <c r="X793" i="90"/>
  <c r="W793" i="90"/>
  <c r="V793" i="90"/>
  <c r="T793" i="90"/>
  <c r="U793" i="90"/>
  <c r="Q793" i="90"/>
  <c r="O793" i="90"/>
  <c r="L793" i="90"/>
  <c r="S793" i="90"/>
  <c r="J793" i="90"/>
  <c r="M793" i="90"/>
  <c r="R793" i="90"/>
  <c r="P793" i="90"/>
  <c r="Z805" i="90"/>
  <c r="Y805" i="90"/>
  <c r="X805" i="90"/>
  <c r="V805" i="90"/>
  <c r="T805" i="90"/>
  <c r="W805" i="90"/>
  <c r="Q805" i="90"/>
  <c r="O805" i="90"/>
  <c r="L805" i="90"/>
  <c r="U805" i="90"/>
  <c r="S805" i="90"/>
  <c r="M805" i="90"/>
  <c r="R805" i="90"/>
  <c r="J805" i="90"/>
  <c r="P805" i="90"/>
  <c r="Z813" i="90"/>
  <c r="Y813" i="90"/>
  <c r="X813" i="90"/>
  <c r="V813" i="90"/>
  <c r="T813" i="90"/>
  <c r="W813" i="90"/>
  <c r="S813" i="90"/>
  <c r="Q813" i="90"/>
  <c r="R813" i="90"/>
  <c r="O813" i="90"/>
  <c r="L813" i="90"/>
  <c r="P813" i="90"/>
  <c r="J813" i="90"/>
  <c r="U813" i="90"/>
  <c r="Z817" i="90"/>
  <c r="X817" i="90"/>
  <c r="Y817" i="90"/>
  <c r="V817" i="90"/>
  <c r="T817" i="90"/>
  <c r="U817" i="90"/>
  <c r="Q817" i="90"/>
  <c r="O817" i="90"/>
  <c r="L817" i="90"/>
  <c r="W817" i="90"/>
  <c r="R817" i="90"/>
  <c r="M817" i="90"/>
  <c r="S817" i="90"/>
  <c r="P817" i="90"/>
  <c r="J817" i="90"/>
  <c r="Z825" i="90"/>
  <c r="Y825" i="90"/>
  <c r="X825" i="90"/>
  <c r="W825" i="90"/>
  <c r="V825" i="90"/>
  <c r="T825" i="90"/>
  <c r="U825" i="90"/>
  <c r="Q825" i="90"/>
  <c r="O825" i="90"/>
  <c r="L825" i="90"/>
  <c r="J825" i="90"/>
  <c r="S825" i="90"/>
  <c r="R825" i="90"/>
  <c r="M825" i="90"/>
  <c r="P825" i="90"/>
  <c r="Z837" i="90"/>
  <c r="Y837" i="90"/>
  <c r="X837" i="90"/>
  <c r="V837" i="90"/>
  <c r="T837" i="90"/>
  <c r="W837" i="90"/>
  <c r="Q837" i="90"/>
  <c r="S837" i="90"/>
  <c r="O837" i="90"/>
  <c r="L837" i="90"/>
  <c r="M837" i="90"/>
  <c r="U837" i="90"/>
  <c r="J837" i="90"/>
  <c r="R837" i="90"/>
  <c r="P837" i="90"/>
  <c r="Z845" i="90"/>
  <c r="Y845" i="90"/>
  <c r="X845" i="90"/>
  <c r="V845" i="90"/>
  <c r="T845" i="90"/>
  <c r="W845" i="90"/>
  <c r="S845" i="90"/>
  <c r="Q845" i="90"/>
  <c r="R845" i="90"/>
  <c r="O845" i="90"/>
  <c r="L845" i="90"/>
  <c r="P845" i="90"/>
  <c r="U845" i="90"/>
  <c r="J845" i="90"/>
  <c r="Z849" i="90"/>
  <c r="Y849" i="90"/>
  <c r="X849" i="90"/>
  <c r="V849" i="90"/>
  <c r="T849" i="90"/>
  <c r="U849" i="90"/>
  <c r="Q849" i="90"/>
  <c r="W849" i="90"/>
  <c r="O849" i="90"/>
  <c r="L849" i="90"/>
  <c r="S849" i="90"/>
  <c r="M849" i="90"/>
  <c r="P849" i="90"/>
  <c r="J849" i="90"/>
  <c r="R849" i="90"/>
  <c r="Z857" i="90"/>
  <c r="Y857" i="90"/>
  <c r="X857" i="90"/>
  <c r="W857" i="90"/>
  <c r="V857" i="90"/>
  <c r="T857" i="90"/>
  <c r="U857" i="90"/>
  <c r="Q857" i="90"/>
  <c r="O857" i="90"/>
  <c r="L857" i="90"/>
  <c r="S857" i="90"/>
  <c r="J857" i="90"/>
  <c r="R857" i="90"/>
  <c r="M857" i="90"/>
  <c r="P857" i="90"/>
  <c r="Z861" i="90"/>
  <c r="Y861" i="90"/>
  <c r="X861" i="90"/>
  <c r="V861" i="90"/>
  <c r="T861" i="90"/>
  <c r="W861" i="90"/>
  <c r="S861" i="90"/>
  <c r="Q861" i="90"/>
  <c r="R861" i="90"/>
  <c r="O861" i="90"/>
  <c r="L861" i="90"/>
  <c r="U861" i="90"/>
  <c r="P861" i="90"/>
  <c r="J861" i="90"/>
  <c r="M861" i="90"/>
  <c r="Z865" i="90"/>
  <c r="X865" i="90"/>
  <c r="Y865" i="90"/>
  <c r="V865" i="90"/>
  <c r="T865" i="90"/>
  <c r="W865" i="90"/>
  <c r="U865" i="90"/>
  <c r="Q865" i="90"/>
  <c r="S865" i="90"/>
  <c r="O865" i="90"/>
  <c r="L865" i="90"/>
  <c r="M865" i="90"/>
  <c r="P865" i="90"/>
  <c r="J865" i="90"/>
  <c r="R865" i="90"/>
  <c r="Z869" i="90"/>
  <c r="Y869" i="90"/>
  <c r="X869" i="90"/>
  <c r="V869" i="90"/>
  <c r="T869" i="90"/>
  <c r="W869" i="90"/>
  <c r="Q869" i="90"/>
  <c r="O869" i="90"/>
  <c r="L869" i="90"/>
  <c r="U869" i="90"/>
  <c r="R869" i="90"/>
  <c r="M869" i="90"/>
  <c r="J869" i="90"/>
  <c r="S869" i="90"/>
  <c r="P869" i="90"/>
  <c r="Z873" i="90"/>
  <c r="Y873" i="90"/>
  <c r="X873" i="90"/>
  <c r="W873" i="90"/>
  <c r="V873" i="90"/>
  <c r="T873" i="90"/>
  <c r="U873" i="90"/>
  <c r="Q873" i="90"/>
  <c r="S873" i="90"/>
  <c r="O873" i="90"/>
  <c r="L873" i="90"/>
  <c r="R873" i="90"/>
  <c r="M873" i="90"/>
  <c r="J873" i="90"/>
  <c r="P873" i="90"/>
  <c r="Z877" i="90"/>
  <c r="Y877" i="90"/>
  <c r="X877" i="90"/>
  <c r="V877" i="90"/>
  <c r="T877" i="90"/>
  <c r="W877" i="90"/>
  <c r="S877" i="90"/>
  <c r="Q877" i="90"/>
  <c r="R877" i="90"/>
  <c r="O877" i="90"/>
  <c r="L877" i="90"/>
  <c r="P877" i="90"/>
  <c r="J877" i="90"/>
  <c r="U877" i="90"/>
  <c r="Z881" i="90"/>
  <c r="X881" i="90"/>
  <c r="V881" i="90"/>
  <c r="T881" i="90"/>
  <c r="Y881" i="90"/>
  <c r="U881" i="90"/>
  <c r="Q881" i="90"/>
  <c r="O881" i="90"/>
  <c r="L881" i="90"/>
  <c r="M881" i="90"/>
  <c r="R881" i="90"/>
  <c r="P881" i="90"/>
  <c r="J881" i="90"/>
  <c r="W881" i="90"/>
  <c r="S881" i="90"/>
  <c r="Z885" i="90"/>
  <c r="Y885" i="90"/>
  <c r="X885" i="90"/>
  <c r="V885" i="90"/>
  <c r="T885" i="90"/>
  <c r="W885" i="90"/>
  <c r="Q885" i="90"/>
  <c r="U885" i="90"/>
  <c r="O885" i="90"/>
  <c r="L885" i="90"/>
  <c r="S885" i="90"/>
  <c r="M885" i="90"/>
  <c r="P885" i="90"/>
  <c r="J885" i="90"/>
  <c r="R885" i="90"/>
  <c r="Z889" i="90"/>
  <c r="Y889" i="90"/>
  <c r="X889" i="90"/>
  <c r="W889" i="90"/>
  <c r="V889" i="90"/>
  <c r="T889" i="90"/>
  <c r="U889" i="90"/>
  <c r="Q889" i="90"/>
  <c r="O889" i="90"/>
  <c r="L889" i="90"/>
  <c r="S889" i="90"/>
  <c r="R889" i="90"/>
  <c r="J889" i="90"/>
  <c r="M889" i="90"/>
  <c r="P889" i="90"/>
  <c r="Z893" i="90"/>
  <c r="Y893" i="90"/>
  <c r="X893" i="90"/>
  <c r="V893" i="90"/>
  <c r="T893" i="90"/>
  <c r="W893" i="90"/>
  <c r="S893" i="90"/>
  <c r="Q893" i="90"/>
  <c r="R893" i="90"/>
  <c r="O893" i="90"/>
  <c r="L893" i="90"/>
  <c r="U893" i="90"/>
  <c r="P893" i="90"/>
  <c r="J893" i="90"/>
  <c r="M893" i="90"/>
  <c r="Z897" i="90"/>
  <c r="Y897" i="90"/>
  <c r="X897" i="90"/>
  <c r="V897" i="90"/>
  <c r="T897" i="90"/>
  <c r="U897" i="90"/>
  <c r="Q897" i="90"/>
  <c r="O897" i="90"/>
  <c r="L897" i="90"/>
  <c r="R897" i="90"/>
  <c r="M897" i="90"/>
  <c r="P897" i="90"/>
  <c r="W897" i="90"/>
  <c r="J897" i="90"/>
  <c r="S897" i="90"/>
  <c r="Z901" i="90"/>
  <c r="Y901" i="90"/>
  <c r="X901" i="90"/>
  <c r="V901" i="90"/>
  <c r="T901" i="90"/>
  <c r="W901" i="90"/>
  <c r="Q901" i="90"/>
  <c r="S901" i="90"/>
  <c r="O901" i="90"/>
  <c r="L901" i="90"/>
  <c r="M901" i="90"/>
  <c r="R901" i="90"/>
  <c r="J901" i="90"/>
  <c r="U901" i="90"/>
  <c r="P901" i="90"/>
  <c r="Z905" i="90"/>
  <c r="Y905" i="90"/>
  <c r="X905" i="90"/>
  <c r="W905" i="90"/>
  <c r="V905" i="90"/>
  <c r="T905" i="90"/>
  <c r="U905" i="90"/>
  <c r="Q905" i="90"/>
  <c r="O905" i="90"/>
  <c r="L905" i="90"/>
  <c r="S905" i="90"/>
  <c r="R905" i="90"/>
  <c r="M905" i="90"/>
  <c r="J905" i="90"/>
  <c r="P905" i="90"/>
  <c r="Z909" i="90"/>
  <c r="Y909" i="90"/>
  <c r="X909" i="90"/>
  <c r="V909" i="90"/>
  <c r="T909" i="90"/>
  <c r="W909" i="90"/>
  <c r="S909" i="90"/>
  <c r="Q909" i="90"/>
  <c r="R909" i="90"/>
  <c r="O909" i="90"/>
  <c r="L909" i="90"/>
  <c r="P909" i="90"/>
  <c r="U909" i="90"/>
  <c r="J909" i="90"/>
  <c r="Z913" i="90"/>
  <c r="Y913" i="90"/>
  <c r="X913" i="90"/>
  <c r="V913" i="90"/>
  <c r="T913" i="90"/>
  <c r="U913" i="90"/>
  <c r="Q913" i="90"/>
  <c r="W913" i="90"/>
  <c r="O913" i="90"/>
  <c r="L913" i="90"/>
  <c r="S913" i="90"/>
  <c r="M913" i="90"/>
  <c r="P913" i="90"/>
  <c r="J913" i="90"/>
  <c r="R913" i="90"/>
  <c r="Z917" i="90"/>
  <c r="Y917" i="90"/>
  <c r="X917" i="90"/>
  <c r="V917" i="90"/>
  <c r="T917" i="90"/>
  <c r="W917" i="90"/>
  <c r="Q917" i="90"/>
  <c r="U917" i="90"/>
  <c r="O917" i="90"/>
  <c r="L917" i="90"/>
  <c r="S917" i="90"/>
  <c r="R917" i="90"/>
  <c r="M917" i="90"/>
  <c r="P917" i="90"/>
  <c r="J917" i="90"/>
  <c r="Z921" i="90"/>
  <c r="Y921" i="90"/>
  <c r="X921" i="90"/>
  <c r="W921" i="90"/>
  <c r="V921" i="90"/>
  <c r="T921" i="90"/>
  <c r="U921" i="90"/>
  <c r="Q921" i="90"/>
  <c r="O921" i="90"/>
  <c r="L921" i="90"/>
  <c r="S921" i="90"/>
  <c r="J921" i="90"/>
  <c r="M921" i="90"/>
  <c r="R921" i="90"/>
  <c r="P921" i="90"/>
  <c r="J17" i="90"/>
  <c r="J9" i="90"/>
  <c r="J81" i="90"/>
  <c r="M909" i="90"/>
  <c r="M877" i="90"/>
  <c r="M845" i="90"/>
  <c r="M813" i="90"/>
  <c r="M717" i="90"/>
  <c r="M685" i="90"/>
  <c r="M525" i="90"/>
  <c r="M493" i="90"/>
  <c r="M461" i="90"/>
  <c r="M429" i="90"/>
  <c r="M397" i="90"/>
  <c r="M365" i="90"/>
  <c r="M301" i="90"/>
  <c r="M141" i="90"/>
  <c r="Z5" i="90"/>
  <c r="Y5" i="90"/>
  <c r="X5" i="90"/>
  <c r="V5" i="90"/>
  <c r="T5" i="90"/>
  <c r="R5" i="90"/>
  <c r="W5" i="90"/>
  <c r="Q5" i="90"/>
  <c r="S5" i="90"/>
  <c r="O5" i="90"/>
  <c r="L5" i="90"/>
  <c r="P5" i="90"/>
  <c r="M5" i="90"/>
  <c r="U5" i="90"/>
  <c r="Z13" i="90"/>
  <c r="Y13" i="90"/>
  <c r="X13" i="90"/>
  <c r="V13" i="90"/>
  <c r="T13" i="90"/>
  <c r="R13" i="90"/>
  <c r="W13" i="90"/>
  <c r="S13" i="90"/>
  <c r="Q13" i="90"/>
  <c r="O13" i="90"/>
  <c r="L13" i="90"/>
  <c r="U13" i="90"/>
  <c r="P13" i="90"/>
  <c r="Z21" i="90"/>
  <c r="Y21" i="90"/>
  <c r="X21" i="90"/>
  <c r="V21" i="90"/>
  <c r="T21" i="90"/>
  <c r="R21" i="90"/>
  <c r="W21" i="90"/>
  <c r="Q21" i="90"/>
  <c r="U21" i="90"/>
  <c r="O21" i="90"/>
  <c r="L21" i="90"/>
  <c r="P21" i="90"/>
  <c r="S21" i="90"/>
  <c r="M21" i="90"/>
  <c r="J21" i="90"/>
  <c r="Z25" i="90"/>
  <c r="Y25" i="90"/>
  <c r="X25" i="90"/>
  <c r="V25" i="90"/>
  <c r="W25" i="90"/>
  <c r="T25" i="90"/>
  <c r="R25" i="90"/>
  <c r="U25" i="90"/>
  <c r="Q25" i="90"/>
  <c r="O25" i="90"/>
  <c r="L25" i="90"/>
  <c r="S25" i="90"/>
  <c r="M25" i="90"/>
  <c r="J25" i="90"/>
  <c r="P25" i="90"/>
  <c r="Z37" i="90"/>
  <c r="Y37" i="90"/>
  <c r="X37" i="90"/>
  <c r="V37" i="90"/>
  <c r="T37" i="90"/>
  <c r="R37" i="90"/>
  <c r="W37" i="90"/>
  <c r="Q37" i="90"/>
  <c r="O37" i="90"/>
  <c r="L37" i="90"/>
  <c r="U37" i="90"/>
  <c r="S37" i="90"/>
  <c r="M37" i="90"/>
  <c r="J37" i="90"/>
  <c r="P37" i="90"/>
  <c r="Z45" i="90"/>
  <c r="Y45" i="90"/>
  <c r="X45" i="90"/>
  <c r="V45" i="90"/>
  <c r="T45" i="90"/>
  <c r="R45" i="90"/>
  <c r="W45" i="90"/>
  <c r="S45" i="90"/>
  <c r="Q45" i="90"/>
  <c r="O45" i="90"/>
  <c r="L45" i="90"/>
  <c r="P45" i="90"/>
  <c r="J45" i="90"/>
  <c r="U45" i="90"/>
  <c r="Z57" i="90"/>
  <c r="Y57" i="90"/>
  <c r="X57" i="90"/>
  <c r="V57" i="90"/>
  <c r="W57" i="90"/>
  <c r="T57" i="90"/>
  <c r="R57" i="90"/>
  <c r="U57" i="90"/>
  <c r="Q57" i="90"/>
  <c r="O57" i="90"/>
  <c r="L57" i="90"/>
  <c r="P57" i="90"/>
  <c r="S57" i="90"/>
  <c r="J57" i="90"/>
  <c r="M57" i="90"/>
  <c r="Z61" i="90"/>
  <c r="Y61" i="90"/>
  <c r="X61" i="90"/>
  <c r="V61" i="90"/>
  <c r="T61" i="90"/>
  <c r="R61" i="90"/>
  <c r="W61" i="90"/>
  <c r="S61" i="90"/>
  <c r="Q61" i="90"/>
  <c r="O61" i="90"/>
  <c r="L61" i="90"/>
  <c r="U61" i="90"/>
  <c r="P61" i="90"/>
  <c r="J61" i="90"/>
  <c r="M61" i="90"/>
  <c r="Z69" i="90"/>
  <c r="Y69" i="90"/>
  <c r="X69" i="90"/>
  <c r="V69" i="90"/>
  <c r="T69" i="90"/>
  <c r="R69" i="90"/>
  <c r="W69" i="90"/>
  <c r="Q69" i="90"/>
  <c r="S69" i="90"/>
  <c r="O69" i="90"/>
  <c r="L69" i="90"/>
  <c r="P69" i="90"/>
  <c r="M69" i="90"/>
  <c r="U69" i="90"/>
  <c r="J69" i="90"/>
  <c r="Z77" i="90"/>
  <c r="Y77" i="90"/>
  <c r="X77" i="90"/>
  <c r="V77" i="90"/>
  <c r="T77" i="90"/>
  <c r="R77" i="90"/>
  <c r="W77" i="90"/>
  <c r="S77" i="90"/>
  <c r="Q77" i="90"/>
  <c r="O77" i="90"/>
  <c r="L77" i="90"/>
  <c r="U77" i="90"/>
  <c r="P77" i="90"/>
  <c r="J77" i="90"/>
  <c r="Z85" i="90"/>
  <c r="Y85" i="90"/>
  <c r="X85" i="90"/>
  <c r="V85" i="90"/>
  <c r="T85" i="90"/>
  <c r="R85" i="90"/>
  <c r="W85" i="90"/>
  <c r="Q85" i="90"/>
  <c r="U85" i="90"/>
  <c r="O85" i="90"/>
  <c r="L85" i="90"/>
  <c r="P85" i="90"/>
  <c r="M85" i="90"/>
  <c r="J85" i="90"/>
  <c r="S85" i="90"/>
  <c r="Z93" i="90"/>
  <c r="Y93" i="90"/>
  <c r="X93" i="90"/>
  <c r="V93" i="90"/>
  <c r="T93" i="90"/>
  <c r="R93" i="90"/>
  <c r="W93" i="90"/>
  <c r="S93" i="90"/>
  <c r="Q93" i="90"/>
  <c r="O93" i="90"/>
  <c r="L93" i="90"/>
  <c r="U93" i="90"/>
  <c r="P93" i="90"/>
  <c r="M93" i="90"/>
  <c r="J93" i="90"/>
  <c r="Z101" i="90"/>
  <c r="Y101" i="90"/>
  <c r="X101" i="90"/>
  <c r="V101" i="90"/>
  <c r="T101" i="90"/>
  <c r="R101" i="90"/>
  <c r="W101" i="90"/>
  <c r="Q101" i="90"/>
  <c r="O101" i="90"/>
  <c r="L101" i="90"/>
  <c r="U101" i="90"/>
  <c r="M101" i="90"/>
  <c r="J101" i="90"/>
  <c r="P101" i="90"/>
  <c r="S101" i="90"/>
  <c r="Z109" i="90"/>
  <c r="Y109" i="90"/>
  <c r="X109" i="90"/>
  <c r="V109" i="90"/>
  <c r="T109" i="90"/>
  <c r="R109" i="90"/>
  <c r="W109" i="90"/>
  <c r="S109" i="90"/>
  <c r="Q109" i="90"/>
  <c r="O109" i="90"/>
  <c r="L109" i="90"/>
  <c r="J109" i="90"/>
  <c r="U109" i="90"/>
  <c r="P109" i="90"/>
  <c r="Z117" i="90"/>
  <c r="X117" i="90"/>
  <c r="Y117" i="90"/>
  <c r="V117" i="90"/>
  <c r="T117" i="90"/>
  <c r="R117" i="90"/>
  <c r="W117" i="90"/>
  <c r="Q117" i="90"/>
  <c r="U117" i="90"/>
  <c r="O117" i="90"/>
  <c r="L117" i="90"/>
  <c r="S117" i="90"/>
  <c r="M117" i="90"/>
  <c r="P117" i="90"/>
  <c r="J117" i="90"/>
  <c r="Z125" i="90"/>
  <c r="Y125" i="90"/>
  <c r="X125" i="90"/>
  <c r="V125" i="90"/>
  <c r="T125" i="90"/>
  <c r="R125" i="90"/>
  <c r="W125" i="90"/>
  <c r="S125" i="90"/>
  <c r="Q125" i="90"/>
  <c r="O125" i="90"/>
  <c r="L125" i="90"/>
  <c r="U125" i="90"/>
  <c r="P125" i="90"/>
  <c r="M125" i="90"/>
  <c r="J125" i="90"/>
  <c r="Z129" i="90"/>
  <c r="X129" i="90"/>
  <c r="Y129" i="90"/>
  <c r="V129" i="90"/>
  <c r="T129" i="90"/>
  <c r="R129" i="90"/>
  <c r="W129" i="90"/>
  <c r="U129" i="90"/>
  <c r="Q129" i="90"/>
  <c r="P129" i="90"/>
  <c r="O129" i="90"/>
  <c r="L129" i="90"/>
  <c r="M129" i="90"/>
  <c r="S129" i="90"/>
  <c r="Z137" i="90"/>
  <c r="Y137" i="90"/>
  <c r="X137" i="90"/>
  <c r="V137" i="90"/>
  <c r="W137" i="90"/>
  <c r="T137" i="90"/>
  <c r="R137" i="90"/>
  <c r="U137" i="90"/>
  <c r="Q137" i="90"/>
  <c r="O137" i="90"/>
  <c r="L137" i="90"/>
  <c r="S137" i="90"/>
  <c r="M137" i="90"/>
  <c r="J137" i="90"/>
  <c r="P137" i="90"/>
  <c r="Z145" i="90"/>
  <c r="X145" i="90"/>
  <c r="V145" i="90"/>
  <c r="Y145" i="90"/>
  <c r="T145" i="90"/>
  <c r="R145" i="90"/>
  <c r="W145" i="90"/>
  <c r="U145" i="90"/>
  <c r="Q145" i="90"/>
  <c r="P145" i="90"/>
  <c r="O145" i="90"/>
  <c r="L145" i="90"/>
  <c r="S145" i="90"/>
  <c r="M145" i="90"/>
  <c r="Z153" i="90"/>
  <c r="Y153" i="90"/>
  <c r="X153" i="90"/>
  <c r="V153" i="90"/>
  <c r="W153" i="90"/>
  <c r="T153" i="90"/>
  <c r="R153" i="90"/>
  <c r="U153" i="90"/>
  <c r="Q153" i="90"/>
  <c r="O153" i="90"/>
  <c r="L153" i="90"/>
  <c r="S153" i="90"/>
  <c r="J153" i="90"/>
  <c r="P153" i="90"/>
  <c r="M153" i="90"/>
  <c r="Z161" i="90"/>
  <c r="X161" i="90"/>
  <c r="V161" i="90"/>
  <c r="Y161" i="90"/>
  <c r="T161" i="90"/>
  <c r="R161" i="90"/>
  <c r="W161" i="90"/>
  <c r="U161" i="90"/>
  <c r="Q161" i="90"/>
  <c r="S161" i="90"/>
  <c r="P161" i="90"/>
  <c r="O161" i="90"/>
  <c r="L161" i="90"/>
  <c r="M161" i="90"/>
  <c r="Z173" i="90"/>
  <c r="Y173" i="90"/>
  <c r="X173" i="90"/>
  <c r="V173" i="90"/>
  <c r="T173" i="90"/>
  <c r="W173" i="90"/>
  <c r="S173" i="90"/>
  <c r="Q173" i="90"/>
  <c r="R173" i="90"/>
  <c r="O173" i="90"/>
  <c r="L173" i="90"/>
  <c r="J173" i="90"/>
  <c r="P173" i="90"/>
  <c r="U173" i="90"/>
  <c r="Z181" i="90"/>
  <c r="X181" i="90"/>
  <c r="Y181" i="90"/>
  <c r="V181" i="90"/>
  <c r="T181" i="90"/>
  <c r="W181" i="90"/>
  <c r="Q181" i="90"/>
  <c r="U181" i="90"/>
  <c r="O181" i="90"/>
  <c r="L181" i="90"/>
  <c r="S181" i="90"/>
  <c r="R181" i="90"/>
  <c r="M181" i="90"/>
  <c r="J181" i="90"/>
  <c r="P181" i="90"/>
  <c r="Z189" i="90"/>
  <c r="Y189" i="90"/>
  <c r="X189" i="90"/>
  <c r="V189" i="90"/>
  <c r="T189" i="90"/>
  <c r="W189" i="90"/>
  <c r="S189" i="90"/>
  <c r="Q189" i="90"/>
  <c r="R189" i="90"/>
  <c r="O189" i="90"/>
  <c r="L189" i="90"/>
  <c r="U189" i="90"/>
  <c r="P189" i="90"/>
  <c r="J189" i="90"/>
  <c r="M189" i="90"/>
  <c r="Z197" i="90"/>
  <c r="X197" i="90"/>
  <c r="Y197" i="90"/>
  <c r="V197" i="90"/>
  <c r="T197" i="90"/>
  <c r="W197" i="90"/>
  <c r="Q197" i="90"/>
  <c r="S197" i="90"/>
  <c r="O197" i="90"/>
  <c r="L197" i="90"/>
  <c r="P197" i="90"/>
  <c r="M197" i="90"/>
  <c r="U197" i="90"/>
  <c r="J197" i="90"/>
  <c r="R197" i="90"/>
  <c r="Z205" i="90"/>
  <c r="Y205" i="90"/>
  <c r="X205" i="90"/>
  <c r="V205" i="90"/>
  <c r="T205" i="90"/>
  <c r="S205" i="90"/>
  <c r="Q205" i="90"/>
  <c r="R205" i="90"/>
  <c r="O205" i="90"/>
  <c r="L205" i="90"/>
  <c r="U205" i="90"/>
  <c r="P205" i="90"/>
  <c r="J205" i="90"/>
  <c r="Z213" i="90"/>
  <c r="X213" i="90"/>
  <c r="Y213" i="90"/>
  <c r="V213" i="90"/>
  <c r="T213" i="90"/>
  <c r="W213" i="90"/>
  <c r="Q213" i="90"/>
  <c r="U213" i="90"/>
  <c r="O213" i="90"/>
  <c r="L213" i="90"/>
  <c r="R213" i="90"/>
  <c r="P213" i="90"/>
  <c r="M213" i="90"/>
  <c r="J213" i="90"/>
  <c r="S213" i="90"/>
  <c r="Z221" i="90"/>
  <c r="Y221" i="90"/>
  <c r="X221" i="90"/>
  <c r="V221" i="90"/>
  <c r="T221" i="90"/>
  <c r="W221" i="90"/>
  <c r="S221" i="90"/>
  <c r="Q221" i="90"/>
  <c r="R221" i="90"/>
  <c r="O221" i="90"/>
  <c r="L221" i="90"/>
  <c r="U221" i="90"/>
  <c r="P221" i="90"/>
  <c r="J221" i="90"/>
  <c r="M221" i="90"/>
  <c r="Z229" i="90"/>
  <c r="X229" i="90"/>
  <c r="Y229" i="90"/>
  <c r="V229" i="90"/>
  <c r="T229" i="90"/>
  <c r="W229" i="90"/>
  <c r="Q229" i="90"/>
  <c r="O229" i="90"/>
  <c r="L229" i="90"/>
  <c r="U229" i="90"/>
  <c r="M229" i="90"/>
  <c r="S229" i="90"/>
  <c r="R229" i="90"/>
  <c r="J229" i="90"/>
  <c r="P229" i="90"/>
  <c r="Z237" i="90"/>
  <c r="Y237" i="90"/>
  <c r="X237" i="90"/>
  <c r="V237" i="90"/>
  <c r="T237" i="90"/>
  <c r="W237" i="90"/>
  <c r="S237" i="90"/>
  <c r="Q237" i="90"/>
  <c r="R237" i="90"/>
  <c r="O237" i="90"/>
  <c r="L237" i="90"/>
  <c r="J237" i="90"/>
  <c r="U237" i="90"/>
  <c r="P237" i="90"/>
  <c r="Z245" i="90"/>
  <c r="X245" i="90"/>
  <c r="Y245" i="90"/>
  <c r="V245" i="90"/>
  <c r="T245" i="90"/>
  <c r="W245" i="90"/>
  <c r="Q245" i="90"/>
  <c r="U245" i="90"/>
  <c r="O245" i="90"/>
  <c r="L245" i="90"/>
  <c r="S245" i="90"/>
  <c r="R245" i="90"/>
  <c r="M245" i="90"/>
  <c r="P245" i="90"/>
  <c r="J245" i="90"/>
  <c r="Z253" i="90"/>
  <c r="Y253" i="90"/>
  <c r="X253" i="90"/>
  <c r="V253" i="90"/>
  <c r="T253" i="90"/>
  <c r="W253" i="90"/>
  <c r="S253" i="90"/>
  <c r="Q253" i="90"/>
  <c r="R253" i="90"/>
  <c r="O253" i="90"/>
  <c r="L253" i="90"/>
  <c r="U253" i="90"/>
  <c r="J253" i="90"/>
  <c r="M253" i="90"/>
  <c r="P253" i="90"/>
  <c r="Z261" i="90"/>
  <c r="X261" i="90"/>
  <c r="Y261" i="90"/>
  <c r="V261" i="90"/>
  <c r="T261" i="90"/>
  <c r="W261" i="90"/>
  <c r="Q261" i="90"/>
  <c r="S261" i="90"/>
  <c r="O261" i="90"/>
  <c r="L261" i="90"/>
  <c r="P261" i="90"/>
  <c r="M261" i="90"/>
  <c r="J261" i="90"/>
  <c r="U261" i="90"/>
  <c r="R261" i="90"/>
  <c r="Z269" i="90"/>
  <c r="Y269" i="90"/>
  <c r="X269" i="90"/>
  <c r="V269" i="90"/>
  <c r="T269" i="90"/>
  <c r="W269" i="90"/>
  <c r="S269" i="90"/>
  <c r="Q269" i="90"/>
  <c r="R269" i="90"/>
  <c r="O269" i="90"/>
  <c r="L269" i="90"/>
  <c r="U269" i="90"/>
  <c r="P269" i="90"/>
  <c r="J269" i="90"/>
  <c r="Z273" i="90"/>
  <c r="X273" i="90"/>
  <c r="V273" i="90"/>
  <c r="T273" i="90"/>
  <c r="Y273" i="90"/>
  <c r="W273" i="90"/>
  <c r="U273" i="90"/>
  <c r="Q273" i="90"/>
  <c r="P273" i="90"/>
  <c r="O273" i="90"/>
  <c r="L273" i="90"/>
  <c r="S273" i="90"/>
  <c r="R273" i="90"/>
  <c r="M273" i="90"/>
  <c r="J273" i="90"/>
  <c r="Z281" i="90"/>
  <c r="Y281" i="90"/>
  <c r="X281" i="90"/>
  <c r="V281" i="90"/>
  <c r="W281" i="90"/>
  <c r="T281" i="90"/>
  <c r="U281" i="90"/>
  <c r="Q281" i="90"/>
  <c r="O281" i="90"/>
  <c r="L281" i="90"/>
  <c r="S281" i="90"/>
  <c r="J281" i="90"/>
  <c r="P281" i="90"/>
  <c r="M281" i="90"/>
  <c r="R281" i="90"/>
  <c r="Z289" i="90"/>
  <c r="X289" i="90"/>
  <c r="V289" i="90"/>
  <c r="Y289" i="90"/>
  <c r="T289" i="90"/>
  <c r="W289" i="90"/>
  <c r="U289" i="90"/>
  <c r="Q289" i="90"/>
  <c r="S289" i="90"/>
  <c r="P289" i="90"/>
  <c r="O289" i="90"/>
  <c r="L289" i="90"/>
  <c r="R289" i="90"/>
  <c r="M289" i="90"/>
  <c r="J289" i="90"/>
  <c r="Z297" i="90"/>
  <c r="Y297" i="90"/>
  <c r="X297" i="90"/>
  <c r="V297" i="90"/>
  <c r="W297" i="90"/>
  <c r="T297" i="90"/>
  <c r="U297" i="90"/>
  <c r="Q297" i="90"/>
  <c r="S297" i="90"/>
  <c r="O297" i="90"/>
  <c r="L297" i="90"/>
  <c r="R297" i="90"/>
  <c r="P297" i="90"/>
  <c r="M297" i="90"/>
  <c r="J297" i="90"/>
  <c r="Z305" i="90"/>
  <c r="X305" i="90"/>
  <c r="Y305" i="90"/>
  <c r="V305" i="90"/>
  <c r="T305" i="90"/>
  <c r="W305" i="90"/>
  <c r="U305" i="90"/>
  <c r="Q305" i="90"/>
  <c r="P305" i="90"/>
  <c r="O305" i="90"/>
  <c r="L305" i="90"/>
  <c r="R305" i="90"/>
  <c r="M305" i="90"/>
  <c r="S305" i="90"/>
  <c r="J305" i="90"/>
  <c r="Z313" i="90"/>
  <c r="Y313" i="90"/>
  <c r="X313" i="90"/>
  <c r="V313" i="90"/>
  <c r="W313" i="90"/>
  <c r="T313" i="90"/>
  <c r="U313" i="90"/>
  <c r="Q313" i="90"/>
  <c r="O313" i="90"/>
  <c r="L313" i="90"/>
  <c r="P313" i="90"/>
  <c r="J313" i="90"/>
  <c r="M313" i="90"/>
  <c r="S313" i="90"/>
  <c r="R313" i="90"/>
  <c r="Z321" i="90"/>
  <c r="X321" i="90"/>
  <c r="Y321" i="90"/>
  <c r="V321" i="90"/>
  <c r="T321" i="90"/>
  <c r="W321" i="90"/>
  <c r="U321" i="90"/>
  <c r="Q321" i="90"/>
  <c r="P321" i="90"/>
  <c r="O321" i="90"/>
  <c r="L321" i="90"/>
  <c r="R321" i="90"/>
  <c r="S321" i="90"/>
  <c r="M321" i="90"/>
  <c r="J321" i="90"/>
  <c r="Z329" i="90"/>
  <c r="Y329" i="90"/>
  <c r="X329" i="90"/>
  <c r="V329" i="90"/>
  <c r="W329" i="90"/>
  <c r="T329" i="90"/>
  <c r="U329" i="90"/>
  <c r="Q329" i="90"/>
  <c r="O329" i="90"/>
  <c r="L329" i="90"/>
  <c r="R329" i="90"/>
  <c r="M329" i="90"/>
  <c r="J329" i="90"/>
  <c r="P329" i="90"/>
  <c r="S329" i="90"/>
  <c r="Z333" i="90"/>
  <c r="Y333" i="90"/>
  <c r="X333" i="90"/>
  <c r="V333" i="90"/>
  <c r="T333" i="90"/>
  <c r="W333" i="90"/>
  <c r="S333" i="90"/>
  <c r="Q333" i="90"/>
  <c r="R333" i="90"/>
  <c r="O333" i="90"/>
  <c r="L333" i="90"/>
  <c r="P333" i="90"/>
  <c r="U333" i="90"/>
  <c r="J333" i="90"/>
  <c r="Z341" i="90"/>
  <c r="X341" i="90"/>
  <c r="Y341" i="90"/>
  <c r="V341" i="90"/>
  <c r="T341" i="90"/>
  <c r="W341" i="90"/>
  <c r="Q341" i="90"/>
  <c r="U341" i="90"/>
  <c r="O341" i="90"/>
  <c r="L341" i="90"/>
  <c r="R341" i="90"/>
  <c r="M341" i="90"/>
  <c r="P341" i="90"/>
  <c r="J341" i="90"/>
  <c r="S341" i="90"/>
  <c r="Z345" i="90"/>
  <c r="Y345" i="90"/>
  <c r="X345" i="90"/>
  <c r="V345" i="90"/>
  <c r="W345" i="90"/>
  <c r="T345" i="90"/>
  <c r="U345" i="90"/>
  <c r="Q345" i="90"/>
  <c r="O345" i="90"/>
  <c r="L345" i="90"/>
  <c r="S345" i="90"/>
  <c r="J345" i="90"/>
  <c r="M345" i="90"/>
  <c r="R345" i="90"/>
  <c r="P345" i="90"/>
  <c r="Z353" i="90"/>
  <c r="X353" i="90"/>
  <c r="V353" i="90"/>
  <c r="Y353" i="90"/>
  <c r="T353" i="90"/>
  <c r="W353" i="90"/>
  <c r="U353" i="90"/>
  <c r="Q353" i="90"/>
  <c r="S353" i="90"/>
  <c r="O353" i="90"/>
  <c r="L353" i="90"/>
  <c r="R353" i="90"/>
  <c r="M353" i="90"/>
  <c r="P353" i="90"/>
  <c r="J353" i="90"/>
  <c r="Z361" i="90"/>
  <c r="Y361" i="90"/>
  <c r="X361" i="90"/>
  <c r="V361" i="90"/>
  <c r="W361" i="90"/>
  <c r="T361" i="90"/>
  <c r="U361" i="90"/>
  <c r="Q361" i="90"/>
  <c r="S361" i="90"/>
  <c r="O361" i="90"/>
  <c r="L361" i="90"/>
  <c r="R361" i="90"/>
  <c r="M361" i="90"/>
  <c r="J361" i="90"/>
  <c r="P361" i="90"/>
  <c r="Z369" i="90"/>
  <c r="X369" i="90"/>
  <c r="Y369" i="90"/>
  <c r="V369" i="90"/>
  <c r="T369" i="90"/>
  <c r="W369" i="90"/>
  <c r="U369" i="90"/>
  <c r="Q369" i="90"/>
  <c r="O369" i="90"/>
  <c r="P369" i="90" s="1"/>
  <c r="L369" i="90"/>
  <c r="R369" i="90"/>
  <c r="M369" i="90"/>
  <c r="J369" i="90"/>
  <c r="S369" i="90"/>
  <c r="Z377" i="90"/>
  <c r="Y377" i="90"/>
  <c r="X377" i="90"/>
  <c r="V377" i="90"/>
  <c r="W377" i="90"/>
  <c r="T377" i="90"/>
  <c r="U377" i="90"/>
  <c r="Q377" i="90"/>
  <c r="O377" i="90"/>
  <c r="L377" i="90"/>
  <c r="S377" i="90"/>
  <c r="J377" i="90"/>
  <c r="R377" i="90"/>
  <c r="M377" i="90"/>
  <c r="P377" i="90"/>
  <c r="Z385" i="90"/>
  <c r="X385" i="90"/>
  <c r="Y385" i="90"/>
  <c r="V385" i="90"/>
  <c r="T385" i="90"/>
  <c r="W385" i="90"/>
  <c r="U385" i="90"/>
  <c r="Q385" i="90"/>
  <c r="O385" i="90"/>
  <c r="L385" i="90"/>
  <c r="R385" i="90"/>
  <c r="M385" i="90"/>
  <c r="P385" i="90"/>
  <c r="J385" i="90"/>
  <c r="S385" i="90"/>
  <c r="Z393" i="90"/>
  <c r="Y393" i="90"/>
  <c r="X393" i="90"/>
  <c r="V393" i="90"/>
  <c r="W393" i="90"/>
  <c r="T393" i="90"/>
  <c r="U393" i="90"/>
  <c r="Q393" i="90"/>
  <c r="O393" i="90"/>
  <c r="L393" i="90"/>
  <c r="S393" i="90"/>
  <c r="R393" i="90"/>
  <c r="M393" i="90"/>
  <c r="J393" i="90"/>
  <c r="P393" i="90"/>
  <c r="Z401" i="90"/>
  <c r="X401" i="90"/>
  <c r="V401" i="90"/>
  <c r="Y401" i="90"/>
  <c r="T401" i="90"/>
  <c r="W401" i="90"/>
  <c r="U401" i="90"/>
  <c r="Q401" i="90"/>
  <c r="O401" i="90"/>
  <c r="P401" i="90" s="1"/>
  <c r="L401" i="90"/>
  <c r="S401" i="90"/>
  <c r="R401" i="90"/>
  <c r="M401" i="90"/>
  <c r="J401" i="90"/>
  <c r="Z409" i="90"/>
  <c r="Y409" i="90"/>
  <c r="X409" i="90"/>
  <c r="V409" i="90"/>
  <c r="W409" i="90"/>
  <c r="T409" i="90"/>
  <c r="U409" i="90"/>
  <c r="Q409" i="90"/>
  <c r="O409" i="90"/>
  <c r="P409" i="90" s="1"/>
  <c r="L409" i="90"/>
  <c r="S409" i="90"/>
  <c r="J409" i="90"/>
  <c r="M409" i="90"/>
  <c r="R409" i="90"/>
  <c r="Z417" i="90"/>
  <c r="X417" i="90"/>
  <c r="V417" i="90"/>
  <c r="Y417" i="90"/>
  <c r="T417" i="90"/>
  <c r="W417" i="90"/>
  <c r="U417" i="90"/>
  <c r="Q417" i="90"/>
  <c r="S417" i="90"/>
  <c r="O417" i="90"/>
  <c r="P417" i="90" s="1"/>
  <c r="L417" i="90"/>
  <c r="R417" i="90"/>
  <c r="M417" i="90"/>
  <c r="J417" i="90"/>
  <c r="Z425" i="90"/>
  <c r="Y425" i="90"/>
  <c r="X425" i="90"/>
  <c r="W425" i="90"/>
  <c r="T425" i="90"/>
  <c r="V425" i="90"/>
  <c r="U425" i="90"/>
  <c r="Q425" i="90"/>
  <c r="S425" i="90"/>
  <c r="O425" i="90"/>
  <c r="L425" i="90"/>
  <c r="R425" i="90"/>
  <c r="M425" i="90"/>
  <c r="J425" i="90"/>
  <c r="P425" i="90"/>
  <c r="Z433" i="90"/>
  <c r="X433" i="90"/>
  <c r="Y433" i="90"/>
  <c r="T433" i="90"/>
  <c r="V433" i="90"/>
  <c r="W433" i="90"/>
  <c r="U433" i="90"/>
  <c r="Q433" i="90"/>
  <c r="O433" i="90"/>
  <c r="L433" i="90"/>
  <c r="R433" i="90"/>
  <c r="M433" i="90"/>
  <c r="S433" i="90"/>
  <c r="P433" i="90"/>
  <c r="J433" i="90"/>
  <c r="Z441" i="90"/>
  <c r="Y441" i="90"/>
  <c r="X441" i="90"/>
  <c r="W441" i="90"/>
  <c r="T441" i="90"/>
  <c r="V441" i="90"/>
  <c r="U441" i="90"/>
  <c r="Q441" i="90"/>
  <c r="O441" i="90"/>
  <c r="L441" i="90"/>
  <c r="J441" i="90"/>
  <c r="R441" i="90"/>
  <c r="M441" i="90"/>
  <c r="S441" i="90"/>
  <c r="P441" i="90"/>
  <c r="Z449" i="90"/>
  <c r="X449" i="90"/>
  <c r="Y449" i="90"/>
  <c r="T449" i="90"/>
  <c r="V449" i="90"/>
  <c r="W449" i="90"/>
  <c r="U449" i="90"/>
  <c r="Q449" i="90"/>
  <c r="O449" i="90"/>
  <c r="L449" i="90"/>
  <c r="R449" i="90"/>
  <c r="S449" i="90"/>
  <c r="M449" i="90"/>
  <c r="P449" i="90"/>
  <c r="J449" i="90"/>
  <c r="Z457" i="90"/>
  <c r="Y457" i="90"/>
  <c r="X457" i="90"/>
  <c r="W457" i="90"/>
  <c r="T457" i="90"/>
  <c r="V457" i="90"/>
  <c r="U457" i="90"/>
  <c r="Q457" i="90"/>
  <c r="O457" i="90"/>
  <c r="P457" i="90" s="1"/>
  <c r="L457" i="90"/>
  <c r="R457" i="90"/>
  <c r="S457" i="90"/>
  <c r="M457" i="90"/>
  <c r="J457" i="90"/>
  <c r="Z465" i="90"/>
  <c r="X465" i="90"/>
  <c r="T465" i="90"/>
  <c r="V465" i="90"/>
  <c r="W465" i="90"/>
  <c r="Y465" i="90"/>
  <c r="U465" i="90"/>
  <c r="Q465" i="90"/>
  <c r="O465" i="90"/>
  <c r="P465" i="90" s="1"/>
  <c r="L465" i="90"/>
  <c r="S465" i="90"/>
  <c r="R465" i="90"/>
  <c r="M465" i="90"/>
  <c r="J465" i="90"/>
  <c r="Z473" i="90"/>
  <c r="Y473" i="90"/>
  <c r="X473" i="90"/>
  <c r="W473" i="90"/>
  <c r="T473" i="90"/>
  <c r="V473" i="90"/>
  <c r="U473" i="90"/>
  <c r="Q473" i="90"/>
  <c r="O473" i="90"/>
  <c r="L473" i="90"/>
  <c r="S473" i="90"/>
  <c r="J473" i="90"/>
  <c r="M473" i="90"/>
  <c r="R473" i="90"/>
  <c r="P473" i="90"/>
  <c r="Z481" i="90"/>
  <c r="X481" i="90"/>
  <c r="Y481" i="90"/>
  <c r="T481" i="90"/>
  <c r="V481" i="90"/>
  <c r="W481" i="90"/>
  <c r="U481" i="90"/>
  <c r="Q481" i="90"/>
  <c r="S481" i="90"/>
  <c r="O481" i="90"/>
  <c r="L481" i="90"/>
  <c r="R481" i="90"/>
  <c r="M481" i="90"/>
  <c r="P481" i="90"/>
  <c r="J481" i="90"/>
  <c r="Z489" i="90"/>
  <c r="Y489" i="90"/>
  <c r="X489" i="90"/>
  <c r="W489" i="90"/>
  <c r="T489" i="90"/>
  <c r="V489" i="90"/>
  <c r="U489" i="90"/>
  <c r="Q489" i="90"/>
  <c r="S489" i="90"/>
  <c r="O489" i="90"/>
  <c r="L489" i="90"/>
  <c r="R489" i="90"/>
  <c r="M489" i="90"/>
  <c r="J489" i="90"/>
  <c r="P489" i="90"/>
  <c r="Z497" i="90"/>
  <c r="X497" i="90"/>
  <c r="Y497" i="90"/>
  <c r="T497" i="90"/>
  <c r="V497" i="90"/>
  <c r="W497" i="90"/>
  <c r="U497" i="90"/>
  <c r="Q497" i="90"/>
  <c r="O497" i="90"/>
  <c r="P497" i="90" s="1"/>
  <c r="L497" i="90"/>
  <c r="R497" i="90"/>
  <c r="M497" i="90"/>
  <c r="J497" i="90"/>
  <c r="S497" i="90"/>
  <c r="Z505" i="90"/>
  <c r="Y505" i="90"/>
  <c r="X505" i="90"/>
  <c r="W505" i="90"/>
  <c r="T505" i="90"/>
  <c r="V505" i="90"/>
  <c r="U505" i="90"/>
  <c r="Q505" i="90"/>
  <c r="O505" i="90"/>
  <c r="P505" i="90" s="1"/>
  <c r="L505" i="90"/>
  <c r="S505" i="90"/>
  <c r="J505" i="90"/>
  <c r="M505" i="90"/>
  <c r="R505" i="90"/>
  <c r="Z513" i="90"/>
  <c r="Y513" i="90"/>
  <c r="X513" i="90"/>
  <c r="T513" i="90"/>
  <c r="V513" i="90"/>
  <c r="W513" i="90"/>
  <c r="U513" i="90"/>
  <c r="Q513" i="90"/>
  <c r="O513" i="90"/>
  <c r="P513" i="90" s="1"/>
  <c r="L513" i="90"/>
  <c r="R513" i="90"/>
  <c r="M513" i="90"/>
  <c r="S513" i="90"/>
  <c r="J513" i="90"/>
  <c r="Z521" i="90"/>
  <c r="Y521" i="90"/>
  <c r="X521" i="90"/>
  <c r="W521" i="90"/>
  <c r="T521" i="90"/>
  <c r="V521" i="90"/>
  <c r="U521" i="90"/>
  <c r="Q521" i="90"/>
  <c r="O521" i="90"/>
  <c r="L521" i="90"/>
  <c r="S521" i="90"/>
  <c r="R521" i="90"/>
  <c r="M521" i="90"/>
  <c r="J521" i="90"/>
  <c r="P521" i="90"/>
  <c r="Z529" i="90"/>
  <c r="X529" i="90"/>
  <c r="Y529" i="90"/>
  <c r="T529" i="90"/>
  <c r="V529" i="90"/>
  <c r="W529" i="90"/>
  <c r="U529" i="90"/>
  <c r="Q529" i="90"/>
  <c r="O529" i="90"/>
  <c r="L529" i="90"/>
  <c r="S529" i="90"/>
  <c r="R529" i="90"/>
  <c r="M529" i="90"/>
  <c r="P529" i="90"/>
  <c r="J529" i="90"/>
  <c r="Z537" i="90"/>
  <c r="Y537" i="90"/>
  <c r="X537" i="90"/>
  <c r="W537" i="90"/>
  <c r="T537" i="90"/>
  <c r="V537" i="90"/>
  <c r="U537" i="90"/>
  <c r="Q537" i="90"/>
  <c r="O537" i="90"/>
  <c r="L537" i="90"/>
  <c r="S537" i="90"/>
  <c r="J537" i="90"/>
  <c r="M537" i="90"/>
  <c r="R537" i="90"/>
  <c r="P537" i="90"/>
  <c r="Z545" i="90"/>
  <c r="X545" i="90"/>
  <c r="Y545" i="90"/>
  <c r="T545" i="90"/>
  <c r="V545" i="90"/>
  <c r="W545" i="90"/>
  <c r="U545" i="90"/>
  <c r="Q545" i="90"/>
  <c r="S545" i="90"/>
  <c r="O545" i="90"/>
  <c r="L545" i="90"/>
  <c r="R545" i="90"/>
  <c r="M545" i="90"/>
  <c r="P545" i="90"/>
  <c r="J545" i="90"/>
  <c r="Z557" i="90"/>
  <c r="X557" i="90"/>
  <c r="Y557" i="90"/>
  <c r="T557" i="90"/>
  <c r="W557" i="90"/>
  <c r="V557" i="90"/>
  <c r="S557" i="90"/>
  <c r="Q557" i="90"/>
  <c r="R557" i="90"/>
  <c r="O557" i="90"/>
  <c r="L557" i="90"/>
  <c r="P557" i="90"/>
  <c r="J557" i="90"/>
  <c r="U557" i="90"/>
  <c r="Z561" i="90"/>
  <c r="X561" i="90"/>
  <c r="Y561" i="90"/>
  <c r="T561" i="90"/>
  <c r="V561" i="90"/>
  <c r="W561" i="90"/>
  <c r="U561" i="90"/>
  <c r="Q561" i="90"/>
  <c r="O561" i="90"/>
  <c r="L561" i="90"/>
  <c r="R561" i="90"/>
  <c r="M561" i="90"/>
  <c r="S561" i="90"/>
  <c r="P561" i="90"/>
  <c r="J561" i="90"/>
  <c r="Z569" i="90"/>
  <c r="Y569" i="90"/>
  <c r="X569" i="90"/>
  <c r="W569" i="90"/>
  <c r="T569" i="90"/>
  <c r="V569" i="90"/>
  <c r="U569" i="90"/>
  <c r="Q569" i="90"/>
  <c r="O569" i="90"/>
  <c r="L569" i="90"/>
  <c r="J569" i="90"/>
  <c r="S569" i="90"/>
  <c r="R569" i="90"/>
  <c r="M569" i="90"/>
  <c r="P569" i="90"/>
  <c r="Z577" i="90"/>
  <c r="X577" i="90"/>
  <c r="Y577" i="90"/>
  <c r="T577" i="90"/>
  <c r="V577" i="90"/>
  <c r="W577" i="90"/>
  <c r="U577" i="90"/>
  <c r="Q577" i="90"/>
  <c r="O577" i="90"/>
  <c r="L577" i="90"/>
  <c r="R577" i="90"/>
  <c r="S577" i="90"/>
  <c r="M577" i="90"/>
  <c r="P577" i="90"/>
  <c r="J577" i="90"/>
  <c r="Z589" i="90"/>
  <c r="X589" i="90"/>
  <c r="Y589" i="90"/>
  <c r="T589" i="90"/>
  <c r="W589" i="90"/>
  <c r="V589" i="90"/>
  <c r="S589" i="90"/>
  <c r="Q589" i="90"/>
  <c r="R589" i="90"/>
  <c r="O589" i="90"/>
  <c r="L589" i="90"/>
  <c r="P589" i="90"/>
  <c r="U589" i="90"/>
  <c r="J589" i="90"/>
  <c r="Z597" i="90"/>
  <c r="Y597" i="90"/>
  <c r="X597" i="90"/>
  <c r="T597" i="90"/>
  <c r="W597" i="90"/>
  <c r="V597" i="90"/>
  <c r="Q597" i="90"/>
  <c r="U597" i="90"/>
  <c r="O597" i="90"/>
  <c r="L597" i="90"/>
  <c r="R597" i="90"/>
  <c r="M597" i="90"/>
  <c r="P597" i="90"/>
  <c r="J597" i="90"/>
  <c r="S597" i="90"/>
  <c r="Z605" i="90"/>
  <c r="Y605" i="90"/>
  <c r="X605" i="90"/>
  <c r="T605" i="90"/>
  <c r="W605" i="90"/>
  <c r="V605" i="90"/>
  <c r="S605" i="90"/>
  <c r="Q605" i="90"/>
  <c r="R605" i="90"/>
  <c r="O605" i="90"/>
  <c r="L605" i="90"/>
  <c r="U605" i="90"/>
  <c r="P605" i="90"/>
  <c r="J605" i="90"/>
  <c r="M605" i="90"/>
  <c r="Z613" i="90"/>
  <c r="Y613" i="90"/>
  <c r="X613" i="90"/>
  <c r="T613" i="90"/>
  <c r="W613" i="90"/>
  <c r="V613" i="90"/>
  <c r="Q613" i="90"/>
  <c r="O613" i="90"/>
  <c r="L613" i="90"/>
  <c r="U613" i="90"/>
  <c r="M613" i="90"/>
  <c r="R613" i="90"/>
  <c r="J613" i="90"/>
  <c r="P613" i="90"/>
  <c r="S613" i="90"/>
  <c r="Z621" i="90"/>
  <c r="Y621" i="90"/>
  <c r="X621" i="90"/>
  <c r="T621" i="90"/>
  <c r="W621" i="90"/>
  <c r="V621" i="90"/>
  <c r="S621" i="90"/>
  <c r="Q621" i="90"/>
  <c r="R621" i="90"/>
  <c r="O621" i="90"/>
  <c r="L621" i="90"/>
  <c r="P621" i="90"/>
  <c r="J621" i="90"/>
  <c r="U621" i="90"/>
  <c r="Z629" i="90"/>
  <c r="Y629" i="90"/>
  <c r="X629" i="90"/>
  <c r="T629" i="90"/>
  <c r="W629" i="90"/>
  <c r="V629" i="90"/>
  <c r="Q629" i="90"/>
  <c r="U629" i="90"/>
  <c r="O629" i="90"/>
  <c r="L629" i="90"/>
  <c r="S629" i="90"/>
  <c r="R629" i="90"/>
  <c r="M629" i="90"/>
  <c r="P629" i="90"/>
  <c r="J629" i="90"/>
  <c r="Z637" i="90"/>
  <c r="Y637" i="90"/>
  <c r="X637" i="90"/>
  <c r="V637" i="90"/>
  <c r="T637" i="90"/>
  <c r="W637" i="90"/>
  <c r="S637" i="90"/>
  <c r="Q637" i="90"/>
  <c r="R637" i="90"/>
  <c r="O637" i="90"/>
  <c r="L637" i="90"/>
  <c r="U637" i="90"/>
  <c r="P637" i="90"/>
  <c r="J637" i="90"/>
  <c r="M637" i="90"/>
  <c r="Z645" i="90"/>
  <c r="Y645" i="90"/>
  <c r="X645" i="90"/>
  <c r="V645" i="90"/>
  <c r="T645" i="90"/>
  <c r="W645" i="90"/>
  <c r="Q645" i="90"/>
  <c r="S645" i="90"/>
  <c r="O645" i="90"/>
  <c r="L645" i="90"/>
  <c r="M645" i="90"/>
  <c r="J645" i="90"/>
  <c r="P645" i="90"/>
  <c r="U645" i="90"/>
  <c r="R645" i="90"/>
  <c r="Z653" i="90"/>
  <c r="Y653" i="90"/>
  <c r="X653" i="90"/>
  <c r="V653" i="90"/>
  <c r="T653" i="90"/>
  <c r="W653" i="90"/>
  <c r="S653" i="90"/>
  <c r="Q653" i="90"/>
  <c r="R653" i="90"/>
  <c r="O653" i="90"/>
  <c r="L653" i="90"/>
  <c r="P653" i="90"/>
  <c r="U653" i="90"/>
  <c r="J653" i="90"/>
  <c r="Z657" i="90"/>
  <c r="X657" i="90"/>
  <c r="Y657" i="90"/>
  <c r="V657" i="90"/>
  <c r="T657" i="90"/>
  <c r="U657" i="90"/>
  <c r="Q657" i="90"/>
  <c r="W657" i="90"/>
  <c r="O657" i="90"/>
  <c r="L657" i="90"/>
  <c r="S657" i="90"/>
  <c r="R657" i="90"/>
  <c r="M657" i="90"/>
  <c r="P657" i="90"/>
  <c r="J657" i="90"/>
  <c r="Z665" i="90"/>
  <c r="Y665" i="90"/>
  <c r="X665" i="90"/>
  <c r="W665" i="90"/>
  <c r="V665" i="90"/>
  <c r="T665" i="90"/>
  <c r="U665" i="90"/>
  <c r="Q665" i="90"/>
  <c r="O665" i="90"/>
  <c r="L665" i="90"/>
  <c r="S665" i="90"/>
  <c r="J665" i="90"/>
  <c r="M665" i="90"/>
  <c r="R665" i="90"/>
  <c r="P665" i="90"/>
  <c r="Z677" i="90"/>
  <c r="Y677" i="90"/>
  <c r="X677" i="90"/>
  <c r="V677" i="90"/>
  <c r="T677" i="90"/>
  <c r="W677" i="90"/>
  <c r="Q677" i="90"/>
  <c r="O677" i="90"/>
  <c r="L677" i="90"/>
  <c r="U677" i="90"/>
  <c r="S677" i="90"/>
  <c r="M677" i="90"/>
  <c r="R677" i="90"/>
  <c r="J677" i="90"/>
  <c r="P677" i="90"/>
  <c r="Z681" i="90"/>
  <c r="Y681" i="90"/>
  <c r="X681" i="90"/>
  <c r="W681" i="90"/>
  <c r="V681" i="90"/>
  <c r="T681" i="90"/>
  <c r="U681" i="90"/>
  <c r="Q681" i="90"/>
  <c r="S681" i="90"/>
  <c r="O681" i="90"/>
  <c r="L681" i="90"/>
  <c r="R681" i="90"/>
  <c r="M681" i="90"/>
  <c r="J681" i="90"/>
  <c r="P681" i="90"/>
  <c r="Z689" i="90"/>
  <c r="X689" i="90"/>
  <c r="V689" i="90"/>
  <c r="T689" i="90"/>
  <c r="Y689" i="90"/>
  <c r="U689" i="90"/>
  <c r="Q689" i="90"/>
  <c r="O689" i="90"/>
  <c r="L689" i="90"/>
  <c r="W689" i="90"/>
  <c r="R689" i="90"/>
  <c r="M689" i="90"/>
  <c r="S689" i="90"/>
  <c r="P689" i="90"/>
  <c r="J689" i="90"/>
  <c r="Z697" i="90"/>
  <c r="Y697" i="90"/>
  <c r="X697" i="90"/>
  <c r="W697" i="90"/>
  <c r="V697" i="90"/>
  <c r="T697" i="90"/>
  <c r="U697" i="90"/>
  <c r="Q697" i="90"/>
  <c r="O697" i="90"/>
  <c r="L697" i="90"/>
  <c r="J697" i="90"/>
  <c r="R697" i="90"/>
  <c r="M697" i="90"/>
  <c r="S697" i="90"/>
  <c r="P697" i="90"/>
  <c r="Z705" i="90"/>
  <c r="Y705" i="90"/>
  <c r="X705" i="90"/>
  <c r="V705" i="90"/>
  <c r="T705" i="90"/>
  <c r="U705" i="90"/>
  <c r="Q705" i="90"/>
  <c r="W705" i="90"/>
  <c r="O705" i="90"/>
  <c r="L705" i="90"/>
  <c r="R705" i="90"/>
  <c r="S705" i="90"/>
  <c r="M705" i="90"/>
  <c r="P705" i="90"/>
  <c r="J705" i="90"/>
  <c r="Z713" i="90"/>
  <c r="Y713" i="90"/>
  <c r="X713" i="90"/>
  <c r="W713" i="90"/>
  <c r="V713" i="90"/>
  <c r="T713" i="90"/>
  <c r="U713" i="90"/>
  <c r="Q713" i="90"/>
  <c r="O713" i="90"/>
  <c r="L713" i="90"/>
  <c r="R713" i="90"/>
  <c r="S713" i="90"/>
  <c r="M713" i="90"/>
  <c r="J713" i="90"/>
  <c r="P713" i="90"/>
  <c r="Z721" i="90"/>
  <c r="X721" i="90"/>
  <c r="Y721" i="90"/>
  <c r="V721" i="90"/>
  <c r="T721" i="90"/>
  <c r="U721" i="90"/>
  <c r="Q721" i="90"/>
  <c r="W721" i="90"/>
  <c r="O721" i="90"/>
  <c r="L721" i="90"/>
  <c r="S721" i="90"/>
  <c r="R721" i="90"/>
  <c r="M721" i="90"/>
  <c r="P721" i="90"/>
  <c r="J721" i="90"/>
  <c r="Z729" i="90"/>
  <c r="Y729" i="90"/>
  <c r="X729" i="90"/>
  <c r="W729" i="90"/>
  <c r="V729" i="90"/>
  <c r="T729" i="90"/>
  <c r="U729" i="90"/>
  <c r="Q729" i="90"/>
  <c r="O729" i="90"/>
  <c r="L729" i="90"/>
  <c r="S729" i="90"/>
  <c r="J729" i="90"/>
  <c r="M729" i="90"/>
  <c r="R729" i="90"/>
  <c r="P729" i="90"/>
  <c r="Z741" i="90"/>
  <c r="Y741" i="90"/>
  <c r="X741" i="90"/>
  <c r="V741" i="90"/>
  <c r="T741" i="90"/>
  <c r="W741" i="90"/>
  <c r="Q741" i="90"/>
  <c r="O741" i="90"/>
  <c r="L741" i="90"/>
  <c r="U741" i="90"/>
  <c r="M741" i="90"/>
  <c r="S741" i="90"/>
  <c r="R741" i="90"/>
  <c r="J741" i="90"/>
  <c r="P741" i="90"/>
  <c r="Z749" i="90"/>
  <c r="Y749" i="90"/>
  <c r="X749" i="90"/>
  <c r="V749" i="90"/>
  <c r="T749" i="90"/>
  <c r="W749" i="90"/>
  <c r="S749" i="90"/>
  <c r="Q749" i="90"/>
  <c r="R749" i="90"/>
  <c r="O749" i="90"/>
  <c r="L749" i="90"/>
  <c r="P749" i="90"/>
  <c r="J749" i="90"/>
  <c r="U749" i="90"/>
  <c r="Z757" i="90"/>
  <c r="Y757" i="90"/>
  <c r="X757" i="90"/>
  <c r="V757" i="90"/>
  <c r="T757" i="90"/>
  <c r="W757" i="90"/>
  <c r="Q757" i="90"/>
  <c r="U757" i="90"/>
  <c r="O757" i="90"/>
  <c r="L757" i="90"/>
  <c r="S757" i="90"/>
  <c r="R757" i="90"/>
  <c r="M757" i="90"/>
  <c r="P757" i="90"/>
  <c r="J757" i="90"/>
  <c r="Z765" i="90"/>
  <c r="Y765" i="90"/>
  <c r="X765" i="90"/>
  <c r="V765" i="90"/>
  <c r="T765" i="90"/>
  <c r="W765" i="90"/>
  <c r="S765" i="90"/>
  <c r="Q765" i="90"/>
  <c r="R765" i="90"/>
  <c r="O765" i="90"/>
  <c r="L765" i="90"/>
  <c r="U765" i="90"/>
  <c r="P765" i="90"/>
  <c r="J765" i="90"/>
  <c r="M765" i="90"/>
  <c r="Z769" i="90"/>
  <c r="Y769" i="90"/>
  <c r="X769" i="90"/>
  <c r="V769" i="90"/>
  <c r="T769" i="90"/>
  <c r="U769" i="90"/>
  <c r="Q769" i="90"/>
  <c r="O769" i="90"/>
  <c r="L769" i="90"/>
  <c r="R769" i="90"/>
  <c r="W769" i="90"/>
  <c r="M769" i="90"/>
  <c r="P769" i="90"/>
  <c r="S769" i="90"/>
  <c r="J769" i="90"/>
  <c r="Z781" i="90"/>
  <c r="Y781" i="90"/>
  <c r="X781" i="90"/>
  <c r="V781" i="90"/>
  <c r="T781" i="90"/>
  <c r="W781" i="90"/>
  <c r="S781" i="90"/>
  <c r="Q781" i="90"/>
  <c r="R781" i="90"/>
  <c r="O781" i="90"/>
  <c r="L781" i="90"/>
  <c r="P781" i="90"/>
  <c r="U781" i="90"/>
  <c r="J781" i="90"/>
  <c r="Z789" i="90"/>
  <c r="Y789" i="90"/>
  <c r="X789" i="90"/>
  <c r="V789" i="90"/>
  <c r="T789" i="90"/>
  <c r="W789" i="90"/>
  <c r="Q789" i="90"/>
  <c r="U789" i="90"/>
  <c r="O789" i="90"/>
  <c r="L789" i="90"/>
  <c r="R789" i="90"/>
  <c r="S789" i="90"/>
  <c r="M789" i="90"/>
  <c r="P789" i="90"/>
  <c r="J789" i="90"/>
  <c r="Z797" i="90"/>
  <c r="Y797" i="90"/>
  <c r="X797" i="90"/>
  <c r="V797" i="90"/>
  <c r="T797" i="90"/>
  <c r="W797" i="90"/>
  <c r="S797" i="90"/>
  <c r="Q797" i="90"/>
  <c r="R797" i="90"/>
  <c r="O797" i="90"/>
  <c r="L797" i="90"/>
  <c r="U797" i="90"/>
  <c r="P797" i="90"/>
  <c r="J797" i="90"/>
  <c r="M797" i="90"/>
  <c r="Z801" i="90"/>
  <c r="X801" i="90"/>
  <c r="Y801" i="90"/>
  <c r="V801" i="90"/>
  <c r="T801" i="90"/>
  <c r="W801" i="90"/>
  <c r="U801" i="90"/>
  <c r="Q801" i="90"/>
  <c r="S801" i="90"/>
  <c r="O801" i="90"/>
  <c r="L801" i="90"/>
  <c r="R801" i="90"/>
  <c r="M801" i="90"/>
  <c r="P801" i="90"/>
  <c r="J801" i="90"/>
  <c r="Z809" i="90"/>
  <c r="Y809" i="90"/>
  <c r="X809" i="90"/>
  <c r="W809" i="90"/>
  <c r="V809" i="90"/>
  <c r="T809" i="90"/>
  <c r="U809" i="90"/>
  <c r="Q809" i="90"/>
  <c r="S809" i="90"/>
  <c r="O809" i="90"/>
  <c r="L809" i="90"/>
  <c r="R809" i="90"/>
  <c r="M809" i="90"/>
  <c r="J809" i="90"/>
  <c r="P809" i="90"/>
  <c r="Z821" i="90"/>
  <c r="Y821" i="90"/>
  <c r="X821" i="90"/>
  <c r="V821" i="90"/>
  <c r="T821" i="90"/>
  <c r="W821" i="90"/>
  <c r="Q821" i="90"/>
  <c r="U821" i="90"/>
  <c r="O821" i="90"/>
  <c r="L821" i="90"/>
  <c r="S821" i="90"/>
  <c r="R821" i="90"/>
  <c r="M821" i="90"/>
  <c r="P821" i="90"/>
  <c r="J821" i="90"/>
  <c r="Z829" i="90"/>
  <c r="Y829" i="90"/>
  <c r="X829" i="90"/>
  <c r="V829" i="90"/>
  <c r="T829" i="90"/>
  <c r="W829" i="90"/>
  <c r="S829" i="90"/>
  <c r="Q829" i="90"/>
  <c r="R829" i="90"/>
  <c r="O829" i="90"/>
  <c r="L829" i="90"/>
  <c r="U829" i="90"/>
  <c r="P829" i="90"/>
  <c r="J829" i="90"/>
  <c r="M829" i="90"/>
  <c r="Z833" i="90"/>
  <c r="Y833" i="90"/>
  <c r="X833" i="90"/>
  <c r="V833" i="90"/>
  <c r="T833" i="90"/>
  <c r="U833" i="90"/>
  <c r="Q833" i="90"/>
  <c r="W833" i="90"/>
  <c r="O833" i="90"/>
  <c r="L833" i="90"/>
  <c r="R833" i="90"/>
  <c r="S833" i="90"/>
  <c r="M833" i="90"/>
  <c r="P833" i="90"/>
  <c r="J833" i="90"/>
  <c r="Z841" i="90"/>
  <c r="Y841" i="90"/>
  <c r="X841" i="90"/>
  <c r="W841" i="90"/>
  <c r="V841" i="90"/>
  <c r="T841" i="90"/>
  <c r="U841" i="90"/>
  <c r="Q841" i="90"/>
  <c r="O841" i="90"/>
  <c r="L841" i="90"/>
  <c r="R841" i="90"/>
  <c r="M841" i="90"/>
  <c r="J841" i="90"/>
  <c r="P841" i="90"/>
  <c r="S841" i="90"/>
  <c r="Z853" i="90"/>
  <c r="Y853" i="90"/>
  <c r="X853" i="90"/>
  <c r="V853" i="90"/>
  <c r="T853" i="90"/>
  <c r="W853" i="90"/>
  <c r="Q853" i="90"/>
  <c r="U853" i="90"/>
  <c r="O853" i="90"/>
  <c r="L853" i="90"/>
  <c r="R853" i="90"/>
  <c r="M853" i="90"/>
  <c r="P853" i="90"/>
  <c r="J853" i="90"/>
  <c r="S853" i="90"/>
  <c r="Z8" i="90"/>
  <c r="Y8" i="90"/>
  <c r="X8" i="90"/>
  <c r="W8" i="90"/>
  <c r="V8" i="90"/>
  <c r="U8" i="90"/>
  <c r="S8" i="90"/>
  <c r="T8" i="90"/>
  <c r="Q8" i="90"/>
  <c r="P8" i="90"/>
  <c r="L8" i="90"/>
  <c r="J8" i="90"/>
  <c r="O8" i="90"/>
  <c r="M8" i="90"/>
  <c r="R8" i="90"/>
  <c r="Z12" i="90"/>
  <c r="X12" i="90"/>
  <c r="Y12" i="90"/>
  <c r="W12" i="90"/>
  <c r="V12" i="90"/>
  <c r="U12" i="90"/>
  <c r="R12" i="90"/>
  <c r="S12" i="90"/>
  <c r="Q12" i="90"/>
  <c r="P12" i="90"/>
  <c r="O12" i="90"/>
  <c r="M12" i="90"/>
  <c r="T12" i="90"/>
  <c r="J12" i="90"/>
  <c r="Z16" i="90"/>
  <c r="Y16" i="90"/>
  <c r="X16" i="90"/>
  <c r="W16" i="90"/>
  <c r="V16" i="90"/>
  <c r="U16" i="90"/>
  <c r="T16" i="90"/>
  <c r="R16" i="90"/>
  <c r="L16" i="90"/>
  <c r="O16" i="90"/>
  <c r="M16" i="90"/>
  <c r="J16" i="90"/>
  <c r="P16" i="90"/>
  <c r="S16" i="90"/>
  <c r="Q16" i="90"/>
  <c r="Z20" i="90"/>
  <c r="X20" i="90"/>
  <c r="Y20" i="90"/>
  <c r="W20" i="90"/>
  <c r="V20" i="90"/>
  <c r="U20" i="90"/>
  <c r="T20" i="90"/>
  <c r="S20" i="90"/>
  <c r="J20" i="90"/>
  <c r="Q20" i="90"/>
  <c r="P20" i="90"/>
  <c r="L20" i="90"/>
  <c r="O20" i="90"/>
  <c r="M20" i="90"/>
  <c r="R20" i="90"/>
  <c r="Z24" i="90"/>
  <c r="Y24" i="90"/>
  <c r="X24" i="90"/>
  <c r="W24" i="90"/>
  <c r="V24" i="90"/>
  <c r="U24" i="90"/>
  <c r="S24" i="90"/>
  <c r="R24" i="90"/>
  <c r="J24" i="90"/>
  <c r="T24" i="90"/>
  <c r="Q24" i="90"/>
  <c r="L24" i="90"/>
  <c r="P24" i="90"/>
  <c r="O24" i="90"/>
  <c r="Z28" i="90"/>
  <c r="X28" i="90"/>
  <c r="Y28" i="90"/>
  <c r="W28" i="90"/>
  <c r="V28" i="90"/>
  <c r="U28" i="90"/>
  <c r="R28" i="90"/>
  <c r="Q28" i="90"/>
  <c r="P28" i="90"/>
  <c r="T28" i="90"/>
  <c r="O28" i="90"/>
  <c r="M28" i="90"/>
  <c r="J28" i="90"/>
  <c r="S28" i="90"/>
  <c r="L28" i="90"/>
  <c r="Z32" i="90"/>
  <c r="Y32" i="90"/>
  <c r="X32" i="90"/>
  <c r="W32" i="90"/>
  <c r="V32" i="90"/>
  <c r="U32" i="90"/>
  <c r="R32" i="90"/>
  <c r="S32" i="90"/>
  <c r="L32" i="90"/>
  <c r="J32" i="90"/>
  <c r="T32" i="90"/>
  <c r="O32" i="90"/>
  <c r="M32" i="90"/>
  <c r="P32" i="90"/>
  <c r="Q32" i="90"/>
  <c r="Z36" i="90"/>
  <c r="X36" i="90"/>
  <c r="Y36" i="90"/>
  <c r="W36" i="90"/>
  <c r="V36" i="90"/>
  <c r="U36" i="90"/>
  <c r="T36" i="90"/>
  <c r="Q36" i="90"/>
  <c r="P36" i="90"/>
  <c r="J36" i="90"/>
  <c r="S36" i="90"/>
  <c r="L36" i="90"/>
  <c r="M36" i="90"/>
  <c r="R36" i="90"/>
  <c r="O36" i="90"/>
  <c r="Z40" i="90"/>
  <c r="Y40" i="90"/>
  <c r="X40" i="90"/>
  <c r="W40" i="90"/>
  <c r="V40" i="90"/>
  <c r="U40" i="90"/>
  <c r="S40" i="90"/>
  <c r="T40" i="90"/>
  <c r="R40" i="90"/>
  <c r="J40" i="90"/>
  <c r="Q40" i="90"/>
  <c r="L40" i="90"/>
  <c r="O40" i="90"/>
  <c r="M40" i="90"/>
  <c r="P40" i="90"/>
  <c r="Z48" i="90"/>
  <c r="Y48" i="90"/>
  <c r="X48" i="90"/>
  <c r="W48" i="90"/>
  <c r="V48" i="90"/>
  <c r="U48" i="90"/>
  <c r="S48" i="90"/>
  <c r="T48" i="90"/>
  <c r="L48" i="90"/>
  <c r="J48" i="90"/>
  <c r="Q48" i="90"/>
  <c r="P48" i="90"/>
  <c r="O48" i="90"/>
  <c r="M48" i="90"/>
  <c r="R48" i="90"/>
  <c r="J13" i="90"/>
  <c r="J5" i="90"/>
  <c r="J161" i="90"/>
  <c r="J97" i="90"/>
  <c r="J33" i="90"/>
  <c r="O344" i="90"/>
  <c r="O280" i="90"/>
  <c r="O216" i="90"/>
  <c r="O152" i="90"/>
  <c r="O120" i="90"/>
  <c r="O88" i="90"/>
  <c r="P868" i="90"/>
  <c r="P836" i="90"/>
  <c r="P772" i="90"/>
  <c r="P708" i="90"/>
  <c r="P676" i="90"/>
  <c r="P644" i="90"/>
  <c r="P612" i="90"/>
  <c r="P580" i="90"/>
  <c r="P516" i="90"/>
  <c r="P452" i="90"/>
  <c r="P420" i="90"/>
  <c r="P388" i="90"/>
  <c r="P356" i="90"/>
  <c r="P152" i="90"/>
  <c r="Q244" i="90"/>
  <c r="R196" i="90"/>
  <c r="Z44" i="90"/>
  <c r="X44" i="90"/>
  <c r="Y44" i="90"/>
  <c r="W44" i="90"/>
  <c r="V44" i="90"/>
  <c r="U44" i="90"/>
  <c r="R44" i="90"/>
  <c r="Q44" i="90"/>
  <c r="P44" i="90"/>
  <c r="O44" i="90"/>
  <c r="M44" i="90"/>
  <c r="J44" i="90"/>
  <c r="Z52" i="90"/>
  <c r="X52" i="90"/>
  <c r="W52" i="90"/>
  <c r="V52" i="90"/>
  <c r="Y52" i="90"/>
  <c r="U52" i="90"/>
  <c r="T52" i="90"/>
  <c r="R52" i="90"/>
  <c r="S52" i="90"/>
  <c r="J52" i="90"/>
  <c r="L52" i="90"/>
  <c r="Z60" i="90"/>
  <c r="Y60" i="90"/>
  <c r="X60" i="90"/>
  <c r="W60" i="90"/>
  <c r="V60" i="90"/>
  <c r="U60" i="90"/>
  <c r="R60" i="90"/>
  <c r="Q60" i="90"/>
  <c r="P60" i="90"/>
  <c r="T60" i="90"/>
  <c r="S60" i="90"/>
  <c r="O60" i="90"/>
  <c r="M60" i="90"/>
  <c r="J60" i="90"/>
  <c r="Z68" i="90"/>
  <c r="Y68" i="90"/>
  <c r="X68" i="90"/>
  <c r="W68" i="90"/>
  <c r="V68" i="90"/>
  <c r="U68" i="90"/>
  <c r="R68" i="90"/>
  <c r="S68" i="90"/>
  <c r="J68" i="90"/>
  <c r="L68" i="90"/>
  <c r="Z72" i="90"/>
  <c r="Y72" i="90"/>
  <c r="X72" i="90"/>
  <c r="W72" i="90"/>
  <c r="V72" i="90"/>
  <c r="U72" i="90"/>
  <c r="S72" i="90"/>
  <c r="T72" i="90"/>
  <c r="R72" i="90"/>
  <c r="Q72" i="90"/>
  <c r="P72" i="90"/>
  <c r="J72" i="90"/>
  <c r="Z80" i="90"/>
  <c r="Y80" i="90"/>
  <c r="X80" i="90"/>
  <c r="W80" i="90"/>
  <c r="V80" i="90"/>
  <c r="U80" i="90"/>
  <c r="T80" i="90"/>
  <c r="R80" i="90"/>
  <c r="S80" i="90"/>
  <c r="L80" i="90"/>
  <c r="J80" i="90"/>
  <c r="O80" i="90"/>
  <c r="M80" i="90"/>
  <c r="Z92" i="90"/>
  <c r="Y92" i="90"/>
  <c r="X92" i="90"/>
  <c r="W92" i="90"/>
  <c r="V92" i="90"/>
  <c r="U92" i="90"/>
  <c r="R92" i="90"/>
  <c r="Q92" i="90"/>
  <c r="P92" i="90"/>
  <c r="T92" i="90"/>
  <c r="O92" i="90"/>
  <c r="M92" i="90"/>
  <c r="J92" i="90"/>
  <c r="S92" i="90"/>
  <c r="Z100" i="90"/>
  <c r="Y100" i="90"/>
  <c r="X100" i="90"/>
  <c r="W100" i="90"/>
  <c r="V100" i="90"/>
  <c r="U100" i="90"/>
  <c r="T100" i="90"/>
  <c r="R100" i="90"/>
  <c r="Q100" i="90"/>
  <c r="P100" i="90"/>
  <c r="J100" i="90"/>
  <c r="L100" i="90"/>
  <c r="Z108" i="90"/>
  <c r="Y108" i="90"/>
  <c r="X108" i="90"/>
  <c r="W108" i="90"/>
  <c r="V108" i="90"/>
  <c r="U108" i="90"/>
  <c r="R108" i="90"/>
  <c r="Q108" i="90"/>
  <c r="P108" i="90"/>
  <c r="S108" i="90"/>
  <c r="O108" i="90"/>
  <c r="M108" i="90"/>
  <c r="J108" i="90"/>
  <c r="Z112" i="90"/>
  <c r="Y112" i="90"/>
  <c r="X112" i="90"/>
  <c r="W112" i="90"/>
  <c r="V112" i="90"/>
  <c r="U112" i="90"/>
  <c r="S112" i="90"/>
  <c r="T112" i="90"/>
  <c r="L112" i="90"/>
  <c r="J112" i="90"/>
  <c r="R112" i="90"/>
  <c r="Q112" i="90"/>
  <c r="P112" i="90"/>
  <c r="O112" i="90"/>
  <c r="M112" i="90"/>
  <c r="Z120" i="90"/>
  <c r="Y120" i="90"/>
  <c r="X120" i="90"/>
  <c r="W120" i="90"/>
  <c r="V120" i="90"/>
  <c r="U120" i="90"/>
  <c r="S120" i="90"/>
  <c r="T120" i="90"/>
  <c r="J120" i="90"/>
  <c r="Q120" i="90"/>
  <c r="P120" i="90"/>
  <c r="Z124" i="90"/>
  <c r="Y124" i="90"/>
  <c r="X124" i="90"/>
  <c r="W124" i="90"/>
  <c r="V124" i="90"/>
  <c r="U124" i="90"/>
  <c r="R124" i="90"/>
  <c r="Q124" i="90"/>
  <c r="P124" i="90"/>
  <c r="T124" i="90"/>
  <c r="S124" i="90"/>
  <c r="O124" i="90"/>
  <c r="M124" i="90"/>
  <c r="J124" i="90"/>
  <c r="Z132" i="90"/>
  <c r="Y132" i="90"/>
  <c r="X132" i="90"/>
  <c r="W132" i="90"/>
  <c r="V132" i="90"/>
  <c r="U132" i="90"/>
  <c r="R132" i="90"/>
  <c r="S132" i="90"/>
  <c r="J132" i="90"/>
  <c r="L132" i="90"/>
  <c r="Z140" i="90"/>
  <c r="Y140" i="90"/>
  <c r="X140" i="90"/>
  <c r="W140" i="90"/>
  <c r="V140" i="90"/>
  <c r="U140" i="90"/>
  <c r="R140" i="90"/>
  <c r="S140" i="90"/>
  <c r="Q140" i="90"/>
  <c r="P140" i="90"/>
  <c r="O140" i="90"/>
  <c r="M140" i="90"/>
  <c r="J140" i="90"/>
  <c r="T140" i="90"/>
  <c r="Z148" i="90"/>
  <c r="Y148" i="90"/>
  <c r="X148" i="90"/>
  <c r="W148" i="90"/>
  <c r="V148" i="90"/>
  <c r="U148" i="90"/>
  <c r="T148" i="90"/>
  <c r="S148" i="90"/>
  <c r="J148" i="90"/>
  <c r="Q148" i="90"/>
  <c r="P148" i="90"/>
  <c r="L148" i="90"/>
  <c r="Z156" i="90"/>
  <c r="Y156" i="90"/>
  <c r="X156" i="90"/>
  <c r="W156" i="90"/>
  <c r="V156" i="90"/>
  <c r="U156" i="90"/>
  <c r="R156" i="90"/>
  <c r="Q156" i="90"/>
  <c r="P156" i="90"/>
  <c r="T156" i="90"/>
  <c r="O156" i="90"/>
  <c r="M156" i="90"/>
  <c r="J156" i="90"/>
  <c r="Z160" i="90"/>
  <c r="Y160" i="90"/>
  <c r="X160" i="90"/>
  <c r="W160" i="90"/>
  <c r="V160" i="90"/>
  <c r="U160" i="90"/>
  <c r="R160" i="90"/>
  <c r="S160" i="90"/>
  <c r="L160" i="90"/>
  <c r="J160" i="90"/>
  <c r="T160" i="90"/>
  <c r="O160" i="90"/>
  <c r="M160" i="90"/>
  <c r="Z168" i="90"/>
  <c r="Y168" i="90"/>
  <c r="X168" i="90"/>
  <c r="W168" i="90"/>
  <c r="V168" i="90"/>
  <c r="U168" i="90"/>
  <c r="S168" i="90"/>
  <c r="T168" i="90"/>
  <c r="R168" i="90"/>
  <c r="Z176" i="90"/>
  <c r="Y176" i="90"/>
  <c r="X176" i="90"/>
  <c r="W176" i="90"/>
  <c r="V176" i="90"/>
  <c r="U176" i="90"/>
  <c r="S176" i="90"/>
  <c r="T176" i="90"/>
  <c r="L176" i="90"/>
  <c r="Q176" i="90"/>
  <c r="P176" i="90"/>
  <c r="O176" i="90"/>
  <c r="M176" i="90"/>
  <c r="Z184" i="90"/>
  <c r="Y184" i="90"/>
  <c r="X184" i="90"/>
  <c r="W184" i="90"/>
  <c r="V184" i="90"/>
  <c r="U184" i="90"/>
  <c r="S184" i="90"/>
  <c r="R184" i="90"/>
  <c r="T184" i="90"/>
  <c r="Q184" i="90"/>
  <c r="P184" i="90"/>
  <c r="Z192" i="90"/>
  <c r="Y192" i="90"/>
  <c r="X192" i="90"/>
  <c r="W192" i="90"/>
  <c r="V192" i="90"/>
  <c r="U192" i="90"/>
  <c r="R192" i="90"/>
  <c r="Q192" i="90"/>
  <c r="P192" i="90"/>
  <c r="L192" i="90"/>
  <c r="S192" i="90"/>
  <c r="O192" i="90"/>
  <c r="M192" i="90"/>
  <c r="Z200" i="90"/>
  <c r="Y200" i="90"/>
  <c r="X200" i="90"/>
  <c r="W200" i="90"/>
  <c r="V200" i="90"/>
  <c r="U200" i="90"/>
  <c r="S200" i="90"/>
  <c r="T200" i="90"/>
  <c r="R200" i="90"/>
  <c r="Q200" i="90"/>
  <c r="P200" i="90"/>
  <c r="Z208" i="90"/>
  <c r="Y208" i="90"/>
  <c r="X208" i="90"/>
  <c r="W208" i="90"/>
  <c r="V208" i="90"/>
  <c r="U208" i="90"/>
  <c r="T208" i="90"/>
  <c r="S208" i="90"/>
  <c r="L208" i="90"/>
  <c r="O208" i="90"/>
  <c r="M208" i="90"/>
  <c r="Z216" i="90"/>
  <c r="Y216" i="90"/>
  <c r="X216" i="90"/>
  <c r="W216" i="90"/>
  <c r="V216" i="90"/>
  <c r="U216" i="90"/>
  <c r="S216" i="90"/>
  <c r="R216" i="90"/>
  <c r="Z224" i="90"/>
  <c r="Y224" i="90"/>
  <c r="X224" i="90"/>
  <c r="W224" i="90"/>
  <c r="V224" i="90"/>
  <c r="U224" i="90"/>
  <c r="S224" i="90"/>
  <c r="R224" i="90"/>
  <c r="L224" i="90"/>
  <c r="T224" i="90"/>
  <c r="O224" i="90"/>
  <c r="M224" i="90"/>
  <c r="Z232" i="90"/>
  <c r="Y232" i="90"/>
  <c r="X232" i="90"/>
  <c r="W232" i="90"/>
  <c r="V232" i="90"/>
  <c r="U232" i="90"/>
  <c r="S232" i="90"/>
  <c r="T232" i="90"/>
  <c r="R232" i="90"/>
  <c r="Z240" i="90"/>
  <c r="Y240" i="90"/>
  <c r="X240" i="90"/>
  <c r="W240" i="90"/>
  <c r="V240" i="90"/>
  <c r="U240" i="90"/>
  <c r="S240" i="90"/>
  <c r="T240" i="90"/>
  <c r="L240" i="90"/>
  <c r="Q240" i="90"/>
  <c r="P240" i="90"/>
  <c r="O240" i="90"/>
  <c r="M240" i="90"/>
  <c r="Z248" i="90"/>
  <c r="Y248" i="90"/>
  <c r="X248" i="90"/>
  <c r="W248" i="90"/>
  <c r="V248" i="90"/>
  <c r="U248" i="90"/>
  <c r="S248" i="90"/>
  <c r="R248" i="90"/>
  <c r="T248" i="90"/>
  <c r="Q248" i="90"/>
  <c r="P248" i="90"/>
  <c r="Z256" i="90"/>
  <c r="Y256" i="90"/>
  <c r="X256" i="90"/>
  <c r="W256" i="90"/>
  <c r="V256" i="90"/>
  <c r="U256" i="90"/>
  <c r="R256" i="90"/>
  <c r="Q256" i="90"/>
  <c r="P256" i="90"/>
  <c r="L256" i="90"/>
  <c r="O256" i="90"/>
  <c r="M256" i="90"/>
  <c r="Z260" i="90"/>
  <c r="Y260" i="90"/>
  <c r="X260" i="90"/>
  <c r="W260" i="90"/>
  <c r="V260" i="90"/>
  <c r="U260" i="90"/>
  <c r="S260" i="90"/>
  <c r="L260" i="90"/>
  <c r="Z268" i="90"/>
  <c r="Y268" i="90"/>
  <c r="X268" i="90"/>
  <c r="W268" i="90"/>
  <c r="V268" i="90"/>
  <c r="U268" i="90"/>
  <c r="S268" i="90"/>
  <c r="Q268" i="90"/>
  <c r="P268" i="90"/>
  <c r="R268" i="90"/>
  <c r="O268" i="90"/>
  <c r="M268" i="90"/>
  <c r="T268" i="90"/>
  <c r="Z272" i="90"/>
  <c r="Y272" i="90"/>
  <c r="X272" i="90"/>
  <c r="W272" i="90"/>
  <c r="V272" i="90"/>
  <c r="U272" i="90"/>
  <c r="T272" i="90"/>
  <c r="L272" i="90"/>
  <c r="O272" i="90"/>
  <c r="M272" i="90"/>
  <c r="Z276" i="90"/>
  <c r="Y276" i="90"/>
  <c r="X276" i="90"/>
  <c r="W276" i="90"/>
  <c r="V276" i="90"/>
  <c r="U276" i="90"/>
  <c r="T276" i="90"/>
  <c r="S276" i="90"/>
  <c r="R276" i="90"/>
  <c r="Q276" i="90"/>
  <c r="P276" i="90"/>
  <c r="L276" i="90"/>
  <c r="Z280" i="90"/>
  <c r="Y280" i="90"/>
  <c r="X280" i="90"/>
  <c r="W280" i="90"/>
  <c r="V280" i="90"/>
  <c r="U280" i="90"/>
  <c r="T280" i="90"/>
  <c r="S280" i="90"/>
  <c r="R280" i="90"/>
  <c r="Z284" i="90"/>
  <c r="Y284" i="90"/>
  <c r="X284" i="90"/>
  <c r="W284" i="90"/>
  <c r="V284" i="90"/>
  <c r="U284" i="90"/>
  <c r="Q284" i="90"/>
  <c r="P284" i="90"/>
  <c r="R284" i="90"/>
  <c r="O284" i="90"/>
  <c r="M284" i="90"/>
  <c r="T284" i="90"/>
  <c r="Z288" i="90"/>
  <c r="Y288" i="90"/>
  <c r="X288" i="90"/>
  <c r="W288" i="90"/>
  <c r="V288" i="90"/>
  <c r="U288" i="90"/>
  <c r="T288" i="90"/>
  <c r="S288" i="90"/>
  <c r="R288" i="90"/>
  <c r="L288" i="90"/>
  <c r="O288" i="90"/>
  <c r="M288" i="90"/>
  <c r="Z296" i="90"/>
  <c r="Y296" i="90"/>
  <c r="X296" i="90"/>
  <c r="W296" i="90"/>
  <c r="V296" i="90"/>
  <c r="U296" i="90"/>
  <c r="T296" i="90"/>
  <c r="S296" i="90"/>
  <c r="R296" i="90"/>
  <c r="Z300" i="90"/>
  <c r="Y300" i="90"/>
  <c r="X300" i="90"/>
  <c r="W300" i="90"/>
  <c r="V300" i="90"/>
  <c r="U300" i="90"/>
  <c r="Q300" i="90"/>
  <c r="P300" i="90"/>
  <c r="R300" i="90"/>
  <c r="T300" i="90"/>
  <c r="O300" i="90"/>
  <c r="M300" i="90"/>
  <c r="Z304" i="90"/>
  <c r="Y304" i="90"/>
  <c r="X304" i="90"/>
  <c r="W304" i="90"/>
  <c r="V304" i="90"/>
  <c r="U304" i="90"/>
  <c r="T304" i="90"/>
  <c r="S304" i="90"/>
  <c r="L304" i="90"/>
  <c r="Q304" i="90"/>
  <c r="P304" i="90"/>
  <c r="O304" i="90"/>
  <c r="M304" i="90"/>
  <c r="Z308" i="90"/>
  <c r="Y308" i="90"/>
  <c r="X308" i="90"/>
  <c r="W308" i="90"/>
  <c r="V308" i="90"/>
  <c r="U308" i="90"/>
  <c r="S308" i="90"/>
  <c r="R308" i="90"/>
  <c r="L308" i="90"/>
  <c r="Z312" i="90"/>
  <c r="Y312" i="90"/>
  <c r="X312" i="90"/>
  <c r="W312" i="90"/>
  <c r="V312" i="90"/>
  <c r="U312" i="90"/>
  <c r="T312" i="90"/>
  <c r="S312" i="90"/>
  <c r="R312" i="90"/>
  <c r="Q312" i="90"/>
  <c r="P312" i="90"/>
  <c r="Z316" i="90"/>
  <c r="Y316" i="90"/>
  <c r="X316" i="90"/>
  <c r="W316" i="90"/>
  <c r="V316" i="90"/>
  <c r="U316" i="90"/>
  <c r="Q316" i="90"/>
  <c r="P316" i="90"/>
  <c r="T316" i="90"/>
  <c r="S316" i="90"/>
  <c r="R316" i="90"/>
  <c r="O316" i="90"/>
  <c r="M316" i="90"/>
  <c r="Z320" i="90"/>
  <c r="Y320" i="90"/>
  <c r="X320" i="90"/>
  <c r="W320" i="90"/>
  <c r="V320" i="90"/>
  <c r="U320" i="90"/>
  <c r="R320" i="90"/>
  <c r="Q320" i="90"/>
  <c r="P320" i="90"/>
  <c r="L320" i="90"/>
  <c r="S320" i="90"/>
  <c r="O320" i="90"/>
  <c r="M320" i="90"/>
  <c r="Z324" i="90"/>
  <c r="Y324" i="90"/>
  <c r="X324" i="90"/>
  <c r="W324" i="90"/>
  <c r="V324" i="90"/>
  <c r="U324" i="90"/>
  <c r="T324" i="90"/>
  <c r="S324" i="90"/>
  <c r="L324" i="90"/>
  <c r="Z328" i="90"/>
  <c r="Y328" i="90"/>
  <c r="X328" i="90"/>
  <c r="W328" i="90"/>
  <c r="V328" i="90"/>
  <c r="U328" i="90"/>
  <c r="T328" i="90"/>
  <c r="S328" i="90"/>
  <c r="R328" i="90"/>
  <c r="Q328" i="90"/>
  <c r="P328" i="90"/>
  <c r="Z332" i="90"/>
  <c r="Y332" i="90"/>
  <c r="X332" i="90"/>
  <c r="W332" i="90"/>
  <c r="V332" i="90"/>
  <c r="U332" i="90"/>
  <c r="T332" i="90"/>
  <c r="S332" i="90"/>
  <c r="Q332" i="90"/>
  <c r="R332" i="90"/>
  <c r="O332" i="90"/>
  <c r="M332" i="90"/>
  <c r="P332" i="90"/>
  <c r="Z336" i="90"/>
  <c r="Y336" i="90"/>
  <c r="X336" i="90"/>
  <c r="W336" i="90"/>
  <c r="V336" i="90"/>
  <c r="U336" i="90"/>
  <c r="S336" i="90"/>
  <c r="L336" i="90"/>
  <c r="O336" i="90"/>
  <c r="M336" i="90"/>
  <c r="Z340" i="90"/>
  <c r="Y340" i="90"/>
  <c r="X340" i="90"/>
  <c r="W340" i="90"/>
  <c r="V340" i="90"/>
  <c r="U340" i="90"/>
  <c r="T340" i="90"/>
  <c r="S340" i="90"/>
  <c r="R340" i="90"/>
  <c r="Q340" i="90"/>
  <c r="L340" i="90"/>
  <c r="Z344" i="90"/>
  <c r="Y344" i="90"/>
  <c r="X344" i="90"/>
  <c r="W344" i="90"/>
  <c r="V344" i="90"/>
  <c r="U344" i="90"/>
  <c r="T344" i="90"/>
  <c r="S344" i="90"/>
  <c r="R344" i="90"/>
  <c r="P344" i="90"/>
  <c r="Z348" i="90"/>
  <c r="Y348" i="90"/>
  <c r="X348" i="90"/>
  <c r="W348" i="90"/>
  <c r="V348" i="90"/>
  <c r="U348" i="90"/>
  <c r="Q348" i="90"/>
  <c r="R348" i="90"/>
  <c r="O348" i="90"/>
  <c r="M348" i="90"/>
  <c r="S348" i="90"/>
  <c r="P348" i="90"/>
  <c r="Z352" i="90"/>
  <c r="Y352" i="90"/>
  <c r="X352" i="90"/>
  <c r="W352" i="90"/>
  <c r="V352" i="90"/>
  <c r="U352" i="90"/>
  <c r="T352" i="90"/>
  <c r="S352" i="90"/>
  <c r="R352" i="90"/>
  <c r="L352" i="90"/>
  <c r="O352" i="90"/>
  <c r="M352" i="90"/>
  <c r="Z356" i="90"/>
  <c r="Y356" i="90"/>
  <c r="X356" i="90"/>
  <c r="W356" i="90"/>
  <c r="V356" i="90"/>
  <c r="U356" i="90"/>
  <c r="Q356" i="90"/>
  <c r="T356" i="90"/>
  <c r="L356" i="90"/>
  <c r="Z360" i="90"/>
  <c r="Y360" i="90"/>
  <c r="X360" i="90"/>
  <c r="W360" i="90"/>
  <c r="V360" i="90"/>
  <c r="U360" i="90"/>
  <c r="T360" i="90"/>
  <c r="S360" i="90"/>
  <c r="R360" i="90"/>
  <c r="P360" i="90"/>
  <c r="Z364" i="90"/>
  <c r="Y364" i="90"/>
  <c r="X364" i="90"/>
  <c r="W364" i="90"/>
  <c r="V364" i="90"/>
  <c r="U364" i="90"/>
  <c r="Q364" i="90"/>
  <c r="R364" i="90"/>
  <c r="S364" i="90"/>
  <c r="O364" i="90"/>
  <c r="M364" i="90"/>
  <c r="P364" i="90"/>
  <c r="Z368" i="90"/>
  <c r="Y368" i="90"/>
  <c r="X368" i="90"/>
  <c r="W368" i="90"/>
  <c r="V368" i="90"/>
  <c r="U368" i="90"/>
  <c r="T368" i="90"/>
  <c r="S368" i="90"/>
  <c r="L368" i="90"/>
  <c r="Q368" i="90"/>
  <c r="O368" i="90"/>
  <c r="P368" i="90" s="1"/>
  <c r="M368" i="90"/>
  <c r="Z372" i="90"/>
  <c r="Y372" i="90"/>
  <c r="X372" i="90"/>
  <c r="W372" i="90"/>
  <c r="V372" i="90"/>
  <c r="U372" i="90"/>
  <c r="T372" i="90"/>
  <c r="R372" i="90"/>
  <c r="L372" i="90"/>
  <c r="Z376" i="90"/>
  <c r="Y376" i="90"/>
  <c r="X376" i="90"/>
  <c r="W376" i="90"/>
  <c r="V376" i="90"/>
  <c r="U376" i="90"/>
  <c r="T376" i="90"/>
  <c r="S376" i="90"/>
  <c r="R376" i="90"/>
  <c r="P376" i="90"/>
  <c r="Q376" i="90"/>
  <c r="Z380" i="90"/>
  <c r="Y380" i="90"/>
  <c r="X380" i="90"/>
  <c r="W380" i="90"/>
  <c r="V380" i="90"/>
  <c r="U380" i="90"/>
  <c r="Q380" i="90"/>
  <c r="T380" i="90"/>
  <c r="S380" i="90"/>
  <c r="R380" i="90"/>
  <c r="O380" i="90"/>
  <c r="M380" i="90"/>
  <c r="P380" i="90"/>
  <c r="Z384" i="90"/>
  <c r="Y384" i="90"/>
  <c r="X384" i="90"/>
  <c r="W384" i="90"/>
  <c r="V384" i="90"/>
  <c r="U384" i="90"/>
  <c r="R384" i="90"/>
  <c r="Q384" i="90"/>
  <c r="L384" i="90"/>
  <c r="T384" i="90"/>
  <c r="O384" i="90"/>
  <c r="M384" i="90"/>
  <c r="Z388" i="90"/>
  <c r="Y388" i="90"/>
  <c r="X388" i="90"/>
  <c r="W388" i="90"/>
  <c r="V388" i="90"/>
  <c r="U388" i="90"/>
  <c r="T388" i="90"/>
  <c r="S388" i="90"/>
  <c r="L388" i="90"/>
  <c r="Z392" i="90"/>
  <c r="Y392" i="90"/>
  <c r="X392" i="90"/>
  <c r="W392" i="90"/>
  <c r="V392" i="90"/>
  <c r="U392" i="90"/>
  <c r="T392" i="90"/>
  <c r="S392" i="90"/>
  <c r="R392" i="90"/>
  <c r="Q392" i="90"/>
  <c r="P392" i="90"/>
  <c r="Z396" i="90"/>
  <c r="Y396" i="90"/>
  <c r="X396" i="90"/>
  <c r="W396" i="90"/>
  <c r="V396" i="90"/>
  <c r="U396" i="90"/>
  <c r="T396" i="90"/>
  <c r="S396" i="90"/>
  <c r="Q396" i="90"/>
  <c r="R396" i="90"/>
  <c r="O396" i="90"/>
  <c r="M396" i="90"/>
  <c r="P396" i="90"/>
  <c r="Z400" i="90"/>
  <c r="Y400" i="90"/>
  <c r="X400" i="90"/>
  <c r="W400" i="90"/>
  <c r="V400" i="90"/>
  <c r="U400" i="90"/>
  <c r="T400" i="90"/>
  <c r="L400" i="90"/>
  <c r="O400" i="90"/>
  <c r="M400" i="90"/>
  <c r="Z404" i="90"/>
  <c r="Y404" i="90"/>
  <c r="X404" i="90"/>
  <c r="W404" i="90"/>
  <c r="V404" i="90"/>
  <c r="U404" i="90"/>
  <c r="T404" i="90"/>
  <c r="S404" i="90"/>
  <c r="R404" i="90"/>
  <c r="Q404" i="90"/>
  <c r="L404" i="90"/>
  <c r="Z408" i="90"/>
  <c r="Y408" i="90"/>
  <c r="X408" i="90"/>
  <c r="W408" i="90"/>
  <c r="V408" i="90"/>
  <c r="U408" i="90"/>
  <c r="T408" i="90"/>
  <c r="S408" i="90"/>
  <c r="R408" i="90"/>
  <c r="Z412" i="90"/>
  <c r="Y412" i="90"/>
  <c r="X412" i="90"/>
  <c r="W412" i="90"/>
  <c r="V412" i="90"/>
  <c r="U412" i="90"/>
  <c r="Q412" i="90"/>
  <c r="R412" i="90"/>
  <c r="O412" i="90"/>
  <c r="P412" i="90" s="1"/>
  <c r="M412" i="90"/>
  <c r="T412" i="90"/>
  <c r="Z416" i="90"/>
  <c r="Y416" i="90"/>
  <c r="X416" i="90"/>
  <c r="W416" i="90"/>
  <c r="V416" i="90"/>
  <c r="U416" i="90"/>
  <c r="T416" i="90"/>
  <c r="S416" i="90"/>
  <c r="R416" i="90"/>
  <c r="L416" i="90"/>
  <c r="O416" i="90"/>
  <c r="P416" i="90" s="1"/>
  <c r="M416" i="90"/>
  <c r="Z420" i="90"/>
  <c r="Y420" i="90"/>
  <c r="X420" i="90"/>
  <c r="W420" i="90"/>
  <c r="V420" i="90"/>
  <c r="U420" i="90"/>
  <c r="Q420" i="90"/>
  <c r="S420" i="90"/>
  <c r="L420" i="90"/>
  <c r="Z424" i="90"/>
  <c r="Y424" i="90"/>
  <c r="X424" i="90"/>
  <c r="W424" i="90"/>
  <c r="V424" i="90"/>
  <c r="U424" i="90"/>
  <c r="T424" i="90"/>
  <c r="S424" i="90"/>
  <c r="R424" i="90"/>
  <c r="P424" i="90"/>
  <c r="Z428" i="90"/>
  <c r="Y428" i="90"/>
  <c r="X428" i="90"/>
  <c r="W428" i="90"/>
  <c r="V428" i="90"/>
  <c r="U428" i="90"/>
  <c r="Q428" i="90"/>
  <c r="R428" i="90"/>
  <c r="T428" i="90"/>
  <c r="O428" i="90"/>
  <c r="M428" i="90"/>
  <c r="P428" i="90"/>
  <c r="Z432" i="90"/>
  <c r="Y432" i="90"/>
  <c r="X432" i="90"/>
  <c r="W432" i="90"/>
  <c r="V432" i="90"/>
  <c r="U432" i="90"/>
  <c r="T432" i="90"/>
  <c r="S432" i="90"/>
  <c r="L432" i="90"/>
  <c r="Q432" i="90"/>
  <c r="O432" i="90"/>
  <c r="M432" i="90"/>
  <c r="Z436" i="90"/>
  <c r="Y436" i="90"/>
  <c r="X436" i="90"/>
  <c r="W436" i="90"/>
  <c r="V436" i="90"/>
  <c r="U436" i="90"/>
  <c r="S436" i="90"/>
  <c r="R436" i="90"/>
  <c r="L436" i="90"/>
  <c r="Z440" i="90"/>
  <c r="Y440" i="90"/>
  <c r="X440" i="90"/>
  <c r="W440" i="90"/>
  <c r="V440" i="90"/>
  <c r="U440" i="90"/>
  <c r="T440" i="90"/>
  <c r="S440" i="90"/>
  <c r="R440" i="90"/>
  <c r="P440" i="90"/>
  <c r="Q440" i="90"/>
  <c r="Z444" i="90"/>
  <c r="Y444" i="90"/>
  <c r="X444" i="90"/>
  <c r="W444" i="90"/>
  <c r="V444" i="90"/>
  <c r="U444" i="90"/>
  <c r="Q444" i="90"/>
  <c r="T444" i="90"/>
  <c r="S444" i="90"/>
  <c r="R444" i="90"/>
  <c r="O444" i="90"/>
  <c r="M444" i="90"/>
  <c r="P444" i="90"/>
  <c r="Z448" i="90"/>
  <c r="Y448" i="90"/>
  <c r="X448" i="90"/>
  <c r="W448" i="90"/>
  <c r="V448" i="90"/>
  <c r="U448" i="90"/>
  <c r="R448" i="90"/>
  <c r="Q448" i="90"/>
  <c r="L448" i="90"/>
  <c r="S448" i="90"/>
  <c r="O448" i="90"/>
  <c r="P448" i="90" s="1"/>
  <c r="M448" i="90"/>
  <c r="Z452" i="90"/>
  <c r="Y452" i="90"/>
  <c r="X452" i="90"/>
  <c r="W452" i="90"/>
  <c r="V452" i="90"/>
  <c r="U452" i="90"/>
  <c r="T452" i="90"/>
  <c r="S452" i="90"/>
  <c r="L452" i="90"/>
  <c r="Z456" i="90"/>
  <c r="Y456" i="90"/>
  <c r="X456" i="90"/>
  <c r="W456" i="90"/>
  <c r="V456" i="90"/>
  <c r="U456" i="90"/>
  <c r="T456" i="90"/>
  <c r="S456" i="90"/>
  <c r="R456" i="90"/>
  <c r="Q456" i="90"/>
  <c r="Z460" i="90"/>
  <c r="Y460" i="90"/>
  <c r="X460" i="90"/>
  <c r="W460" i="90"/>
  <c r="V460" i="90"/>
  <c r="U460" i="90"/>
  <c r="T460" i="90"/>
  <c r="S460" i="90"/>
  <c r="Q460" i="90"/>
  <c r="R460" i="90"/>
  <c r="O460" i="90"/>
  <c r="P460" i="90" s="1"/>
  <c r="M460" i="90"/>
  <c r="Z464" i="90"/>
  <c r="Y464" i="90"/>
  <c r="X464" i="90"/>
  <c r="W464" i="90"/>
  <c r="V464" i="90"/>
  <c r="U464" i="90"/>
  <c r="S464" i="90"/>
  <c r="L464" i="90"/>
  <c r="O464" i="90"/>
  <c r="P464" i="90" s="1"/>
  <c r="M464" i="90"/>
  <c r="Z468" i="90"/>
  <c r="Y468" i="90"/>
  <c r="X468" i="90"/>
  <c r="W468" i="90"/>
  <c r="V468" i="90"/>
  <c r="U468" i="90"/>
  <c r="T468" i="90"/>
  <c r="S468" i="90"/>
  <c r="R468" i="90"/>
  <c r="Q468" i="90"/>
  <c r="L468" i="90"/>
  <c r="Z472" i="90"/>
  <c r="Y472" i="90"/>
  <c r="X472" i="90"/>
  <c r="W472" i="90"/>
  <c r="V472" i="90"/>
  <c r="U472" i="90"/>
  <c r="T472" i="90"/>
  <c r="S472" i="90"/>
  <c r="R472" i="90"/>
  <c r="P472" i="90"/>
  <c r="Z476" i="90"/>
  <c r="Y476" i="90"/>
  <c r="X476" i="90"/>
  <c r="W476" i="90"/>
  <c r="V476" i="90"/>
  <c r="U476" i="90"/>
  <c r="Q476" i="90"/>
  <c r="R476" i="90"/>
  <c r="O476" i="90"/>
  <c r="M476" i="90"/>
  <c r="S476" i="90"/>
  <c r="P476" i="90"/>
  <c r="Z480" i="90"/>
  <c r="Y480" i="90"/>
  <c r="X480" i="90"/>
  <c r="W480" i="90"/>
  <c r="V480" i="90"/>
  <c r="U480" i="90"/>
  <c r="T480" i="90"/>
  <c r="S480" i="90"/>
  <c r="R480" i="90"/>
  <c r="L480" i="90"/>
  <c r="O480" i="90"/>
  <c r="M480" i="90"/>
  <c r="Z484" i="90"/>
  <c r="Y484" i="90"/>
  <c r="X484" i="90"/>
  <c r="W484" i="90"/>
  <c r="V484" i="90"/>
  <c r="U484" i="90"/>
  <c r="Q484" i="90"/>
  <c r="T484" i="90"/>
  <c r="L484" i="90"/>
  <c r="Z488" i="90"/>
  <c r="Y488" i="90"/>
  <c r="X488" i="90"/>
  <c r="W488" i="90"/>
  <c r="V488" i="90"/>
  <c r="U488" i="90"/>
  <c r="T488" i="90"/>
  <c r="S488" i="90"/>
  <c r="R488" i="90"/>
  <c r="P488" i="90"/>
  <c r="Z492" i="90"/>
  <c r="Y492" i="90"/>
  <c r="X492" i="90"/>
  <c r="W492" i="90"/>
  <c r="V492" i="90"/>
  <c r="U492" i="90"/>
  <c r="Q492" i="90"/>
  <c r="R492" i="90"/>
  <c r="S492" i="90"/>
  <c r="O492" i="90"/>
  <c r="M492" i="90"/>
  <c r="P492" i="90"/>
  <c r="Z496" i="90"/>
  <c r="Y496" i="90"/>
  <c r="X496" i="90"/>
  <c r="W496" i="90"/>
  <c r="V496" i="90"/>
  <c r="U496" i="90"/>
  <c r="T496" i="90"/>
  <c r="S496" i="90"/>
  <c r="L496" i="90"/>
  <c r="Q496" i="90"/>
  <c r="O496" i="90"/>
  <c r="M496" i="90"/>
  <c r="Z500" i="90"/>
  <c r="Y500" i="90"/>
  <c r="X500" i="90"/>
  <c r="W500" i="90"/>
  <c r="V500" i="90"/>
  <c r="U500" i="90"/>
  <c r="T500" i="90"/>
  <c r="R500" i="90"/>
  <c r="L500" i="90"/>
  <c r="Z504" i="90"/>
  <c r="Y504" i="90"/>
  <c r="X504" i="90"/>
  <c r="W504" i="90"/>
  <c r="V504" i="90"/>
  <c r="U504" i="90"/>
  <c r="T504" i="90"/>
  <c r="S504" i="90"/>
  <c r="R504" i="90"/>
  <c r="Q504" i="90"/>
  <c r="Z508" i="90"/>
  <c r="Y508" i="90"/>
  <c r="X508" i="90"/>
  <c r="W508" i="90"/>
  <c r="V508" i="90"/>
  <c r="U508" i="90"/>
  <c r="Q508" i="90"/>
  <c r="T508" i="90"/>
  <c r="S508" i="90"/>
  <c r="R508" i="90"/>
  <c r="O508" i="90"/>
  <c r="M508" i="90"/>
  <c r="P508" i="90"/>
  <c r="Z512" i="90"/>
  <c r="Y512" i="90"/>
  <c r="X512" i="90"/>
  <c r="W512" i="90"/>
  <c r="V512" i="90"/>
  <c r="U512" i="90"/>
  <c r="R512" i="90"/>
  <c r="Q512" i="90"/>
  <c r="L512" i="90"/>
  <c r="T512" i="90"/>
  <c r="O512" i="90"/>
  <c r="P512" i="90" s="1"/>
  <c r="M512" i="90"/>
  <c r="Z516" i="90"/>
  <c r="Y516" i="90"/>
  <c r="X516" i="90"/>
  <c r="W516" i="90"/>
  <c r="V516" i="90"/>
  <c r="U516" i="90"/>
  <c r="T516" i="90"/>
  <c r="S516" i="90"/>
  <c r="L516" i="90"/>
  <c r="Z520" i="90"/>
  <c r="Y520" i="90"/>
  <c r="X520" i="90"/>
  <c r="W520" i="90"/>
  <c r="V520" i="90"/>
  <c r="U520" i="90"/>
  <c r="T520" i="90"/>
  <c r="S520" i="90"/>
  <c r="R520" i="90"/>
  <c r="Q520" i="90"/>
  <c r="P520" i="90"/>
  <c r="Z524" i="90"/>
  <c r="X524" i="90"/>
  <c r="W524" i="90"/>
  <c r="Y524" i="90"/>
  <c r="V524" i="90"/>
  <c r="U524" i="90"/>
  <c r="T524" i="90"/>
  <c r="S524" i="90"/>
  <c r="Q524" i="90"/>
  <c r="R524" i="90"/>
  <c r="O524" i="90"/>
  <c r="M524" i="90"/>
  <c r="P524" i="90"/>
  <c r="Z528" i="90"/>
  <c r="Y528" i="90"/>
  <c r="X528" i="90"/>
  <c r="W528" i="90"/>
  <c r="V528" i="90"/>
  <c r="U528" i="90"/>
  <c r="T528" i="90"/>
  <c r="L528" i="90"/>
  <c r="O528" i="90"/>
  <c r="M528" i="90"/>
  <c r="Z532" i="90"/>
  <c r="Y532" i="90"/>
  <c r="X532" i="90"/>
  <c r="W532" i="90"/>
  <c r="V532" i="90"/>
  <c r="U532" i="90"/>
  <c r="T532" i="90"/>
  <c r="S532" i="90"/>
  <c r="R532" i="90"/>
  <c r="Q532" i="90"/>
  <c r="L532" i="90"/>
  <c r="Z536" i="90"/>
  <c r="Y536" i="90"/>
  <c r="X536" i="90"/>
  <c r="W536" i="90"/>
  <c r="V536" i="90"/>
  <c r="U536" i="90"/>
  <c r="T536" i="90"/>
  <c r="S536" i="90"/>
  <c r="R536" i="90"/>
  <c r="P536" i="90"/>
  <c r="Z540" i="90"/>
  <c r="X540" i="90"/>
  <c r="W540" i="90"/>
  <c r="V540" i="90"/>
  <c r="Y540" i="90"/>
  <c r="U540" i="90"/>
  <c r="Q540" i="90"/>
  <c r="R540" i="90"/>
  <c r="O540" i="90"/>
  <c r="M540" i="90"/>
  <c r="T540" i="90"/>
  <c r="P540" i="90"/>
  <c r="Z544" i="90"/>
  <c r="Y544" i="90"/>
  <c r="X544" i="90"/>
  <c r="W544" i="90"/>
  <c r="V544" i="90"/>
  <c r="U544" i="90"/>
  <c r="T544" i="90"/>
  <c r="S544" i="90"/>
  <c r="R544" i="90"/>
  <c r="L544" i="90"/>
  <c r="O544" i="90"/>
  <c r="M544" i="90"/>
  <c r="Z548" i="90"/>
  <c r="Y548" i="90"/>
  <c r="X548" i="90"/>
  <c r="W548" i="90"/>
  <c r="V548" i="90"/>
  <c r="U548" i="90"/>
  <c r="Q548" i="90"/>
  <c r="S548" i="90"/>
  <c r="L548" i="90"/>
  <c r="Z552" i="90"/>
  <c r="Y552" i="90"/>
  <c r="X552" i="90"/>
  <c r="W552" i="90"/>
  <c r="V552" i="90"/>
  <c r="U552" i="90"/>
  <c r="T552" i="90"/>
  <c r="S552" i="90"/>
  <c r="R552" i="90"/>
  <c r="P552" i="90"/>
  <c r="Z556" i="90"/>
  <c r="X556" i="90"/>
  <c r="Y556" i="90"/>
  <c r="W556" i="90"/>
  <c r="V556" i="90"/>
  <c r="U556" i="90"/>
  <c r="Q556" i="90"/>
  <c r="R556" i="90"/>
  <c r="T556" i="90"/>
  <c r="O556" i="90"/>
  <c r="M556" i="90"/>
  <c r="P556" i="90"/>
  <c r="Z560" i="90"/>
  <c r="Y560" i="90"/>
  <c r="X560" i="90"/>
  <c r="W560" i="90"/>
  <c r="V560" i="90"/>
  <c r="U560" i="90"/>
  <c r="T560" i="90"/>
  <c r="S560" i="90"/>
  <c r="L560" i="90"/>
  <c r="Q560" i="90"/>
  <c r="O560" i="90"/>
  <c r="M560" i="90"/>
  <c r="Z564" i="90"/>
  <c r="Y564" i="90"/>
  <c r="X564" i="90"/>
  <c r="W564" i="90"/>
  <c r="V564" i="90"/>
  <c r="U564" i="90"/>
  <c r="S564" i="90"/>
  <c r="R564" i="90"/>
  <c r="L564" i="90"/>
  <c r="Z568" i="90"/>
  <c r="Y568" i="90"/>
  <c r="X568" i="90"/>
  <c r="W568" i="90"/>
  <c r="V568" i="90"/>
  <c r="U568" i="90"/>
  <c r="T568" i="90"/>
  <c r="S568" i="90"/>
  <c r="R568" i="90"/>
  <c r="P568" i="90"/>
  <c r="Q568" i="90"/>
  <c r="Z572" i="90"/>
  <c r="X572" i="90"/>
  <c r="W572" i="90"/>
  <c r="Y572" i="90"/>
  <c r="V572" i="90"/>
  <c r="U572" i="90"/>
  <c r="Q572" i="90"/>
  <c r="T572" i="90"/>
  <c r="S572" i="90"/>
  <c r="R572" i="90"/>
  <c r="O572" i="90"/>
  <c r="M572" i="90"/>
  <c r="P572" i="90"/>
  <c r="Z576" i="90"/>
  <c r="Y576" i="90"/>
  <c r="X576" i="90"/>
  <c r="W576" i="90"/>
  <c r="V576" i="90"/>
  <c r="U576" i="90"/>
  <c r="R576" i="90"/>
  <c r="Q576" i="90"/>
  <c r="L576" i="90"/>
  <c r="S576" i="90"/>
  <c r="O576" i="90"/>
  <c r="M576" i="90"/>
  <c r="Z580" i="90"/>
  <c r="Y580" i="90"/>
  <c r="X580" i="90"/>
  <c r="W580" i="90"/>
  <c r="V580" i="90"/>
  <c r="U580" i="90"/>
  <c r="T580" i="90"/>
  <c r="S580" i="90"/>
  <c r="L580" i="90"/>
  <c r="Z584" i="90"/>
  <c r="Y584" i="90"/>
  <c r="X584" i="90"/>
  <c r="W584" i="90"/>
  <c r="V584" i="90"/>
  <c r="U584" i="90"/>
  <c r="T584" i="90"/>
  <c r="S584" i="90"/>
  <c r="R584" i="90"/>
  <c r="Q584" i="90"/>
  <c r="P584" i="90"/>
  <c r="Z588" i="90"/>
  <c r="X588" i="90"/>
  <c r="W588" i="90"/>
  <c r="Y588" i="90"/>
  <c r="V588" i="90"/>
  <c r="U588" i="90"/>
  <c r="T588" i="90"/>
  <c r="S588" i="90"/>
  <c r="Q588" i="90"/>
  <c r="R588" i="90"/>
  <c r="O588" i="90"/>
  <c r="M588" i="90"/>
  <c r="P588" i="90"/>
  <c r="Z592" i="90"/>
  <c r="Y592" i="90"/>
  <c r="X592" i="90"/>
  <c r="W592" i="90"/>
  <c r="V592" i="90"/>
  <c r="U592" i="90"/>
  <c r="S592" i="90"/>
  <c r="L592" i="90"/>
  <c r="O592" i="90"/>
  <c r="M592" i="90"/>
  <c r="Z596" i="90"/>
  <c r="Y596" i="90"/>
  <c r="X596" i="90"/>
  <c r="W596" i="90"/>
  <c r="V596" i="90"/>
  <c r="U596" i="90"/>
  <c r="T596" i="90"/>
  <c r="S596" i="90"/>
  <c r="R596" i="90"/>
  <c r="Q596" i="90"/>
  <c r="L596" i="90"/>
  <c r="Z600" i="90"/>
  <c r="Y600" i="90"/>
  <c r="X600" i="90"/>
  <c r="W600" i="90"/>
  <c r="V600" i="90"/>
  <c r="U600" i="90"/>
  <c r="T600" i="90"/>
  <c r="S600" i="90"/>
  <c r="R600" i="90"/>
  <c r="P600" i="90"/>
  <c r="Z604" i="90"/>
  <c r="X604" i="90"/>
  <c r="W604" i="90"/>
  <c r="V604" i="90"/>
  <c r="Y604" i="90"/>
  <c r="U604" i="90"/>
  <c r="Q604" i="90"/>
  <c r="R604" i="90"/>
  <c r="O604" i="90"/>
  <c r="M604" i="90"/>
  <c r="S604" i="90"/>
  <c r="P604" i="90"/>
  <c r="Z608" i="90"/>
  <c r="Y608" i="90"/>
  <c r="X608" i="90"/>
  <c r="W608" i="90"/>
  <c r="V608" i="90"/>
  <c r="U608" i="90"/>
  <c r="T608" i="90"/>
  <c r="S608" i="90"/>
  <c r="R608" i="90"/>
  <c r="L608" i="90"/>
  <c r="O608" i="90"/>
  <c r="M608" i="90"/>
  <c r="Z612" i="90"/>
  <c r="Y612" i="90"/>
  <c r="X612" i="90"/>
  <c r="W612" i="90"/>
  <c r="V612" i="90"/>
  <c r="U612" i="90"/>
  <c r="Q612" i="90"/>
  <c r="T612" i="90"/>
  <c r="L612" i="90"/>
  <c r="Z616" i="90"/>
  <c r="Y616" i="90"/>
  <c r="X616" i="90"/>
  <c r="W616" i="90"/>
  <c r="V616" i="90"/>
  <c r="U616" i="90"/>
  <c r="T616" i="90"/>
  <c r="S616" i="90"/>
  <c r="R616" i="90"/>
  <c r="P616" i="90"/>
  <c r="Z620" i="90"/>
  <c r="X620" i="90"/>
  <c r="Y620" i="90"/>
  <c r="W620" i="90"/>
  <c r="V620" i="90"/>
  <c r="U620" i="90"/>
  <c r="Q620" i="90"/>
  <c r="R620" i="90"/>
  <c r="S620" i="90"/>
  <c r="O620" i="90"/>
  <c r="M620" i="90"/>
  <c r="P620" i="90"/>
  <c r="Z624" i="90"/>
  <c r="Y624" i="90"/>
  <c r="X624" i="90"/>
  <c r="W624" i="90"/>
  <c r="V624" i="90"/>
  <c r="U624" i="90"/>
  <c r="T624" i="90"/>
  <c r="S624" i="90"/>
  <c r="L624" i="90"/>
  <c r="Q624" i="90"/>
  <c r="O624" i="90"/>
  <c r="M624" i="90"/>
  <c r="Z628" i="90"/>
  <c r="Y628" i="90"/>
  <c r="X628" i="90"/>
  <c r="W628" i="90"/>
  <c r="V628" i="90"/>
  <c r="U628" i="90"/>
  <c r="T628" i="90"/>
  <c r="R628" i="90"/>
  <c r="L628" i="90"/>
  <c r="Z632" i="90"/>
  <c r="Y632" i="90"/>
  <c r="X632" i="90"/>
  <c r="W632" i="90"/>
  <c r="V632" i="90"/>
  <c r="U632" i="90"/>
  <c r="T632" i="90"/>
  <c r="S632" i="90"/>
  <c r="R632" i="90"/>
  <c r="P632" i="90"/>
  <c r="Q632" i="90"/>
  <c r="Z636" i="90"/>
  <c r="X636" i="90"/>
  <c r="W636" i="90"/>
  <c r="Y636" i="90"/>
  <c r="V636" i="90"/>
  <c r="U636" i="90"/>
  <c r="Q636" i="90"/>
  <c r="T636" i="90"/>
  <c r="S636" i="90"/>
  <c r="R636" i="90"/>
  <c r="O636" i="90"/>
  <c r="M636" i="90"/>
  <c r="P636" i="90"/>
  <c r="Z640" i="90"/>
  <c r="Y640" i="90"/>
  <c r="X640" i="90"/>
  <c r="W640" i="90"/>
  <c r="V640" i="90"/>
  <c r="U640" i="90"/>
  <c r="R640" i="90"/>
  <c r="Q640" i="90"/>
  <c r="L640" i="90"/>
  <c r="T640" i="90"/>
  <c r="O640" i="90"/>
  <c r="M640" i="90"/>
  <c r="Z644" i="90"/>
  <c r="Y644" i="90"/>
  <c r="X644" i="90"/>
  <c r="W644" i="90"/>
  <c r="V644" i="90"/>
  <c r="U644" i="90"/>
  <c r="T644" i="90"/>
  <c r="S644" i="90"/>
  <c r="L644" i="90"/>
  <c r="Z648" i="90"/>
  <c r="Y648" i="90"/>
  <c r="X648" i="90"/>
  <c r="W648" i="90"/>
  <c r="V648" i="90"/>
  <c r="U648" i="90"/>
  <c r="T648" i="90"/>
  <c r="S648" i="90"/>
  <c r="R648" i="90"/>
  <c r="Q648" i="90"/>
  <c r="P648" i="90"/>
  <c r="Z652" i="90"/>
  <c r="X652" i="90"/>
  <c r="W652" i="90"/>
  <c r="Y652" i="90"/>
  <c r="V652" i="90"/>
  <c r="U652" i="90"/>
  <c r="T652" i="90"/>
  <c r="S652" i="90"/>
  <c r="Q652" i="90"/>
  <c r="R652" i="90"/>
  <c r="O652" i="90"/>
  <c r="M652" i="90"/>
  <c r="P652" i="90"/>
  <c r="Z656" i="90"/>
  <c r="Y656" i="90"/>
  <c r="X656" i="90"/>
  <c r="W656" i="90"/>
  <c r="V656" i="90"/>
  <c r="U656" i="90"/>
  <c r="T656" i="90"/>
  <c r="L656" i="90"/>
  <c r="O656" i="90"/>
  <c r="M656" i="90"/>
  <c r="Z660" i="90"/>
  <c r="Y660" i="90"/>
  <c r="X660" i="90"/>
  <c r="W660" i="90"/>
  <c r="V660" i="90"/>
  <c r="U660" i="90"/>
  <c r="T660" i="90"/>
  <c r="S660" i="90"/>
  <c r="R660" i="90"/>
  <c r="Q660" i="90"/>
  <c r="L660" i="90"/>
  <c r="Z664" i="90"/>
  <c r="Y664" i="90"/>
  <c r="X664" i="90"/>
  <c r="W664" i="90"/>
  <c r="U664" i="90"/>
  <c r="T664" i="90"/>
  <c r="S664" i="90"/>
  <c r="R664" i="90"/>
  <c r="P664" i="90"/>
  <c r="Z668" i="90"/>
  <c r="X668" i="90"/>
  <c r="W668" i="90"/>
  <c r="Y668" i="90"/>
  <c r="U668" i="90"/>
  <c r="V668" i="90"/>
  <c r="Q668" i="90"/>
  <c r="R668" i="90"/>
  <c r="O668" i="90"/>
  <c r="M668" i="90"/>
  <c r="T668" i="90"/>
  <c r="P668" i="90"/>
  <c r="Z672" i="90"/>
  <c r="Y672" i="90"/>
  <c r="X672" i="90"/>
  <c r="W672" i="90"/>
  <c r="U672" i="90"/>
  <c r="V672" i="90"/>
  <c r="T672" i="90"/>
  <c r="S672" i="90"/>
  <c r="R672" i="90"/>
  <c r="L672" i="90"/>
  <c r="O672" i="90"/>
  <c r="M672" i="90"/>
  <c r="Z676" i="90"/>
  <c r="Y676" i="90"/>
  <c r="X676" i="90"/>
  <c r="W676" i="90"/>
  <c r="U676" i="90"/>
  <c r="V676" i="90"/>
  <c r="Q676" i="90"/>
  <c r="S676" i="90"/>
  <c r="Z680" i="90"/>
  <c r="Y680" i="90"/>
  <c r="X680" i="90"/>
  <c r="W680" i="90"/>
  <c r="U680" i="90"/>
  <c r="T680" i="90"/>
  <c r="S680" i="90"/>
  <c r="R680" i="90"/>
  <c r="P680" i="90"/>
  <c r="V680" i="90"/>
  <c r="Z684" i="90"/>
  <c r="X684" i="90"/>
  <c r="Y684" i="90"/>
  <c r="W684" i="90"/>
  <c r="U684" i="90"/>
  <c r="V684" i="90"/>
  <c r="Q684" i="90"/>
  <c r="R684" i="90"/>
  <c r="T684" i="90"/>
  <c r="O684" i="90"/>
  <c r="M684" i="90"/>
  <c r="P684" i="90"/>
  <c r="Z688" i="90"/>
  <c r="Y688" i="90"/>
  <c r="X688" i="90"/>
  <c r="W688" i="90"/>
  <c r="U688" i="90"/>
  <c r="T688" i="90"/>
  <c r="S688" i="90"/>
  <c r="V688" i="90"/>
  <c r="L688" i="90"/>
  <c r="Q688" i="90"/>
  <c r="O688" i="90"/>
  <c r="M688" i="90"/>
  <c r="Z692" i="90"/>
  <c r="Y692" i="90"/>
  <c r="X692" i="90"/>
  <c r="W692" i="90"/>
  <c r="U692" i="90"/>
  <c r="V692" i="90"/>
  <c r="S692" i="90"/>
  <c r="R692" i="90"/>
  <c r="Z696" i="90"/>
  <c r="Y696" i="90"/>
  <c r="X696" i="90"/>
  <c r="W696" i="90"/>
  <c r="U696" i="90"/>
  <c r="T696" i="90"/>
  <c r="S696" i="90"/>
  <c r="R696" i="90"/>
  <c r="P696" i="90"/>
  <c r="Q696" i="90"/>
  <c r="Z700" i="90"/>
  <c r="X700" i="90"/>
  <c r="W700" i="90"/>
  <c r="Y700" i="90"/>
  <c r="U700" i="90"/>
  <c r="V700" i="90"/>
  <c r="Q700" i="90"/>
  <c r="T700" i="90"/>
  <c r="S700" i="90"/>
  <c r="R700" i="90"/>
  <c r="O700" i="90"/>
  <c r="M700" i="90"/>
  <c r="P700" i="90"/>
  <c r="Z704" i="90"/>
  <c r="Y704" i="90"/>
  <c r="X704" i="90"/>
  <c r="W704" i="90"/>
  <c r="U704" i="90"/>
  <c r="V704" i="90"/>
  <c r="R704" i="90"/>
  <c r="Q704" i="90"/>
  <c r="L704" i="90"/>
  <c r="S704" i="90"/>
  <c r="O704" i="90"/>
  <c r="M704" i="90"/>
  <c r="Z708" i="90"/>
  <c r="Y708" i="90"/>
  <c r="X708" i="90"/>
  <c r="W708" i="90"/>
  <c r="U708" i="90"/>
  <c r="V708" i="90"/>
  <c r="T708" i="90"/>
  <c r="S708" i="90"/>
  <c r="Z712" i="90"/>
  <c r="Y712" i="90"/>
  <c r="X712" i="90"/>
  <c r="W712" i="90"/>
  <c r="U712" i="90"/>
  <c r="T712" i="90"/>
  <c r="S712" i="90"/>
  <c r="R712" i="90"/>
  <c r="Q712" i="90"/>
  <c r="P712" i="90"/>
  <c r="V712" i="90"/>
  <c r="Z716" i="90"/>
  <c r="X716" i="90"/>
  <c r="W716" i="90"/>
  <c r="Y716" i="90"/>
  <c r="U716" i="90"/>
  <c r="V716" i="90"/>
  <c r="T716" i="90"/>
  <c r="S716" i="90"/>
  <c r="Q716" i="90"/>
  <c r="R716" i="90"/>
  <c r="O716" i="90"/>
  <c r="M716" i="90"/>
  <c r="P716" i="90"/>
  <c r="Z720" i="90"/>
  <c r="Y720" i="90"/>
  <c r="X720" i="90"/>
  <c r="W720" i="90"/>
  <c r="U720" i="90"/>
  <c r="V720" i="90"/>
  <c r="S720" i="90"/>
  <c r="L720" i="90"/>
  <c r="O720" i="90"/>
  <c r="M720" i="90"/>
  <c r="Z724" i="90"/>
  <c r="Y724" i="90"/>
  <c r="X724" i="90"/>
  <c r="W724" i="90"/>
  <c r="U724" i="90"/>
  <c r="V724" i="90"/>
  <c r="T724" i="90"/>
  <c r="S724" i="90"/>
  <c r="R724" i="90"/>
  <c r="Q724" i="90"/>
  <c r="Z728" i="90"/>
  <c r="Y728" i="90"/>
  <c r="X728" i="90"/>
  <c r="W728" i="90"/>
  <c r="U728" i="90"/>
  <c r="T728" i="90"/>
  <c r="S728" i="90"/>
  <c r="R728" i="90"/>
  <c r="P728" i="90"/>
  <c r="Z732" i="90"/>
  <c r="X732" i="90"/>
  <c r="W732" i="90"/>
  <c r="Y732" i="90"/>
  <c r="U732" i="90"/>
  <c r="Q732" i="90"/>
  <c r="V732" i="90"/>
  <c r="R732" i="90"/>
  <c r="O732" i="90"/>
  <c r="M732" i="90"/>
  <c r="S732" i="90"/>
  <c r="P732" i="90"/>
  <c r="Z736" i="90"/>
  <c r="Y736" i="90"/>
  <c r="X736" i="90"/>
  <c r="W736" i="90"/>
  <c r="U736" i="90"/>
  <c r="V736" i="90"/>
  <c r="T736" i="90"/>
  <c r="S736" i="90"/>
  <c r="R736" i="90"/>
  <c r="L736" i="90"/>
  <c r="O736" i="90"/>
  <c r="M736" i="90"/>
  <c r="Z740" i="90"/>
  <c r="Y740" i="90"/>
  <c r="X740" i="90"/>
  <c r="W740" i="90"/>
  <c r="U740" i="90"/>
  <c r="V740" i="90"/>
  <c r="Q740" i="90"/>
  <c r="T740" i="90"/>
  <c r="Z744" i="90"/>
  <c r="Y744" i="90"/>
  <c r="X744" i="90"/>
  <c r="W744" i="90"/>
  <c r="U744" i="90"/>
  <c r="T744" i="90"/>
  <c r="S744" i="90"/>
  <c r="R744" i="90"/>
  <c r="V744" i="90"/>
  <c r="P744" i="90"/>
  <c r="Z748" i="90"/>
  <c r="X748" i="90"/>
  <c r="Y748" i="90"/>
  <c r="W748" i="90"/>
  <c r="U748" i="90"/>
  <c r="Q748" i="90"/>
  <c r="R748" i="90"/>
  <c r="S748" i="90"/>
  <c r="O748" i="90"/>
  <c r="M748" i="90"/>
  <c r="P748" i="90"/>
  <c r="Z752" i="90"/>
  <c r="Y752" i="90"/>
  <c r="X752" i="90"/>
  <c r="W752" i="90"/>
  <c r="U752" i="90"/>
  <c r="T752" i="90"/>
  <c r="S752" i="90"/>
  <c r="L752" i="90"/>
  <c r="Q752" i="90"/>
  <c r="O752" i="90"/>
  <c r="M752" i="90"/>
  <c r="Z756" i="90"/>
  <c r="Y756" i="90"/>
  <c r="W756" i="90"/>
  <c r="X756" i="90"/>
  <c r="U756" i="90"/>
  <c r="V756" i="90"/>
  <c r="T756" i="90"/>
  <c r="R756" i="90"/>
  <c r="Z760" i="90"/>
  <c r="Y760" i="90"/>
  <c r="W760" i="90"/>
  <c r="X760" i="90"/>
  <c r="U760" i="90"/>
  <c r="T760" i="90"/>
  <c r="S760" i="90"/>
  <c r="R760" i="90"/>
  <c r="P760" i="90"/>
  <c r="V760" i="90"/>
  <c r="Q760" i="90"/>
  <c r="Z764" i="90"/>
  <c r="W764" i="90"/>
  <c r="Y764" i="90"/>
  <c r="X764" i="90"/>
  <c r="U764" i="90"/>
  <c r="Q764" i="90"/>
  <c r="V764" i="90"/>
  <c r="T764" i="90"/>
  <c r="S764" i="90"/>
  <c r="R764" i="90"/>
  <c r="O764" i="90"/>
  <c r="M764" i="90"/>
  <c r="P764" i="90"/>
  <c r="Z768" i="90"/>
  <c r="Y768" i="90"/>
  <c r="W768" i="90"/>
  <c r="X768" i="90"/>
  <c r="U768" i="90"/>
  <c r="V768" i="90"/>
  <c r="R768" i="90"/>
  <c r="Q768" i="90"/>
  <c r="L768" i="90"/>
  <c r="T768" i="90"/>
  <c r="O768" i="90"/>
  <c r="M768" i="90"/>
  <c r="Z772" i="90"/>
  <c r="Y772" i="90"/>
  <c r="W772" i="90"/>
  <c r="X772" i="90"/>
  <c r="U772" i="90"/>
  <c r="T772" i="90"/>
  <c r="S772" i="90"/>
  <c r="Z776" i="90"/>
  <c r="Y776" i="90"/>
  <c r="W776" i="90"/>
  <c r="X776" i="90"/>
  <c r="U776" i="90"/>
  <c r="T776" i="90"/>
  <c r="S776" i="90"/>
  <c r="R776" i="90"/>
  <c r="V776" i="90"/>
  <c r="Q776" i="90"/>
  <c r="P776" i="90"/>
  <c r="Z780" i="90"/>
  <c r="W780" i="90"/>
  <c r="Y780" i="90"/>
  <c r="X780" i="90"/>
  <c r="U780" i="90"/>
  <c r="T780" i="90"/>
  <c r="S780" i="90"/>
  <c r="Q780" i="90"/>
  <c r="R780" i="90"/>
  <c r="O780" i="90"/>
  <c r="M780" i="90"/>
  <c r="V780" i="90"/>
  <c r="P780" i="90"/>
  <c r="Z784" i="90"/>
  <c r="Y784" i="90"/>
  <c r="W784" i="90"/>
  <c r="X784" i="90"/>
  <c r="U784" i="90"/>
  <c r="V784" i="90"/>
  <c r="T784" i="90"/>
  <c r="L784" i="90"/>
  <c r="O784" i="90"/>
  <c r="M784" i="90"/>
  <c r="Z788" i="90"/>
  <c r="Y788" i="90"/>
  <c r="W788" i="90"/>
  <c r="X788" i="90"/>
  <c r="U788" i="90"/>
  <c r="V788" i="90"/>
  <c r="T788" i="90"/>
  <c r="S788" i="90"/>
  <c r="R788" i="90"/>
  <c r="Q788" i="90"/>
  <c r="Z792" i="90"/>
  <c r="Y792" i="90"/>
  <c r="W792" i="90"/>
  <c r="X792" i="90"/>
  <c r="U792" i="90"/>
  <c r="T792" i="90"/>
  <c r="S792" i="90"/>
  <c r="R792" i="90"/>
  <c r="P792" i="90"/>
  <c r="Z796" i="90"/>
  <c r="W796" i="90"/>
  <c r="X796" i="90"/>
  <c r="Y796" i="90"/>
  <c r="U796" i="90"/>
  <c r="Q796" i="90"/>
  <c r="V796" i="90"/>
  <c r="R796" i="90"/>
  <c r="O796" i="90"/>
  <c r="M796" i="90"/>
  <c r="T796" i="90"/>
  <c r="P796" i="90"/>
  <c r="Z800" i="90"/>
  <c r="Y800" i="90"/>
  <c r="W800" i="90"/>
  <c r="X800" i="90"/>
  <c r="U800" i="90"/>
  <c r="V800" i="90"/>
  <c r="T800" i="90"/>
  <c r="S800" i="90"/>
  <c r="R800" i="90"/>
  <c r="L800" i="90"/>
  <c r="O800" i="90"/>
  <c r="M800" i="90"/>
  <c r="Z804" i="90"/>
  <c r="Y804" i="90"/>
  <c r="W804" i="90"/>
  <c r="X804" i="90"/>
  <c r="U804" i="90"/>
  <c r="V804" i="90"/>
  <c r="Q804" i="90"/>
  <c r="S804" i="90"/>
  <c r="Z808" i="90"/>
  <c r="Y808" i="90"/>
  <c r="W808" i="90"/>
  <c r="X808" i="90"/>
  <c r="U808" i="90"/>
  <c r="T808" i="90"/>
  <c r="S808" i="90"/>
  <c r="R808" i="90"/>
  <c r="V808" i="90"/>
  <c r="P808" i="90"/>
  <c r="Z812" i="90"/>
  <c r="Y812" i="90"/>
  <c r="W812" i="90"/>
  <c r="X812" i="90"/>
  <c r="U812" i="90"/>
  <c r="Q812" i="90"/>
  <c r="R812" i="90"/>
  <c r="T812" i="90"/>
  <c r="O812" i="90"/>
  <c r="M812" i="90"/>
  <c r="P812" i="90"/>
  <c r="Z816" i="90"/>
  <c r="Y816" i="90"/>
  <c r="W816" i="90"/>
  <c r="X816" i="90"/>
  <c r="U816" i="90"/>
  <c r="T816" i="90"/>
  <c r="S816" i="90"/>
  <c r="L816" i="90"/>
  <c r="Q816" i="90"/>
  <c r="O816" i="90"/>
  <c r="M816" i="90"/>
  <c r="Z820" i="90"/>
  <c r="Y820" i="90"/>
  <c r="W820" i="90"/>
  <c r="X820" i="90"/>
  <c r="U820" i="90"/>
  <c r="V820" i="90"/>
  <c r="S820" i="90"/>
  <c r="R820" i="90"/>
  <c r="Z824" i="90"/>
  <c r="Y824" i="90"/>
  <c r="W824" i="90"/>
  <c r="X824" i="90"/>
  <c r="U824" i="90"/>
  <c r="T824" i="90"/>
  <c r="S824" i="90"/>
  <c r="R824" i="90"/>
  <c r="P824" i="90"/>
  <c r="V824" i="90"/>
  <c r="Q824" i="90"/>
  <c r="Z828" i="90"/>
  <c r="W828" i="90"/>
  <c r="Y828" i="90"/>
  <c r="X828" i="90"/>
  <c r="U828" i="90"/>
  <c r="Q828" i="90"/>
  <c r="V828" i="90"/>
  <c r="T828" i="90"/>
  <c r="S828" i="90"/>
  <c r="R828" i="90"/>
  <c r="O828" i="90"/>
  <c r="M828" i="90"/>
  <c r="P828" i="90"/>
  <c r="Z832" i="90"/>
  <c r="Y832" i="90"/>
  <c r="W832" i="90"/>
  <c r="X832" i="90"/>
  <c r="U832" i="90"/>
  <c r="V832" i="90"/>
  <c r="R832" i="90"/>
  <c r="Q832" i="90"/>
  <c r="L832" i="90"/>
  <c r="S832" i="90"/>
  <c r="O832" i="90"/>
  <c r="M832" i="90"/>
  <c r="Z836" i="90"/>
  <c r="Y836" i="90"/>
  <c r="W836" i="90"/>
  <c r="X836" i="90"/>
  <c r="U836" i="90"/>
  <c r="T836" i="90"/>
  <c r="S836" i="90"/>
  <c r="Z840" i="90"/>
  <c r="Y840" i="90"/>
  <c r="W840" i="90"/>
  <c r="X840" i="90"/>
  <c r="U840" i="90"/>
  <c r="T840" i="90"/>
  <c r="S840" i="90"/>
  <c r="R840" i="90"/>
  <c r="V840" i="90"/>
  <c r="Q840" i="90"/>
  <c r="P840" i="90"/>
  <c r="Z844" i="90"/>
  <c r="W844" i="90"/>
  <c r="Y844" i="90"/>
  <c r="X844" i="90"/>
  <c r="U844" i="90"/>
  <c r="T844" i="90"/>
  <c r="S844" i="90"/>
  <c r="Q844" i="90"/>
  <c r="O844" i="90"/>
  <c r="M844" i="90"/>
  <c r="V844" i="90"/>
  <c r="P844" i="90"/>
  <c r="Z848" i="90"/>
  <c r="Y848" i="90"/>
  <c r="W848" i="90"/>
  <c r="X848" i="90"/>
  <c r="U848" i="90"/>
  <c r="V848" i="90"/>
  <c r="S848" i="90"/>
  <c r="R848" i="90"/>
  <c r="L848" i="90"/>
  <c r="O848" i="90"/>
  <c r="M848" i="90"/>
  <c r="Z852" i="90"/>
  <c r="Y852" i="90"/>
  <c r="W852" i="90"/>
  <c r="X852" i="90"/>
  <c r="U852" i="90"/>
  <c r="V852" i="90"/>
  <c r="T852" i="90"/>
  <c r="S852" i="90"/>
  <c r="Q852" i="90"/>
  <c r="Z856" i="90"/>
  <c r="Y856" i="90"/>
  <c r="W856" i="90"/>
  <c r="X856" i="90"/>
  <c r="U856" i="90"/>
  <c r="T856" i="90"/>
  <c r="S856" i="90"/>
  <c r="R856" i="90"/>
  <c r="P856" i="90"/>
  <c r="Z860" i="90"/>
  <c r="W860" i="90"/>
  <c r="X860" i="90"/>
  <c r="Y860" i="90"/>
  <c r="U860" i="90"/>
  <c r="Q860" i="90"/>
  <c r="V860" i="90"/>
  <c r="O860" i="90"/>
  <c r="M860" i="90"/>
  <c r="S860" i="90"/>
  <c r="R860" i="90"/>
  <c r="P860" i="90"/>
  <c r="Z864" i="90"/>
  <c r="Y864" i="90"/>
  <c r="W864" i="90"/>
  <c r="X864" i="90"/>
  <c r="U864" i="90"/>
  <c r="V864" i="90"/>
  <c r="T864" i="90"/>
  <c r="S864" i="90"/>
  <c r="L864" i="90"/>
  <c r="O864" i="90"/>
  <c r="M864" i="90"/>
  <c r="Z868" i="90"/>
  <c r="Y868" i="90"/>
  <c r="W868" i="90"/>
  <c r="X868" i="90"/>
  <c r="U868" i="90"/>
  <c r="V868" i="90"/>
  <c r="Q868" i="90"/>
  <c r="T868" i="90"/>
  <c r="R868" i="90"/>
  <c r="Z872" i="90"/>
  <c r="Y872" i="90"/>
  <c r="W872" i="90"/>
  <c r="X872" i="90"/>
  <c r="U872" i="90"/>
  <c r="T872" i="90"/>
  <c r="S872" i="90"/>
  <c r="R872" i="90"/>
  <c r="V872" i="90"/>
  <c r="P872" i="90"/>
  <c r="Z876" i="90"/>
  <c r="Y876" i="90"/>
  <c r="W876" i="90"/>
  <c r="X876" i="90"/>
  <c r="U876" i="90"/>
  <c r="Q876" i="90"/>
  <c r="S876" i="90"/>
  <c r="R876" i="90"/>
  <c r="O876" i="90"/>
  <c r="M876" i="90"/>
  <c r="P876" i="90"/>
  <c r="Z880" i="90"/>
  <c r="Y880" i="90"/>
  <c r="W880" i="90"/>
  <c r="X880" i="90"/>
  <c r="U880" i="90"/>
  <c r="T880" i="90"/>
  <c r="S880" i="90"/>
  <c r="L880" i="90"/>
  <c r="Q880" i="90"/>
  <c r="O880" i="90"/>
  <c r="M880" i="90"/>
  <c r="Z884" i="90"/>
  <c r="Y884" i="90"/>
  <c r="W884" i="90"/>
  <c r="X884" i="90"/>
  <c r="U884" i="90"/>
  <c r="V884" i="90"/>
  <c r="T884" i="90"/>
  <c r="R884" i="90"/>
  <c r="Z888" i="90"/>
  <c r="Y888" i="90"/>
  <c r="W888" i="90"/>
  <c r="X888" i="90"/>
  <c r="U888" i="90"/>
  <c r="T888" i="90"/>
  <c r="S888" i="90"/>
  <c r="R888" i="90"/>
  <c r="P888" i="90"/>
  <c r="V888" i="90"/>
  <c r="Q888" i="90"/>
  <c r="Z892" i="90"/>
  <c r="W892" i="90"/>
  <c r="Y892" i="90"/>
  <c r="X892" i="90"/>
  <c r="U892" i="90"/>
  <c r="Q892" i="90"/>
  <c r="V892" i="90"/>
  <c r="T892" i="90"/>
  <c r="S892" i="90"/>
  <c r="O892" i="90"/>
  <c r="M892" i="90"/>
  <c r="P892" i="90"/>
  <c r="Z896" i="90"/>
  <c r="Y896" i="90"/>
  <c r="W896" i="90"/>
  <c r="X896" i="90"/>
  <c r="U896" i="90"/>
  <c r="V896" i="90"/>
  <c r="Q896" i="90"/>
  <c r="L896" i="90"/>
  <c r="T896" i="90"/>
  <c r="R896" i="90"/>
  <c r="O896" i="90"/>
  <c r="M896" i="90"/>
  <c r="Z900" i="90"/>
  <c r="Y900" i="90"/>
  <c r="W900" i="90"/>
  <c r="X900" i="90"/>
  <c r="U900" i="90"/>
  <c r="T900" i="90"/>
  <c r="S900" i="90"/>
  <c r="Z904" i="90"/>
  <c r="Y904" i="90"/>
  <c r="W904" i="90"/>
  <c r="X904" i="90"/>
  <c r="U904" i="90"/>
  <c r="T904" i="90"/>
  <c r="S904" i="90"/>
  <c r="R904" i="90"/>
  <c r="V904" i="90"/>
  <c r="Q904" i="90"/>
  <c r="P904" i="90"/>
  <c r="Z908" i="90"/>
  <c r="W908" i="90"/>
  <c r="Y908" i="90"/>
  <c r="X908" i="90"/>
  <c r="U908" i="90"/>
  <c r="T908" i="90"/>
  <c r="S908" i="90"/>
  <c r="Q908" i="90"/>
  <c r="O908" i="90"/>
  <c r="M908" i="90"/>
  <c r="V908" i="90"/>
  <c r="P908" i="90"/>
  <c r="Z912" i="90"/>
  <c r="Y912" i="90"/>
  <c r="W912" i="90"/>
  <c r="X912" i="90"/>
  <c r="U912" i="90"/>
  <c r="V912" i="90"/>
  <c r="T912" i="90"/>
  <c r="R912" i="90"/>
  <c r="L912" i="90"/>
  <c r="O912" i="90"/>
  <c r="M912" i="90"/>
  <c r="Z916" i="90"/>
  <c r="Y916" i="90"/>
  <c r="W916" i="90"/>
  <c r="X916" i="90"/>
  <c r="U916" i="90"/>
  <c r="V916" i="90"/>
  <c r="T916" i="90"/>
  <c r="S916" i="90"/>
  <c r="Q916" i="90"/>
  <c r="Z920" i="90"/>
  <c r="Y920" i="90"/>
  <c r="W920" i="90"/>
  <c r="X920" i="90"/>
  <c r="U920" i="90"/>
  <c r="T920" i="90"/>
  <c r="S920" i="90"/>
  <c r="R920" i="90"/>
  <c r="P920" i="90"/>
  <c r="L888" i="90"/>
  <c r="L852" i="90"/>
  <c r="L824" i="90"/>
  <c r="L280" i="90"/>
  <c r="L120" i="90"/>
  <c r="M580" i="90"/>
  <c r="M484" i="90"/>
  <c r="M388" i="90"/>
  <c r="M100" i="90"/>
  <c r="O836" i="90"/>
  <c r="O644" i="90"/>
  <c r="O612" i="90"/>
  <c r="O548" i="90"/>
  <c r="O452" i="90"/>
  <c r="O388" i="90"/>
  <c r="O356" i="90"/>
  <c r="O196" i="90"/>
  <c r="O100" i="90"/>
  <c r="P912" i="90"/>
  <c r="P880" i="90"/>
  <c r="P848" i="90"/>
  <c r="P816" i="90"/>
  <c r="P784" i="90"/>
  <c r="P752" i="90"/>
  <c r="P720" i="90"/>
  <c r="P688" i="90"/>
  <c r="P528" i="90"/>
  <c r="P496" i="90"/>
  <c r="P400" i="90"/>
  <c r="P196" i="90"/>
  <c r="P168" i="90"/>
  <c r="P68" i="90"/>
  <c r="Q872" i="90"/>
  <c r="Q800" i="90"/>
  <c r="Q772" i="90"/>
  <c r="Q744" i="90"/>
  <c r="Q672" i="90"/>
  <c r="Q488" i="90"/>
  <c r="Q416" i="90"/>
  <c r="Q260" i="90"/>
  <c r="Q132" i="90"/>
  <c r="R624" i="90"/>
  <c r="R560" i="90"/>
  <c r="R304" i="90"/>
  <c r="S556" i="90"/>
  <c r="S528" i="90"/>
  <c r="S500" i="90"/>
  <c r="S300" i="90"/>
  <c r="S272" i="90"/>
  <c r="T620" i="90"/>
  <c r="T592" i="90"/>
  <c r="T564" i="90"/>
  <c r="Z56" i="90"/>
  <c r="Y56" i="90"/>
  <c r="X56" i="90"/>
  <c r="W56" i="90"/>
  <c r="V56" i="90"/>
  <c r="U56" i="90"/>
  <c r="S56" i="90"/>
  <c r="T56" i="90"/>
  <c r="J56" i="90"/>
  <c r="R56" i="90"/>
  <c r="Q56" i="90"/>
  <c r="P56" i="90"/>
  <c r="Z64" i="90"/>
  <c r="Y64" i="90"/>
  <c r="X64" i="90"/>
  <c r="W64" i="90"/>
  <c r="V64" i="90"/>
  <c r="U64" i="90"/>
  <c r="Q64" i="90"/>
  <c r="P64" i="90"/>
  <c r="L64" i="90"/>
  <c r="J64" i="90"/>
  <c r="S64" i="90"/>
  <c r="O64" i="90"/>
  <c r="M64" i="90"/>
  <c r="Z76" i="90"/>
  <c r="Y76" i="90"/>
  <c r="X76" i="90"/>
  <c r="W76" i="90"/>
  <c r="V76" i="90"/>
  <c r="U76" i="90"/>
  <c r="R76" i="90"/>
  <c r="S76" i="90"/>
  <c r="Q76" i="90"/>
  <c r="P76" i="90"/>
  <c r="O76" i="90"/>
  <c r="M76" i="90"/>
  <c r="J76" i="90"/>
  <c r="T76" i="90"/>
  <c r="Z84" i="90"/>
  <c r="X84" i="90"/>
  <c r="W84" i="90"/>
  <c r="Y84" i="90"/>
  <c r="V84" i="90"/>
  <c r="U84" i="90"/>
  <c r="T84" i="90"/>
  <c r="S84" i="90"/>
  <c r="J84" i="90"/>
  <c r="R84" i="90"/>
  <c r="Q84" i="90"/>
  <c r="P84" i="90"/>
  <c r="L84" i="90"/>
  <c r="Z88" i="90"/>
  <c r="Y88" i="90"/>
  <c r="X88" i="90"/>
  <c r="W88" i="90"/>
  <c r="V88" i="90"/>
  <c r="U88" i="90"/>
  <c r="S88" i="90"/>
  <c r="R88" i="90"/>
  <c r="J88" i="90"/>
  <c r="Z96" i="90"/>
  <c r="Y96" i="90"/>
  <c r="X96" i="90"/>
  <c r="W96" i="90"/>
  <c r="V96" i="90"/>
  <c r="U96" i="90"/>
  <c r="R96" i="90"/>
  <c r="S96" i="90"/>
  <c r="L96" i="90"/>
  <c r="J96" i="90"/>
  <c r="T96" i="90"/>
  <c r="O96" i="90"/>
  <c r="M96" i="90"/>
  <c r="Z104" i="90"/>
  <c r="Y104" i="90"/>
  <c r="X104" i="90"/>
  <c r="W104" i="90"/>
  <c r="V104" i="90"/>
  <c r="U104" i="90"/>
  <c r="S104" i="90"/>
  <c r="T104" i="90"/>
  <c r="R104" i="90"/>
  <c r="J104" i="90"/>
  <c r="Z116" i="90"/>
  <c r="Y116" i="90"/>
  <c r="X116" i="90"/>
  <c r="W116" i="90"/>
  <c r="V116" i="90"/>
  <c r="U116" i="90"/>
  <c r="T116" i="90"/>
  <c r="R116" i="90"/>
  <c r="J116" i="90"/>
  <c r="L116" i="90"/>
  <c r="Z128" i="90"/>
  <c r="Y128" i="90"/>
  <c r="X128" i="90"/>
  <c r="W128" i="90"/>
  <c r="V128" i="90"/>
  <c r="U128" i="90"/>
  <c r="R128" i="90"/>
  <c r="Q128" i="90"/>
  <c r="P128" i="90"/>
  <c r="L128" i="90"/>
  <c r="J128" i="90"/>
  <c r="O128" i="90"/>
  <c r="M128" i="90"/>
  <c r="Z136" i="90"/>
  <c r="Y136" i="90"/>
  <c r="X136" i="90"/>
  <c r="W136" i="90"/>
  <c r="V136" i="90"/>
  <c r="U136" i="90"/>
  <c r="S136" i="90"/>
  <c r="T136" i="90"/>
  <c r="Q136" i="90"/>
  <c r="P136" i="90"/>
  <c r="J136" i="90"/>
  <c r="Z144" i="90"/>
  <c r="Y144" i="90"/>
  <c r="X144" i="90"/>
  <c r="W144" i="90"/>
  <c r="V144" i="90"/>
  <c r="U144" i="90"/>
  <c r="T144" i="90"/>
  <c r="R144" i="90"/>
  <c r="L144" i="90"/>
  <c r="J144" i="90"/>
  <c r="O144" i="90"/>
  <c r="M144" i="90"/>
  <c r="Z152" i="90"/>
  <c r="Y152" i="90"/>
  <c r="X152" i="90"/>
  <c r="W152" i="90"/>
  <c r="V152" i="90"/>
  <c r="U152" i="90"/>
  <c r="S152" i="90"/>
  <c r="R152" i="90"/>
  <c r="J152" i="90"/>
  <c r="Z164" i="90"/>
  <c r="Y164" i="90"/>
  <c r="X164" i="90"/>
  <c r="W164" i="90"/>
  <c r="V164" i="90"/>
  <c r="U164" i="90"/>
  <c r="T164" i="90"/>
  <c r="Q164" i="90"/>
  <c r="P164" i="90"/>
  <c r="J164" i="90"/>
  <c r="S164" i="90"/>
  <c r="L164" i="90"/>
  <c r="Z172" i="90"/>
  <c r="Y172" i="90"/>
  <c r="X172" i="90"/>
  <c r="W172" i="90"/>
  <c r="V172" i="90"/>
  <c r="U172" i="90"/>
  <c r="Q172" i="90"/>
  <c r="P172" i="90"/>
  <c r="R172" i="90"/>
  <c r="O172" i="90"/>
  <c r="M172" i="90"/>
  <c r="Z180" i="90"/>
  <c r="Y180" i="90"/>
  <c r="X180" i="90"/>
  <c r="W180" i="90"/>
  <c r="V180" i="90"/>
  <c r="U180" i="90"/>
  <c r="T180" i="90"/>
  <c r="S180" i="90"/>
  <c r="R180" i="90"/>
  <c r="L180" i="90"/>
  <c r="Z188" i="90"/>
  <c r="Y188" i="90"/>
  <c r="X188" i="90"/>
  <c r="W188" i="90"/>
  <c r="V188" i="90"/>
  <c r="U188" i="90"/>
  <c r="Q188" i="90"/>
  <c r="P188" i="90"/>
  <c r="T188" i="90"/>
  <c r="S188" i="90"/>
  <c r="R188" i="90"/>
  <c r="O188" i="90"/>
  <c r="M188" i="90"/>
  <c r="Z196" i="90"/>
  <c r="Y196" i="90"/>
  <c r="X196" i="90"/>
  <c r="W196" i="90"/>
  <c r="V196" i="90"/>
  <c r="U196" i="90"/>
  <c r="S196" i="90"/>
  <c r="L196" i="90"/>
  <c r="Z204" i="90"/>
  <c r="Y204" i="90"/>
  <c r="X204" i="90"/>
  <c r="W204" i="90"/>
  <c r="V204" i="90"/>
  <c r="U204" i="90"/>
  <c r="S204" i="90"/>
  <c r="Q204" i="90"/>
  <c r="P204" i="90"/>
  <c r="R204" i="90"/>
  <c r="O204" i="90"/>
  <c r="M204" i="90"/>
  <c r="T204" i="90"/>
  <c r="Z212" i="90"/>
  <c r="Y212" i="90"/>
  <c r="X212" i="90"/>
  <c r="W212" i="90"/>
  <c r="V212" i="90"/>
  <c r="U212" i="90"/>
  <c r="T212" i="90"/>
  <c r="S212" i="90"/>
  <c r="R212" i="90"/>
  <c r="Q212" i="90"/>
  <c r="P212" i="90"/>
  <c r="L212" i="90"/>
  <c r="Z220" i="90"/>
  <c r="Y220" i="90"/>
  <c r="X220" i="90"/>
  <c r="W220" i="90"/>
  <c r="V220" i="90"/>
  <c r="U220" i="90"/>
  <c r="Q220" i="90"/>
  <c r="P220" i="90"/>
  <c r="T220" i="90"/>
  <c r="R220" i="90"/>
  <c r="O220" i="90"/>
  <c r="M220" i="90"/>
  <c r="S220" i="90"/>
  <c r="Z228" i="90"/>
  <c r="Y228" i="90"/>
  <c r="X228" i="90"/>
  <c r="W228" i="90"/>
  <c r="V228" i="90"/>
  <c r="U228" i="90"/>
  <c r="T228" i="90"/>
  <c r="Q228" i="90"/>
  <c r="P228" i="90"/>
  <c r="L228" i="90"/>
  <c r="Z236" i="90"/>
  <c r="Y236" i="90"/>
  <c r="X236" i="90"/>
  <c r="W236" i="90"/>
  <c r="V236" i="90"/>
  <c r="U236" i="90"/>
  <c r="Q236" i="90"/>
  <c r="P236" i="90"/>
  <c r="R236" i="90"/>
  <c r="S236" i="90"/>
  <c r="O236" i="90"/>
  <c r="M236" i="90"/>
  <c r="Z244" i="90"/>
  <c r="Y244" i="90"/>
  <c r="X244" i="90"/>
  <c r="W244" i="90"/>
  <c r="V244" i="90"/>
  <c r="U244" i="90"/>
  <c r="T244" i="90"/>
  <c r="R244" i="90"/>
  <c r="L244" i="90"/>
  <c r="Z252" i="90"/>
  <c r="Y252" i="90"/>
  <c r="X252" i="90"/>
  <c r="W252" i="90"/>
  <c r="V252" i="90"/>
  <c r="U252" i="90"/>
  <c r="Q252" i="90"/>
  <c r="P252" i="90"/>
  <c r="T252" i="90"/>
  <c r="S252" i="90"/>
  <c r="R252" i="90"/>
  <c r="O252" i="90"/>
  <c r="M252" i="90"/>
  <c r="Z264" i="90"/>
  <c r="Y264" i="90"/>
  <c r="X264" i="90"/>
  <c r="W264" i="90"/>
  <c r="V264" i="90"/>
  <c r="U264" i="90"/>
  <c r="S264" i="90"/>
  <c r="T264" i="90"/>
  <c r="R264" i="90"/>
  <c r="Q264" i="90"/>
  <c r="P264" i="90"/>
  <c r="Z292" i="90"/>
  <c r="Y292" i="90"/>
  <c r="X292" i="90"/>
  <c r="W292" i="90"/>
  <c r="V292" i="90"/>
  <c r="U292" i="90"/>
  <c r="Q292" i="90"/>
  <c r="P292" i="90"/>
  <c r="S292" i="90"/>
  <c r="L292" i="90"/>
  <c r="Y4" i="90"/>
  <c r="Z4" i="90"/>
  <c r="X4" i="90"/>
  <c r="W4" i="90"/>
  <c r="V4" i="90"/>
  <c r="S4" i="90"/>
  <c r="T4" i="90"/>
  <c r="M4" i="90"/>
  <c r="Z7" i="90"/>
  <c r="Y7" i="90"/>
  <c r="X7" i="90"/>
  <c r="U7" i="90"/>
  <c r="S7" i="90"/>
  <c r="V7" i="90"/>
  <c r="R7" i="90"/>
  <c r="P7" i="90"/>
  <c r="Q7" i="90"/>
  <c r="M7" i="90"/>
  <c r="T7" i="90"/>
  <c r="O7" i="90"/>
  <c r="Z11" i="90"/>
  <c r="Y11" i="90"/>
  <c r="W11" i="90"/>
  <c r="X11" i="90"/>
  <c r="U11" i="90"/>
  <c r="S11" i="90"/>
  <c r="V11" i="90"/>
  <c r="T11" i="90"/>
  <c r="P11" i="90"/>
  <c r="R11" i="90"/>
  <c r="M11" i="90"/>
  <c r="L11" i="90"/>
  <c r="O11" i="90"/>
  <c r="Z15" i="90"/>
  <c r="Y15" i="90"/>
  <c r="X15" i="90"/>
  <c r="W15" i="90"/>
  <c r="U15" i="90"/>
  <c r="S15" i="90"/>
  <c r="V15" i="90"/>
  <c r="P15" i="90"/>
  <c r="M15" i="90"/>
  <c r="T15" i="90"/>
  <c r="R15" i="90"/>
  <c r="Q15" i="90"/>
  <c r="L15" i="90"/>
  <c r="Z19" i="90"/>
  <c r="Y19" i="90"/>
  <c r="X19" i="90"/>
  <c r="W19" i="90"/>
  <c r="V19" i="90"/>
  <c r="U19" i="90"/>
  <c r="S19" i="90"/>
  <c r="T19" i="90"/>
  <c r="P19" i="90"/>
  <c r="R19" i="90"/>
  <c r="M19" i="90"/>
  <c r="Z23" i="90"/>
  <c r="Y23" i="90"/>
  <c r="X23" i="90"/>
  <c r="W23" i="90"/>
  <c r="U23" i="90"/>
  <c r="S23" i="90"/>
  <c r="V23" i="90"/>
  <c r="R23" i="90"/>
  <c r="P23" i="90"/>
  <c r="Q23" i="90"/>
  <c r="M23" i="90"/>
  <c r="O23" i="90"/>
  <c r="Z27" i="90"/>
  <c r="Y27" i="90"/>
  <c r="W27" i="90"/>
  <c r="U27" i="90"/>
  <c r="S27" i="90"/>
  <c r="X27" i="90"/>
  <c r="T27" i="90"/>
  <c r="P27" i="90"/>
  <c r="M27" i="90"/>
  <c r="V27" i="90"/>
  <c r="L27" i="90"/>
  <c r="R27" i="90"/>
  <c r="Q27" i="90"/>
  <c r="O27" i="90"/>
  <c r="Z31" i="90"/>
  <c r="Y31" i="90"/>
  <c r="X31" i="90"/>
  <c r="W31" i="90"/>
  <c r="U31" i="90"/>
  <c r="S31" i="90"/>
  <c r="V31" i="90"/>
  <c r="P31" i="90"/>
  <c r="T31" i="90"/>
  <c r="M31" i="90"/>
  <c r="R31" i="90"/>
  <c r="L31" i="90"/>
  <c r="Z35" i="90"/>
  <c r="Y35" i="90"/>
  <c r="X35" i="90"/>
  <c r="V35" i="90"/>
  <c r="U35" i="90"/>
  <c r="S35" i="90"/>
  <c r="T35" i="90"/>
  <c r="P35" i="90"/>
  <c r="M35" i="90"/>
  <c r="Q35" i="90"/>
  <c r="Z39" i="90"/>
  <c r="Y39" i="90"/>
  <c r="X39" i="90"/>
  <c r="W39" i="90"/>
  <c r="U39" i="90"/>
  <c r="S39" i="90"/>
  <c r="V39" i="90"/>
  <c r="R39" i="90"/>
  <c r="P39" i="90"/>
  <c r="Q39" i="90"/>
  <c r="M39" i="90"/>
  <c r="T39" i="90"/>
  <c r="O39" i="90"/>
  <c r="Z43" i="90"/>
  <c r="Y43" i="90"/>
  <c r="X43" i="90"/>
  <c r="W43" i="90"/>
  <c r="U43" i="90"/>
  <c r="S43" i="90"/>
  <c r="T43" i="90"/>
  <c r="P43" i="90"/>
  <c r="V43" i="90"/>
  <c r="M43" i="90"/>
  <c r="R43" i="90"/>
  <c r="Q43" i="90"/>
  <c r="L43" i="90"/>
  <c r="O43" i="90"/>
  <c r="Z47" i="90"/>
  <c r="Y47" i="90"/>
  <c r="X47" i="90"/>
  <c r="W47" i="90"/>
  <c r="U47" i="90"/>
  <c r="S47" i="90"/>
  <c r="V47" i="90"/>
  <c r="P47" i="90"/>
  <c r="R47" i="90"/>
  <c r="M47" i="90"/>
  <c r="L47" i="90"/>
  <c r="Z51" i="90"/>
  <c r="Y51" i="90"/>
  <c r="X51" i="90"/>
  <c r="W51" i="90"/>
  <c r="V51" i="90"/>
  <c r="U51" i="90"/>
  <c r="S51" i="90"/>
  <c r="T51" i="90"/>
  <c r="P51" i="90"/>
  <c r="M51" i="90"/>
  <c r="Q51" i="90"/>
  <c r="Z55" i="90"/>
  <c r="Y55" i="90"/>
  <c r="X55" i="90"/>
  <c r="W55" i="90"/>
  <c r="U55" i="90"/>
  <c r="S55" i="90"/>
  <c r="V55" i="90"/>
  <c r="R55" i="90"/>
  <c r="P55" i="90"/>
  <c r="Q55" i="90"/>
  <c r="M55" i="90"/>
  <c r="O55" i="90"/>
  <c r="T55" i="90"/>
  <c r="Z59" i="90"/>
  <c r="Y59" i="90"/>
  <c r="X59" i="90"/>
  <c r="W59" i="90"/>
  <c r="U59" i="90"/>
  <c r="S59" i="90"/>
  <c r="T59" i="90"/>
  <c r="P59" i="90"/>
  <c r="V59" i="90"/>
  <c r="M59" i="90"/>
  <c r="R59" i="90"/>
  <c r="L59" i="90"/>
  <c r="O59" i="90"/>
  <c r="Z63" i="90"/>
  <c r="Y63" i="90"/>
  <c r="X63" i="90"/>
  <c r="W63" i="90"/>
  <c r="U63" i="90"/>
  <c r="S63" i="90"/>
  <c r="V63" i="90"/>
  <c r="P63" i="90"/>
  <c r="T63" i="90"/>
  <c r="M63" i="90"/>
  <c r="Q63" i="90"/>
  <c r="L63" i="90"/>
  <c r="Z67" i="90"/>
  <c r="Y67" i="90"/>
  <c r="W67" i="90"/>
  <c r="X67" i="90"/>
  <c r="V67" i="90"/>
  <c r="U67" i="90"/>
  <c r="S67" i="90"/>
  <c r="T67" i="90"/>
  <c r="P67" i="90"/>
  <c r="M67" i="90"/>
  <c r="R67" i="90"/>
  <c r="Z71" i="90"/>
  <c r="Y71" i="90"/>
  <c r="W71" i="90"/>
  <c r="X71" i="90"/>
  <c r="U71" i="90"/>
  <c r="S71" i="90"/>
  <c r="V71" i="90"/>
  <c r="R71" i="90"/>
  <c r="P71" i="90"/>
  <c r="Q71" i="90"/>
  <c r="M71" i="90"/>
  <c r="T71" i="90"/>
  <c r="O71" i="90"/>
  <c r="Z75" i="90"/>
  <c r="Y75" i="90"/>
  <c r="X75" i="90"/>
  <c r="W75" i="90"/>
  <c r="U75" i="90"/>
  <c r="S75" i="90"/>
  <c r="V75" i="90"/>
  <c r="T75" i="90"/>
  <c r="P75" i="90"/>
  <c r="R75" i="90"/>
  <c r="M75" i="90"/>
  <c r="L75" i="90"/>
  <c r="O75" i="90"/>
  <c r="Z79" i="90"/>
  <c r="Y79" i="90"/>
  <c r="X79" i="90"/>
  <c r="W79" i="90"/>
  <c r="U79" i="90"/>
  <c r="S79" i="90"/>
  <c r="V79" i="90"/>
  <c r="P79" i="90"/>
  <c r="M79" i="90"/>
  <c r="T79" i="90"/>
  <c r="Q79" i="90"/>
  <c r="L79" i="90"/>
  <c r="Z83" i="90"/>
  <c r="Y83" i="90"/>
  <c r="W83" i="90"/>
  <c r="V83" i="90"/>
  <c r="U83" i="90"/>
  <c r="S83" i="90"/>
  <c r="X83" i="90"/>
  <c r="T83" i="90"/>
  <c r="P83" i="90"/>
  <c r="R83" i="90"/>
  <c r="M83" i="90"/>
  <c r="Z87" i="90"/>
  <c r="Y87" i="90"/>
  <c r="W87" i="90"/>
  <c r="X87" i="90"/>
  <c r="U87" i="90"/>
  <c r="S87" i="90"/>
  <c r="V87" i="90"/>
  <c r="R87" i="90"/>
  <c r="P87" i="90"/>
  <c r="Q87" i="90"/>
  <c r="M87" i="90"/>
  <c r="O87" i="90"/>
  <c r="Z91" i="90"/>
  <c r="Y91" i="90"/>
  <c r="X91" i="90"/>
  <c r="W91" i="90"/>
  <c r="U91" i="90"/>
  <c r="S91" i="90"/>
  <c r="T91" i="90"/>
  <c r="P91" i="90"/>
  <c r="M91" i="90"/>
  <c r="L91" i="90"/>
  <c r="V91" i="90"/>
  <c r="Q91" i="90"/>
  <c r="O91" i="90"/>
  <c r="Z95" i="90"/>
  <c r="Y95" i="90"/>
  <c r="X95" i="90"/>
  <c r="W95" i="90"/>
  <c r="U95" i="90"/>
  <c r="S95" i="90"/>
  <c r="V95" i="90"/>
  <c r="P95" i="90"/>
  <c r="T95" i="90"/>
  <c r="M95" i="90"/>
  <c r="R95" i="90"/>
  <c r="L95" i="90"/>
  <c r="Z99" i="90"/>
  <c r="Y99" i="90"/>
  <c r="W99" i="90"/>
  <c r="V99" i="90"/>
  <c r="U99" i="90"/>
  <c r="S99" i="90"/>
  <c r="X99" i="90"/>
  <c r="T99" i="90"/>
  <c r="P99" i="90"/>
  <c r="M99" i="90"/>
  <c r="R99" i="90"/>
  <c r="Q99" i="90"/>
  <c r="Z103" i="90"/>
  <c r="Y103" i="90"/>
  <c r="W103" i="90"/>
  <c r="X103" i="90"/>
  <c r="U103" i="90"/>
  <c r="S103" i="90"/>
  <c r="V103" i="90"/>
  <c r="R103" i="90"/>
  <c r="P103" i="90"/>
  <c r="Q103" i="90"/>
  <c r="M103" i="90"/>
  <c r="T103" i="90"/>
  <c r="O103" i="90"/>
  <c r="Z107" i="90"/>
  <c r="Y107" i="90"/>
  <c r="X107" i="90"/>
  <c r="W107" i="90"/>
  <c r="U107" i="90"/>
  <c r="S107" i="90"/>
  <c r="T107" i="90"/>
  <c r="P107" i="90"/>
  <c r="M107" i="90"/>
  <c r="V107" i="90"/>
  <c r="Q107" i="90"/>
  <c r="L107" i="90"/>
  <c r="O107" i="90"/>
  <c r="Z111" i="90"/>
  <c r="Y111" i="90"/>
  <c r="X111" i="90"/>
  <c r="W111" i="90"/>
  <c r="U111" i="90"/>
  <c r="S111" i="90"/>
  <c r="V111" i="90"/>
  <c r="P111" i="90"/>
  <c r="R111" i="90"/>
  <c r="M111" i="90"/>
  <c r="L111" i="90"/>
  <c r="Z115" i="90"/>
  <c r="Y115" i="90"/>
  <c r="W115" i="90"/>
  <c r="V115" i="90"/>
  <c r="U115" i="90"/>
  <c r="S115" i="90"/>
  <c r="X115" i="90"/>
  <c r="T115" i="90"/>
  <c r="P115" i="90"/>
  <c r="M115" i="90"/>
  <c r="R115" i="90"/>
  <c r="Q115" i="90"/>
  <c r="Z119" i="90"/>
  <c r="Y119" i="90"/>
  <c r="W119" i="90"/>
  <c r="X119" i="90"/>
  <c r="U119" i="90"/>
  <c r="S119" i="90"/>
  <c r="V119" i="90"/>
  <c r="R119" i="90"/>
  <c r="P119" i="90"/>
  <c r="Q119" i="90"/>
  <c r="M119" i="90"/>
  <c r="O119" i="90"/>
  <c r="T119" i="90"/>
  <c r="Z123" i="90"/>
  <c r="Y123" i="90"/>
  <c r="X123" i="90"/>
  <c r="W123" i="90"/>
  <c r="U123" i="90"/>
  <c r="S123" i="90"/>
  <c r="T123" i="90"/>
  <c r="P123" i="90"/>
  <c r="V123" i="90"/>
  <c r="M123" i="90"/>
  <c r="R123" i="90"/>
  <c r="L123" i="90"/>
  <c r="O123" i="90"/>
  <c r="Z127" i="90"/>
  <c r="Y127" i="90"/>
  <c r="X127" i="90"/>
  <c r="W127" i="90"/>
  <c r="U127" i="90"/>
  <c r="S127" i="90"/>
  <c r="V127" i="90"/>
  <c r="P127" i="90"/>
  <c r="T127" i="90"/>
  <c r="M127" i="90"/>
  <c r="R127" i="90"/>
  <c r="Q127" i="90"/>
  <c r="L127" i="90"/>
  <c r="Z131" i="90"/>
  <c r="Y131" i="90"/>
  <c r="W131" i="90"/>
  <c r="X131" i="90"/>
  <c r="V131" i="90"/>
  <c r="U131" i="90"/>
  <c r="S131" i="90"/>
  <c r="T131" i="90"/>
  <c r="P131" i="90"/>
  <c r="M131" i="90"/>
  <c r="R131" i="90"/>
  <c r="Z135" i="90"/>
  <c r="Y135" i="90"/>
  <c r="W135" i="90"/>
  <c r="X135" i="90"/>
  <c r="U135" i="90"/>
  <c r="S135" i="90"/>
  <c r="V135" i="90"/>
  <c r="R135" i="90"/>
  <c r="P135" i="90"/>
  <c r="Q135" i="90"/>
  <c r="M135" i="90"/>
  <c r="T135" i="90"/>
  <c r="O135" i="90"/>
  <c r="Z139" i="90"/>
  <c r="Y139" i="90"/>
  <c r="X139" i="90"/>
  <c r="W139" i="90"/>
  <c r="U139" i="90"/>
  <c r="S139" i="90"/>
  <c r="V139" i="90"/>
  <c r="T139" i="90"/>
  <c r="P139" i="90"/>
  <c r="R139" i="90"/>
  <c r="M139" i="90"/>
  <c r="L139" i="90"/>
  <c r="O139" i="90"/>
  <c r="Z143" i="90"/>
  <c r="Y143" i="90"/>
  <c r="X143" i="90"/>
  <c r="W143" i="90"/>
  <c r="U143" i="90"/>
  <c r="S143" i="90"/>
  <c r="V143" i="90"/>
  <c r="P143" i="90"/>
  <c r="M143" i="90"/>
  <c r="T143" i="90"/>
  <c r="R143" i="90"/>
  <c r="Q143" i="90"/>
  <c r="L143" i="90"/>
  <c r="Z147" i="90"/>
  <c r="Y147" i="90"/>
  <c r="W147" i="90"/>
  <c r="V147" i="90"/>
  <c r="U147" i="90"/>
  <c r="S147" i="90"/>
  <c r="X147" i="90"/>
  <c r="T147" i="90"/>
  <c r="P147" i="90"/>
  <c r="R147" i="90"/>
  <c r="M147" i="90"/>
  <c r="Z151" i="90"/>
  <c r="Y151" i="90"/>
  <c r="W151" i="90"/>
  <c r="X151" i="90"/>
  <c r="U151" i="90"/>
  <c r="S151" i="90"/>
  <c r="V151" i="90"/>
  <c r="R151" i="90"/>
  <c r="P151" i="90"/>
  <c r="Q151" i="90"/>
  <c r="M151" i="90"/>
  <c r="O151" i="90"/>
  <c r="Z155" i="90"/>
  <c r="Y155" i="90"/>
  <c r="X155" i="90"/>
  <c r="W155" i="90"/>
  <c r="U155" i="90"/>
  <c r="S155" i="90"/>
  <c r="T155" i="90"/>
  <c r="P155" i="90"/>
  <c r="M155" i="90"/>
  <c r="V155" i="90"/>
  <c r="L155" i="90"/>
  <c r="R155" i="90"/>
  <c r="Q155" i="90"/>
  <c r="O155" i="90"/>
  <c r="Z159" i="90"/>
  <c r="Y159" i="90"/>
  <c r="X159" i="90"/>
  <c r="W159" i="90"/>
  <c r="U159" i="90"/>
  <c r="S159" i="90"/>
  <c r="V159" i="90"/>
  <c r="P159" i="90"/>
  <c r="T159" i="90"/>
  <c r="M159" i="90"/>
  <c r="R159" i="90"/>
  <c r="L159" i="90"/>
  <c r="Z163" i="90"/>
  <c r="Y163" i="90"/>
  <c r="W163" i="90"/>
  <c r="V163" i="90"/>
  <c r="U163" i="90"/>
  <c r="S163" i="90"/>
  <c r="X163" i="90"/>
  <c r="T163" i="90"/>
  <c r="P163" i="90"/>
  <c r="M163" i="90"/>
  <c r="Q163" i="90"/>
  <c r="Z167" i="90"/>
  <c r="Y167" i="90"/>
  <c r="W167" i="90"/>
  <c r="X167" i="90"/>
  <c r="U167" i="90"/>
  <c r="S167" i="90"/>
  <c r="V167" i="90"/>
  <c r="R167" i="90"/>
  <c r="P167" i="90"/>
  <c r="Q167" i="90"/>
  <c r="M167" i="90"/>
  <c r="T167" i="90"/>
  <c r="O167" i="90"/>
  <c r="Z171" i="90"/>
  <c r="Y171" i="90"/>
  <c r="X171" i="90"/>
  <c r="W171" i="90"/>
  <c r="U171" i="90"/>
  <c r="S171" i="90"/>
  <c r="T171" i="90"/>
  <c r="R171" i="90"/>
  <c r="P171" i="90"/>
  <c r="V171" i="90"/>
  <c r="M171" i="90"/>
  <c r="Q171" i="90"/>
  <c r="L171" i="90"/>
  <c r="O171" i="90"/>
  <c r="Z175" i="90"/>
  <c r="Y175" i="90"/>
  <c r="X175" i="90"/>
  <c r="W175" i="90"/>
  <c r="U175" i="90"/>
  <c r="S175" i="90"/>
  <c r="V175" i="90"/>
  <c r="R175" i="90"/>
  <c r="P175" i="90"/>
  <c r="M175" i="90"/>
  <c r="L175" i="90"/>
  <c r="Z179" i="90"/>
  <c r="Y179" i="90"/>
  <c r="W179" i="90"/>
  <c r="V179" i="90"/>
  <c r="U179" i="90"/>
  <c r="S179" i="90"/>
  <c r="X179" i="90"/>
  <c r="T179" i="90"/>
  <c r="R179" i="90"/>
  <c r="P179" i="90"/>
  <c r="M179" i="90"/>
  <c r="Q179" i="90"/>
  <c r="Z183" i="90"/>
  <c r="Y183" i="90"/>
  <c r="W183" i="90"/>
  <c r="X183" i="90"/>
  <c r="U183" i="90"/>
  <c r="S183" i="90"/>
  <c r="V183" i="90"/>
  <c r="R183" i="90"/>
  <c r="P183" i="90"/>
  <c r="Q183" i="90"/>
  <c r="M183" i="90"/>
  <c r="O183" i="90"/>
  <c r="T183" i="90"/>
  <c r="Z187" i="90"/>
  <c r="Y187" i="90"/>
  <c r="X187" i="90"/>
  <c r="W187" i="90"/>
  <c r="U187" i="90"/>
  <c r="S187" i="90"/>
  <c r="T187" i="90"/>
  <c r="R187" i="90"/>
  <c r="P187" i="90"/>
  <c r="V187" i="90"/>
  <c r="M187" i="90"/>
  <c r="L187" i="90"/>
  <c r="O187" i="90"/>
  <c r="Z191" i="90"/>
  <c r="Y191" i="90"/>
  <c r="X191" i="90"/>
  <c r="W191" i="90"/>
  <c r="U191" i="90"/>
  <c r="S191" i="90"/>
  <c r="V191" i="90"/>
  <c r="R191" i="90"/>
  <c r="P191" i="90"/>
  <c r="T191" i="90"/>
  <c r="M191" i="90"/>
  <c r="Q191" i="90"/>
  <c r="L191" i="90"/>
  <c r="Z195" i="90"/>
  <c r="Y195" i="90"/>
  <c r="W195" i="90"/>
  <c r="X195" i="90"/>
  <c r="V195" i="90"/>
  <c r="U195" i="90"/>
  <c r="S195" i="90"/>
  <c r="T195" i="90"/>
  <c r="R195" i="90"/>
  <c r="P195" i="90"/>
  <c r="M195" i="90"/>
  <c r="Z199" i="90"/>
  <c r="Y199" i="90"/>
  <c r="W199" i="90"/>
  <c r="X199" i="90"/>
  <c r="U199" i="90"/>
  <c r="S199" i="90"/>
  <c r="V199" i="90"/>
  <c r="R199" i="90"/>
  <c r="P199" i="90"/>
  <c r="Q199" i="90"/>
  <c r="M199" i="90"/>
  <c r="T199" i="90"/>
  <c r="O199" i="90"/>
  <c r="Z203" i="90"/>
  <c r="Y203" i="90"/>
  <c r="X203" i="90"/>
  <c r="W203" i="90"/>
  <c r="U203" i="90"/>
  <c r="S203" i="90"/>
  <c r="V203" i="90"/>
  <c r="T203" i="90"/>
  <c r="R203" i="90"/>
  <c r="P203" i="90"/>
  <c r="M203" i="90"/>
  <c r="L203" i="90"/>
  <c r="O203" i="90"/>
  <c r="Z207" i="90"/>
  <c r="Y207" i="90"/>
  <c r="X207" i="90"/>
  <c r="W207" i="90"/>
  <c r="U207" i="90"/>
  <c r="S207" i="90"/>
  <c r="V207" i="90"/>
  <c r="R207" i="90"/>
  <c r="P207" i="90"/>
  <c r="M207" i="90"/>
  <c r="T207" i="90"/>
  <c r="Q207" i="90"/>
  <c r="L207" i="90"/>
  <c r="Z211" i="90"/>
  <c r="Y211" i="90"/>
  <c r="W211" i="90"/>
  <c r="V211" i="90"/>
  <c r="U211" i="90"/>
  <c r="S211" i="90"/>
  <c r="X211" i="90"/>
  <c r="T211" i="90"/>
  <c r="R211" i="90"/>
  <c r="P211" i="90"/>
  <c r="M211" i="90"/>
  <c r="Z215" i="90"/>
  <c r="Y215" i="90"/>
  <c r="W215" i="90"/>
  <c r="X215" i="90"/>
  <c r="U215" i="90"/>
  <c r="S215" i="90"/>
  <c r="V215" i="90"/>
  <c r="R215" i="90"/>
  <c r="P215" i="90"/>
  <c r="Q215" i="90"/>
  <c r="M215" i="90"/>
  <c r="O215" i="90"/>
  <c r="Z219" i="90"/>
  <c r="Y219" i="90"/>
  <c r="X219" i="90"/>
  <c r="W219" i="90"/>
  <c r="U219" i="90"/>
  <c r="S219" i="90"/>
  <c r="T219" i="90"/>
  <c r="R219" i="90"/>
  <c r="P219" i="90"/>
  <c r="M219" i="90"/>
  <c r="L219" i="90"/>
  <c r="Q219" i="90"/>
  <c r="O219" i="90"/>
  <c r="Z223" i="90"/>
  <c r="Y223" i="90"/>
  <c r="X223" i="90"/>
  <c r="W223" i="90"/>
  <c r="U223" i="90"/>
  <c r="S223" i="90"/>
  <c r="V223" i="90"/>
  <c r="R223" i="90"/>
  <c r="P223" i="90"/>
  <c r="T223" i="90"/>
  <c r="M223" i="90"/>
  <c r="L223" i="90"/>
  <c r="Z227" i="90"/>
  <c r="Y227" i="90"/>
  <c r="W227" i="90"/>
  <c r="V227" i="90"/>
  <c r="U227" i="90"/>
  <c r="S227" i="90"/>
  <c r="X227" i="90"/>
  <c r="T227" i="90"/>
  <c r="R227" i="90"/>
  <c r="P227" i="90"/>
  <c r="M227" i="90"/>
  <c r="Q227" i="90"/>
  <c r="Z231" i="90"/>
  <c r="Y231" i="90"/>
  <c r="W231" i="90"/>
  <c r="X231" i="90"/>
  <c r="U231" i="90"/>
  <c r="S231" i="90"/>
  <c r="V231" i="90"/>
  <c r="R231" i="90"/>
  <c r="P231" i="90"/>
  <c r="Q231" i="90"/>
  <c r="M231" i="90"/>
  <c r="T231" i="90"/>
  <c r="O231" i="90"/>
  <c r="Z235" i="90"/>
  <c r="Y235" i="90"/>
  <c r="X235" i="90"/>
  <c r="W235" i="90"/>
  <c r="U235" i="90"/>
  <c r="S235" i="90"/>
  <c r="T235" i="90"/>
  <c r="R235" i="90"/>
  <c r="P235" i="90"/>
  <c r="M235" i="90"/>
  <c r="Q235" i="90"/>
  <c r="L235" i="90"/>
  <c r="O235" i="90"/>
  <c r="Z239" i="90"/>
  <c r="Y239" i="90"/>
  <c r="X239" i="90"/>
  <c r="W239" i="90"/>
  <c r="U239" i="90"/>
  <c r="S239" i="90"/>
  <c r="V239" i="90"/>
  <c r="R239" i="90"/>
  <c r="P239" i="90"/>
  <c r="M239" i="90"/>
  <c r="L239" i="90"/>
  <c r="Z243" i="90"/>
  <c r="Y243" i="90"/>
  <c r="W243" i="90"/>
  <c r="V243" i="90"/>
  <c r="U243" i="90"/>
  <c r="S243" i="90"/>
  <c r="X243" i="90"/>
  <c r="T243" i="90"/>
  <c r="R243" i="90"/>
  <c r="P243" i="90"/>
  <c r="M243" i="90"/>
  <c r="Q243" i="90"/>
  <c r="Z247" i="90"/>
  <c r="Y247" i="90"/>
  <c r="W247" i="90"/>
  <c r="X247" i="90"/>
  <c r="U247" i="90"/>
  <c r="S247" i="90"/>
  <c r="V247" i="90"/>
  <c r="R247" i="90"/>
  <c r="P247" i="90"/>
  <c r="Q247" i="90"/>
  <c r="M247" i="90"/>
  <c r="O247" i="90"/>
  <c r="T247" i="90"/>
  <c r="Z251" i="90"/>
  <c r="Y251" i="90"/>
  <c r="X251" i="90"/>
  <c r="W251" i="90"/>
  <c r="U251" i="90"/>
  <c r="S251" i="90"/>
  <c r="T251" i="90"/>
  <c r="R251" i="90"/>
  <c r="P251" i="90"/>
  <c r="V251" i="90"/>
  <c r="M251" i="90"/>
  <c r="L251" i="90"/>
  <c r="O251" i="90"/>
  <c r="Z255" i="90"/>
  <c r="Y255" i="90"/>
  <c r="X255" i="90"/>
  <c r="W255" i="90"/>
  <c r="U255" i="90"/>
  <c r="S255" i="90"/>
  <c r="V255" i="90"/>
  <c r="R255" i="90"/>
  <c r="P255" i="90"/>
  <c r="T255" i="90"/>
  <c r="M255" i="90"/>
  <c r="Q255" i="90"/>
  <c r="L255" i="90"/>
  <c r="Z259" i="90"/>
  <c r="Y259" i="90"/>
  <c r="W259" i="90"/>
  <c r="X259" i="90"/>
  <c r="V259" i="90"/>
  <c r="U259" i="90"/>
  <c r="S259" i="90"/>
  <c r="T259" i="90"/>
  <c r="R259" i="90"/>
  <c r="P259" i="90"/>
  <c r="M259" i="90"/>
  <c r="Z263" i="90"/>
  <c r="Y263" i="90"/>
  <c r="W263" i="90"/>
  <c r="X263" i="90"/>
  <c r="U263" i="90"/>
  <c r="S263" i="90"/>
  <c r="V263" i="90"/>
  <c r="R263" i="90"/>
  <c r="P263" i="90"/>
  <c r="Q263" i="90"/>
  <c r="M263" i="90"/>
  <c r="T263" i="90"/>
  <c r="O263" i="90"/>
  <c r="Z267" i="90"/>
  <c r="Y267" i="90"/>
  <c r="X267" i="90"/>
  <c r="W267" i="90"/>
  <c r="U267" i="90"/>
  <c r="S267" i="90"/>
  <c r="V267" i="90"/>
  <c r="T267" i="90"/>
  <c r="R267" i="90"/>
  <c r="P267" i="90"/>
  <c r="M267" i="90"/>
  <c r="L267" i="90"/>
  <c r="O267" i="90"/>
  <c r="Z271" i="90"/>
  <c r="Y271" i="90"/>
  <c r="X271" i="90"/>
  <c r="W271" i="90"/>
  <c r="U271" i="90"/>
  <c r="S271" i="90"/>
  <c r="V271" i="90"/>
  <c r="R271" i="90"/>
  <c r="P271" i="90"/>
  <c r="M271" i="90"/>
  <c r="T271" i="90"/>
  <c r="Q271" i="90"/>
  <c r="L271" i="90"/>
  <c r="Z275" i="90"/>
  <c r="Y275" i="90"/>
  <c r="W275" i="90"/>
  <c r="V275" i="90"/>
  <c r="U275" i="90"/>
  <c r="S275" i="90"/>
  <c r="X275" i="90"/>
  <c r="T275" i="90"/>
  <c r="R275" i="90"/>
  <c r="P275" i="90"/>
  <c r="M275" i="90"/>
  <c r="Z279" i="90"/>
  <c r="Y279" i="90"/>
  <c r="W279" i="90"/>
  <c r="X279" i="90"/>
  <c r="U279" i="90"/>
  <c r="S279" i="90"/>
  <c r="V279" i="90"/>
  <c r="R279" i="90"/>
  <c r="P279" i="90"/>
  <c r="Q279" i="90"/>
  <c r="M279" i="90"/>
  <c r="O279" i="90"/>
  <c r="Z283" i="90"/>
  <c r="Y283" i="90"/>
  <c r="X283" i="90"/>
  <c r="W283" i="90"/>
  <c r="U283" i="90"/>
  <c r="S283" i="90"/>
  <c r="R283" i="90"/>
  <c r="P283" i="90"/>
  <c r="T283" i="90"/>
  <c r="M283" i="90"/>
  <c r="V283" i="90"/>
  <c r="L283" i="90"/>
  <c r="Q283" i="90"/>
  <c r="O283" i="90"/>
  <c r="Z287" i="90"/>
  <c r="Y287" i="90"/>
  <c r="X287" i="90"/>
  <c r="W287" i="90"/>
  <c r="U287" i="90"/>
  <c r="S287" i="90"/>
  <c r="V287" i="90"/>
  <c r="R287" i="90"/>
  <c r="P287" i="90"/>
  <c r="M287" i="90"/>
  <c r="T287" i="90"/>
  <c r="L287" i="90"/>
  <c r="Z291" i="90"/>
  <c r="Y291" i="90"/>
  <c r="W291" i="90"/>
  <c r="V291" i="90"/>
  <c r="U291" i="90"/>
  <c r="S291" i="90"/>
  <c r="X291" i="90"/>
  <c r="T291" i="90"/>
  <c r="R291" i="90"/>
  <c r="P291" i="90"/>
  <c r="M291" i="90"/>
  <c r="Q291" i="90"/>
  <c r="Z295" i="90"/>
  <c r="Y295" i="90"/>
  <c r="W295" i="90"/>
  <c r="X295" i="90"/>
  <c r="U295" i="90"/>
  <c r="S295" i="90"/>
  <c r="V295" i="90"/>
  <c r="R295" i="90"/>
  <c r="P295" i="90"/>
  <c r="Q295" i="90"/>
  <c r="M295" i="90"/>
  <c r="T295" i="90"/>
  <c r="O295" i="90"/>
  <c r="Z299" i="90"/>
  <c r="Y299" i="90"/>
  <c r="X299" i="90"/>
  <c r="W299" i="90"/>
  <c r="U299" i="90"/>
  <c r="S299" i="90"/>
  <c r="R299" i="90"/>
  <c r="P299" i="90"/>
  <c r="V299" i="90"/>
  <c r="M299" i="90"/>
  <c r="Q299" i="90"/>
  <c r="L299" i="90"/>
  <c r="T299" i="90"/>
  <c r="O299" i="90"/>
  <c r="Z303" i="90"/>
  <c r="Y303" i="90"/>
  <c r="X303" i="90"/>
  <c r="W303" i="90"/>
  <c r="U303" i="90"/>
  <c r="S303" i="90"/>
  <c r="V303" i="90"/>
  <c r="R303" i="90"/>
  <c r="P303" i="90"/>
  <c r="M303" i="90"/>
  <c r="T303" i="90"/>
  <c r="L303" i="90"/>
  <c r="Z307" i="90"/>
  <c r="Y307" i="90"/>
  <c r="W307" i="90"/>
  <c r="V307" i="90"/>
  <c r="U307" i="90"/>
  <c r="S307" i="90"/>
  <c r="X307" i="90"/>
  <c r="T307" i="90"/>
  <c r="R307" i="90"/>
  <c r="P307" i="90"/>
  <c r="M307" i="90"/>
  <c r="Q307" i="90"/>
  <c r="Z311" i="90"/>
  <c r="Y311" i="90"/>
  <c r="W311" i="90"/>
  <c r="X311" i="90"/>
  <c r="U311" i="90"/>
  <c r="S311" i="90"/>
  <c r="V311" i="90"/>
  <c r="R311" i="90"/>
  <c r="P311" i="90"/>
  <c r="T311" i="90"/>
  <c r="Q311" i="90"/>
  <c r="M311" i="90"/>
  <c r="O311" i="90"/>
  <c r="Z315" i="90"/>
  <c r="Y315" i="90"/>
  <c r="X315" i="90"/>
  <c r="W315" i="90"/>
  <c r="U315" i="90"/>
  <c r="S315" i="90"/>
  <c r="R315" i="90"/>
  <c r="P315" i="90"/>
  <c r="V315" i="90"/>
  <c r="M315" i="90"/>
  <c r="T315" i="90"/>
  <c r="L315" i="90"/>
  <c r="O315" i="90"/>
  <c r="Z319" i="90"/>
  <c r="Y319" i="90"/>
  <c r="X319" i="90"/>
  <c r="W319" i="90"/>
  <c r="U319" i="90"/>
  <c r="S319" i="90"/>
  <c r="V319" i="90"/>
  <c r="R319" i="90"/>
  <c r="P319" i="90"/>
  <c r="T319" i="90"/>
  <c r="M319" i="90"/>
  <c r="Q319" i="90"/>
  <c r="L319" i="90"/>
  <c r="Z323" i="90"/>
  <c r="Y323" i="90"/>
  <c r="W323" i="90"/>
  <c r="X323" i="90"/>
  <c r="V323" i="90"/>
  <c r="U323" i="90"/>
  <c r="S323" i="90"/>
  <c r="T323" i="90"/>
  <c r="R323" i="90"/>
  <c r="P323" i="90"/>
  <c r="M323" i="90"/>
  <c r="Z327" i="90"/>
  <c r="Y327" i="90"/>
  <c r="W327" i="90"/>
  <c r="X327" i="90"/>
  <c r="U327" i="90"/>
  <c r="S327" i="90"/>
  <c r="V327" i="90"/>
  <c r="R327" i="90"/>
  <c r="P327" i="90"/>
  <c r="Q327" i="90"/>
  <c r="M327" i="90"/>
  <c r="O327" i="90"/>
  <c r="T327" i="90"/>
  <c r="Z331" i="90"/>
  <c r="Y331" i="90"/>
  <c r="X331" i="90"/>
  <c r="W331" i="90"/>
  <c r="U331" i="90"/>
  <c r="S331" i="90"/>
  <c r="V331" i="90"/>
  <c r="R331" i="90"/>
  <c r="P331" i="90"/>
  <c r="M331" i="90"/>
  <c r="T331" i="90"/>
  <c r="L331" i="90"/>
  <c r="O331" i="90"/>
  <c r="Z335" i="90"/>
  <c r="Y335" i="90"/>
  <c r="X335" i="90"/>
  <c r="W335" i="90"/>
  <c r="U335" i="90"/>
  <c r="S335" i="90"/>
  <c r="V335" i="90"/>
  <c r="R335" i="90"/>
  <c r="P335" i="90"/>
  <c r="M335" i="90"/>
  <c r="Q335" i="90"/>
  <c r="L335" i="90"/>
  <c r="Z339" i="90"/>
  <c r="Y339" i="90"/>
  <c r="W339" i="90"/>
  <c r="V339" i="90"/>
  <c r="U339" i="90"/>
  <c r="S339" i="90"/>
  <c r="X339" i="90"/>
  <c r="T339" i="90"/>
  <c r="R339" i="90"/>
  <c r="P339" i="90"/>
  <c r="M339" i="90"/>
  <c r="Z343" i="90"/>
  <c r="Y343" i="90"/>
  <c r="W343" i="90"/>
  <c r="X343" i="90"/>
  <c r="U343" i="90"/>
  <c r="S343" i="90"/>
  <c r="V343" i="90"/>
  <c r="R343" i="90"/>
  <c r="Q343" i="90"/>
  <c r="P343" i="90"/>
  <c r="M343" i="90"/>
  <c r="T343" i="90"/>
  <c r="O343" i="90"/>
  <c r="Z347" i="90"/>
  <c r="Y347" i="90"/>
  <c r="X347" i="90"/>
  <c r="W347" i="90"/>
  <c r="U347" i="90"/>
  <c r="S347" i="90"/>
  <c r="R347" i="90"/>
  <c r="T347" i="90"/>
  <c r="P347" i="90"/>
  <c r="M347" i="90"/>
  <c r="L347" i="90"/>
  <c r="V347" i="90"/>
  <c r="Q347" i="90"/>
  <c r="O347" i="90"/>
  <c r="Z351" i="90"/>
  <c r="Y351" i="90"/>
  <c r="X351" i="90"/>
  <c r="W351" i="90"/>
  <c r="U351" i="90"/>
  <c r="S351" i="90"/>
  <c r="V351" i="90"/>
  <c r="R351" i="90"/>
  <c r="P351" i="90"/>
  <c r="M351" i="90"/>
  <c r="L351" i="90"/>
  <c r="Z355" i="90"/>
  <c r="Y355" i="90"/>
  <c r="W355" i="90"/>
  <c r="V355" i="90"/>
  <c r="U355" i="90"/>
  <c r="S355" i="90"/>
  <c r="X355" i="90"/>
  <c r="T355" i="90"/>
  <c r="R355" i="90"/>
  <c r="P355" i="90"/>
  <c r="M355" i="90"/>
  <c r="Q355" i="90"/>
  <c r="Z359" i="90"/>
  <c r="Y359" i="90"/>
  <c r="W359" i="90"/>
  <c r="X359" i="90"/>
  <c r="U359" i="90"/>
  <c r="S359" i="90"/>
  <c r="V359" i="90"/>
  <c r="R359" i="90"/>
  <c r="Q359" i="90"/>
  <c r="P359" i="90"/>
  <c r="M359" i="90"/>
  <c r="T359" i="90"/>
  <c r="O359" i="90"/>
  <c r="Z363" i="90"/>
  <c r="Y363" i="90"/>
  <c r="X363" i="90"/>
  <c r="W363" i="90"/>
  <c r="U363" i="90"/>
  <c r="S363" i="90"/>
  <c r="R363" i="90"/>
  <c r="P363" i="90"/>
  <c r="M363" i="90"/>
  <c r="V363" i="90"/>
  <c r="Q363" i="90"/>
  <c r="L363" i="90"/>
  <c r="O363" i="90"/>
  <c r="Z367" i="90"/>
  <c r="Y367" i="90"/>
  <c r="X367" i="90"/>
  <c r="W367" i="90"/>
  <c r="U367" i="90"/>
  <c r="S367" i="90"/>
  <c r="V367" i="90"/>
  <c r="R367" i="90"/>
  <c r="P367" i="90"/>
  <c r="M367" i="90"/>
  <c r="T367" i="90"/>
  <c r="L367" i="90"/>
  <c r="Z371" i="90"/>
  <c r="Y371" i="90"/>
  <c r="W371" i="90"/>
  <c r="V371" i="90"/>
  <c r="U371" i="90"/>
  <c r="S371" i="90"/>
  <c r="X371" i="90"/>
  <c r="T371" i="90"/>
  <c r="R371" i="90"/>
  <c r="M371" i="90"/>
  <c r="Q371" i="90"/>
  <c r="Z375" i="90"/>
  <c r="Y375" i="90"/>
  <c r="W375" i="90"/>
  <c r="X375" i="90"/>
  <c r="U375" i="90"/>
  <c r="S375" i="90"/>
  <c r="V375" i="90"/>
  <c r="R375" i="90"/>
  <c r="T375" i="90"/>
  <c r="Q375" i="90"/>
  <c r="P375" i="90"/>
  <c r="M375" i="90"/>
  <c r="O375" i="90"/>
  <c r="Z379" i="90"/>
  <c r="Y379" i="90"/>
  <c r="X379" i="90"/>
  <c r="W379" i="90"/>
  <c r="U379" i="90"/>
  <c r="S379" i="90"/>
  <c r="R379" i="90"/>
  <c r="V379" i="90"/>
  <c r="P379" i="90"/>
  <c r="M379" i="90"/>
  <c r="L379" i="90"/>
  <c r="O379" i="90"/>
  <c r="Z383" i="90"/>
  <c r="Y383" i="90"/>
  <c r="X383" i="90"/>
  <c r="W383" i="90"/>
  <c r="U383" i="90"/>
  <c r="S383" i="90"/>
  <c r="V383" i="90"/>
  <c r="R383" i="90"/>
  <c r="T383" i="90"/>
  <c r="P383" i="90"/>
  <c r="M383" i="90"/>
  <c r="Q383" i="90"/>
  <c r="L383" i="90"/>
  <c r="Z387" i="90"/>
  <c r="Y387" i="90"/>
  <c r="W387" i="90"/>
  <c r="X387" i="90"/>
  <c r="V387" i="90"/>
  <c r="U387" i="90"/>
  <c r="S387" i="90"/>
  <c r="T387" i="90"/>
  <c r="R387" i="90"/>
  <c r="P387" i="90"/>
  <c r="M387" i="90"/>
  <c r="Z391" i="90"/>
  <c r="Y391" i="90"/>
  <c r="W391" i="90"/>
  <c r="X391" i="90"/>
  <c r="U391" i="90"/>
  <c r="S391" i="90"/>
  <c r="V391" i="90"/>
  <c r="R391" i="90"/>
  <c r="Q391" i="90"/>
  <c r="P391" i="90"/>
  <c r="M391" i="90"/>
  <c r="O391" i="90"/>
  <c r="Z395" i="90"/>
  <c r="Y395" i="90"/>
  <c r="X395" i="90"/>
  <c r="W395" i="90"/>
  <c r="U395" i="90"/>
  <c r="S395" i="90"/>
  <c r="V395" i="90"/>
  <c r="R395" i="90"/>
  <c r="P395" i="90"/>
  <c r="M395" i="90"/>
  <c r="T395" i="90"/>
  <c r="L395" i="90"/>
  <c r="O395" i="90"/>
  <c r="Z399" i="90"/>
  <c r="Y399" i="90"/>
  <c r="X399" i="90"/>
  <c r="W399" i="90"/>
  <c r="U399" i="90"/>
  <c r="S399" i="90"/>
  <c r="V399" i="90"/>
  <c r="R399" i="90"/>
  <c r="P399" i="90"/>
  <c r="M399" i="90"/>
  <c r="Q399" i="90"/>
  <c r="T399" i="90"/>
  <c r="L399" i="90"/>
  <c r="Z403" i="90"/>
  <c r="Y403" i="90"/>
  <c r="W403" i="90"/>
  <c r="V403" i="90"/>
  <c r="U403" i="90"/>
  <c r="S403" i="90"/>
  <c r="X403" i="90"/>
  <c r="T403" i="90"/>
  <c r="R403" i="90"/>
  <c r="P403" i="90"/>
  <c r="M403" i="90"/>
  <c r="Z407" i="90"/>
  <c r="Y407" i="90"/>
  <c r="W407" i="90"/>
  <c r="X407" i="90"/>
  <c r="U407" i="90"/>
  <c r="S407" i="90"/>
  <c r="V407" i="90"/>
  <c r="R407" i="90"/>
  <c r="Q407" i="90"/>
  <c r="M407" i="90"/>
  <c r="O407" i="90"/>
  <c r="P407" i="90" s="1"/>
  <c r="Z411" i="90"/>
  <c r="Y411" i="90"/>
  <c r="X411" i="90"/>
  <c r="W411" i="90"/>
  <c r="U411" i="90"/>
  <c r="S411" i="90"/>
  <c r="R411" i="90"/>
  <c r="T411" i="90"/>
  <c r="M411" i="90"/>
  <c r="V411" i="90"/>
  <c r="L411" i="90"/>
  <c r="Q411" i="90"/>
  <c r="O411" i="90"/>
  <c r="P411" i="90" s="1"/>
  <c r="Z415" i="90"/>
  <c r="Y415" i="90"/>
  <c r="X415" i="90"/>
  <c r="W415" i="90"/>
  <c r="U415" i="90"/>
  <c r="S415" i="90"/>
  <c r="V415" i="90"/>
  <c r="R415" i="90"/>
  <c r="M415" i="90"/>
  <c r="T415" i="90"/>
  <c r="L415" i="90"/>
  <c r="Z419" i="90"/>
  <c r="Y419" i="90"/>
  <c r="W419" i="90"/>
  <c r="V419" i="90"/>
  <c r="U419" i="90"/>
  <c r="S419" i="90"/>
  <c r="X419" i="90"/>
  <c r="T419" i="90"/>
  <c r="R419" i="90"/>
  <c r="P419" i="90"/>
  <c r="M419" i="90"/>
  <c r="Q419" i="90"/>
  <c r="Z423" i="90"/>
  <c r="Y423" i="90"/>
  <c r="W423" i="90"/>
  <c r="X423" i="90"/>
  <c r="U423" i="90"/>
  <c r="S423" i="90"/>
  <c r="R423" i="90"/>
  <c r="V423" i="90"/>
  <c r="Q423" i="90"/>
  <c r="P423" i="90"/>
  <c r="M423" i="90"/>
  <c r="T423" i="90"/>
  <c r="O423" i="90"/>
  <c r="Z427" i="90"/>
  <c r="Y427" i="90"/>
  <c r="X427" i="90"/>
  <c r="W427" i="90"/>
  <c r="V427" i="90"/>
  <c r="U427" i="90"/>
  <c r="S427" i="90"/>
  <c r="R427" i="90"/>
  <c r="P427" i="90"/>
  <c r="M427" i="90"/>
  <c r="Q427" i="90"/>
  <c r="L427" i="90"/>
  <c r="T427" i="90"/>
  <c r="O427" i="90"/>
  <c r="Z431" i="90"/>
  <c r="Y431" i="90"/>
  <c r="X431" i="90"/>
  <c r="W431" i="90"/>
  <c r="U431" i="90"/>
  <c r="S431" i="90"/>
  <c r="R431" i="90"/>
  <c r="V431" i="90"/>
  <c r="P431" i="90"/>
  <c r="M431" i="90"/>
  <c r="T431" i="90"/>
  <c r="L431" i="90"/>
  <c r="Z435" i="90"/>
  <c r="Y435" i="90"/>
  <c r="W435" i="90"/>
  <c r="V435" i="90"/>
  <c r="U435" i="90"/>
  <c r="S435" i="90"/>
  <c r="X435" i="90"/>
  <c r="T435" i="90"/>
  <c r="R435" i="90"/>
  <c r="P435" i="90"/>
  <c r="M435" i="90"/>
  <c r="Q435" i="90"/>
  <c r="Z439" i="90"/>
  <c r="Y439" i="90"/>
  <c r="W439" i="90"/>
  <c r="X439" i="90"/>
  <c r="U439" i="90"/>
  <c r="S439" i="90"/>
  <c r="V439" i="90"/>
  <c r="R439" i="90"/>
  <c r="T439" i="90"/>
  <c r="Q439" i="90"/>
  <c r="P439" i="90"/>
  <c r="M439" i="90"/>
  <c r="O439" i="90"/>
  <c r="Z443" i="90"/>
  <c r="Y443" i="90"/>
  <c r="X443" i="90"/>
  <c r="W443" i="90"/>
  <c r="V443" i="90"/>
  <c r="U443" i="90"/>
  <c r="S443" i="90"/>
  <c r="R443" i="90"/>
  <c r="M443" i="90"/>
  <c r="T443" i="90"/>
  <c r="L443" i="90"/>
  <c r="O443" i="90"/>
  <c r="P443" i="90" s="1"/>
  <c r="Z447" i="90"/>
  <c r="Y447" i="90"/>
  <c r="X447" i="90"/>
  <c r="W447" i="90"/>
  <c r="U447" i="90"/>
  <c r="S447" i="90"/>
  <c r="R447" i="90"/>
  <c r="T447" i="90"/>
  <c r="M447" i="90"/>
  <c r="Q447" i="90"/>
  <c r="L447" i="90"/>
  <c r="Z451" i="90"/>
  <c r="Y451" i="90"/>
  <c r="W451" i="90"/>
  <c r="X451" i="90"/>
  <c r="V451" i="90"/>
  <c r="U451" i="90"/>
  <c r="S451" i="90"/>
  <c r="T451" i="90"/>
  <c r="R451" i="90"/>
  <c r="P451" i="90"/>
  <c r="M451" i="90"/>
  <c r="Z455" i="90"/>
  <c r="Y455" i="90"/>
  <c r="W455" i="90"/>
  <c r="X455" i="90"/>
  <c r="U455" i="90"/>
  <c r="S455" i="90"/>
  <c r="R455" i="90"/>
  <c r="Q455" i="90"/>
  <c r="M455" i="90"/>
  <c r="O455" i="90"/>
  <c r="P455" i="90" s="1"/>
  <c r="T455" i="90"/>
  <c r="Z459" i="90"/>
  <c r="Y459" i="90"/>
  <c r="X459" i="90"/>
  <c r="W459" i="90"/>
  <c r="V459" i="90"/>
  <c r="U459" i="90"/>
  <c r="S459" i="90"/>
  <c r="R459" i="90"/>
  <c r="M459" i="90"/>
  <c r="T459" i="90"/>
  <c r="L459" i="90"/>
  <c r="O459" i="90"/>
  <c r="P459" i="90" s="1"/>
  <c r="Z463" i="90"/>
  <c r="Y463" i="90"/>
  <c r="X463" i="90"/>
  <c r="W463" i="90"/>
  <c r="U463" i="90"/>
  <c r="S463" i="90"/>
  <c r="R463" i="90"/>
  <c r="V463" i="90"/>
  <c r="M463" i="90"/>
  <c r="Q463" i="90"/>
  <c r="L463" i="90"/>
  <c r="Z467" i="90"/>
  <c r="Y467" i="90"/>
  <c r="W467" i="90"/>
  <c r="V467" i="90"/>
  <c r="U467" i="90"/>
  <c r="S467" i="90"/>
  <c r="X467" i="90"/>
  <c r="T467" i="90"/>
  <c r="R467" i="90"/>
  <c r="M467" i="90"/>
  <c r="Z471" i="90"/>
  <c r="Y471" i="90"/>
  <c r="W471" i="90"/>
  <c r="X471" i="90"/>
  <c r="U471" i="90"/>
  <c r="S471" i="90"/>
  <c r="V471" i="90"/>
  <c r="R471" i="90"/>
  <c r="Q471" i="90"/>
  <c r="P471" i="90"/>
  <c r="M471" i="90"/>
  <c r="T471" i="90"/>
  <c r="O471" i="90"/>
  <c r="Z475" i="90"/>
  <c r="Y475" i="90"/>
  <c r="X475" i="90"/>
  <c r="W475" i="90"/>
  <c r="V475" i="90"/>
  <c r="U475" i="90"/>
  <c r="S475" i="90"/>
  <c r="R475" i="90"/>
  <c r="T475" i="90"/>
  <c r="P475" i="90"/>
  <c r="M475" i="90"/>
  <c r="L475" i="90"/>
  <c r="Q475" i="90"/>
  <c r="O475" i="90"/>
  <c r="Z479" i="90"/>
  <c r="Y479" i="90"/>
  <c r="X479" i="90"/>
  <c r="W479" i="90"/>
  <c r="U479" i="90"/>
  <c r="S479" i="90"/>
  <c r="R479" i="90"/>
  <c r="P479" i="90"/>
  <c r="M479" i="90"/>
  <c r="V479" i="90"/>
  <c r="L479" i="90"/>
  <c r="Z483" i="90"/>
  <c r="Y483" i="90"/>
  <c r="W483" i="90"/>
  <c r="V483" i="90"/>
  <c r="U483" i="90"/>
  <c r="S483" i="90"/>
  <c r="X483" i="90"/>
  <c r="T483" i="90"/>
  <c r="R483" i="90"/>
  <c r="P483" i="90"/>
  <c r="M483" i="90"/>
  <c r="Q483" i="90"/>
  <c r="Z487" i="90"/>
  <c r="Y487" i="90"/>
  <c r="W487" i="90"/>
  <c r="X487" i="90"/>
  <c r="U487" i="90"/>
  <c r="S487" i="90"/>
  <c r="R487" i="90"/>
  <c r="V487" i="90"/>
  <c r="Q487" i="90"/>
  <c r="P487" i="90"/>
  <c r="M487" i="90"/>
  <c r="T487" i="90"/>
  <c r="O487" i="90"/>
  <c r="Z491" i="90"/>
  <c r="Y491" i="90"/>
  <c r="X491" i="90"/>
  <c r="W491" i="90"/>
  <c r="V491" i="90"/>
  <c r="U491" i="90"/>
  <c r="S491" i="90"/>
  <c r="R491" i="90"/>
  <c r="P491" i="90"/>
  <c r="M491" i="90"/>
  <c r="Q491" i="90"/>
  <c r="L491" i="90"/>
  <c r="O491" i="90"/>
  <c r="Z495" i="90"/>
  <c r="Y495" i="90"/>
  <c r="X495" i="90"/>
  <c r="W495" i="90"/>
  <c r="U495" i="90"/>
  <c r="S495" i="90"/>
  <c r="R495" i="90"/>
  <c r="V495" i="90"/>
  <c r="P495" i="90"/>
  <c r="M495" i="90"/>
  <c r="T495" i="90"/>
  <c r="L495" i="90"/>
  <c r="Z499" i="90"/>
  <c r="Y499" i="90"/>
  <c r="W499" i="90"/>
  <c r="V499" i="90"/>
  <c r="U499" i="90"/>
  <c r="S499" i="90"/>
  <c r="X499" i="90"/>
  <c r="T499" i="90"/>
  <c r="R499" i="90"/>
  <c r="P499" i="90"/>
  <c r="M499" i="90"/>
  <c r="Q499" i="90"/>
  <c r="Z503" i="90"/>
  <c r="Y503" i="90"/>
  <c r="W503" i="90"/>
  <c r="X503" i="90"/>
  <c r="U503" i="90"/>
  <c r="S503" i="90"/>
  <c r="V503" i="90"/>
  <c r="R503" i="90"/>
  <c r="T503" i="90"/>
  <c r="Q503" i="90"/>
  <c r="M503" i="90"/>
  <c r="O503" i="90"/>
  <c r="P503" i="90" s="1"/>
  <c r="Z507" i="90"/>
  <c r="Y507" i="90"/>
  <c r="X507" i="90"/>
  <c r="W507" i="90"/>
  <c r="V507" i="90"/>
  <c r="U507" i="90"/>
  <c r="S507" i="90"/>
  <c r="R507" i="90"/>
  <c r="M507" i="90"/>
  <c r="L507" i="90"/>
  <c r="O507" i="90"/>
  <c r="P507" i="90" s="1"/>
  <c r="Z511" i="90"/>
  <c r="Y511" i="90"/>
  <c r="X511" i="90"/>
  <c r="W511" i="90"/>
  <c r="U511" i="90"/>
  <c r="S511" i="90"/>
  <c r="R511" i="90"/>
  <c r="T511" i="90"/>
  <c r="M511" i="90"/>
  <c r="V511" i="90"/>
  <c r="Q511" i="90"/>
  <c r="L511" i="90"/>
  <c r="Z515" i="90"/>
  <c r="Y515" i="90"/>
  <c r="W515" i="90"/>
  <c r="X515" i="90"/>
  <c r="V515" i="90"/>
  <c r="U515" i="90"/>
  <c r="S515" i="90"/>
  <c r="T515" i="90"/>
  <c r="R515" i="90"/>
  <c r="M515" i="90"/>
  <c r="Z519" i="90"/>
  <c r="Y519" i="90"/>
  <c r="W519" i="90"/>
  <c r="X519" i="90"/>
  <c r="U519" i="90"/>
  <c r="S519" i="90"/>
  <c r="R519" i="90"/>
  <c r="Q519" i="90"/>
  <c r="P519" i="90"/>
  <c r="M519" i="90"/>
  <c r="V519" i="90"/>
  <c r="O519" i="90"/>
  <c r="Z523" i="90"/>
  <c r="Y523" i="90"/>
  <c r="X523" i="90"/>
  <c r="W523" i="90"/>
  <c r="V523" i="90"/>
  <c r="U523" i="90"/>
  <c r="S523" i="90"/>
  <c r="R523" i="90"/>
  <c r="P523" i="90"/>
  <c r="M523" i="90"/>
  <c r="T523" i="90"/>
  <c r="L523" i="90"/>
  <c r="O523" i="90"/>
  <c r="Z527" i="90"/>
  <c r="Y527" i="90"/>
  <c r="X527" i="90"/>
  <c r="W527" i="90"/>
  <c r="U527" i="90"/>
  <c r="S527" i="90"/>
  <c r="R527" i="90"/>
  <c r="V527" i="90"/>
  <c r="P527" i="90"/>
  <c r="M527" i="90"/>
  <c r="Q527" i="90"/>
  <c r="T527" i="90"/>
  <c r="L527" i="90"/>
  <c r="Z531" i="90"/>
  <c r="Y531" i="90"/>
  <c r="W531" i="90"/>
  <c r="V531" i="90"/>
  <c r="U531" i="90"/>
  <c r="S531" i="90"/>
  <c r="X531" i="90"/>
  <c r="T531" i="90"/>
  <c r="R531" i="90"/>
  <c r="P531" i="90"/>
  <c r="M531" i="90"/>
  <c r="Z535" i="90"/>
  <c r="Y535" i="90"/>
  <c r="W535" i="90"/>
  <c r="X535" i="90"/>
  <c r="U535" i="90"/>
  <c r="S535" i="90"/>
  <c r="V535" i="90"/>
  <c r="R535" i="90"/>
  <c r="Q535" i="90"/>
  <c r="P535" i="90"/>
  <c r="M535" i="90"/>
  <c r="O535" i="90"/>
  <c r="Z539" i="90"/>
  <c r="Y539" i="90"/>
  <c r="X539" i="90"/>
  <c r="W539" i="90"/>
  <c r="V539" i="90"/>
  <c r="U539" i="90"/>
  <c r="S539" i="90"/>
  <c r="R539" i="90"/>
  <c r="T539" i="90"/>
  <c r="P539" i="90"/>
  <c r="M539" i="90"/>
  <c r="L539" i="90"/>
  <c r="Q539" i="90"/>
  <c r="O539" i="90"/>
  <c r="Z543" i="90"/>
  <c r="Y543" i="90"/>
  <c r="X543" i="90"/>
  <c r="W543" i="90"/>
  <c r="U543" i="90"/>
  <c r="S543" i="90"/>
  <c r="R543" i="90"/>
  <c r="P543" i="90"/>
  <c r="M543" i="90"/>
  <c r="V543" i="90"/>
  <c r="T543" i="90"/>
  <c r="L543" i="90"/>
  <c r="Z547" i="90"/>
  <c r="Y547" i="90"/>
  <c r="W547" i="90"/>
  <c r="V547" i="90"/>
  <c r="U547" i="90"/>
  <c r="S547" i="90"/>
  <c r="X547" i="90"/>
  <c r="T547" i="90"/>
  <c r="R547" i="90"/>
  <c r="P547" i="90"/>
  <c r="M547" i="90"/>
  <c r="Q547" i="90"/>
  <c r="Z551" i="90"/>
  <c r="Y551" i="90"/>
  <c r="W551" i="90"/>
  <c r="X551" i="90"/>
  <c r="U551" i="90"/>
  <c r="S551" i="90"/>
  <c r="R551" i="90"/>
  <c r="V551" i="90"/>
  <c r="Q551" i="90"/>
  <c r="P551" i="90"/>
  <c r="M551" i="90"/>
  <c r="T551" i="90"/>
  <c r="O551" i="90"/>
  <c r="Z555" i="90"/>
  <c r="Y555" i="90"/>
  <c r="X555" i="90"/>
  <c r="W555" i="90"/>
  <c r="V555" i="90"/>
  <c r="U555" i="90"/>
  <c r="S555" i="90"/>
  <c r="R555" i="90"/>
  <c r="P555" i="90"/>
  <c r="M555" i="90"/>
  <c r="Q555" i="90"/>
  <c r="L555" i="90"/>
  <c r="T555" i="90"/>
  <c r="O555" i="90"/>
  <c r="Z559" i="90"/>
  <c r="Y559" i="90"/>
  <c r="X559" i="90"/>
  <c r="W559" i="90"/>
  <c r="U559" i="90"/>
  <c r="S559" i="90"/>
  <c r="R559" i="90"/>
  <c r="V559" i="90"/>
  <c r="P559" i="90"/>
  <c r="M559" i="90"/>
  <c r="T559" i="90"/>
  <c r="L559" i="90"/>
  <c r="Z563" i="90"/>
  <c r="Y563" i="90"/>
  <c r="W563" i="90"/>
  <c r="V563" i="90"/>
  <c r="U563" i="90"/>
  <c r="S563" i="90"/>
  <c r="X563" i="90"/>
  <c r="T563" i="90"/>
  <c r="R563" i="90"/>
  <c r="P563" i="90"/>
  <c r="M563" i="90"/>
  <c r="Q563" i="90"/>
  <c r="Z567" i="90"/>
  <c r="W567" i="90"/>
  <c r="Y567" i="90"/>
  <c r="X567" i="90"/>
  <c r="U567" i="90"/>
  <c r="S567" i="90"/>
  <c r="V567" i="90"/>
  <c r="R567" i="90"/>
  <c r="T567" i="90"/>
  <c r="Q567" i="90"/>
  <c r="P567" i="90"/>
  <c r="M567" i="90"/>
  <c r="O567" i="90"/>
  <c r="Z571" i="90"/>
  <c r="Y571" i="90"/>
  <c r="X571" i="90"/>
  <c r="W571" i="90"/>
  <c r="V571" i="90"/>
  <c r="U571" i="90"/>
  <c r="S571" i="90"/>
  <c r="R571" i="90"/>
  <c r="P571" i="90"/>
  <c r="M571" i="90"/>
  <c r="T571" i="90"/>
  <c r="L571" i="90"/>
  <c r="O571" i="90"/>
  <c r="Z575" i="90"/>
  <c r="Y575" i="90"/>
  <c r="X575" i="90"/>
  <c r="W575" i="90"/>
  <c r="U575" i="90"/>
  <c r="S575" i="90"/>
  <c r="R575" i="90"/>
  <c r="T575" i="90"/>
  <c r="P575" i="90"/>
  <c r="M575" i="90"/>
  <c r="Q575" i="90"/>
  <c r="L575" i="90"/>
  <c r="Z579" i="90"/>
  <c r="Y579" i="90"/>
  <c r="W579" i="90"/>
  <c r="X579" i="90"/>
  <c r="V579" i="90"/>
  <c r="U579" i="90"/>
  <c r="S579" i="90"/>
  <c r="T579" i="90"/>
  <c r="R579" i="90"/>
  <c r="P579" i="90"/>
  <c r="M579" i="90"/>
  <c r="Z583" i="90"/>
  <c r="W583" i="90"/>
  <c r="X583" i="90"/>
  <c r="U583" i="90"/>
  <c r="S583" i="90"/>
  <c r="Y583" i="90"/>
  <c r="R583" i="90"/>
  <c r="Q583" i="90"/>
  <c r="P583" i="90"/>
  <c r="M583" i="90"/>
  <c r="O583" i="90"/>
  <c r="T583" i="90"/>
  <c r="Z587" i="90"/>
  <c r="Y587" i="90"/>
  <c r="X587" i="90"/>
  <c r="W587" i="90"/>
  <c r="V587" i="90"/>
  <c r="U587" i="90"/>
  <c r="S587" i="90"/>
  <c r="R587" i="90"/>
  <c r="P587" i="90"/>
  <c r="M587" i="90"/>
  <c r="T587" i="90"/>
  <c r="L587" i="90"/>
  <c r="O587" i="90"/>
  <c r="Z591" i="90"/>
  <c r="Y591" i="90"/>
  <c r="X591" i="90"/>
  <c r="W591" i="90"/>
  <c r="U591" i="90"/>
  <c r="S591" i="90"/>
  <c r="R591" i="90"/>
  <c r="V591" i="90"/>
  <c r="P591" i="90"/>
  <c r="M591" i="90"/>
  <c r="Q591" i="90"/>
  <c r="L591" i="90"/>
  <c r="Z595" i="90"/>
  <c r="Y595" i="90"/>
  <c r="W595" i="90"/>
  <c r="V595" i="90"/>
  <c r="U595" i="90"/>
  <c r="S595" i="90"/>
  <c r="X595" i="90"/>
  <c r="T595" i="90"/>
  <c r="R595" i="90"/>
  <c r="P595" i="90"/>
  <c r="M595" i="90"/>
  <c r="Z599" i="90"/>
  <c r="Y599" i="90"/>
  <c r="X599" i="90"/>
  <c r="W599" i="90"/>
  <c r="U599" i="90"/>
  <c r="S599" i="90"/>
  <c r="V599" i="90"/>
  <c r="R599" i="90"/>
  <c r="Q599" i="90"/>
  <c r="P599" i="90"/>
  <c r="M599" i="90"/>
  <c r="T599" i="90"/>
  <c r="O599" i="90"/>
  <c r="Z603" i="90"/>
  <c r="Y603" i="90"/>
  <c r="W603" i="90"/>
  <c r="V603" i="90"/>
  <c r="U603" i="90"/>
  <c r="S603" i="90"/>
  <c r="X603" i="90"/>
  <c r="R603" i="90"/>
  <c r="T603" i="90"/>
  <c r="P603" i="90"/>
  <c r="M603" i="90"/>
  <c r="L603" i="90"/>
  <c r="Q603" i="90"/>
  <c r="O603" i="90"/>
  <c r="Z607" i="90"/>
  <c r="Y607" i="90"/>
  <c r="X607" i="90"/>
  <c r="W607" i="90"/>
  <c r="U607" i="90"/>
  <c r="S607" i="90"/>
  <c r="R607" i="90"/>
  <c r="P607" i="90"/>
  <c r="M607" i="90"/>
  <c r="V607" i="90"/>
  <c r="L607" i="90"/>
  <c r="Z611" i="90"/>
  <c r="Y611" i="90"/>
  <c r="W611" i="90"/>
  <c r="V611" i="90"/>
  <c r="U611" i="90"/>
  <c r="S611" i="90"/>
  <c r="X611" i="90"/>
  <c r="T611" i="90"/>
  <c r="R611" i="90"/>
  <c r="P611" i="90"/>
  <c r="M611" i="90"/>
  <c r="Q611" i="90"/>
  <c r="Z615" i="90"/>
  <c r="Y615" i="90"/>
  <c r="X615" i="90"/>
  <c r="W615" i="90"/>
  <c r="U615" i="90"/>
  <c r="S615" i="90"/>
  <c r="R615" i="90"/>
  <c r="V615" i="90"/>
  <c r="Q615" i="90"/>
  <c r="P615" i="90"/>
  <c r="M615" i="90"/>
  <c r="T615" i="90"/>
  <c r="O615" i="90"/>
  <c r="Z619" i="90"/>
  <c r="Y619" i="90"/>
  <c r="W619" i="90"/>
  <c r="X619" i="90"/>
  <c r="V619" i="90"/>
  <c r="U619" i="90"/>
  <c r="S619" i="90"/>
  <c r="R619" i="90"/>
  <c r="P619" i="90"/>
  <c r="M619" i="90"/>
  <c r="Q619" i="90"/>
  <c r="L619" i="90"/>
  <c r="O619" i="90"/>
  <c r="Z623" i="90"/>
  <c r="Y623" i="90"/>
  <c r="X623" i="90"/>
  <c r="W623" i="90"/>
  <c r="U623" i="90"/>
  <c r="S623" i="90"/>
  <c r="R623" i="90"/>
  <c r="V623" i="90"/>
  <c r="P623" i="90"/>
  <c r="M623" i="90"/>
  <c r="T623" i="90"/>
  <c r="L623" i="90"/>
  <c r="Z627" i="90"/>
  <c r="Y627" i="90"/>
  <c r="W627" i="90"/>
  <c r="V627" i="90"/>
  <c r="U627" i="90"/>
  <c r="S627" i="90"/>
  <c r="X627" i="90"/>
  <c r="T627" i="90"/>
  <c r="R627" i="90"/>
  <c r="P627" i="90"/>
  <c r="M627" i="90"/>
  <c r="Q627" i="90"/>
  <c r="Z631" i="90"/>
  <c r="X631" i="90"/>
  <c r="W631" i="90"/>
  <c r="Y631" i="90"/>
  <c r="U631" i="90"/>
  <c r="S631" i="90"/>
  <c r="V631" i="90"/>
  <c r="R631" i="90"/>
  <c r="T631" i="90"/>
  <c r="Q631" i="90"/>
  <c r="P631" i="90"/>
  <c r="M631" i="90"/>
  <c r="O631" i="90"/>
  <c r="Z635" i="90"/>
  <c r="Y635" i="90"/>
  <c r="W635" i="90"/>
  <c r="U635" i="90"/>
  <c r="S635" i="90"/>
  <c r="X635" i="90"/>
  <c r="R635" i="90"/>
  <c r="P635" i="90"/>
  <c r="M635" i="90"/>
  <c r="L635" i="90"/>
  <c r="V635" i="90"/>
  <c r="O635" i="90"/>
  <c r="Z639" i="90"/>
  <c r="Y639" i="90"/>
  <c r="X639" i="90"/>
  <c r="W639" i="90"/>
  <c r="U639" i="90"/>
  <c r="S639" i="90"/>
  <c r="R639" i="90"/>
  <c r="T639" i="90"/>
  <c r="P639" i="90"/>
  <c r="M639" i="90"/>
  <c r="V639" i="90"/>
  <c r="Q639" i="90"/>
  <c r="L639" i="90"/>
  <c r="Z643" i="90"/>
  <c r="Y643" i="90"/>
  <c r="W643" i="90"/>
  <c r="U643" i="90"/>
  <c r="S643" i="90"/>
  <c r="X643" i="90"/>
  <c r="T643" i="90"/>
  <c r="R643" i="90"/>
  <c r="V643" i="90"/>
  <c r="P643" i="90"/>
  <c r="M643" i="90"/>
  <c r="Z647" i="90"/>
  <c r="X647" i="90"/>
  <c r="W647" i="90"/>
  <c r="Y647" i="90"/>
  <c r="U647" i="90"/>
  <c r="S647" i="90"/>
  <c r="V647" i="90"/>
  <c r="R647" i="90"/>
  <c r="Q647" i="90"/>
  <c r="P647" i="90"/>
  <c r="M647" i="90"/>
  <c r="O647" i="90"/>
  <c r="Z651" i="90"/>
  <c r="Y651" i="90"/>
  <c r="W651" i="90"/>
  <c r="X651" i="90"/>
  <c r="U651" i="90"/>
  <c r="S651" i="90"/>
  <c r="R651" i="90"/>
  <c r="P651" i="90"/>
  <c r="M651" i="90"/>
  <c r="V651" i="90"/>
  <c r="T651" i="90"/>
  <c r="L651" i="90"/>
  <c r="O651" i="90"/>
  <c r="Z655" i="90"/>
  <c r="Y655" i="90"/>
  <c r="X655" i="90"/>
  <c r="W655" i="90"/>
  <c r="U655" i="90"/>
  <c r="S655" i="90"/>
  <c r="R655" i="90"/>
  <c r="V655" i="90"/>
  <c r="P655" i="90"/>
  <c r="M655" i="90"/>
  <c r="Q655" i="90"/>
  <c r="T655" i="90"/>
  <c r="L655" i="90"/>
  <c r="Z659" i="90"/>
  <c r="Y659" i="90"/>
  <c r="W659" i="90"/>
  <c r="U659" i="90"/>
  <c r="S659" i="90"/>
  <c r="X659" i="90"/>
  <c r="T659" i="90"/>
  <c r="R659" i="90"/>
  <c r="V659" i="90"/>
  <c r="P659" i="90"/>
  <c r="M659" i="90"/>
  <c r="Z663" i="90"/>
  <c r="Y663" i="90"/>
  <c r="X663" i="90"/>
  <c r="W663" i="90"/>
  <c r="U663" i="90"/>
  <c r="S663" i="90"/>
  <c r="V663" i="90"/>
  <c r="R663" i="90"/>
  <c r="Q663" i="90"/>
  <c r="P663" i="90"/>
  <c r="M663" i="90"/>
  <c r="O663" i="90"/>
  <c r="Z667" i="90"/>
  <c r="Y667" i="90"/>
  <c r="W667" i="90"/>
  <c r="U667" i="90"/>
  <c r="S667" i="90"/>
  <c r="X667" i="90"/>
  <c r="R667" i="90"/>
  <c r="T667" i="90"/>
  <c r="P667" i="90"/>
  <c r="M667" i="90"/>
  <c r="L667" i="90"/>
  <c r="Q667" i="90"/>
  <c r="O667" i="90"/>
  <c r="Z671" i="90"/>
  <c r="Y671" i="90"/>
  <c r="X671" i="90"/>
  <c r="W671" i="90"/>
  <c r="U671" i="90"/>
  <c r="S671" i="90"/>
  <c r="V671" i="90"/>
  <c r="R671" i="90"/>
  <c r="P671" i="90"/>
  <c r="M671" i="90"/>
  <c r="T671" i="90"/>
  <c r="L671" i="90"/>
  <c r="Z675" i="90"/>
  <c r="Y675" i="90"/>
  <c r="W675" i="90"/>
  <c r="U675" i="90"/>
  <c r="S675" i="90"/>
  <c r="X675" i="90"/>
  <c r="T675" i="90"/>
  <c r="R675" i="90"/>
  <c r="V675" i="90"/>
  <c r="P675" i="90"/>
  <c r="M675" i="90"/>
  <c r="Q675" i="90"/>
  <c r="Z679" i="90"/>
  <c r="Y679" i="90"/>
  <c r="X679" i="90"/>
  <c r="W679" i="90"/>
  <c r="U679" i="90"/>
  <c r="S679" i="90"/>
  <c r="V679" i="90"/>
  <c r="R679" i="90"/>
  <c r="Q679" i="90"/>
  <c r="P679" i="90"/>
  <c r="M679" i="90"/>
  <c r="T679" i="90"/>
  <c r="O679" i="90"/>
  <c r="Z683" i="90"/>
  <c r="Y683" i="90"/>
  <c r="W683" i="90"/>
  <c r="X683" i="90"/>
  <c r="U683" i="90"/>
  <c r="S683" i="90"/>
  <c r="R683" i="90"/>
  <c r="P683" i="90"/>
  <c r="M683" i="90"/>
  <c r="V683" i="90"/>
  <c r="Q683" i="90"/>
  <c r="L683" i="90"/>
  <c r="T683" i="90"/>
  <c r="O683" i="90"/>
  <c r="Z687" i="90"/>
  <c r="Y687" i="90"/>
  <c r="X687" i="90"/>
  <c r="W687" i="90"/>
  <c r="U687" i="90"/>
  <c r="S687" i="90"/>
  <c r="V687" i="90"/>
  <c r="R687" i="90"/>
  <c r="P687" i="90"/>
  <c r="M687" i="90"/>
  <c r="T687" i="90"/>
  <c r="Z691" i="90"/>
  <c r="Y691" i="90"/>
  <c r="W691" i="90"/>
  <c r="U691" i="90"/>
  <c r="S691" i="90"/>
  <c r="X691" i="90"/>
  <c r="T691" i="90"/>
  <c r="R691" i="90"/>
  <c r="V691" i="90"/>
  <c r="P691" i="90"/>
  <c r="M691" i="90"/>
  <c r="Q691" i="90"/>
  <c r="Z695" i="90"/>
  <c r="X695" i="90"/>
  <c r="W695" i="90"/>
  <c r="Y695" i="90"/>
  <c r="U695" i="90"/>
  <c r="S695" i="90"/>
  <c r="V695" i="90"/>
  <c r="R695" i="90"/>
  <c r="T695" i="90"/>
  <c r="Q695" i="90"/>
  <c r="P695" i="90"/>
  <c r="M695" i="90"/>
  <c r="O695" i="90"/>
  <c r="Z699" i="90"/>
  <c r="Y699" i="90"/>
  <c r="W699" i="90"/>
  <c r="U699" i="90"/>
  <c r="S699" i="90"/>
  <c r="X699" i="90"/>
  <c r="R699" i="90"/>
  <c r="P699" i="90"/>
  <c r="M699" i="90"/>
  <c r="T699" i="90"/>
  <c r="L699" i="90"/>
  <c r="O699" i="90"/>
  <c r="Z703" i="90"/>
  <c r="Y703" i="90"/>
  <c r="X703" i="90"/>
  <c r="W703" i="90"/>
  <c r="U703" i="90"/>
  <c r="S703" i="90"/>
  <c r="V703" i="90"/>
  <c r="R703" i="90"/>
  <c r="T703" i="90"/>
  <c r="P703" i="90"/>
  <c r="M703" i="90"/>
  <c r="Q703" i="90"/>
  <c r="Z707" i="90"/>
  <c r="Y707" i="90"/>
  <c r="W707" i="90"/>
  <c r="U707" i="90"/>
  <c r="S707" i="90"/>
  <c r="X707" i="90"/>
  <c r="T707" i="90"/>
  <c r="R707" i="90"/>
  <c r="V707" i="90"/>
  <c r="P707" i="90"/>
  <c r="M707" i="90"/>
  <c r="X711" i="90"/>
  <c r="W711" i="90"/>
  <c r="U711" i="90"/>
  <c r="S711" i="90"/>
  <c r="Y711" i="90"/>
  <c r="Z711" i="90"/>
  <c r="V711" i="90"/>
  <c r="R711" i="90"/>
  <c r="Q711" i="90"/>
  <c r="P711" i="90"/>
  <c r="M711" i="90"/>
  <c r="O711" i="90"/>
  <c r="T711" i="90"/>
  <c r="Z715" i="90"/>
  <c r="Y715" i="90"/>
  <c r="W715" i="90"/>
  <c r="X715" i="90"/>
  <c r="U715" i="90"/>
  <c r="S715" i="90"/>
  <c r="R715" i="90"/>
  <c r="P715" i="90"/>
  <c r="M715" i="90"/>
  <c r="T715" i="90"/>
  <c r="V715" i="90"/>
  <c r="L715" i="90"/>
  <c r="O715" i="90"/>
  <c r="Z719" i="90"/>
  <c r="Y719" i="90"/>
  <c r="X719" i="90"/>
  <c r="W719" i="90"/>
  <c r="U719" i="90"/>
  <c r="S719" i="90"/>
  <c r="V719" i="90"/>
  <c r="R719" i="90"/>
  <c r="P719" i="90"/>
  <c r="M719" i="90"/>
  <c r="Q719" i="90"/>
  <c r="Z723" i="90"/>
  <c r="Y723" i="90"/>
  <c r="W723" i="90"/>
  <c r="U723" i="90"/>
  <c r="S723" i="90"/>
  <c r="X723" i="90"/>
  <c r="T723" i="90"/>
  <c r="R723" i="90"/>
  <c r="V723" i="90"/>
  <c r="P723" i="90"/>
  <c r="M723" i="90"/>
  <c r="Z727" i="90"/>
  <c r="Y727" i="90"/>
  <c r="X727" i="90"/>
  <c r="W727" i="90"/>
  <c r="U727" i="90"/>
  <c r="S727" i="90"/>
  <c r="V727" i="90"/>
  <c r="R727" i="90"/>
  <c r="Q727" i="90"/>
  <c r="P727" i="90"/>
  <c r="M727" i="90"/>
  <c r="T727" i="90"/>
  <c r="O727" i="90"/>
  <c r="Z731" i="90"/>
  <c r="Y731" i="90"/>
  <c r="W731" i="90"/>
  <c r="U731" i="90"/>
  <c r="S731" i="90"/>
  <c r="X731" i="90"/>
  <c r="R731" i="90"/>
  <c r="T731" i="90"/>
  <c r="P731" i="90"/>
  <c r="M731" i="90"/>
  <c r="L731" i="90"/>
  <c r="Q731" i="90"/>
  <c r="O731" i="90"/>
  <c r="Z735" i="90"/>
  <c r="Y735" i="90"/>
  <c r="X735" i="90"/>
  <c r="W735" i="90"/>
  <c r="U735" i="90"/>
  <c r="S735" i="90"/>
  <c r="V735" i="90"/>
  <c r="R735" i="90"/>
  <c r="P735" i="90"/>
  <c r="M735" i="90"/>
  <c r="Z739" i="90"/>
  <c r="Y739" i="90"/>
  <c r="W739" i="90"/>
  <c r="U739" i="90"/>
  <c r="S739" i="90"/>
  <c r="X739" i="90"/>
  <c r="T739" i="90"/>
  <c r="R739" i="90"/>
  <c r="P739" i="90"/>
  <c r="M739" i="90"/>
  <c r="V739" i="90"/>
  <c r="Q739" i="90"/>
  <c r="Z743" i="90"/>
  <c r="Y743" i="90"/>
  <c r="X743" i="90"/>
  <c r="W743" i="90"/>
  <c r="U743" i="90"/>
  <c r="S743" i="90"/>
  <c r="V743" i="90"/>
  <c r="R743" i="90"/>
  <c r="Q743" i="90"/>
  <c r="P743" i="90"/>
  <c r="M743" i="90"/>
  <c r="T743" i="90"/>
  <c r="O743" i="90"/>
  <c r="Z747" i="90"/>
  <c r="Y747" i="90"/>
  <c r="W747" i="90"/>
  <c r="X747" i="90"/>
  <c r="U747" i="90"/>
  <c r="S747" i="90"/>
  <c r="R747" i="90"/>
  <c r="V747" i="90"/>
  <c r="P747" i="90"/>
  <c r="M747" i="90"/>
  <c r="Q747" i="90"/>
  <c r="L747" i="90"/>
  <c r="O747" i="90"/>
  <c r="Z751" i="90"/>
  <c r="Y751" i="90"/>
  <c r="X751" i="90"/>
  <c r="W751" i="90"/>
  <c r="U751" i="90"/>
  <c r="S751" i="90"/>
  <c r="V751" i="90"/>
  <c r="R751" i="90"/>
  <c r="P751" i="90"/>
  <c r="M751" i="90"/>
  <c r="T751" i="90"/>
  <c r="Z755" i="90"/>
  <c r="Y755" i="90"/>
  <c r="W755" i="90"/>
  <c r="U755" i="90"/>
  <c r="S755" i="90"/>
  <c r="X755" i="90"/>
  <c r="T755" i="90"/>
  <c r="R755" i="90"/>
  <c r="P755" i="90"/>
  <c r="M755" i="90"/>
  <c r="V755" i="90"/>
  <c r="Q755" i="90"/>
  <c r="Z759" i="90"/>
  <c r="W759" i="90"/>
  <c r="Y759" i="90"/>
  <c r="U759" i="90"/>
  <c r="S759" i="90"/>
  <c r="X759" i="90"/>
  <c r="V759" i="90"/>
  <c r="R759" i="90"/>
  <c r="T759" i="90"/>
  <c r="Q759" i="90"/>
  <c r="P759" i="90"/>
  <c r="M759" i="90"/>
  <c r="O759" i="90"/>
  <c r="Z763" i="90"/>
  <c r="Y763" i="90"/>
  <c r="W763" i="90"/>
  <c r="U763" i="90"/>
  <c r="S763" i="90"/>
  <c r="X763" i="90"/>
  <c r="R763" i="90"/>
  <c r="P763" i="90"/>
  <c r="M763" i="90"/>
  <c r="V763" i="90"/>
  <c r="L763" i="90"/>
  <c r="O763" i="90"/>
  <c r="Z767" i="90"/>
  <c r="Y767" i="90"/>
  <c r="W767" i="90"/>
  <c r="X767" i="90"/>
  <c r="U767" i="90"/>
  <c r="S767" i="90"/>
  <c r="V767" i="90"/>
  <c r="R767" i="90"/>
  <c r="T767" i="90"/>
  <c r="P767" i="90"/>
  <c r="M767" i="90"/>
  <c r="Q767" i="90"/>
  <c r="Z771" i="90"/>
  <c r="Y771" i="90"/>
  <c r="W771" i="90"/>
  <c r="U771" i="90"/>
  <c r="S771" i="90"/>
  <c r="X771" i="90"/>
  <c r="T771" i="90"/>
  <c r="R771" i="90"/>
  <c r="P771" i="90"/>
  <c r="M771" i="90"/>
  <c r="Z775" i="90"/>
  <c r="W775" i="90"/>
  <c r="U775" i="90"/>
  <c r="S775" i="90"/>
  <c r="Y775" i="90"/>
  <c r="X775" i="90"/>
  <c r="V775" i="90"/>
  <c r="R775" i="90"/>
  <c r="Q775" i="90"/>
  <c r="P775" i="90"/>
  <c r="M775" i="90"/>
  <c r="O775" i="90"/>
  <c r="Z779" i="90"/>
  <c r="Y779" i="90"/>
  <c r="W779" i="90"/>
  <c r="U779" i="90"/>
  <c r="S779" i="90"/>
  <c r="X779" i="90"/>
  <c r="R779" i="90"/>
  <c r="V779" i="90"/>
  <c r="P779" i="90"/>
  <c r="M779" i="90"/>
  <c r="T779" i="90"/>
  <c r="L779" i="90"/>
  <c r="O779" i="90"/>
  <c r="Z783" i="90"/>
  <c r="Y783" i="90"/>
  <c r="W783" i="90"/>
  <c r="X783" i="90"/>
  <c r="U783" i="90"/>
  <c r="S783" i="90"/>
  <c r="V783" i="90"/>
  <c r="R783" i="90"/>
  <c r="P783" i="90"/>
  <c r="M783" i="90"/>
  <c r="Q783" i="90"/>
  <c r="T783" i="90"/>
  <c r="Z787" i="90"/>
  <c r="Y787" i="90"/>
  <c r="W787" i="90"/>
  <c r="U787" i="90"/>
  <c r="S787" i="90"/>
  <c r="X787" i="90"/>
  <c r="T787" i="90"/>
  <c r="R787" i="90"/>
  <c r="P787" i="90"/>
  <c r="M787" i="90"/>
  <c r="V787" i="90"/>
  <c r="Z791" i="90"/>
  <c r="Y791" i="90"/>
  <c r="W791" i="90"/>
  <c r="U791" i="90"/>
  <c r="S791" i="90"/>
  <c r="X791" i="90"/>
  <c r="V791" i="90"/>
  <c r="R791" i="90"/>
  <c r="Q791" i="90"/>
  <c r="P791" i="90"/>
  <c r="M791" i="90"/>
  <c r="O791" i="90"/>
  <c r="Z795" i="90"/>
  <c r="Y795" i="90"/>
  <c r="W795" i="90"/>
  <c r="U795" i="90"/>
  <c r="S795" i="90"/>
  <c r="X795" i="90"/>
  <c r="R795" i="90"/>
  <c r="T795" i="90"/>
  <c r="P795" i="90"/>
  <c r="M795" i="90"/>
  <c r="L795" i="90"/>
  <c r="Q795" i="90"/>
  <c r="O795" i="90"/>
  <c r="Z799" i="90"/>
  <c r="Y799" i="90"/>
  <c r="W799" i="90"/>
  <c r="X799" i="90"/>
  <c r="U799" i="90"/>
  <c r="S799" i="90"/>
  <c r="V799" i="90"/>
  <c r="R799" i="90"/>
  <c r="P799" i="90"/>
  <c r="M799" i="90"/>
  <c r="T799" i="90"/>
  <c r="Z803" i="90"/>
  <c r="Y803" i="90"/>
  <c r="W803" i="90"/>
  <c r="U803" i="90"/>
  <c r="S803" i="90"/>
  <c r="X803" i="90"/>
  <c r="T803" i="90"/>
  <c r="R803" i="90"/>
  <c r="P803" i="90"/>
  <c r="M803" i="90"/>
  <c r="V803" i="90"/>
  <c r="Q803" i="90"/>
  <c r="Z807" i="90"/>
  <c r="Y807" i="90"/>
  <c r="W807" i="90"/>
  <c r="U807" i="90"/>
  <c r="S807" i="90"/>
  <c r="X807" i="90"/>
  <c r="V807" i="90"/>
  <c r="R807" i="90"/>
  <c r="Q807" i="90"/>
  <c r="P807" i="90"/>
  <c r="M807" i="90"/>
  <c r="T807" i="90"/>
  <c r="O807" i="90"/>
  <c r="Z811" i="90"/>
  <c r="Y811" i="90"/>
  <c r="W811" i="90"/>
  <c r="U811" i="90"/>
  <c r="S811" i="90"/>
  <c r="X811" i="90"/>
  <c r="R811" i="90"/>
  <c r="V811" i="90"/>
  <c r="P811" i="90"/>
  <c r="M811" i="90"/>
  <c r="Q811" i="90"/>
  <c r="L811" i="90"/>
  <c r="T811" i="90"/>
  <c r="O811" i="90"/>
  <c r="Z815" i="90"/>
  <c r="Y815" i="90"/>
  <c r="W815" i="90"/>
  <c r="X815" i="90"/>
  <c r="U815" i="90"/>
  <c r="S815" i="90"/>
  <c r="V815" i="90"/>
  <c r="R815" i="90"/>
  <c r="P815" i="90"/>
  <c r="M815" i="90"/>
  <c r="T815" i="90"/>
  <c r="Z819" i="90"/>
  <c r="Y819" i="90"/>
  <c r="W819" i="90"/>
  <c r="U819" i="90"/>
  <c r="S819" i="90"/>
  <c r="X819" i="90"/>
  <c r="T819" i="90"/>
  <c r="R819" i="90"/>
  <c r="P819" i="90"/>
  <c r="M819" i="90"/>
  <c r="V819" i="90"/>
  <c r="Q819" i="90"/>
  <c r="Z823" i="90"/>
  <c r="W823" i="90"/>
  <c r="Y823" i="90"/>
  <c r="U823" i="90"/>
  <c r="S823" i="90"/>
  <c r="X823" i="90"/>
  <c r="V823" i="90"/>
  <c r="R823" i="90"/>
  <c r="T823" i="90"/>
  <c r="Q823" i="90"/>
  <c r="P823" i="90"/>
  <c r="M823" i="90"/>
  <c r="O823" i="90"/>
  <c r="Z827" i="90"/>
  <c r="Y827" i="90"/>
  <c r="W827" i="90"/>
  <c r="U827" i="90"/>
  <c r="S827" i="90"/>
  <c r="X827" i="90"/>
  <c r="R827" i="90"/>
  <c r="P827" i="90"/>
  <c r="M827" i="90"/>
  <c r="V827" i="90"/>
  <c r="T827" i="90"/>
  <c r="L827" i="90"/>
  <c r="O827" i="90"/>
  <c r="Z831" i="90"/>
  <c r="Y831" i="90"/>
  <c r="W831" i="90"/>
  <c r="X831" i="90"/>
  <c r="U831" i="90"/>
  <c r="S831" i="90"/>
  <c r="V831" i="90"/>
  <c r="R831" i="90"/>
  <c r="T831" i="90"/>
  <c r="P831" i="90"/>
  <c r="M831" i="90"/>
  <c r="Q831" i="90"/>
  <c r="Z835" i="90"/>
  <c r="Y835" i="90"/>
  <c r="W835" i="90"/>
  <c r="U835" i="90"/>
  <c r="S835" i="90"/>
  <c r="X835" i="90"/>
  <c r="T835" i="90"/>
  <c r="R835" i="90"/>
  <c r="P835" i="90"/>
  <c r="M835" i="90"/>
  <c r="Z839" i="90"/>
  <c r="W839" i="90"/>
  <c r="U839" i="90"/>
  <c r="S839" i="90"/>
  <c r="X839" i="90"/>
  <c r="Y839" i="90"/>
  <c r="V839" i="90"/>
  <c r="R839" i="90"/>
  <c r="Q839" i="90"/>
  <c r="P839" i="90"/>
  <c r="M839" i="90"/>
  <c r="O839" i="90"/>
  <c r="T839" i="90"/>
  <c r="Z843" i="90"/>
  <c r="Y843" i="90"/>
  <c r="W843" i="90"/>
  <c r="U843" i="90"/>
  <c r="S843" i="90"/>
  <c r="X843" i="90"/>
  <c r="R843" i="90"/>
  <c r="V843" i="90"/>
  <c r="P843" i="90"/>
  <c r="M843" i="90"/>
  <c r="T843" i="90"/>
  <c r="L843" i="90"/>
  <c r="O843" i="90"/>
  <c r="Z847" i="90"/>
  <c r="Y847" i="90"/>
  <c r="W847" i="90"/>
  <c r="X847" i="90"/>
  <c r="U847" i="90"/>
  <c r="S847" i="90"/>
  <c r="V847" i="90"/>
  <c r="R847" i="90"/>
  <c r="P847" i="90"/>
  <c r="M847" i="90"/>
  <c r="Q847" i="90"/>
  <c r="Z851" i="90"/>
  <c r="Y851" i="90"/>
  <c r="W851" i="90"/>
  <c r="U851" i="90"/>
  <c r="S851" i="90"/>
  <c r="X851" i="90"/>
  <c r="T851" i="90"/>
  <c r="R851" i="90"/>
  <c r="P851" i="90"/>
  <c r="M851" i="90"/>
  <c r="V851" i="90"/>
  <c r="Z855" i="90"/>
  <c r="Y855" i="90"/>
  <c r="W855" i="90"/>
  <c r="U855" i="90"/>
  <c r="S855" i="90"/>
  <c r="X855" i="90"/>
  <c r="V855" i="90"/>
  <c r="R855" i="90"/>
  <c r="Q855" i="90"/>
  <c r="P855" i="90"/>
  <c r="M855" i="90"/>
  <c r="T855" i="90"/>
  <c r="O855" i="90"/>
  <c r="Z859" i="90"/>
  <c r="Y859" i="90"/>
  <c r="W859" i="90"/>
  <c r="U859" i="90"/>
  <c r="S859" i="90"/>
  <c r="X859" i="90"/>
  <c r="R859" i="90"/>
  <c r="T859" i="90"/>
  <c r="P859" i="90"/>
  <c r="M859" i="90"/>
  <c r="L859" i="90"/>
  <c r="Q859" i="90"/>
  <c r="O859" i="90"/>
  <c r="Z863" i="90"/>
  <c r="Y863" i="90"/>
  <c r="W863" i="90"/>
  <c r="X863" i="90"/>
  <c r="U863" i="90"/>
  <c r="S863" i="90"/>
  <c r="V863" i="90"/>
  <c r="R863" i="90"/>
  <c r="P863" i="90"/>
  <c r="M863" i="90"/>
  <c r="Z867" i="90"/>
  <c r="Y867" i="90"/>
  <c r="W867" i="90"/>
  <c r="U867" i="90"/>
  <c r="S867" i="90"/>
  <c r="X867" i="90"/>
  <c r="T867" i="90"/>
  <c r="R867" i="90"/>
  <c r="P867" i="90"/>
  <c r="M867" i="90"/>
  <c r="V867" i="90"/>
  <c r="Q867" i="90"/>
  <c r="Z871" i="90"/>
  <c r="Y871" i="90"/>
  <c r="W871" i="90"/>
  <c r="U871" i="90"/>
  <c r="S871" i="90"/>
  <c r="X871" i="90"/>
  <c r="V871" i="90"/>
  <c r="R871" i="90"/>
  <c r="Q871" i="90"/>
  <c r="P871" i="90"/>
  <c r="M871" i="90"/>
  <c r="T871" i="90"/>
  <c r="O871" i="90"/>
  <c r="Z875" i="90"/>
  <c r="Y875" i="90"/>
  <c r="W875" i="90"/>
  <c r="U875" i="90"/>
  <c r="S875" i="90"/>
  <c r="X875" i="90"/>
  <c r="R875" i="90"/>
  <c r="V875" i="90"/>
  <c r="P875" i="90"/>
  <c r="M875" i="90"/>
  <c r="Q875" i="90"/>
  <c r="L875" i="90"/>
  <c r="O875" i="90"/>
  <c r="Z879" i="90"/>
  <c r="Y879" i="90"/>
  <c r="W879" i="90"/>
  <c r="X879" i="90"/>
  <c r="U879" i="90"/>
  <c r="S879" i="90"/>
  <c r="V879" i="90"/>
  <c r="R879" i="90"/>
  <c r="P879" i="90"/>
  <c r="M879" i="90"/>
  <c r="T879" i="90"/>
  <c r="Z883" i="90"/>
  <c r="Y883" i="90"/>
  <c r="W883" i="90"/>
  <c r="U883" i="90"/>
  <c r="S883" i="90"/>
  <c r="X883" i="90"/>
  <c r="T883" i="90"/>
  <c r="R883" i="90"/>
  <c r="P883" i="90"/>
  <c r="M883" i="90"/>
  <c r="V883" i="90"/>
  <c r="Q883" i="90"/>
  <c r="Z887" i="90"/>
  <c r="W887" i="90"/>
  <c r="Y887" i="90"/>
  <c r="U887" i="90"/>
  <c r="S887" i="90"/>
  <c r="X887" i="90"/>
  <c r="V887" i="90"/>
  <c r="R887" i="90"/>
  <c r="T887" i="90"/>
  <c r="Q887" i="90"/>
  <c r="P887" i="90"/>
  <c r="M887" i="90"/>
  <c r="O887" i="90"/>
  <c r="Z891" i="90"/>
  <c r="Y891" i="90"/>
  <c r="W891" i="90"/>
  <c r="U891" i="90"/>
  <c r="S891" i="90"/>
  <c r="X891" i="90"/>
  <c r="R891" i="90"/>
  <c r="P891" i="90"/>
  <c r="M891" i="90"/>
  <c r="V891" i="90"/>
  <c r="L891" i="90"/>
  <c r="O891" i="90"/>
  <c r="Z895" i="90"/>
  <c r="Y895" i="90"/>
  <c r="W895" i="90"/>
  <c r="X895" i="90"/>
  <c r="U895" i="90"/>
  <c r="S895" i="90"/>
  <c r="V895" i="90"/>
  <c r="R895" i="90"/>
  <c r="T895" i="90"/>
  <c r="P895" i="90"/>
  <c r="M895" i="90"/>
  <c r="Q895" i="90"/>
  <c r="Z899" i="90"/>
  <c r="Y899" i="90"/>
  <c r="W899" i="90"/>
  <c r="U899" i="90"/>
  <c r="S899" i="90"/>
  <c r="X899" i="90"/>
  <c r="T899" i="90"/>
  <c r="R899" i="90"/>
  <c r="P899" i="90"/>
  <c r="M899" i="90"/>
  <c r="Z903" i="90"/>
  <c r="W903" i="90"/>
  <c r="Y903" i="90"/>
  <c r="U903" i="90"/>
  <c r="S903" i="90"/>
  <c r="X903" i="90"/>
  <c r="V903" i="90"/>
  <c r="R903" i="90"/>
  <c r="Q903" i="90"/>
  <c r="P903" i="90"/>
  <c r="M903" i="90"/>
  <c r="O903" i="90"/>
  <c r="Z907" i="90"/>
  <c r="Y907" i="90"/>
  <c r="W907" i="90"/>
  <c r="U907" i="90"/>
  <c r="S907" i="90"/>
  <c r="X907" i="90"/>
  <c r="R907" i="90"/>
  <c r="V907" i="90"/>
  <c r="P907" i="90"/>
  <c r="M907" i="90"/>
  <c r="T907" i="90"/>
  <c r="L907" i="90"/>
  <c r="O907" i="90"/>
  <c r="Z911" i="90"/>
  <c r="Y911" i="90"/>
  <c r="W911" i="90"/>
  <c r="X911" i="90"/>
  <c r="U911" i="90"/>
  <c r="S911" i="90"/>
  <c r="V911" i="90"/>
  <c r="R911" i="90"/>
  <c r="P911" i="90"/>
  <c r="M911" i="90"/>
  <c r="Q911" i="90"/>
  <c r="T911" i="90"/>
  <c r="Z915" i="90"/>
  <c r="Y915" i="90"/>
  <c r="W915" i="90"/>
  <c r="U915" i="90"/>
  <c r="S915" i="90"/>
  <c r="X915" i="90"/>
  <c r="T915" i="90"/>
  <c r="R915" i="90"/>
  <c r="P915" i="90"/>
  <c r="M915" i="90"/>
  <c r="V915" i="90"/>
  <c r="Z919" i="90"/>
  <c r="Y919" i="90"/>
  <c r="W919" i="90"/>
  <c r="U919" i="90"/>
  <c r="S919" i="90"/>
  <c r="X919" i="90"/>
  <c r="V919" i="90"/>
  <c r="R919" i="90"/>
  <c r="Q919" i="90"/>
  <c r="P919" i="90"/>
  <c r="M919" i="90"/>
  <c r="O919" i="90"/>
  <c r="L916" i="90"/>
  <c r="L860" i="90"/>
  <c r="L796" i="90"/>
  <c r="L788" i="90"/>
  <c r="L760" i="90"/>
  <c r="L664" i="90"/>
  <c r="L632" i="90"/>
  <c r="L600" i="90"/>
  <c r="L504" i="90"/>
  <c r="L408" i="90"/>
  <c r="L376" i="90"/>
  <c r="L312" i="90"/>
  <c r="L216" i="90"/>
  <c r="L152" i="90"/>
  <c r="L88" i="90"/>
  <c r="M900" i="90"/>
  <c r="M868" i="90"/>
  <c r="M836" i="90"/>
  <c r="M804" i="90"/>
  <c r="M772" i="90"/>
  <c r="M740" i="90"/>
  <c r="M708" i="90"/>
  <c r="M548" i="90"/>
  <c r="M452" i="90"/>
  <c r="M356" i="90"/>
  <c r="M260" i="90"/>
  <c r="M196" i="90"/>
  <c r="M132" i="90"/>
  <c r="M68" i="90"/>
  <c r="O868" i="90"/>
  <c r="O708" i="90"/>
  <c r="O516" i="90"/>
  <c r="O420" i="90"/>
  <c r="O324" i="90"/>
  <c r="O164" i="90"/>
  <c r="O68" i="90"/>
  <c r="P656" i="90"/>
  <c r="P624" i="90"/>
  <c r="P592" i="90"/>
  <c r="Q900" i="90"/>
  <c r="Q516" i="90"/>
  <c r="Q360" i="90"/>
  <c r="Q104" i="90"/>
  <c r="R908" i="90"/>
  <c r="R752" i="90"/>
  <c r="R496" i="90"/>
  <c r="R368" i="90"/>
  <c r="R176" i="90"/>
  <c r="R64" i="90"/>
  <c r="S812" i="90"/>
  <c r="S784" i="90"/>
  <c r="S756" i="90"/>
  <c r="S44" i="90"/>
  <c r="T876" i="90"/>
  <c r="T848" i="90"/>
  <c r="T820" i="90"/>
  <c r="J15" i="90"/>
  <c r="J11" i="90"/>
  <c r="J7" i="90"/>
  <c r="J920" i="90"/>
  <c r="J916" i="90"/>
  <c r="J912" i="90"/>
  <c r="J908" i="90"/>
  <c r="J904" i="90"/>
  <c r="J900" i="90"/>
  <c r="J896" i="90"/>
  <c r="J892" i="90"/>
  <c r="J888" i="90"/>
  <c r="J884" i="90"/>
  <c r="J880" i="90"/>
  <c r="J876" i="90"/>
  <c r="J872" i="90"/>
  <c r="J868" i="90"/>
  <c r="J864" i="90"/>
  <c r="J860" i="90"/>
  <c r="J856" i="90"/>
  <c r="J852" i="90"/>
  <c r="J848" i="90"/>
  <c r="J844" i="90"/>
  <c r="J840" i="90"/>
  <c r="J836" i="90"/>
  <c r="J832" i="90"/>
  <c r="J828" i="90"/>
  <c r="J824" i="90"/>
  <c r="J820" i="90"/>
  <c r="J816" i="90"/>
  <c r="J812" i="90"/>
  <c r="J808" i="90"/>
  <c r="J804" i="90"/>
  <c r="J800" i="90"/>
  <c r="J796" i="90"/>
  <c r="J792" i="90"/>
  <c r="J788" i="90"/>
  <c r="J784" i="90"/>
  <c r="J780" i="90"/>
  <c r="J776" i="90"/>
  <c r="J772" i="90"/>
  <c r="J768" i="90"/>
  <c r="J764" i="90"/>
  <c r="J760" i="90"/>
  <c r="J756" i="90"/>
  <c r="J752" i="90"/>
  <c r="J748" i="90"/>
  <c r="J744" i="90"/>
  <c r="J740" i="90"/>
  <c r="J736" i="90"/>
  <c r="J732" i="90"/>
  <c r="J728" i="90"/>
  <c r="J724" i="90"/>
  <c r="J720" i="90"/>
  <c r="J716" i="90"/>
  <c r="J712" i="90"/>
  <c r="J708" i="90"/>
  <c r="J704" i="90"/>
  <c r="J700" i="90"/>
  <c r="J696" i="90"/>
  <c r="J692" i="90"/>
  <c r="J688" i="90"/>
  <c r="J684" i="90"/>
  <c r="J680" i="90"/>
  <c r="J676" i="90"/>
  <c r="J672" i="90"/>
  <c r="J668" i="90"/>
  <c r="J664" i="90"/>
  <c r="J660" i="90"/>
  <c r="J656" i="90"/>
  <c r="J652" i="90"/>
  <c r="J648" i="90"/>
  <c r="J644" i="90"/>
  <c r="J640" i="90"/>
  <c r="J636" i="90"/>
  <c r="J632" i="90"/>
  <c r="J628" i="90"/>
  <c r="J624" i="90"/>
  <c r="J620" i="90"/>
  <c r="J616" i="90"/>
  <c r="J612" i="90"/>
  <c r="J608" i="90"/>
  <c r="J604" i="90"/>
  <c r="J600" i="90"/>
  <c r="J596" i="90"/>
  <c r="J592" i="90"/>
  <c r="J588" i="90"/>
  <c r="J584" i="90"/>
  <c r="J580" i="90"/>
  <c r="J576" i="90"/>
  <c r="J572" i="90"/>
  <c r="J568" i="90"/>
  <c r="J564" i="90"/>
  <c r="J560" i="90"/>
  <c r="J556" i="90"/>
  <c r="J552" i="90"/>
  <c r="J548" i="90"/>
  <c r="J544" i="90"/>
  <c r="J540" i="90"/>
  <c r="J536" i="90"/>
  <c r="J532" i="90"/>
  <c r="J528" i="90"/>
  <c r="J524" i="90"/>
  <c r="J520" i="90"/>
  <c r="J516" i="90"/>
  <c r="J512" i="90"/>
  <c r="J508" i="90"/>
  <c r="J504" i="90"/>
  <c r="J500" i="90"/>
  <c r="J496" i="90"/>
  <c r="J492" i="90"/>
  <c r="J488" i="90"/>
  <c r="J484" i="90"/>
  <c r="J480" i="90"/>
  <c r="J476" i="90"/>
  <c r="J472" i="90"/>
  <c r="J468" i="90"/>
  <c r="J464" i="90"/>
  <c r="J460" i="90"/>
  <c r="J456" i="90"/>
  <c r="J452" i="90"/>
  <c r="J448" i="90"/>
  <c r="J444" i="90"/>
  <c r="J440" i="90"/>
  <c r="J436" i="90"/>
  <c r="J432" i="90"/>
  <c r="J428" i="90"/>
  <c r="J424" i="90"/>
  <c r="J420" i="90"/>
  <c r="J416" i="90"/>
  <c r="J412" i="90"/>
  <c r="J408" i="90"/>
  <c r="J404" i="90"/>
  <c r="J400" i="90"/>
  <c r="J396" i="90"/>
  <c r="J392" i="90"/>
  <c r="J388" i="90"/>
  <c r="J384" i="90"/>
  <c r="J380" i="90"/>
  <c r="J376" i="90"/>
  <c r="J372" i="90"/>
  <c r="J368" i="90"/>
  <c r="J364" i="90"/>
  <c r="J360" i="90"/>
  <c r="J356" i="90"/>
  <c r="J352" i="90"/>
  <c r="J348" i="90"/>
  <c r="J344" i="90"/>
  <c r="J340" i="90"/>
  <c r="J336" i="90"/>
  <c r="J332" i="90"/>
  <c r="J328" i="90"/>
  <c r="J324" i="90"/>
  <c r="J320" i="90"/>
  <c r="J316" i="90"/>
  <c r="J312" i="90"/>
  <c r="J308" i="90"/>
  <c r="J304" i="90"/>
  <c r="J300" i="90"/>
  <c r="J296" i="90"/>
  <c r="J292" i="90"/>
  <c r="J288" i="90"/>
  <c r="J284" i="90"/>
  <c r="J280" i="90"/>
  <c r="J276" i="90"/>
  <c r="J272" i="90"/>
  <c r="J268" i="90"/>
  <c r="J264" i="90"/>
  <c r="J260" i="90"/>
  <c r="J256" i="90"/>
  <c r="J252" i="90"/>
  <c r="J248" i="90"/>
  <c r="J244" i="90"/>
  <c r="J240" i="90"/>
  <c r="J236" i="90"/>
  <c r="J232" i="90"/>
  <c r="J228" i="90"/>
  <c r="J224" i="90"/>
  <c r="J220" i="90"/>
  <c r="J216" i="90"/>
  <c r="J212" i="90"/>
  <c r="J208" i="90"/>
  <c r="J204" i="90"/>
  <c r="J200" i="90"/>
  <c r="J196" i="90"/>
  <c r="J192" i="90"/>
  <c r="J188" i="90"/>
  <c r="J184" i="90"/>
  <c r="J180" i="90"/>
  <c r="J176" i="90"/>
  <c r="J172" i="90"/>
  <c r="J168" i="90"/>
  <c r="J163" i="90"/>
  <c r="J158" i="90"/>
  <c r="J147" i="90"/>
  <c r="J142" i="90"/>
  <c r="J131" i="90"/>
  <c r="J126" i="90"/>
  <c r="J115" i="90"/>
  <c r="J110" i="90"/>
  <c r="J99" i="90"/>
  <c r="J94" i="90"/>
  <c r="J83" i="90"/>
  <c r="J78" i="90"/>
  <c r="J67" i="90"/>
  <c r="J62" i="90"/>
  <c r="J51" i="90"/>
  <c r="J35" i="90"/>
  <c r="J30" i="90"/>
  <c r="J19" i="90"/>
  <c r="L919" i="90"/>
  <c r="L911" i="90"/>
  <c r="L904" i="90"/>
  <c r="L890" i="90"/>
  <c r="L883" i="90"/>
  <c r="L876" i="90"/>
  <c r="L868" i="90"/>
  <c r="L862" i="90"/>
  <c r="L855" i="90"/>
  <c r="L847" i="90"/>
  <c r="L840" i="90"/>
  <c r="L834" i="90"/>
  <c r="L819" i="90"/>
  <c r="L812" i="90"/>
  <c r="L804" i="90"/>
  <c r="L798" i="90"/>
  <c r="L791" i="90"/>
  <c r="L783" i="90"/>
  <c r="L776" i="90"/>
  <c r="L755" i="90"/>
  <c r="L748" i="90"/>
  <c r="L740" i="90"/>
  <c r="L734" i="90"/>
  <c r="L727" i="90"/>
  <c r="L719" i="90"/>
  <c r="L712" i="90"/>
  <c r="L706" i="90"/>
  <c r="L691" i="90"/>
  <c r="L684" i="90"/>
  <c r="L676" i="90"/>
  <c r="L668" i="90"/>
  <c r="L658" i="90"/>
  <c r="L647" i="90"/>
  <c r="L636" i="90"/>
  <c r="L626" i="90"/>
  <c r="L615" i="90"/>
  <c r="L604" i="90"/>
  <c r="L594" i="90"/>
  <c r="L583" i="90"/>
  <c r="L572" i="90"/>
  <c r="L562" i="90"/>
  <c r="L551" i="90"/>
  <c r="L540" i="90"/>
  <c r="L530" i="90"/>
  <c r="L519" i="90"/>
  <c r="L508" i="90"/>
  <c r="L498" i="90"/>
  <c r="L487" i="90"/>
  <c r="L476" i="90"/>
  <c r="L466" i="90"/>
  <c r="L455" i="90"/>
  <c r="L444" i="90"/>
  <c r="L434" i="90"/>
  <c r="L423" i="90"/>
  <c r="L412" i="90"/>
  <c r="L402" i="90"/>
  <c r="L391" i="90"/>
  <c r="L380" i="90"/>
  <c r="L370" i="90"/>
  <c r="L359" i="90"/>
  <c r="L348" i="90"/>
  <c r="L338" i="90"/>
  <c r="L327" i="90"/>
  <c r="L316" i="90"/>
  <c r="L306" i="90"/>
  <c r="L295" i="90"/>
  <c r="L284" i="90"/>
  <c r="L274" i="90"/>
  <c r="L263" i="90"/>
  <c r="L252" i="90"/>
  <c r="L242" i="90"/>
  <c r="L231" i="90"/>
  <c r="L220" i="90"/>
  <c r="L210" i="90"/>
  <c r="L199" i="90"/>
  <c r="L188" i="90"/>
  <c r="L178" i="90"/>
  <c r="L167" i="90"/>
  <c r="L156" i="90"/>
  <c r="L146" i="90"/>
  <c r="L135" i="90"/>
  <c r="L124" i="90"/>
  <c r="L114" i="90"/>
  <c r="L103" i="90"/>
  <c r="L92" i="90"/>
  <c r="L82" i="90"/>
  <c r="L71" i="90"/>
  <c r="L60" i="90"/>
  <c r="L50" i="90"/>
  <c r="L39" i="90"/>
  <c r="L18" i="90"/>
  <c r="L7" i="90"/>
  <c r="M904" i="90"/>
  <c r="M872" i="90"/>
  <c r="M840" i="90"/>
  <c r="M808" i="90"/>
  <c r="M776" i="90"/>
  <c r="M744" i="90"/>
  <c r="M712" i="90"/>
  <c r="M690" i="90"/>
  <c r="M680" i="90"/>
  <c r="M648" i="90"/>
  <c r="M616" i="90"/>
  <c r="M584" i="90"/>
  <c r="M552" i="90"/>
  <c r="M520" i="90"/>
  <c r="M488" i="90"/>
  <c r="M456" i="90"/>
  <c r="M434" i="90"/>
  <c r="M424" i="90"/>
  <c r="M392" i="90"/>
  <c r="M360" i="90"/>
  <c r="M328" i="90"/>
  <c r="M296" i="90"/>
  <c r="M264" i="90"/>
  <c r="M232" i="90"/>
  <c r="M200" i="90"/>
  <c r="M168" i="90"/>
  <c r="M136" i="90"/>
  <c r="M104" i="90"/>
  <c r="M72" i="90"/>
  <c r="O915" i="90"/>
  <c r="O904" i="90"/>
  <c r="O894" i="90"/>
  <c r="O883" i="90"/>
  <c r="O872" i="90"/>
  <c r="O862" i="90"/>
  <c r="O851" i="90"/>
  <c r="O840" i="90"/>
  <c r="O830" i="90"/>
  <c r="O819" i="90"/>
  <c r="O808" i="90"/>
  <c r="O798" i="90"/>
  <c r="O787" i="90"/>
  <c r="O776" i="90"/>
  <c r="O766" i="90"/>
  <c r="O755" i="90"/>
  <c r="O744" i="90"/>
  <c r="O734" i="90"/>
  <c r="O723" i="90"/>
  <c r="O712" i="90"/>
  <c r="O702" i="90"/>
  <c r="O691" i="90"/>
  <c r="O680" i="90"/>
  <c r="O670" i="90"/>
  <c r="O659" i="90"/>
  <c r="O648" i="90"/>
  <c r="O638" i="90"/>
  <c r="O627" i="90"/>
  <c r="O616" i="90"/>
  <c r="O606" i="90"/>
  <c r="O595" i="90"/>
  <c r="O584" i="90"/>
  <c r="O574" i="90"/>
  <c r="O563" i="90"/>
  <c r="O552" i="90"/>
  <c r="O542" i="90"/>
  <c r="O531" i="90"/>
  <c r="O520" i="90"/>
  <c r="O510" i="90"/>
  <c r="P510" i="90" s="1"/>
  <c r="O499" i="90"/>
  <c r="O488" i="90"/>
  <c r="O478" i="90"/>
  <c r="O467" i="90"/>
  <c r="P467" i="90" s="1"/>
  <c r="O456" i="90"/>
  <c r="P456" i="90" s="1"/>
  <c r="O446" i="90"/>
  <c r="O435" i="90"/>
  <c r="O424" i="90"/>
  <c r="O414" i="90"/>
  <c r="P414" i="90" s="1"/>
  <c r="O403" i="90"/>
  <c r="O392" i="90"/>
  <c r="O382" i="90"/>
  <c r="O371" i="90"/>
  <c r="P371" i="90" s="1"/>
  <c r="O360" i="90"/>
  <c r="O350" i="90"/>
  <c r="O339" i="90"/>
  <c r="O328" i="90"/>
  <c r="O307" i="90"/>
  <c r="O296" i="90"/>
  <c r="O286" i="90"/>
  <c r="O275" i="90"/>
  <c r="O264" i="90"/>
  <c r="O243" i="90"/>
  <c r="O232" i="90"/>
  <c r="O211" i="90"/>
  <c r="O200" i="90"/>
  <c r="O179" i="90"/>
  <c r="O168" i="90"/>
  <c r="O158" i="90"/>
  <c r="O147" i="90"/>
  <c r="O136" i="90"/>
  <c r="O115" i="90"/>
  <c r="O104" i="90"/>
  <c r="O83" i="90"/>
  <c r="O72" i="90"/>
  <c r="O51" i="90"/>
  <c r="O30" i="90"/>
  <c r="O19" i="90"/>
  <c r="P916" i="90"/>
  <c r="P884" i="90"/>
  <c r="P852" i="90"/>
  <c r="P820" i="90"/>
  <c r="P788" i="90"/>
  <c r="P756" i="90"/>
  <c r="P724" i="90"/>
  <c r="P692" i="90"/>
  <c r="P660" i="90"/>
  <c r="P628" i="90"/>
  <c r="P596" i="90"/>
  <c r="P564" i="90"/>
  <c r="P532" i="90"/>
  <c r="P500" i="90"/>
  <c r="P436" i="90"/>
  <c r="P372" i="90"/>
  <c r="P340" i="90"/>
  <c r="P272" i="90"/>
  <c r="P244" i="90"/>
  <c r="P216" i="90"/>
  <c r="P144" i="90"/>
  <c r="P116" i="90"/>
  <c r="P88" i="90"/>
  <c r="Q920" i="90"/>
  <c r="Q891" i="90"/>
  <c r="Q863" i="90"/>
  <c r="Q848" i="90"/>
  <c r="Q835" i="90"/>
  <c r="Q820" i="90"/>
  <c r="Q792" i="90"/>
  <c r="Q763" i="90"/>
  <c r="Q735" i="90"/>
  <c r="Q720" i="90"/>
  <c r="Q707" i="90"/>
  <c r="Q692" i="90"/>
  <c r="Q664" i="90"/>
  <c r="Q635" i="90"/>
  <c r="Q607" i="90"/>
  <c r="Q592" i="90"/>
  <c r="Q579" i="90"/>
  <c r="Q564" i="90"/>
  <c r="Q536" i="90"/>
  <c r="Q507" i="90"/>
  <c r="Q479" i="90"/>
  <c r="Q464" i="90"/>
  <c r="Q451" i="90"/>
  <c r="Q436" i="90"/>
  <c r="Q408" i="90"/>
  <c r="Q379" i="90"/>
  <c r="Q351" i="90"/>
  <c r="Q336" i="90"/>
  <c r="Q323" i="90"/>
  <c r="Q308" i="90"/>
  <c r="Q280" i="90"/>
  <c r="Q251" i="90"/>
  <c r="Q223" i="90"/>
  <c r="Q208" i="90"/>
  <c r="Q195" i="90"/>
  <c r="Q180" i="90"/>
  <c r="Q152" i="90"/>
  <c r="Q123" i="90"/>
  <c r="Q95" i="90"/>
  <c r="Q80" i="90"/>
  <c r="Q67" i="90"/>
  <c r="Q52" i="90"/>
  <c r="R900" i="90"/>
  <c r="R804" i="90"/>
  <c r="R740" i="90"/>
  <c r="R676" i="90"/>
  <c r="R654" i="90"/>
  <c r="R612" i="90"/>
  <c r="R548" i="90"/>
  <c r="R484" i="90"/>
  <c r="R420" i="90"/>
  <c r="R398" i="90"/>
  <c r="R356" i="90"/>
  <c r="R292" i="90"/>
  <c r="R228" i="90"/>
  <c r="R163" i="90"/>
  <c r="S796" i="90"/>
  <c r="S768" i="90"/>
  <c r="S740" i="90"/>
  <c r="S540" i="90"/>
  <c r="S512" i="90"/>
  <c r="S484" i="90"/>
  <c r="S284" i="90"/>
  <c r="S256" i="90"/>
  <c r="S228" i="90"/>
  <c r="T918" i="90"/>
  <c r="T860" i="90"/>
  <c r="T832" i="90"/>
  <c r="T804" i="90"/>
  <c r="T775" i="90"/>
  <c r="T747" i="90"/>
  <c r="T719" i="90"/>
  <c r="T662" i="90"/>
  <c r="T604" i="90"/>
  <c r="T576" i="90"/>
  <c r="T548" i="90"/>
  <c r="T519" i="90"/>
  <c r="T491" i="90"/>
  <c r="T463" i="90"/>
  <c r="T406" i="90"/>
  <c r="T348" i="90"/>
  <c r="T320" i="90"/>
  <c r="T292" i="90"/>
  <c r="T256" i="90"/>
  <c r="T215" i="90"/>
  <c r="T172" i="90"/>
  <c r="T128" i="90"/>
  <c r="T87" i="90"/>
  <c r="T44" i="90"/>
  <c r="V899" i="90"/>
  <c r="V856" i="90"/>
  <c r="V812" i="90"/>
  <c r="V771" i="90"/>
  <c r="V728" i="90"/>
  <c r="V664" i="90"/>
  <c r="V447" i="90"/>
  <c r="Y6" i="90"/>
  <c r="Z6" i="90"/>
  <c r="V6" i="90"/>
  <c r="W6" i="90"/>
  <c r="X6" i="90"/>
  <c r="T6" i="90"/>
  <c r="P6" i="90"/>
  <c r="U6" i="90"/>
  <c r="M6" i="90"/>
  <c r="L6" i="90"/>
  <c r="S6" i="90"/>
  <c r="Q6" i="90"/>
  <c r="O6" i="90"/>
  <c r="Y10" i="90"/>
  <c r="Z10" i="90"/>
  <c r="X10" i="90"/>
  <c r="V10" i="90"/>
  <c r="W10" i="90"/>
  <c r="T10" i="90"/>
  <c r="U10" i="90"/>
  <c r="S10" i="90"/>
  <c r="R10" i="90"/>
  <c r="M10" i="90"/>
  <c r="L10" i="90"/>
  <c r="Y14" i="90"/>
  <c r="Z14" i="90"/>
  <c r="X14" i="90"/>
  <c r="V14" i="90"/>
  <c r="W14" i="90"/>
  <c r="T14" i="90"/>
  <c r="U14" i="90"/>
  <c r="P14" i="90"/>
  <c r="R14" i="90"/>
  <c r="Q14" i="90"/>
  <c r="Y18" i="90"/>
  <c r="Z18" i="90"/>
  <c r="X18" i="90"/>
  <c r="V18" i="90"/>
  <c r="W18" i="90"/>
  <c r="T18" i="90"/>
  <c r="S18" i="90"/>
  <c r="R18" i="90"/>
  <c r="Q18" i="90"/>
  <c r="U18" i="90"/>
  <c r="O18" i="90"/>
  <c r="Y22" i="90"/>
  <c r="Z22" i="90"/>
  <c r="X22" i="90"/>
  <c r="V22" i="90"/>
  <c r="W22" i="90"/>
  <c r="T22" i="90"/>
  <c r="P22" i="90"/>
  <c r="S22" i="90"/>
  <c r="Q22" i="90"/>
  <c r="M22" i="90"/>
  <c r="L22" i="90"/>
  <c r="O22" i="90"/>
  <c r="Y26" i="90"/>
  <c r="Z26" i="90"/>
  <c r="X26" i="90"/>
  <c r="V26" i="90"/>
  <c r="W26" i="90"/>
  <c r="T26" i="90"/>
  <c r="S26" i="90"/>
  <c r="R26" i="90"/>
  <c r="P26" i="90"/>
  <c r="M26" i="90"/>
  <c r="L26" i="90"/>
  <c r="Y30" i="90"/>
  <c r="Z30" i="90"/>
  <c r="X30" i="90"/>
  <c r="V30" i="90"/>
  <c r="W30" i="90"/>
  <c r="T30" i="90"/>
  <c r="U30" i="90"/>
  <c r="R30" i="90"/>
  <c r="Q30" i="90"/>
  <c r="Y34" i="90"/>
  <c r="Z34" i="90"/>
  <c r="X34" i="90"/>
  <c r="V34" i="90"/>
  <c r="T34" i="90"/>
  <c r="S34" i="90"/>
  <c r="R34" i="90"/>
  <c r="Q34" i="90"/>
  <c r="O34" i="90"/>
  <c r="U34" i="90"/>
  <c r="P34" i="90"/>
  <c r="Y38" i="90"/>
  <c r="Z38" i="90"/>
  <c r="V38" i="90"/>
  <c r="X38" i="90"/>
  <c r="W38" i="90"/>
  <c r="T38" i="90"/>
  <c r="P38" i="90"/>
  <c r="U38" i="90"/>
  <c r="S38" i="90"/>
  <c r="R38" i="90"/>
  <c r="M38" i="90"/>
  <c r="L38" i="90"/>
  <c r="O38" i="90"/>
  <c r="Y42" i="90"/>
  <c r="Z42" i="90"/>
  <c r="X42" i="90"/>
  <c r="V42" i="90"/>
  <c r="W42" i="90"/>
  <c r="T42" i="90"/>
  <c r="U42" i="90"/>
  <c r="P42" i="90"/>
  <c r="R42" i="90"/>
  <c r="Q42" i="90"/>
  <c r="M42" i="90"/>
  <c r="L42" i="90"/>
  <c r="Y46" i="90"/>
  <c r="Z46" i="90"/>
  <c r="X46" i="90"/>
  <c r="V46" i="90"/>
  <c r="W46" i="90"/>
  <c r="T46" i="90"/>
  <c r="S46" i="90"/>
  <c r="R46" i="90"/>
  <c r="Y50" i="90"/>
  <c r="Z50" i="90"/>
  <c r="X50" i="90"/>
  <c r="V50" i="90"/>
  <c r="W50" i="90"/>
  <c r="T50" i="90"/>
  <c r="S50" i="90"/>
  <c r="R50" i="90"/>
  <c r="Q50" i="90"/>
  <c r="U50" i="90"/>
  <c r="P50" i="90"/>
  <c r="O50" i="90"/>
  <c r="Y54" i="90"/>
  <c r="Z54" i="90"/>
  <c r="V54" i="90"/>
  <c r="X54" i="90"/>
  <c r="W54" i="90"/>
  <c r="T54" i="90"/>
  <c r="S54" i="90"/>
  <c r="R54" i="90"/>
  <c r="P54" i="90"/>
  <c r="M54" i="90"/>
  <c r="L54" i="90"/>
  <c r="U54" i="90"/>
  <c r="O54" i="90"/>
  <c r="Y58" i="90"/>
  <c r="Z58" i="90"/>
  <c r="X58" i="90"/>
  <c r="V58" i="90"/>
  <c r="W58" i="90"/>
  <c r="T58" i="90"/>
  <c r="U58" i="90"/>
  <c r="R58" i="90"/>
  <c r="Q58" i="90"/>
  <c r="M58" i="90"/>
  <c r="L58" i="90"/>
  <c r="Y62" i="90"/>
  <c r="Z62" i="90"/>
  <c r="X62" i="90"/>
  <c r="V62" i="90"/>
  <c r="W62" i="90"/>
  <c r="T62" i="90"/>
  <c r="U62" i="90"/>
  <c r="S62" i="90"/>
  <c r="R62" i="90"/>
  <c r="P62" i="90"/>
  <c r="Y66" i="90"/>
  <c r="Z66" i="90"/>
  <c r="X66" i="90"/>
  <c r="V66" i="90"/>
  <c r="W66" i="90"/>
  <c r="T66" i="90"/>
  <c r="S66" i="90"/>
  <c r="R66" i="90"/>
  <c r="Q66" i="90"/>
  <c r="O66" i="90"/>
  <c r="Y70" i="90"/>
  <c r="Z70" i="90"/>
  <c r="X70" i="90"/>
  <c r="V70" i="90"/>
  <c r="W70" i="90"/>
  <c r="T70" i="90"/>
  <c r="P70" i="90"/>
  <c r="U70" i="90"/>
  <c r="M70" i="90"/>
  <c r="L70" i="90"/>
  <c r="R70" i="90"/>
  <c r="Q70" i="90"/>
  <c r="O70" i="90"/>
  <c r="Y74" i="90"/>
  <c r="Z74" i="90"/>
  <c r="X74" i="90"/>
  <c r="V74" i="90"/>
  <c r="W74" i="90"/>
  <c r="T74" i="90"/>
  <c r="U74" i="90"/>
  <c r="S74" i="90"/>
  <c r="R74" i="90"/>
  <c r="M74" i="90"/>
  <c r="L74" i="90"/>
  <c r="Y78" i="90"/>
  <c r="Z78" i="90"/>
  <c r="X78" i="90"/>
  <c r="V78" i="90"/>
  <c r="W78" i="90"/>
  <c r="T78" i="90"/>
  <c r="U78" i="90"/>
  <c r="P78" i="90"/>
  <c r="S78" i="90"/>
  <c r="Q78" i="90"/>
  <c r="Y82" i="90"/>
  <c r="Z82" i="90"/>
  <c r="X82" i="90"/>
  <c r="V82" i="90"/>
  <c r="W82" i="90"/>
  <c r="T82" i="90"/>
  <c r="S82" i="90"/>
  <c r="R82" i="90"/>
  <c r="Q82" i="90"/>
  <c r="U82" i="90"/>
  <c r="O82" i="90"/>
  <c r="Y86" i="90"/>
  <c r="Z86" i="90"/>
  <c r="X86" i="90"/>
  <c r="V86" i="90"/>
  <c r="W86" i="90"/>
  <c r="T86" i="90"/>
  <c r="P86" i="90"/>
  <c r="R86" i="90"/>
  <c r="Q86" i="90"/>
  <c r="M86" i="90"/>
  <c r="L86" i="90"/>
  <c r="O86" i="90"/>
  <c r="Y90" i="90"/>
  <c r="Z90" i="90"/>
  <c r="X90" i="90"/>
  <c r="V90" i="90"/>
  <c r="W90" i="90"/>
  <c r="T90" i="90"/>
  <c r="S90" i="90"/>
  <c r="R90" i="90"/>
  <c r="P90" i="90"/>
  <c r="M90" i="90"/>
  <c r="L90" i="90"/>
  <c r="Y94" i="90"/>
  <c r="Z94" i="90"/>
  <c r="X94" i="90"/>
  <c r="V94" i="90"/>
  <c r="W94" i="90"/>
  <c r="T94" i="90"/>
  <c r="U94" i="90"/>
  <c r="S94" i="90"/>
  <c r="Q94" i="90"/>
  <c r="Y98" i="90"/>
  <c r="Z98" i="90"/>
  <c r="X98" i="90"/>
  <c r="V98" i="90"/>
  <c r="W98" i="90"/>
  <c r="T98" i="90"/>
  <c r="S98" i="90"/>
  <c r="R98" i="90"/>
  <c r="Q98" i="90"/>
  <c r="O98" i="90"/>
  <c r="U98" i="90"/>
  <c r="P98" i="90"/>
  <c r="Y102" i="90"/>
  <c r="Z102" i="90"/>
  <c r="X102" i="90"/>
  <c r="V102" i="90"/>
  <c r="W102" i="90"/>
  <c r="T102" i="90"/>
  <c r="P102" i="90"/>
  <c r="U102" i="90"/>
  <c r="S102" i="90"/>
  <c r="R102" i="90"/>
  <c r="M102" i="90"/>
  <c r="L102" i="90"/>
  <c r="O102" i="90"/>
  <c r="Y106" i="90"/>
  <c r="Z106" i="90"/>
  <c r="X106" i="90"/>
  <c r="V106" i="90"/>
  <c r="W106" i="90"/>
  <c r="T106" i="90"/>
  <c r="U106" i="90"/>
  <c r="P106" i="90"/>
  <c r="S106" i="90"/>
  <c r="Q106" i="90"/>
  <c r="M106" i="90"/>
  <c r="L106" i="90"/>
  <c r="Y110" i="90"/>
  <c r="Z110" i="90"/>
  <c r="X110" i="90"/>
  <c r="V110" i="90"/>
  <c r="W110" i="90"/>
  <c r="T110" i="90"/>
  <c r="S110" i="90"/>
  <c r="R110" i="90"/>
  <c r="Z114" i="90"/>
  <c r="Y114" i="90"/>
  <c r="X114" i="90"/>
  <c r="V114" i="90"/>
  <c r="W114" i="90"/>
  <c r="T114" i="90"/>
  <c r="S114" i="90"/>
  <c r="R114" i="90"/>
  <c r="Q114" i="90"/>
  <c r="U114" i="90"/>
  <c r="P114" i="90"/>
  <c r="O114" i="90"/>
  <c r="Z118" i="90"/>
  <c r="Y118" i="90"/>
  <c r="X118" i="90"/>
  <c r="V118" i="90"/>
  <c r="W118" i="90"/>
  <c r="T118" i="90"/>
  <c r="S118" i="90"/>
  <c r="R118" i="90"/>
  <c r="P118" i="90"/>
  <c r="M118" i="90"/>
  <c r="L118" i="90"/>
  <c r="U118" i="90"/>
  <c r="O118" i="90"/>
  <c r="Z122" i="90"/>
  <c r="Y122" i="90"/>
  <c r="X122" i="90"/>
  <c r="V122" i="90"/>
  <c r="W122" i="90"/>
  <c r="T122" i="90"/>
  <c r="U122" i="90"/>
  <c r="S122" i="90"/>
  <c r="Q122" i="90"/>
  <c r="M122" i="90"/>
  <c r="L122" i="90"/>
  <c r="Z126" i="90"/>
  <c r="Y126" i="90"/>
  <c r="X126" i="90"/>
  <c r="V126" i="90"/>
  <c r="W126" i="90"/>
  <c r="T126" i="90"/>
  <c r="U126" i="90"/>
  <c r="S126" i="90"/>
  <c r="R126" i="90"/>
  <c r="P126" i="90"/>
  <c r="Z130" i="90"/>
  <c r="Y130" i="90"/>
  <c r="X130" i="90"/>
  <c r="V130" i="90"/>
  <c r="W130" i="90"/>
  <c r="T130" i="90"/>
  <c r="S130" i="90"/>
  <c r="R130" i="90"/>
  <c r="Q130" i="90"/>
  <c r="O130" i="90"/>
  <c r="Z134" i="90"/>
  <c r="Y134" i="90"/>
  <c r="X134" i="90"/>
  <c r="V134" i="90"/>
  <c r="W134" i="90"/>
  <c r="T134" i="90"/>
  <c r="P134" i="90"/>
  <c r="U134" i="90"/>
  <c r="M134" i="90"/>
  <c r="L134" i="90"/>
  <c r="S134" i="90"/>
  <c r="Q134" i="90"/>
  <c r="O134" i="90"/>
  <c r="Z138" i="90"/>
  <c r="Y138" i="90"/>
  <c r="X138" i="90"/>
  <c r="V138" i="90"/>
  <c r="W138" i="90"/>
  <c r="T138" i="90"/>
  <c r="U138" i="90"/>
  <c r="S138" i="90"/>
  <c r="R138" i="90"/>
  <c r="M138" i="90"/>
  <c r="L138" i="90"/>
  <c r="Z142" i="90"/>
  <c r="Y142" i="90"/>
  <c r="X142" i="90"/>
  <c r="V142" i="90"/>
  <c r="W142" i="90"/>
  <c r="T142" i="90"/>
  <c r="U142" i="90"/>
  <c r="P142" i="90"/>
  <c r="R142" i="90"/>
  <c r="Q142" i="90"/>
  <c r="Z146" i="90"/>
  <c r="Y146" i="90"/>
  <c r="X146" i="90"/>
  <c r="V146" i="90"/>
  <c r="W146" i="90"/>
  <c r="T146" i="90"/>
  <c r="S146" i="90"/>
  <c r="R146" i="90"/>
  <c r="Q146" i="90"/>
  <c r="U146" i="90"/>
  <c r="O146" i="90"/>
  <c r="Z150" i="90"/>
  <c r="Y150" i="90"/>
  <c r="X150" i="90"/>
  <c r="V150" i="90"/>
  <c r="W150" i="90"/>
  <c r="T150" i="90"/>
  <c r="P150" i="90"/>
  <c r="S150" i="90"/>
  <c r="Q150" i="90"/>
  <c r="M150" i="90"/>
  <c r="L150" i="90"/>
  <c r="O150" i="90"/>
  <c r="Z154" i="90"/>
  <c r="Y154" i="90"/>
  <c r="X154" i="90"/>
  <c r="V154" i="90"/>
  <c r="W154" i="90"/>
  <c r="T154" i="90"/>
  <c r="S154" i="90"/>
  <c r="R154" i="90"/>
  <c r="P154" i="90"/>
  <c r="M154" i="90"/>
  <c r="L154" i="90"/>
  <c r="Z158" i="90"/>
  <c r="Y158" i="90"/>
  <c r="X158" i="90"/>
  <c r="V158" i="90"/>
  <c r="W158" i="90"/>
  <c r="T158" i="90"/>
  <c r="U158" i="90"/>
  <c r="R158" i="90"/>
  <c r="Q158" i="90"/>
  <c r="Z162" i="90"/>
  <c r="Y162" i="90"/>
  <c r="X162" i="90"/>
  <c r="V162" i="90"/>
  <c r="W162" i="90"/>
  <c r="T162" i="90"/>
  <c r="S162" i="90"/>
  <c r="R162" i="90"/>
  <c r="Q162" i="90"/>
  <c r="O162" i="90"/>
  <c r="U162" i="90"/>
  <c r="P162" i="90"/>
  <c r="Z166" i="90"/>
  <c r="Y166" i="90"/>
  <c r="X166" i="90"/>
  <c r="V166" i="90"/>
  <c r="W166" i="90"/>
  <c r="T166" i="90"/>
  <c r="P166" i="90"/>
  <c r="U166" i="90"/>
  <c r="S166" i="90"/>
  <c r="R166" i="90"/>
  <c r="M166" i="90"/>
  <c r="L166" i="90"/>
  <c r="O166" i="90"/>
  <c r="Z170" i="90"/>
  <c r="Y170" i="90"/>
  <c r="X170" i="90"/>
  <c r="V170" i="90"/>
  <c r="W170" i="90"/>
  <c r="T170" i="90"/>
  <c r="U170" i="90"/>
  <c r="R170" i="90"/>
  <c r="P170" i="90"/>
  <c r="Q170" i="90"/>
  <c r="M170" i="90"/>
  <c r="L170" i="90"/>
  <c r="Z174" i="90"/>
  <c r="Y174" i="90"/>
  <c r="X174" i="90"/>
  <c r="V174" i="90"/>
  <c r="W174" i="90"/>
  <c r="T174" i="90"/>
  <c r="S174" i="90"/>
  <c r="Z178" i="90"/>
  <c r="Y178" i="90"/>
  <c r="X178" i="90"/>
  <c r="V178" i="90"/>
  <c r="W178" i="90"/>
  <c r="T178" i="90"/>
  <c r="S178" i="90"/>
  <c r="R178" i="90"/>
  <c r="Q178" i="90"/>
  <c r="U178" i="90"/>
  <c r="P178" i="90"/>
  <c r="O178" i="90"/>
  <c r="Z182" i="90"/>
  <c r="Y182" i="90"/>
  <c r="X182" i="90"/>
  <c r="V182" i="90"/>
  <c r="W182" i="90"/>
  <c r="T182" i="90"/>
  <c r="S182" i="90"/>
  <c r="P182" i="90"/>
  <c r="R182" i="90"/>
  <c r="M182" i="90"/>
  <c r="L182" i="90"/>
  <c r="U182" i="90"/>
  <c r="O182" i="90"/>
  <c r="Z186" i="90"/>
  <c r="Y186" i="90"/>
  <c r="X186" i="90"/>
  <c r="V186" i="90"/>
  <c r="W186" i="90"/>
  <c r="T186" i="90"/>
  <c r="U186" i="90"/>
  <c r="Q186" i="90"/>
  <c r="M186" i="90"/>
  <c r="L186" i="90"/>
  <c r="Z190" i="90"/>
  <c r="Y190" i="90"/>
  <c r="X190" i="90"/>
  <c r="V190" i="90"/>
  <c r="W190" i="90"/>
  <c r="T190" i="90"/>
  <c r="U190" i="90"/>
  <c r="S190" i="90"/>
  <c r="R190" i="90"/>
  <c r="P190" i="90"/>
  <c r="Z194" i="90"/>
  <c r="Y194" i="90"/>
  <c r="X194" i="90"/>
  <c r="V194" i="90"/>
  <c r="W194" i="90"/>
  <c r="T194" i="90"/>
  <c r="S194" i="90"/>
  <c r="R194" i="90"/>
  <c r="Q194" i="90"/>
  <c r="O194" i="90"/>
  <c r="Z198" i="90"/>
  <c r="Y198" i="90"/>
  <c r="X198" i="90"/>
  <c r="V198" i="90"/>
  <c r="W198" i="90"/>
  <c r="T198" i="90"/>
  <c r="P198" i="90"/>
  <c r="U198" i="90"/>
  <c r="R198" i="90"/>
  <c r="M198" i="90"/>
  <c r="L198" i="90"/>
  <c r="Q198" i="90"/>
  <c r="O198" i="90"/>
  <c r="Z202" i="90"/>
  <c r="Y202" i="90"/>
  <c r="X202" i="90"/>
  <c r="V202" i="90"/>
  <c r="W202" i="90"/>
  <c r="T202" i="90"/>
  <c r="U202" i="90"/>
  <c r="S202" i="90"/>
  <c r="R202" i="90"/>
  <c r="M202" i="90"/>
  <c r="L202" i="90"/>
  <c r="Z206" i="90"/>
  <c r="Y206" i="90"/>
  <c r="X206" i="90"/>
  <c r="V206" i="90"/>
  <c r="W206" i="90"/>
  <c r="T206" i="90"/>
  <c r="U206" i="90"/>
  <c r="P206" i="90"/>
  <c r="S206" i="90"/>
  <c r="Q206" i="90"/>
  <c r="Z210" i="90"/>
  <c r="Y210" i="90"/>
  <c r="X210" i="90"/>
  <c r="V210" i="90"/>
  <c r="T210" i="90"/>
  <c r="S210" i="90"/>
  <c r="R210" i="90"/>
  <c r="Q210" i="90"/>
  <c r="U210" i="90"/>
  <c r="O210" i="90"/>
  <c r="Z214" i="90"/>
  <c r="Y214" i="90"/>
  <c r="X214" i="90"/>
  <c r="V214" i="90"/>
  <c r="W214" i="90"/>
  <c r="T214" i="90"/>
  <c r="P214" i="90"/>
  <c r="R214" i="90"/>
  <c r="Q214" i="90"/>
  <c r="M214" i="90"/>
  <c r="L214" i="90"/>
  <c r="O214" i="90"/>
  <c r="Z218" i="90"/>
  <c r="Y218" i="90"/>
  <c r="X218" i="90"/>
  <c r="V218" i="90"/>
  <c r="W218" i="90"/>
  <c r="T218" i="90"/>
  <c r="S218" i="90"/>
  <c r="P218" i="90"/>
  <c r="M218" i="90"/>
  <c r="L218" i="90"/>
  <c r="Z222" i="90"/>
  <c r="Y222" i="90"/>
  <c r="X222" i="90"/>
  <c r="V222" i="90"/>
  <c r="W222" i="90"/>
  <c r="T222" i="90"/>
  <c r="U222" i="90"/>
  <c r="S222" i="90"/>
  <c r="Q222" i="90"/>
  <c r="R222" i="90"/>
  <c r="Z226" i="90"/>
  <c r="Y226" i="90"/>
  <c r="X226" i="90"/>
  <c r="V226" i="90"/>
  <c r="W226" i="90"/>
  <c r="T226" i="90"/>
  <c r="S226" i="90"/>
  <c r="R226" i="90"/>
  <c r="Q226" i="90"/>
  <c r="O226" i="90"/>
  <c r="U226" i="90"/>
  <c r="P226" i="90"/>
  <c r="Z230" i="90"/>
  <c r="Y230" i="90"/>
  <c r="X230" i="90"/>
  <c r="V230" i="90"/>
  <c r="W230" i="90"/>
  <c r="T230" i="90"/>
  <c r="P230" i="90"/>
  <c r="U230" i="90"/>
  <c r="S230" i="90"/>
  <c r="R230" i="90"/>
  <c r="M230" i="90"/>
  <c r="L230" i="90"/>
  <c r="O230" i="90"/>
  <c r="Z234" i="90"/>
  <c r="Y234" i="90"/>
  <c r="X234" i="90"/>
  <c r="V234" i="90"/>
  <c r="W234" i="90"/>
  <c r="T234" i="90"/>
  <c r="U234" i="90"/>
  <c r="R234" i="90"/>
  <c r="P234" i="90"/>
  <c r="S234" i="90"/>
  <c r="Q234" i="90"/>
  <c r="M234" i="90"/>
  <c r="L234" i="90"/>
  <c r="Z238" i="90"/>
  <c r="Y238" i="90"/>
  <c r="X238" i="90"/>
  <c r="V238" i="90"/>
  <c r="W238" i="90"/>
  <c r="T238" i="90"/>
  <c r="S238" i="90"/>
  <c r="Z242" i="90"/>
  <c r="Y242" i="90"/>
  <c r="X242" i="90"/>
  <c r="V242" i="90"/>
  <c r="W242" i="90"/>
  <c r="T242" i="90"/>
  <c r="S242" i="90"/>
  <c r="R242" i="90"/>
  <c r="Q242" i="90"/>
  <c r="U242" i="90"/>
  <c r="P242" i="90"/>
  <c r="O242" i="90"/>
  <c r="Z246" i="90"/>
  <c r="Y246" i="90"/>
  <c r="X246" i="90"/>
  <c r="V246" i="90"/>
  <c r="W246" i="90"/>
  <c r="T246" i="90"/>
  <c r="S246" i="90"/>
  <c r="P246" i="90"/>
  <c r="R246" i="90"/>
  <c r="M246" i="90"/>
  <c r="L246" i="90"/>
  <c r="U246" i="90"/>
  <c r="O246" i="90"/>
  <c r="Z250" i="90"/>
  <c r="Y250" i="90"/>
  <c r="X250" i="90"/>
  <c r="V250" i="90"/>
  <c r="W250" i="90"/>
  <c r="T250" i="90"/>
  <c r="U250" i="90"/>
  <c r="S250" i="90"/>
  <c r="Q250" i="90"/>
  <c r="M250" i="90"/>
  <c r="L250" i="90"/>
  <c r="Z254" i="90"/>
  <c r="Y254" i="90"/>
  <c r="X254" i="90"/>
  <c r="V254" i="90"/>
  <c r="W254" i="90"/>
  <c r="T254" i="90"/>
  <c r="U254" i="90"/>
  <c r="S254" i="90"/>
  <c r="R254" i="90"/>
  <c r="P254" i="90"/>
  <c r="Z258" i="90"/>
  <c r="Y258" i="90"/>
  <c r="X258" i="90"/>
  <c r="V258" i="90"/>
  <c r="W258" i="90"/>
  <c r="T258" i="90"/>
  <c r="S258" i="90"/>
  <c r="R258" i="90"/>
  <c r="Q258" i="90"/>
  <c r="O258" i="90"/>
  <c r="Z262" i="90"/>
  <c r="Y262" i="90"/>
  <c r="X262" i="90"/>
  <c r="V262" i="90"/>
  <c r="W262" i="90"/>
  <c r="T262" i="90"/>
  <c r="P262" i="90"/>
  <c r="U262" i="90"/>
  <c r="R262" i="90"/>
  <c r="M262" i="90"/>
  <c r="L262" i="90"/>
  <c r="S262" i="90"/>
  <c r="Q262" i="90"/>
  <c r="O262" i="90"/>
  <c r="Z266" i="90"/>
  <c r="Y266" i="90"/>
  <c r="X266" i="90"/>
  <c r="V266" i="90"/>
  <c r="W266" i="90"/>
  <c r="T266" i="90"/>
  <c r="U266" i="90"/>
  <c r="S266" i="90"/>
  <c r="R266" i="90"/>
  <c r="M266" i="90"/>
  <c r="L266" i="90"/>
  <c r="Z270" i="90"/>
  <c r="Y270" i="90"/>
  <c r="X270" i="90"/>
  <c r="V270" i="90"/>
  <c r="W270" i="90"/>
  <c r="T270" i="90"/>
  <c r="U270" i="90"/>
  <c r="P270" i="90"/>
  <c r="Q270" i="90"/>
  <c r="Z274" i="90"/>
  <c r="Y274" i="90"/>
  <c r="X274" i="90"/>
  <c r="V274" i="90"/>
  <c r="W274" i="90"/>
  <c r="T274" i="90"/>
  <c r="S274" i="90"/>
  <c r="R274" i="90"/>
  <c r="Q274" i="90"/>
  <c r="U274" i="90"/>
  <c r="O274" i="90"/>
  <c r="Z278" i="90"/>
  <c r="Y278" i="90"/>
  <c r="X278" i="90"/>
  <c r="V278" i="90"/>
  <c r="W278" i="90"/>
  <c r="P278" i="90"/>
  <c r="R278" i="90"/>
  <c r="S278" i="90"/>
  <c r="Q278" i="90"/>
  <c r="M278" i="90"/>
  <c r="L278" i="90"/>
  <c r="O278" i="90"/>
  <c r="Z282" i="90"/>
  <c r="Y282" i="90"/>
  <c r="X282" i="90"/>
  <c r="V282" i="90"/>
  <c r="W282" i="90"/>
  <c r="S282" i="90"/>
  <c r="T282" i="90"/>
  <c r="P282" i="90"/>
  <c r="M282" i="90"/>
  <c r="L282" i="90"/>
  <c r="Z286" i="90"/>
  <c r="Y286" i="90"/>
  <c r="X286" i="90"/>
  <c r="V286" i="90"/>
  <c r="W286" i="90"/>
  <c r="T286" i="90"/>
  <c r="U286" i="90"/>
  <c r="Q286" i="90"/>
  <c r="R286" i="90"/>
  <c r="Z290" i="90"/>
  <c r="Y290" i="90"/>
  <c r="X290" i="90"/>
  <c r="V290" i="90"/>
  <c r="W290" i="90"/>
  <c r="S290" i="90"/>
  <c r="T290" i="90"/>
  <c r="R290" i="90"/>
  <c r="Q290" i="90"/>
  <c r="O290" i="90"/>
  <c r="U290" i="90"/>
  <c r="P290" i="90"/>
  <c r="Z294" i="90"/>
  <c r="Y294" i="90"/>
  <c r="X294" i="90"/>
  <c r="V294" i="90"/>
  <c r="W294" i="90"/>
  <c r="P294" i="90"/>
  <c r="U294" i="90"/>
  <c r="S294" i="90"/>
  <c r="R294" i="90"/>
  <c r="M294" i="90"/>
  <c r="L294" i="90"/>
  <c r="O294" i="90"/>
  <c r="Z298" i="90"/>
  <c r="Y298" i="90"/>
  <c r="X298" i="90"/>
  <c r="V298" i="90"/>
  <c r="W298" i="90"/>
  <c r="U298" i="90"/>
  <c r="T298" i="90"/>
  <c r="R298" i="90"/>
  <c r="P298" i="90"/>
  <c r="Q298" i="90"/>
  <c r="M298" i="90"/>
  <c r="L298" i="90"/>
  <c r="Z302" i="90"/>
  <c r="Y302" i="90"/>
  <c r="X302" i="90"/>
  <c r="V302" i="90"/>
  <c r="W302" i="90"/>
  <c r="T302" i="90"/>
  <c r="S302" i="90"/>
  <c r="Z306" i="90"/>
  <c r="Y306" i="90"/>
  <c r="X306" i="90"/>
  <c r="V306" i="90"/>
  <c r="W306" i="90"/>
  <c r="S306" i="90"/>
  <c r="R306" i="90"/>
  <c r="Q306" i="90"/>
  <c r="U306" i="90"/>
  <c r="P306" i="90"/>
  <c r="O306" i="90"/>
  <c r="Z310" i="90"/>
  <c r="Y310" i="90"/>
  <c r="X310" i="90"/>
  <c r="V310" i="90"/>
  <c r="W310" i="90"/>
  <c r="S310" i="90"/>
  <c r="P310" i="90"/>
  <c r="T310" i="90"/>
  <c r="R310" i="90"/>
  <c r="M310" i="90"/>
  <c r="L310" i="90"/>
  <c r="U310" i="90"/>
  <c r="O310" i="90"/>
  <c r="Z314" i="90"/>
  <c r="Y314" i="90"/>
  <c r="X314" i="90"/>
  <c r="V314" i="90"/>
  <c r="W314" i="90"/>
  <c r="U314" i="90"/>
  <c r="Q314" i="90"/>
  <c r="T314" i="90"/>
  <c r="M314" i="90"/>
  <c r="L314" i="90"/>
  <c r="Z318" i="90"/>
  <c r="Y318" i="90"/>
  <c r="X318" i="90"/>
  <c r="V318" i="90"/>
  <c r="W318" i="90"/>
  <c r="T318" i="90"/>
  <c r="U318" i="90"/>
  <c r="S318" i="90"/>
  <c r="R318" i="90"/>
  <c r="P318" i="90"/>
  <c r="Z322" i="90"/>
  <c r="Y322" i="90"/>
  <c r="X322" i="90"/>
  <c r="V322" i="90"/>
  <c r="W322" i="90"/>
  <c r="S322" i="90"/>
  <c r="R322" i="90"/>
  <c r="Q322" i="90"/>
  <c r="O322" i="90"/>
  <c r="Z326" i="90"/>
  <c r="Y326" i="90"/>
  <c r="X326" i="90"/>
  <c r="V326" i="90"/>
  <c r="W326" i="90"/>
  <c r="T326" i="90"/>
  <c r="P326" i="90"/>
  <c r="U326" i="90"/>
  <c r="R326" i="90"/>
  <c r="M326" i="90"/>
  <c r="L326" i="90"/>
  <c r="Q326" i="90"/>
  <c r="O326" i="90"/>
  <c r="Z330" i="90"/>
  <c r="Y330" i="90"/>
  <c r="X330" i="90"/>
  <c r="V330" i="90"/>
  <c r="W330" i="90"/>
  <c r="U330" i="90"/>
  <c r="S330" i="90"/>
  <c r="T330" i="90"/>
  <c r="R330" i="90"/>
  <c r="M330" i="90"/>
  <c r="L330" i="90"/>
  <c r="Z334" i="90"/>
  <c r="Y334" i="90"/>
  <c r="X334" i="90"/>
  <c r="V334" i="90"/>
  <c r="W334" i="90"/>
  <c r="T334" i="90"/>
  <c r="U334" i="90"/>
  <c r="S334" i="90"/>
  <c r="Q334" i="90"/>
  <c r="Z338" i="90"/>
  <c r="Y338" i="90"/>
  <c r="X338" i="90"/>
  <c r="V338" i="90"/>
  <c r="W338" i="90"/>
  <c r="S338" i="90"/>
  <c r="R338" i="90"/>
  <c r="Q338" i="90"/>
  <c r="U338" i="90"/>
  <c r="T338" i="90"/>
  <c r="P338" i="90"/>
  <c r="O338" i="90"/>
  <c r="Z342" i="90"/>
  <c r="Y342" i="90"/>
  <c r="X342" i="90"/>
  <c r="V342" i="90"/>
  <c r="W342" i="90"/>
  <c r="R342" i="90"/>
  <c r="Q342" i="90"/>
  <c r="M342" i="90"/>
  <c r="L342" i="90"/>
  <c r="T342" i="90"/>
  <c r="P342" i="90"/>
  <c r="O342" i="90"/>
  <c r="Z346" i="90"/>
  <c r="Y346" i="90"/>
  <c r="X346" i="90"/>
  <c r="V346" i="90"/>
  <c r="W346" i="90"/>
  <c r="S346" i="90"/>
  <c r="T346" i="90"/>
  <c r="M346" i="90"/>
  <c r="L346" i="90"/>
  <c r="Z350" i="90"/>
  <c r="Y350" i="90"/>
  <c r="X350" i="90"/>
  <c r="V350" i="90"/>
  <c r="W350" i="90"/>
  <c r="T350" i="90"/>
  <c r="U350" i="90"/>
  <c r="S350" i="90"/>
  <c r="Q350" i="90"/>
  <c r="R350" i="90"/>
  <c r="Z354" i="90"/>
  <c r="Y354" i="90"/>
  <c r="X354" i="90"/>
  <c r="V354" i="90"/>
  <c r="W354" i="90"/>
  <c r="S354" i="90"/>
  <c r="T354" i="90"/>
  <c r="R354" i="90"/>
  <c r="Q354" i="90"/>
  <c r="P354" i="90"/>
  <c r="O354" i="90"/>
  <c r="U354" i="90"/>
  <c r="Z358" i="90"/>
  <c r="Y358" i="90"/>
  <c r="X358" i="90"/>
  <c r="V358" i="90"/>
  <c r="W358" i="90"/>
  <c r="U358" i="90"/>
  <c r="S358" i="90"/>
  <c r="R358" i="90"/>
  <c r="T358" i="90"/>
  <c r="M358" i="90"/>
  <c r="L358" i="90"/>
  <c r="P358" i="90"/>
  <c r="O358" i="90"/>
  <c r="Z362" i="90"/>
  <c r="Y362" i="90"/>
  <c r="X362" i="90"/>
  <c r="V362" i="90"/>
  <c r="W362" i="90"/>
  <c r="U362" i="90"/>
  <c r="T362" i="90"/>
  <c r="R362" i="90"/>
  <c r="S362" i="90"/>
  <c r="Q362" i="90"/>
  <c r="M362" i="90"/>
  <c r="L362" i="90"/>
  <c r="Z366" i="90"/>
  <c r="Y366" i="90"/>
  <c r="X366" i="90"/>
  <c r="V366" i="90"/>
  <c r="W366" i="90"/>
  <c r="T366" i="90"/>
  <c r="S366" i="90"/>
  <c r="Z370" i="90"/>
  <c r="Y370" i="90"/>
  <c r="X370" i="90"/>
  <c r="V370" i="90"/>
  <c r="W370" i="90"/>
  <c r="S370" i="90"/>
  <c r="R370" i="90"/>
  <c r="Q370" i="90"/>
  <c r="U370" i="90"/>
  <c r="O370" i="90"/>
  <c r="P370" i="90" s="1"/>
  <c r="T370" i="90"/>
  <c r="Z374" i="90"/>
  <c r="Y374" i="90"/>
  <c r="X374" i="90"/>
  <c r="V374" i="90"/>
  <c r="W374" i="90"/>
  <c r="S374" i="90"/>
  <c r="T374" i="90"/>
  <c r="R374" i="90"/>
  <c r="M374" i="90"/>
  <c r="L374" i="90"/>
  <c r="U374" i="90"/>
  <c r="P374" i="90"/>
  <c r="O374" i="90"/>
  <c r="Z378" i="90"/>
  <c r="Y378" i="90"/>
  <c r="X378" i="90"/>
  <c r="V378" i="90"/>
  <c r="W378" i="90"/>
  <c r="U378" i="90"/>
  <c r="S378" i="90"/>
  <c r="Q378" i="90"/>
  <c r="M378" i="90"/>
  <c r="L378" i="90"/>
  <c r="Z382" i="90"/>
  <c r="Y382" i="90"/>
  <c r="X382" i="90"/>
  <c r="V382" i="90"/>
  <c r="W382" i="90"/>
  <c r="T382" i="90"/>
  <c r="U382" i="90"/>
  <c r="S382" i="90"/>
  <c r="R382" i="90"/>
  <c r="Z386" i="90"/>
  <c r="Y386" i="90"/>
  <c r="X386" i="90"/>
  <c r="V386" i="90"/>
  <c r="W386" i="90"/>
  <c r="S386" i="90"/>
  <c r="R386" i="90"/>
  <c r="Q386" i="90"/>
  <c r="T386" i="90"/>
  <c r="P386" i="90"/>
  <c r="O386" i="90"/>
  <c r="Z390" i="90"/>
  <c r="Y390" i="90"/>
  <c r="X390" i="90"/>
  <c r="V390" i="90"/>
  <c r="W390" i="90"/>
  <c r="T390" i="90"/>
  <c r="U390" i="90"/>
  <c r="R390" i="90"/>
  <c r="M390" i="90"/>
  <c r="L390" i="90"/>
  <c r="S390" i="90"/>
  <c r="Q390" i="90"/>
  <c r="P390" i="90"/>
  <c r="O390" i="90"/>
  <c r="Z394" i="90"/>
  <c r="Y394" i="90"/>
  <c r="X394" i="90"/>
  <c r="V394" i="90"/>
  <c r="W394" i="90"/>
  <c r="U394" i="90"/>
  <c r="S394" i="90"/>
  <c r="R394" i="90"/>
  <c r="M394" i="90"/>
  <c r="L394" i="90"/>
  <c r="Z398" i="90"/>
  <c r="Y398" i="90"/>
  <c r="X398" i="90"/>
  <c r="V398" i="90"/>
  <c r="W398" i="90"/>
  <c r="T398" i="90"/>
  <c r="U398" i="90"/>
  <c r="Q398" i="90"/>
  <c r="Z402" i="90"/>
  <c r="Y402" i="90"/>
  <c r="X402" i="90"/>
  <c r="V402" i="90"/>
  <c r="W402" i="90"/>
  <c r="S402" i="90"/>
  <c r="R402" i="90"/>
  <c r="Q402" i="90"/>
  <c r="U402" i="90"/>
  <c r="T402" i="90"/>
  <c r="P402" i="90"/>
  <c r="O402" i="90"/>
  <c r="Z406" i="90"/>
  <c r="Y406" i="90"/>
  <c r="X406" i="90"/>
  <c r="V406" i="90"/>
  <c r="W406" i="90"/>
  <c r="R406" i="90"/>
  <c r="S406" i="90"/>
  <c r="Q406" i="90"/>
  <c r="M406" i="90"/>
  <c r="L406" i="90"/>
  <c r="O406" i="90"/>
  <c r="P406" i="90" s="1"/>
  <c r="Z410" i="90"/>
  <c r="Y410" i="90"/>
  <c r="X410" i="90"/>
  <c r="V410" i="90"/>
  <c r="W410" i="90"/>
  <c r="S410" i="90"/>
  <c r="T410" i="90"/>
  <c r="M410" i="90"/>
  <c r="L410" i="90"/>
  <c r="Z414" i="90"/>
  <c r="Y414" i="90"/>
  <c r="X414" i="90"/>
  <c r="V414" i="90"/>
  <c r="W414" i="90"/>
  <c r="T414" i="90"/>
  <c r="U414" i="90"/>
  <c r="Q414" i="90"/>
  <c r="R414" i="90"/>
  <c r="Z418" i="90"/>
  <c r="Y418" i="90"/>
  <c r="X418" i="90"/>
  <c r="V418" i="90"/>
  <c r="W418" i="90"/>
  <c r="S418" i="90"/>
  <c r="T418" i="90"/>
  <c r="R418" i="90"/>
  <c r="Q418" i="90"/>
  <c r="P418" i="90"/>
  <c r="O418" i="90"/>
  <c r="U418" i="90"/>
  <c r="Z422" i="90"/>
  <c r="Y422" i="90"/>
  <c r="X422" i="90"/>
  <c r="V422" i="90"/>
  <c r="W422" i="90"/>
  <c r="U422" i="90"/>
  <c r="S422" i="90"/>
  <c r="R422" i="90"/>
  <c r="M422" i="90"/>
  <c r="L422" i="90"/>
  <c r="P422" i="90"/>
  <c r="O422" i="90"/>
  <c r="Z426" i="90"/>
  <c r="Y426" i="90"/>
  <c r="X426" i="90"/>
  <c r="V426" i="90"/>
  <c r="W426" i="90"/>
  <c r="U426" i="90"/>
  <c r="T426" i="90"/>
  <c r="R426" i="90"/>
  <c r="Q426" i="90"/>
  <c r="M426" i="90"/>
  <c r="L426" i="90"/>
  <c r="Z430" i="90"/>
  <c r="Y430" i="90"/>
  <c r="X430" i="90"/>
  <c r="V430" i="90"/>
  <c r="W430" i="90"/>
  <c r="T430" i="90"/>
  <c r="S430" i="90"/>
  <c r="Z434" i="90"/>
  <c r="Y434" i="90"/>
  <c r="X434" i="90"/>
  <c r="V434" i="90"/>
  <c r="W434" i="90"/>
  <c r="S434" i="90"/>
  <c r="R434" i="90"/>
  <c r="Q434" i="90"/>
  <c r="U434" i="90"/>
  <c r="P434" i="90"/>
  <c r="O434" i="90"/>
  <c r="Z438" i="90"/>
  <c r="Y438" i="90"/>
  <c r="X438" i="90"/>
  <c r="V438" i="90"/>
  <c r="W438" i="90"/>
  <c r="S438" i="90"/>
  <c r="T438" i="90"/>
  <c r="R438" i="90"/>
  <c r="M438" i="90"/>
  <c r="L438" i="90"/>
  <c r="U438" i="90"/>
  <c r="P438" i="90"/>
  <c r="O438" i="90"/>
  <c r="Z442" i="90"/>
  <c r="Y442" i="90"/>
  <c r="X442" i="90"/>
  <c r="V442" i="90"/>
  <c r="W442" i="90"/>
  <c r="U442" i="90"/>
  <c r="Q442" i="90"/>
  <c r="T442" i="90"/>
  <c r="M442" i="90"/>
  <c r="L442" i="90"/>
  <c r="Z446" i="90"/>
  <c r="Y446" i="90"/>
  <c r="X446" i="90"/>
  <c r="V446" i="90"/>
  <c r="W446" i="90"/>
  <c r="T446" i="90"/>
  <c r="U446" i="90"/>
  <c r="S446" i="90"/>
  <c r="R446" i="90"/>
  <c r="Z450" i="90"/>
  <c r="Y450" i="90"/>
  <c r="X450" i="90"/>
  <c r="V450" i="90"/>
  <c r="W450" i="90"/>
  <c r="S450" i="90"/>
  <c r="R450" i="90"/>
  <c r="Q450" i="90"/>
  <c r="O450" i="90"/>
  <c r="P450" i="90" s="1"/>
  <c r="Z454" i="90"/>
  <c r="Y454" i="90"/>
  <c r="X454" i="90"/>
  <c r="V454" i="90"/>
  <c r="W454" i="90"/>
  <c r="T454" i="90"/>
  <c r="U454" i="90"/>
  <c r="R454" i="90"/>
  <c r="M454" i="90"/>
  <c r="L454" i="90"/>
  <c r="Q454" i="90"/>
  <c r="O454" i="90"/>
  <c r="P454" i="90" s="1"/>
  <c r="Z458" i="90"/>
  <c r="Y458" i="90"/>
  <c r="X458" i="90"/>
  <c r="V458" i="90"/>
  <c r="W458" i="90"/>
  <c r="U458" i="90"/>
  <c r="S458" i="90"/>
  <c r="T458" i="90"/>
  <c r="R458" i="90"/>
  <c r="M458" i="90"/>
  <c r="L458" i="90"/>
  <c r="Z462" i="90"/>
  <c r="Y462" i="90"/>
  <c r="X462" i="90"/>
  <c r="V462" i="90"/>
  <c r="W462" i="90"/>
  <c r="T462" i="90"/>
  <c r="U462" i="90"/>
  <c r="S462" i="90"/>
  <c r="Q462" i="90"/>
  <c r="Z466" i="90"/>
  <c r="Y466" i="90"/>
  <c r="X466" i="90"/>
  <c r="V466" i="90"/>
  <c r="W466" i="90"/>
  <c r="S466" i="90"/>
  <c r="R466" i="90"/>
  <c r="Q466" i="90"/>
  <c r="U466" i="90"/>
  <c r="T466" i="90"/>
  <c r="O466" i="90"/>
  <c r="P466" i="90" s="1"/>
  <c r="Z470" i="90"/>
  <c r="Y470" i="90"/>
  <c r="X470" i="90"/>
  <c r="V470" i="90"/>
  <c r="W470" i="90"/>
  <c r="R470" i="90"/>
  <c r="Q470" i="90"/>
  <c r="M470" i="90"/>
  <c r="L470" i="90"/>
  <c r="T470" i="90"/>
  <c r="O470" i="90"/>
  <c r="P470" i="90" s="1"/>
  <c r="Z474" i="90"/>
  <c r="Y474" i="90"/>
  <c r="X474" i="90"/>
  <c r="V474" i="90"/>
  <c r="W474" i="90"/>
  <c r="S474" i="90"/>
  <c r="T474" i="90"/>
  <c r="M474" i="90"/>
  <c r="L474" i="90"/>
  <c r="Z478" i="90"/>
  <c r="Y478" i="90"/>
  <c r="X478" i="90"/>
  <c r="V478" i="90"/>
  <c r="W478" i="90"/>
  <c r="T478" i="90"/>
  <c r="U478" i="90"/>
  <c r="S478" i="90"/>
  <c r="Q478" i="90"/>
  <c r="R478" i="90"/>
  <c r="Z482" i="90"/>
  <c r="Y482" i="90"/>
  <c r="X482" i="90"/>
  <c r="V482" i="90"/>
  <c r="W482" i="90"/>
  <c r="S482" i="90"/>
  <c r="T482" i="90"/>
  <c r="R482" i="90"/>
  <c r="Q482" i="90"/>
  <c r="P482" i="90"/>
  <c r="O482" i="90"/>
  <c r="U482" i="90"/>
  <c r="Z486" i="90"/>
  <c r="Y486" i="90"/>
  <c r="X486" i="90"/>
  <c r="V486" i="90"/>
  <c r="W486" i="90"/>
  <c r="U486" i="90"/>
  <c r="S486" i="90"/>
  <c r="R486" i="90"/>
  <c r="T486" i="90"/>
  <c r="M486" i="90"/>
  <c r="L486" i="90"/>
  <c r="P486" i="90"/>
  <c r="O486" i="90"/>
  <c r="Z490" i="90"/>
  <c r="Y490" i="90"/>
  <c r="X490" i="90"/>
  <c r="V490" i="90"/>
  <c r="W490" i="90"/>
  <c r="U490" i="90"/>
  <c r="T490" i="90"/>
  <c r="R490" i="90"/>
  <c r="S490" i="90"/>
  <c r="Q490" i="90"/>
  <c r="M490" i="90"/>
  <c r="L490" i="90"/>
  <c r="Z494" i="90"/>
  <c r="Y494" i="90"/>
  <c r="X494" i="90"/>
  <c r="V494" i="90"/>
  <c r="W494" i="90"/>
  <c r="T494" i="90"/>
  <c r="S494" i="90"/>
  <c r="Z498" i="90"/>
  <c r="Y498" i="90"/>
  <c r="X498" i="90"/>
  <c r="V498" i="90"/>
  <c r="W498" i="90"/>
  <c r="S498" i="90"/>
  <c r="R498" i="90"/>
  <c r="Q498" i="90"/>
  <c r="U498" i="90"/>
  <c r="P498" i="90"/>
  <c r="O498" i="90"/>
  <c r="T498" i="90"/>
  <c r="Z502" i="90"/>
  <c r="Y502" i="90"/>
  <c r="X502" i="90"/>
  <c r="V502" i="90"/>
  <c r="W502" i="90"/>
  <c r="S502" i="90"/>
  <c r="T502" i="90"/>
  <c r="R502" i="90"/>
  <c r="M502" i="90"/>
  <c r="L502" i="90"/>
  <c r="U502" i="90"/>
  <c r="O502" i="90"/>
  <c r="P502" i="90" s="1"/>
  <c r="Z506" i="90"/>
  <c r="Y506" i="90"/>
  <c r="X506" i="90"/>
  <c r="V506" i="90"/>
  <c r="W506" i="90"/>
  <c r="U506" i="90"/>
  <c r="S506" i="90"/>
  <c r="Q506" i="90"/>
  <c r="M506" i="90"/>
  <c r="L506" i="90"/>
  <c r="Z510" i="90"/>
  <c r="Y510" i="90"/>
  <c r="X510" i="90"/>
  <c r="V510" i="90"/>
  <c r="W510" i="90"/>
  <c r="T510" i="90"/>
  <c r="U510" i="90"/>
  <c r="S510" i="90"/>
  <c r="R510" i="90"/>
  <c r="Z514" i="90"/>
  <c r="Y514" i="90"/>
  <c r="X514" i="90"/>
  <c r="V514" i="90"/>
  <c r="W514" i="90"/>
  <c r="S514" i="90"/>
  <c r="R514" i="90"/>
  <c r="Q514" i="90"/>
  <c r="T514" i="90"/>
  <c r="O514" i="90"/>
  <c r="P514" i="90" s="1"/>
  <c r="Z518" i="90"/>
  <c r="Y518" i="90"/>
  <c r="X518" i="90"/>
  <c r="V518" i="90"/>
  <c r="W518" i="90"/>
  <c r="T518" i="90"/>
  <c r="U518" i="90"/>
  <c r="R518" i="90"/>
  <c r="M518" i="90"/>
  <c r="L518" i="90"/>
  <c r="S518" i="90"/>
  <c r="Q518" i="90"/>
  <c r="P518" i="90"/>
  <c r="O518" i="90"/>
  <c r="Z522" i="90"/>
  <c r="Y522" i="90"/>
  <c r="X522" i="90"/>
  <c r="V522" i="90"/>
  <c r="W522" i="90"/>
  <c r="U522" i="90"/>
  <c r="S522" i="90"/>
  <c r="R522" i="90"/>
  <c r="M522" i="90"/>
  <c r="L522" i="90"/>
  <c r="Z526" i="90"/>
  <c r="Y526" i="90"/>
  <c r="X526" i="90"/>
  <c r="V526" i="90"/>
  <c r="W526" i="90"/>
  <c r="T526" i="90"/>
  <c r="U526" i="90"/>
  <c r="Q526" i="90"/>
  <c r="Z530" i="90"/>
  <c r="Y530" i="90"/>
  <c r="X530" i="90"/>
  <c r="V530" i="90"/>
  <c r="W530" i="90"/>
  <c r="S530" i="90"/>
  <c r="R530" i="90"/>
  <c r="Q530" i="90"/>
  <c r="U530" i="90"/>
  <c r="T530" i="90"/>
  <c r="P530" i="90"/>
  <c r="O530" i="90"/>
  <c r="Z534" i="90"/>
  <c r="Y534" i="90"/>
  <c r="X534" i="90"/>
  <c r="V534" i="90"/>
  <c r="W534" i="90"/>
  <c r="R534" i="90"/>
  <c r="S534" i="90"/>
  <c r="Q534" i="90"/>
  <c r="M534" i="90"/>
  <c r="L534" i="90"/>
  <c r="P534" i="90"/>
  <c r="O534" i="90"/>
  <c r="Z538" i="90"/>
  <c r="Y538" i="90"/>
  <c r="X538" i="90"/>
  <c r="V538" i="90"/>
  <c r="W538" i="90"/>
  <c r="S538" i="90"/>
  <c r="T538" i="90"/>
  <c r="M538" i="90"/>
  <c r="L538" i="90"/>
  <c r="Z542" i="90"/>
  <c r="Y542" i="90"/>
  <c r="X542" i="90"/>
  <c r="V542" i="90"/>
  <c r="W542" i="90"/>
  <c r="T542" i="90"/>
  <c r="U542" i="90"/>
  <c r="Q542" i="90"/>
  <c r="R542" i="90"/>
  <c r="Z546" i="90"/>
  <c r="Y546" i="90"/>
  <c r="X546" i="90"/>
  <c r="V546" i="90"/>
  <c r="W546" i="90"/>
  <c r="S546" i="90"/>
  <c r="T546" i="90"/>
  <c r="R546" i="90"/>
  <c r="Q546" i="90"/>
  <c r="P546" i="90"/>
  <c r="O546" i="90"/>
  <c r="U546" i="90"/>
  <c r="Z550" i="90"/>
  <c r="Y550" i="90"/>
  <c r="X550" i="90"/>
  <c r="V550" i="90"/>
  <c r="W550" i="90"/>
  <c r="U550" i="90"/>
  <c r="S550" i="90"/>
  <c r="R550" i="90"/>
  <c r="M550" i="90"/>
  <c r="L550" i="90"/>
  <c r="P550" i="90"/>
  <c r="O550" i="90"/>
  <c r="Z554" i="90"/>
  <c r="Y554" i="90"/>
  <c r="X554" i="90"/>
  <c r="V554" i="90"/>
  <c r="W554" i="90"/>
  <c r="U554" i="90"/>
  <c r="T554" i="90"/>
  <c r="R554" i="90"/>
  <c r="Q554" i="90"/>
  <c r="M554" i="90"/>
  <c r="L554" i="90"/>
  <c r="Z558" i="90"/>
  <c r="Y558" i="90"/>
  <c r="X558" i="90"/>
  <c r="V558" i="90"/>
  <c r="W558" i="90"/>
  <c r="T558" i="90"/>
  <c r="S558" i="90"/>
  <c r="Z562" i="90"/>
  <c r="Y562" i="90"/>
  <c r="X562" i="90"/>
  <c r="V562" i="90"/>
  <c r="W562" i="90"/>
  <c r="S562" i="90"/>
  <c r="R562" i="90"/>
  <c r="Q562" i="90"/>
  <c r="U562" i="90"/>
  <c r="P562" i="90"/>
  <c r="O562" i="90"/>
  <c r="Z566" i="90"/>
  <c r="Y566" i="90"/>
  <c r="X566" i="90"/>
  <c r="V566" i="90"/>
  <c r="W566" i="90"/>
  <c r="S566" i="90"/>
  <c r="T566" i="90"/>
  <c r="R566" i="90"/>
  <c r="M566" i="90"/>
  <c r="L566" i="90"/>
  <c r="U566" i="90"/>
  <c r="P566" i="90"/>
  <c r="O566" i="90"/>
  <c r="Z570" i="90"/>
  <c r="Y570" i="90"/>
  <c r="X570" i="90"/>
  <c r="V570" i="90"/>
  <c r="W570" i="90"/>
  <c r="U570" i="90"/>
  <c r="Q570" i="90"/>
  <c r="T570" i="90"/>
  <c r="M570" i="90"/>
  <c r="L570" i="90"/>
  <c r="Z574" i="90"/>
  <c r="Y574" i="90"/>
  <c r="X574" i="90"/>
  <c r="V574" i="90"/>
  <c r="W574" i="90"/>
  <c r="T574" i="90"/>
  <c r="U574" i="90"/>
  <c r="S574" i="90"/>
  <c r="R574" i="90"/>
  <c r="Z578" i="90"/>
  <c r="Y578" i="90"/>
  <c r="X578" i="90"/>
  <c r="V578" i="90"/>
  <c r="W578" i="90"/>
  <c r="S578" i="90"/>
  <c r="R578" i="90"/>
  <c r="Q578" i="90"/>
  <c r="P578" i="90"/>
  <c r="O578" i="90"/>
  <c r="Z582" i="90"/>
  <c r="Y582" i="90"/>
  <c r="X582" i="90"/>
  <c r="V582" i="90"/>
  <c r="W582" i="90"/>
  <c r="T582" i="90"/>
  <c r="U582" i="90"/>
  <c r="R582" i="90"/>
  <c r="M582" i="90"/>
  <c r="L582" i="90"/>
  <c r="Q582" i="90"/>
  <c r="P582" i="90"/>
  <c r="O582" i="90"/>
  <c r="Z586" i="90"/>
  <c r="Y586" i="90"/>
  <c r="X586" i="90"/>
  <c r="V586" i="90"/>
  <c r="W586" i="90"/>
  <c r="U586" i="90"/>
  <c r="S586" i="90"/>
  <c r="T586" i="90"/>
  <c r="R586" i="90"/>
  <c r="M586" i="90"/>
  <c r="L586" i="90"/>
  <c r="Z590" i="90"/>
  <c r="Y590" i="90"/>
  <c r="X590" i="90"/>
  <c r="V590" i="90"/>
  <c r="W590" i="90"/>
  <c r="T590" i="90"/>
  <c r="U590" i="90"/>
  <c r="S590" i="90"/>
  <c r="Q590" i="90"/>
  <c r="Z594" i="90"/>
  <c r="Y594" i="90"/>
  <c r="X594" i="90"/>
  <c r="V594" i="90"/>
  <c r="W594" i="90"/>
  <c r="S594" i="90"/>
  <c r="R594" i="90"/>
  <c r="Q594" i="90"/>
  <c r="U594" i="90"/>
  <c r="T594" i="90"/>
  <c r="P594" i="90"/>
  <c r="O594" i="90"/>
  <c r="Z598" i="90"/>
  <c r="Y598" i="90"/>
  <c r="X598" i="90"/>
  <c r="V598" i="90"/>
  <c r="W598" i="90"/>
  <c r="R598" i="90"/>
  <c r="Q598" i="90"/>
  <c r="M598" i="90"/>
  <c r="L598" i="90"/>
  <c r="T598" i="90"/>
  <c r="P598" i="90"/>
  <c r="O598" i="90"/>
  <c r="Z602" i="90"/>
  <c r="Y602" i="90"/>
  <c r="X602" i="90"/>
  <c r="V602" i="90"/>
  <c r="W602" i="90"/>
  <c r="S602" i="90"/>
  <c r="T602" i="90"/>
  <c r="M602" i="90"/>
  <c r="L602" i="90"/>
  <c r="Z606" i="90"/>
  <c r="Y606" i="90"/>
  <c r="X606" i="90"/>
  <c r="V606" i="90"/>
  <c r="W606" i="90"/>
  <c r="T606" i="90"/>
  <c r="U606" i="90"/>
  <c r="S606" i="90"/>
  <c r="Q606" i="90"/>
  <c r="R606" i="90"/>
  <c r="Z610" i="90"/>
  <c r="Y610" i="90"/>
  <c r="X610" i="90"/>
  <c r="V610" i="90"/>
  <c r="W610" i="90"/>
  <c r="S610" i="90"/>
  <c r="T610" i="90"/>
  <c r="R610" i="90"/>
  <c r="Q610" i="90"/>
  <c r="P610" i="90"/>
  <c r="O610" i="90"/>
  <c r="U610" i="90"/>
  <c r="Z614" i="90"/>
  <c r="Y614" i="90"/>
  <c r="X614" i="90"/>
  <c r="V614" i="90"/>
  <c r="W614" i="90"/>
  <c r="U614" i="90"/>
  <c r="S614" i="90"/>
  <c r="R614" i="90"/>
  <c r="T614" i="90"/>
  <c r="M614" i="90"/>
  <c r="L614" i="90"/>
  <c r="P614" i="90"/>
  <c r="O614" i="90"/>
  <c r="Z618" i="90"/>
  <c r="Y618" i="90"/>
  <c r="X618" i="90"/>
  <c r="V618" i="90"/>
  <c r="W618" i="90"/>
  <c r="U618" i="90"/>
  <c r="T618" i="90"/>
  <c r="R618" i="90"/>
  <c r="S618" i="90"/>
  <c r="Q618" i="90"/>
  <c r="M618" i="90"/>
  <c r="L618" i="90"/>
  <c r="Z622" i="90"/>
  <c r="Y622" i="90"/>
  <c r="X622" i="90"/>
  <c r="V622" i="90"/>
  <c r="W622" i="90"/>
  <c r="T622" i="90"/>
  <c r="S622" i="90"/>
  <c r="Z626" i="90"/>
  <c r="Y626" i="90"/>
  <c r="X626" i="90"/>
  <c r="V626" i="90"/>
  <c r="W626" i="90"/>
  <c r="S626" i="90"/>
  <c r="R626" i="90"/>
  <c r="Q626" i="90"/>
  <c r="U626" i="90"/>
  <c r="P626" i="90"/>
  <c r="O626" i="90"/>
  <c r="T626" i="90"/>
  <c r="Z630" i="90"/>
  <c r="Y630" i="90"/>
  <c r="X630" i="90"/>
  <c r="V630" i="90"/>
  <c r="W630" i="90"/>
  <c r="S630" i="90"/>
  <c r="T630" i="90"/>
  <c r="R630" i="90"/>
  <c r="M630" i="90"/>
  <c r="L630" i="90"/>
  <c r="U630" i="90"/>
  <c r="P630" i="90"/>
  <c r="O630" i="90"/>
  <c r="Z634" i="90"/>
  <c r="Y634" i="90"/>
  <c r="X634" i="90"/>
  <c r="W634" i="90"/>
  <c r="V634" i="90"/>
  <c r="U634" i="90"/>
  <c r="S634" i="90"/>
  <c r="Q634" i="90"/>
  <c r="M634" i="90"/>
  <c r="L634" i="90"/>
  <c r="Z638" i="90"/>
  <c r="Y638" i="90"/>
  <c r="X638" i="90"/>
  <c r="W638" i="90"/>
  <c r="V638" i="90"/>
  <c r="T638" i="90"/>
  <c r="U638" i="90"/>
  <c r="S638" i="90"/>
  <c r="R638" i="90"/>
  <c r="Z642" i="90"/>
  <c r="Y642" i="90"/>
  <c r="X642" i="90"/>
  <c r="W642" i="90"/>
  <c r="V642" i="90"/>
  <c r="S642" i="90"/>
  <c r="R642" i="90"/>
  <c r="Q642" i="90"/>
  <c r="T642" i="90"/>
  <c r="P642" i="90"/>
  <c r="O642" i="90"/>
  <c r="Z646" i="90"/>
  <c r="Y646" i="90"/>
  <c r="X646" i="90"/>
  <c r="W646" i="90"/>
  <c r="V646" i="90"/>
  <c r="T646" i="90"/>
  <c r="U646" i="90"/>
  <c r="R646" i="90"/>
  <c r="M646" i="90"/>
  <c r="L646" i="90"/>
  <c r="S646" i="90"/>
  <c r="Q646" i="90"/>
  <c r="P646" i="90"/>
  <c r="O646" i="90"/>
  <c r="Z650" i="90"/>
  <c r="Y650" i="90"/>
  <c r="X650" i="90"/>
  <c r="W650" i="90"/>
  <c r="V650" i="90"/>
  <c r="U650" i="90"/>
  <c r="S650" i="90"/>
  <c r="R650" i="90"/>
  <c r="M650" i="90"/>
  <c r="L650" i="90"/>
  <c r="Z654" i="90"/>
  <c r="Y654" i="90"/>
  <c r="X654" i="90"/>
  <c r="W654" i="90"/>
  <c r="V654" i="90"/>
  <c r="T654" i="90"/>
  <c r="U654" i="90"/>
  <c r="Q654" i="90"/>
  <c r="Z658" i="90"/>
  <c r="Y658" i="90"/>
  <c r="X658" i="90"/>
  <c r="W658" i="90"/>
  <c r="V658" i="90"/>
  <c r="S658" i="90"/>
  <c r="R658" i="90"/>
  <c r="Q658" i="90"/>
  <c r="U658" i="90"/>
  <c r="T658" i="90"/>
  <c r="P658" i="90"/>
  <c r="O658" i="90"/>
  <c r="Z662" i="90"/>
  <c r="Y662" i="90"/>
  <c r="X662" i="90"/>
  <c r="W662" i="90"/>
  <c r="V662" i="90"/>
  <c r="R662" i="90"/>
  <c r="S662" i="90"/>
  <c r="Q662" i="90"/>
  <c r="M662" i="90"/>
  <c r="L662" i="90"/>
  <c r="P662" i="90"/>
  <c r="O662" i="90"/>
  <c r="Z666" i="90"/>
  <c r="Y666" i="90"/>
  <c r="X666" i="90"/>
  <c r="W666" i="90"/>
  <c r="V666" i="90"/>
  <c r="S666" i="90"/>
  <c r="T666" i="90"/>
  <c r="M666" i="90"/>
  <c r="L666" i="90"/>
  <c r="Z670" i="90"/>
  <c r="Y670" i="90"/>
  <c r="X670" i="90"/>
  <c r="W670" i="90"/>
  <c r="V670" i="90"/>
  <c r="T670" i="90"/>
  <c r="U670" i="90"/>
  <c r="Q670" i="90"/>
  <c r="R670" i="90"/>
  <c r="Z674" i="90"/>
  <c r="Y674" i="90"/>
  <c r="X674" i="90"/>
  <c r="W674" i="90"/>
  <c r="V674" i="90"/>
  <c r="S674" i="90"/>
  <c r="T674" i="90"/>
  <c r="R674" i="90"/>
  <c r="Q674" i="90"/>
  <c r="P674" i="90"/>
  <c r="O674" i="90"/>
  <c r="U674" i="90"/>
  <c r="Z678" i="90"/>
  <c r="Y678" i="90"/>
  <c r="X678" i="90"/>
  <c r="W678" i="90"/>
  <c r="V678" i="90"/>
  <c r="U678" i="90"/>
  <c r="S678" i="90"/>
  <c r="R678" i="90"/>
  <c r="M678" i="90"/>
  <c r="L678" i="90"/>
  <c r="P678" i="90"/>
  <c r="O678" i="90"/>
  <c r="Z682" i="90"/>
  <c r="Y682" i="90"/>
  <c r="X682" i="90"/>
  <c r="W682" i="90"/>
  <c r="V682" i="90"/>
  <c r="U682" i="90"/>
  <c r="T682" i="90"/>
  <c r="R682" i="90"/>
  <c r="Q682" i="90"/>
  <c r="M682" i="90"/>
  <c r="Z686" i="90"/>
  <c r="Y686" i="90"/>
  <c r="X686" i="90"/>
  <c r="W686" i="90"/>
  <c r="V686" i="90"/>
  <c r="T686" i="90"/>
  <c r="S686" i="90"/>
  <c r="Z690" i="90"/>
  <c r="Y690" i="90"/>
  <c r="X690" i="90"/>
  <c r="W690" i="90"/>
  <c r="V690" i="90"/>
  <c r="S690" i="90"/>
  <c r="R690" i="90"/>
  <c r="Q690" i="90"/>
  <c r="U690" i="90"/>
  <c r="P690" i="90"/>
  <c r="O690" i="90"/>
  <c r="Z694" i="90"/>
  <c r="Y694" i="90"/>
  <c r="X694" i="90"/>
  <c r="W694" i="90"/>
  <c r="V694" i="90"/>
  <c r="S694" i="90"/>
  <c r="T694" i="90"/>
  <c r="R694" i="90"/>
  <c r="M694" i="90"/>
  <c r="L694" i="90"/>
  <c r="U694" i="90"/>
  <c r="P694" i="90"/>
  <c r="O694" i="90"/>
  <c r="Z698" i="90"/>
  <c r="Y698" i="90"/>
  <c r="X698" i="90"/>
  <c r="W698" i="90"/>
  <c r="V698" i="90"/>
  <c r="U698" i="90"/>
  <c r="Q698" i="90"/>
  <c r="T698" i="90"/>
  <c r="M698" i="90"/>
  <c r="Z702" i="90"/>
  <c r="Y702" i="90"/>
  <c r="X702" i="90"/>
  <c r="W702" i="90"/>
  <c r="V702" i="90"/>
  <c r="T702" i="90"/>
  <c r="U702" i="90"/>
  <c r="S702" i="90"/>
  <c r="R702" i="90"/>
  <c r="Z706" i="90"/>
  <c r="Y706" i="90"/>
  <c r="X706" i="90"/>
  <c r="W706" i="90"/>
  <c r="V706" i="90"/>
  <c r="S706" i="90"/>
  <c r="R706" i="90"/>
  <c r="Q706" i="90"/>
  <c r="P706" i="90"/>
  <c r="O706" i="90"/>
  <c r="Z710" i="90"/>
  <c r="Y710" i="90"/>
  <c r="X710" i="90"/>
  <c r="W710" i="90"/>
  <c r="V710" i="90"/>
  <c r="T710" i="90"/>
  <c r="U710" i="90"/>
  <c r="R710" i="90"/>
  <c r="M710" i="90"/>
  <c r="L710" i="90"/>
  <c r="Q710" i="90"/>
  <c r="P710" i="90"/>
  <c r="O710" i="90"/>
  <c r="Z714" i="90"/>
  <c r="Y714" i="90"/>
  <c r="X714" i="90"/>
  <c r="W714" i="90"/>
  <c r="V714" i="90"/>
  <c r="U714" i="90"/>
  <c r="S714" i="90"/>
  <c r="T714" i="90"/>
  <c r="R714" i="90"/>
  <c r="M714" i="90"/>
  <c r="Z718" i="90"/>
  <c r="Y718" i="90"/>
  <c r="X718" i="90"/>
  <c r="W718" i="90"/>
  <c r="V718" i="90"/>
  <c r="T718" i="90"/>
  <c r="U718" i="90"/>
  <c r="S718" i="90"/>
  <c r="Q718" i="90"/>
  <c r="Y722" i="90"/>
  <c r="X722" i="90"/>
  <c r="Z722" i="90"/>
  <c r="W722" i="90"/>
  <c r="V722" i="90"/>
  <c r="S722" i="90"/>
  <c r="R722" i="90"/>
  <c r="Q722" i="90"/>
  <c r="U722" i="90"/>
  <c r="T722" i="90"/>
  <c r="P722" i="90"/>
  <c r="O722" i="90"/>
  <c r="Z726" i="90"/>
  <c r="Y726" i="90"/>
  <c r="X726" i="90"/>
  <c r="W726" i="90"/>
  <c r="V726" i="90"/>
  <c r="R726" i="90"/>
  <c r="Q726" i="90"/>
  <c r="M726" i="90"/>
  <c r="L726" i="90"/>
  <c r="T726" i="90"/>
  <c r="P726" i="90"/>
  <c r="O726" i="90"/>
  <c r="Y730" i="90"/>
  <c r="X730" i="90"/>
  <c r="Z730" i="90"/>
  <c r="W730" i="90"/>
  <c r="V730" i="90"/>
  <c r="S730" i="90"/>
  <c r="T730" i="90"/>
  <c r="M730" i="90"/>
  <c r="Z734" i="90"/>
  <c r="Y734" i="90"/>
  <c r="X734" i="90"/>
  <c r="W734" i="90"/>
  <c r="V734" i="90"/>
  <c r="T734" i="90"/>
  <c r="U734" i="90"/>
  <c r="S734" i="90"/>
  <c r="Q734" i="90"/>
  <c r="R734" i="90"/>
  <c r="Y738" i="90"/>
  <c r="Z738" i="90"/>
  <c r="X738" i="90"/>
  <c r="W738" i="90"/>
  <c r="V738" i="90"/>
  <c r="S738" i="90"/>
  <c r="T738" i="90"/>
  <c r="R738" i="90"/>
  <c r="Q738" i="90"/>
  <c r="P738" i="90"/>
  <c r="O738" i="90"/>
  <c r="U738" i="90"/>
  <c r="Z742" i="90"/>
  <c r="Y742" i="90"/>
  <c r="X742" i="90"/>
  <c r="W742" i="90"/>
  <c r="V742" i="90"/>
  <c r="U742" i="90"/>
  <c r="S742" i="90"/>
  <c r="R742" i="90"/>
  <c r="T742" i="90"/>
  <c r="M742" i="90"/>
  <c r="L742" i="90"/>
  <c r="P742" i="90"/>
  <c r="O742" i="90"/>
  <c r="Y746" i="90"/>
  <c r="X746" i="90"/>
  <c r="Z746" i="90"/>
  <c r="W746" i="90"/>
  <c r="V746" i="90"/>
  <c r="U746" i="90"/>
  <c r="T746" i="90"/>
  <c r="R746" i="90"/>
  <c r="S746" i="90"/>
  <c r="Q746" i="90"/>
  <c r="M746" i="90"/>
  <c r="Z750" i="90"/>
  <c r="Y750" i="90"/>
  <c r="X750" i="90"/>
  <c r="W750" i="90"/>
  <c r="V750" i="90"/>
  <c r="T750" i="90"/>
  <c r="S750" i="90"/>
  <c r="Y754" i="90"/>
  <c r="X754" i="90"/>
  <c r="Z754" i="90"/>
  <c r="W754" i="90"/>
  <c r="V754" i="90"/>
  <c r="S754" i="90"/>
  <c r="R754" i="90"/>
  <c r="Q754" i="90"/>
  <c r="U754" i="90"/>
  <c r="P754" i="90"/>
  <c r="O754" i="90"/>
  <c r="T754" i="90"/>
  <c r="Z758" i="90"/>
  <c r="Y758" i="90"/>
  <c r="X758" i="90"/>
  <c r="W758" i="90"/>
  <c r="V758" i="90"/>
  <c r="S758" i="90"/>
  <c r="T758" i="90"/>
  <c r="R758" i="90"/>
  <c r="M758" i="90"/>
  <c r="L758" i="90"/>
  <c r="U758" i="90"/>
  <c r="P758" i="90"/>
  <c r="O758" i="90"/>
  <c r="Y762" i="90"/>
  <c r="Z762" i="90"/>
  <c r="X762" i="90"/>
  <c r="W762" i="90"/>
  <c r="V762" i="90"/>
  <c r="U762" i="90"/>
  <c r="S762" i="90"/>
  <c r="Q762" i="90"/>
  <c r="M762" i="90"/>
  <c r="Z766" i="90"/>
  <c r="Y766" i="90"/>
  <c r="X766" i="90"/>
  <c r="W766" i="90"/>
  <c r="V766" i="90"/>
  <c r="T766" i="90"/>
  <c r="U766" i="90"/>
  <c r="S766" i="90"/>
  <c r="R766" i="90"/>
  <c r="Y770" i="90"/>
  <c r="Z770" i="90"/>
  <c r="X770" i="90"/>
  <c r="W770" i="90"/>
  <c r="V770" i="90"/>
  <c r="S770" i="90"/>
  <c r="R770" i="90"/>
  <c r="Q770" i="90"/>
  <c r="T770" i="90"/>
  <c r="P770" i="90"/>
  <c r="O770" i="90"/>
  <c r="Z774" i="90"/>
  <c r="Y774" i="90"/>
  <c r="X774" i="90"/>
  <c r="W774" i="90"/>
  <c r="V774" i="90"/>
  <c r="T774" i="90"/>
  <c r="U774" i="90"/>
  <c r="R774" i="90"/>
  <c r="M774" i="90"/>
  <c r="L774" i="90"/>
  <c r="S774" i="90"/>
  <c r="Q774" i="90"/>
  <c r="P774" i="90"/>
  <c r="O774" i="90"/>
  <c r="Y778" i="90"/>
  <c r="X778" i="90"/>
  <c r="Z778" i="90"/>
  <c r="W778" i="90"/>
  <c r="V778" i="90"/>
  <c r="U778" i="90"/>
  <c r="S778" i="90"/>
  <c r="R778" i="90"/>
  <c r="M778" i="90"/>
  <c r="Z782" i="90"/>
  <c r="Y782" i="90"/>
  <c r="X782" i="90"/>
  <c r="W782" i="90"/>
  <c r="V782" i="90"/>
  <c r="T782" i="90"/>
  <c r="U782" i="90"/>
  <c r="Q782" i="90"/>
  <c r="Y786" i="90"/>
  <c r="Z786" i="90"/>
  <c r="X786" i="90"/>
  <c r="W786" i="90"/>
  <c r="V786" i="90"/>
  <c r="S786" i="90"/>
  <c r="R786" i="90"/>
  <c r="Q786" i="90"/>
  <c r="U786" i="90"/>
  <c r="T786" i="90"/>
  <c r="P786" i="90"/>
  <c r="O786" i="90"/>
  <c r="Z790" i="90"/>
  <c r="Y790" i="90"/>
  <c r="X790" i="90"/>
  <c r="W790" i="90"/>
  <c r="V790" i="90"/>
  <c r="R790" i="90"/>
  <c r="S790" i="90"/>
  <c r="Q790" i="90"/>
  <c r="M790" i="90"/>
  <c r="L790" i="90"/>
  <c r="P790" i="90"/>
  <c r="O790" i="90"/>
  <c r="Y794" i="90"/>
  <c r="Z794" i="90"/>
  <c r="X794" i="90"/>
  <c r="W794" i="90"/>
  <c r="V794" i="90"/>
  <c r="S794" i="90"/>
  <c r="T794" i="90"/>
  <c r="M794" i="90"/>
  <c r="Z798" i="90"/>
  <c r="Y798" i="90"/>
  <c r="X798" i="90"/>
  <c r="W798" i="90"/>
  <c r="V798" i="90"/>
  <c r="T798" i="90"/>
  <c r="U798" i="90"/>
  <c r="Q798" i="90"/>
  <c r="R798" i="90"/>
  <c r="Y802" i="90"/>
  <c r="Z802" i="90"/>
  <c r="X802" i="90"/>
  <c r="W802" i="90"/>
  <c r="V802" i="90"/>
  <c r="S802" i="90"/>
  <c r="T802" i="90"/>
  <c r="R802" i="90"/>
  <c r="Q802" i="90"/>
  <c r="P802" i="90"/>
  <c r="O802" i="90"/>
  <c r="U802" i="90"/>
  <c r="Z806" i="90"/>
  <c r="Y806" i="90"/>
  <c r="X806" i="90"/>
  <c r="W806" i="90"/>
  <c r="V806" i="90"/>
  <c r="U806" i="90"/>
  <c r="S806" i="90"/>
  <c r="R806" i="90"/>
  <c r="M806" i="90"/>
  <c r="L806" i="90"/>
  <c r="P806" i="90"/>
  <c r="O806" i="90"/>
  <c r="Y810" i="90"/>
  <c r="Z810" i="90"/>
  <c r="X810" i="90"/>
  <c r="W810" i="90"/>
  <c r="V810" i="90"/>
  <c r="U810" i="90"/>
  <c r="T810" i="90"/>
  <c r="R810" i="90"/>
  <c r="Q810" i="90"/>
  <c r="M810" i="90"/>
  <c r="Z814" i="90"/>
  <c r="Y814" i="90"/>
  <c r="X814" i="90"/>
  <c r="W814" i="90"/>
  <c r="V814" i="90"/>
  <c r="T814" i="90"/>
  <c r="S814" i="90"/>
  <c r="Y818" i="90"/>
  <c r="Z818" i="90"/>
  <c r="X818" i="90"/>
  <c r="W818" i="90"/>
  <c r="V818" i="90"/>
  <c r="S818" i="90"/>
  <c r="R818" i="90"/>
  <c r="Q818" i="90"/>
  <c r="U818" i="90"/>
  <c r="P818" i="90"/>
  <c r="O818" i="90"/>
  <c r="Z822" i="90"/>
  <c r="Y822" i="90"/>
  <c r="X822" i="90"/>
  <c r="W822" i="90"/>
  <c r="V822" i="90"/>
  <c r="S822" i="90"/>
  <c r="T822" i="90"/>
  <c r="R822" i="90"/>
  <c r="M822" i="90"/>
  <c r="L822" i="90"/>
  <c r="U822" i="90"/>
  <c r="P822" i="90"/>
  <c r="O822" i="90"/>
  <c r="Y826" i="90"/>
  <c r="Z826" i="90"/>
  <c r="X826" i="90"/>
  <c r="W826" i="90"/>
  <c r="V826" i="90"/>
  <c r="U826" i="90"/>
  <c r="Q826" i="90"/>
  <c r="T826" i="90"/>
  <c r="M826" i="90"/>
  <c r="Z830" i="90"/>
  <c r="Y830" i="90"/>
  <c r="X830" i="90"/>
  <c r="W830" i="90"/>
  <c r="V830" i="90"/>
  <c r="T830" i="90"/>
  <c r="U830" i="90"/>
  <c r="S830" i="90"/>
  <c r="R830" i="90"/>
  <c r="Y834" i="90"/>
  <c r="Z834" i="90"/>
  <c r="X834" i="90"/>
  <c r="W834" i="90"/>
  <c r="V834" i="90"/>
  <c r="S834" i="90"/>
  <c r="R834" i="90"/>
  <c r="Q834" i="90"/>
  <c r="P834" i="90"/>
  <c r="O834" i="90"/>
  <c r="Z838" i="90"/>
  <c r="Y838" i="90"/>
  <c r="X838" i="90"/>
  <c r="W838" i="90"/>
  <c r="V838" i="90"/>
  <c r="T838" i="90"/>
  <c r="U838" i="90"/>
  <c r="M838" i="90"/>
  <c r="L838" i="90"/>
  <c r="R838" i="90"/>
  <c r="Q838" i="90"/>
  <c r="P838" i="90"/>
  <c r="O838" i="90"/>
  <c r="Y842" i="90"/>
  <c r="X842" i="90"/>
  <c r="W842" i="90"/>
  <c r="Z842" i="90"/>
  <c r="V842" i="90"/>
  <c r="U842" i="90"/>
  <c r="S842" i="90"/>
  <c r="T842" i="90"/>
  <c r="M842" i="90"/>
  <c r="Z846" i="90"/>
  <c r="Y846" i="90"/>
  <c r="X846" i="90"/>
  <c r="W846" i="90"/>
  <c r="V846" i="90"/>
  <c r="T846" i="90"/>
  <c r="U846" i="90"/>
  <c r="S846" i="90"/>
  <c r="R846" i="90"/>
  <c r="Q846" i="90"/>
  <c r="Y850" i="90"/>
  <c r="Z850" i="90"/>
  <c r="X850" i="90"/>
  <c r="W850" i="90"/>
  <c r="V850" i="90"/>
  <c r="S850" i="90"/>
  <c r="R850" i="90"/>
  <c r="Q850" i="90"/>
  <c r="U850" i="90"/>
  <c r="T850" i="90"/>
  <c r="P850" i="90"/>
  <c r="O850" i="90"/>
  <c r="Z854" i="90"/>
  <c r="Y854" i="90"/>
  <c r="X854" i="90"/>
  <c r="W854" i="90"/>
  <c r="V854" i="90"/>
  <c r="R854" i="90"/>
  <c r="Q854" i="90"/>
  <c r="M854" i="90"/>
  <c r="L854" i="90"/>
  <c r="T854" i="90"/>
  <c r="P854" i="90"/>
  <c r="O854" i="90"/>
  <c r="Y858" i="90"/>
  <c r="Z858" i="90"/>
  <c r="X858" i="90"/>
  <c r="W858" i="90"/>
  <c r="V858" i="90"/>
  <c r="S858" i="90"/>
  <c r="T858" i="90"/>
  <c r="M858" i="90"/>
  <c r="Z862" i="90"/>
  <c r="Y862" i="90"/>
  <c r="X862" i="90"/>
  <c r="W862" i="90"/>
  <c r="V862" i="90"/>
  <c r="T862" i="90"/>
  <c r="U862" i="90"/>
  <c r="S862" i="90"/>
  <c r="R862" i="90"/>
  <c r="Q862" i="90"/>
  <c r="Y866" i="90"/>
  <c r="Z866" i="90"/>
  <c r="X866" i="90"/>
  <c r="W866" i="90"/>
  <c r="V866" i="90"/>
  <c r="S866" i="90"/>
  <c r="T866" i="90"/>
  <c r="R866" i="90"/>
  <c r="Q866" i="90"/>
  <c r="P866" i="90"/>
  <c r="O866" i="90"/>
  <c r="U866" i="90"/>
  <c r="Z870" i="90"/>
  <c r="Y870" i="90"/>
  <c r="X870" i="90"/>
  <c r="W870" i="90"/>
  <c r="V870" i="90"/>
  <c r="U870" i="90"/>
  <c r="S870" i="90"/>
  <c r="T870" i="90"/>
  <c r="M870" i="90"/>
  <c r="L870" i="90"/>
  <c r="P870" i="90"/>
  <c r="O870" i="90"/>
  <c r="Y874" i="90"/>
  <c r="X874" i="90"/>
  <c r="Z874" i="90"/>
  <c r="W874" i="90"/>
  <c r="V874" i="90"/>
  <c r="U874" i="90"/>
  <c r="T874" i="90"/>
  <c r="S874" i="90"/>
  <c r="R874" i="90"/>
  <c r="Q874" i="90"/>
  <c r="M874" i="90"/>
  <c r="Z878" i="90"/>
  <c r="Y878" i="90"/>
  <c r="X878" i="90"/>
  <c r="W878" i="90"/>
  <c r="V878" i="90"/>
  <c r="T878" i="90"/>
  <c r="S878" i="90"/>
  <c r="Y882" i="90"/>
  <c r="Z882" i="90"/>
  <c r="X882" i="90"/>
  <c r="W882" i="90"/>
  <c r="V882" i="90"/>
  <c r="S882" i="90"/>
  <c r="R882" i="90"/>
  <c r="Q882" i="90"/>
  <c r="U882" i="90"/>
  <c r="P882" i="90"/>
  <c r="O882" i="90"/>
  <c r="T882" i="90"/>
  <c r="Z886" i="90"/>
  <c r="Y886" i="90"/>
  <c r="X886" i="90"/>
  <c r="W886" i="90"/>
  <c r="V886" i="90"/>
  <c r="S886" i="90"/>
  <c r="T886" i="90"/>
  <c r="M886" i="90"/>
  <c r="L886" i="90"/>
  <c r="U886" i="90"/>
  <c r="P886" i="90"/>
  <c r="O886" i="90"/>
  <c r="Y890" i="90"/>
  <c r="Z890" i="90"/>
  <c r="X890" i="90"/>
  <c r="W890" i="90"/>
  <c r="V890" i="90"/>
  <c r="U890" i="90"/>
  <c r="S890" i="90"/>
  <c r="R890" i="90"/>
  <c r="Q890" i="90"/>
  <c r="M890" i="90"/>
  <c r="Z894" i="90"/>
  <c r="Y894" i="90"/>
  <c r="X894" i="90"/>
  <c r="W894" i="90"/>
  <c r="V894" i="90"/>
  <c r="T894" i="90"/>
  <c r="U894" i="90"/>
  <c r="S894" i="90"/>
  <c r="Y898" i="90"/>
  <c r="Z898" i="90"/>
  <c r="X898" i="90"/>
  <c r="W898" i="90"/>
  <c r="V898" i="90"/>
  <c r="S898" i="90"/>
  <c r="R898" i="90"/>
  <c r="Q898" i="90"/>
  <c r="T898" i="90"/>
  <c r="P898" i="90"/>
  <c r="O898" i="90"/>
  <c r="Z902" i="90"/>
  <c r="Y902" i="90"/>
  <c r="X902" i="90"/>
  <c r="W902" i="90"/>
  <c r="V902" i="90"/>
  <c r="T902" i="90"/>
  <c r="U902" i="90"/>
  <c r="M902" i="90"/>
  <c r="L902" i="90"/>
  <c r="S902" i="90"/>
  <c r="R902" i="90"/>
  <c r="Q902" i="90"/>
  <c r="P902" i="90"/>
  <c r="O902" i="90"/>
  <c r="Y906" i="90"/>
  <c r="X906" i="90"/>
  <c r="Z906" i="90"/>
  <c r="W906" i="90"/>
  <c r="V906" i="90"/>
  <c r="U906" i="90"/>
  <c r="S906" i="90"/>
  <c r="M906" i="90"/>
  <c r="Z910" i="90"/>
  <c r="Y910" i="90"/>
  <c r="X910" i="90"/>
  <c r="W910" i="90"/>
  <c r="V910" i="90"/>
  <c r="T910" i="90"/>
  <c r="U910" i="90"/>
  <c r="R910" i="90"/>
  <c r="Q910" i="90"/>
  <c r="Y914" i="90"/>
  <c r="Z914" i="90"/>
  <c r="X914" i="90"/>
  <c r="W914" i="90"/>
  <c r="V914" i="90"/>
  <c r="S914" i="90"/>
  <c r="R914" i="90"/>
  <c r="Q914" i="90"/>
  <c r="U914" i="90"/>
  <c r="T914" i="90"/>
  <c r="P914" i="90"/>
  <c r="O914" i="90"/>
  <c r="Z918" i="90"/>
  <c r="Y918" i="90"/>
  <c r="X918" i="90"/>
  <c r="W918" i="90"/>
  <c r="V918" i="90"/>
  <c r="S918" i="90"/>
  <c r="R918" i="90"/>
  <c r="Q918" i="90"/>
  <c r="M918" i="90"/>
  <c r="L918" i="90"/>
  <c r="P918" i="90"/>
  <c r="O918" i="90"/>
  <c r="L732" i="90"/>
  <c r="L724" i="90"/>
  <c r="L696" i="90"/>
  <c r="L568" i="90"/>
  <c r="L536" i="90"/>
  <c r="L472" i="90"/>
  <c r="L440" i="90"/>
  <c r="L344" i="90"/>
  <c r="L248" i="90"/>
  <c r="L184" i="90"/>
  <c r="L56" i="90"/>
  <c r="M676" i="90"/>
  <c r="M644" i="90"/>
  <c r="M612" i="90"/>
  <c r="M516" i="90"/>
  <c r="M420" i="90"/>
  <c r="M324" i="90"/>
  <c r="O900" i="90"/>
  <c r="O804" i="90"/>
  <c r="O772" i="90"/>
  <c r="O740" i="90"/>
  <c r="O676" i="90"/>
  <c r="O580" i="90"/>
  <c r="O484" i="90"/>
  <c r="O292" i="90"/>
  <c r="O260" i="90"/>
  <c r="O228" i="90"/>
  <c r="O132" i="90"/>
  <c r="P560" i="90"/>
  <c r="P432" i="90"/>
  <c r="P336" i="90"/>
  <c r="P324" i="90"/>
  <c r="P296" i="90"/>
  <c r="P224" i="90"/>
  <c r="P96" i="90"/>
  <c r="Q644" i="90"/>
  <c r="Q616" i="90"/>
  <c r="Q544" i="90"/>
  <c r="Q388" i="90"/>
  <c r="Q288" i="90"/>
  <c r="Q232" i="90"/>
  <c r="Q160" i="90"/>
  <c r="R880" i="90"/>
  <c r="R852" i="90"/>
  <c r="R816" i="90"/>
  <c r="R688" i="90"/>
  <c r="R432" i="90"/>
  <c r="R240" i="90"/>
  <c r="T364" i="90"/>
  <c r="T336" i="90"/>
  <c r="T308" i="90"/>
  <c r="T68" i="90"/>
  <c r="V880" i="90"/>
  <c r="V836" i="90"/>
  <c r="V752" i="90"/>
  <c r="J159" i="90"/>
  <c r="J154" i="90"/>
  <c r="J143" i="90"/>
  <c r="J138" i="90"/>
  <c r="J127" i="90"/>
  <c r="J122" i="90"/>
  <c r="J111" i="90"/>
  <c r="J106" i="90"/>
  <c r="J95" i="90"/>
  <c r="J90" i="90"/>
  <c r="J79" i="90"/>
  <c r="J74" i="90"/>
  <c r="J63" i="90"/>
  <c r="J58" i="90"/>
  <c r="J47" i="90"/>
  <c r="J42" i="90"/>
  <c r="J31" i="90"/>
  <c r="J26" i="90"/>
  <c r="L920" i="90"/>
  <c r="L914" i="90"/>
  <c r="L906" i="90"/>
  <c r="L899" i="90"/>
  <c r="L892" i="90"/>
  <c r="L884" i="90"/>
  <c r="L878" i="90"/>
  <c r="L871" i="90"/>
  <c r="L863" i="90"/>
  <c r="L856" i="90"/>
  <c r="L850" i="90"/>
  <c r="L842" i="90"/>
  <c r="L835" i="90"/>
  <c r="L828" i="90"/>
  <c r="L820" i="90"/>
  <c r="L814" i="90"/>
  <c r="L807" i="90"/>
  <c r="L799" i="90"/>
  <c r="L792" i="90"/>
  <c r="L786" i="90"/>
  <c r="L778" i="90"/>
  <c r="L771" i="90"/>
  <c r="L764" i="90"/>
  <c r="L756" i="90"/>
  <c r="L750" i="90"/>
  <c r="L743" i="90"/>
  <c r="L735" i="90"/>
  <c r="L728" i="90"/>
  <c r="L722" i="90"/>
  <c r="L714" i="90"/>
  <c r="L707" i="90"/>
  <c r="L700" i="90"/>
  <c r="L692" i="90"/>
  <c r="L686" i="90"/>
  <c r="L679" i="90"/>
  <c r="L670" i="90"/>
  <c r="L659" i="90"/>
  <c r="L648" i="90"/>
  <c r="L638" i="90"/>
  <c r="L627" i="90"/>
  <c r="L616" i="90"/>
  <c r="L606" i="90"/>
  <c r="L595" i="90"/>
  <c r="L584" i="90"/>
  <c r="L574" i="90"/>
  <c r="L563" i="90"/>
  <c r="L552" i="90"/>
  <c r="L542" i="90"/>
  <c r="L531" i="90"/>
  <c r="L520" i="90"/>
  <c r="L510" i="90"/>
  <c r="L499" i="90"/>
  <c r="L488" i="90"/>
  <c r="L478" i="90"/>
  <c r="L467" i="90"/>
  <c r="L456" i="90"/>
  <c r="L446" i="90"/>
  <c r="L435" i="90"/>
  <c r="L424" i="90"/>
  <c r="L414" i="90"/>
  <c r="L403" i="90"/>
  <c r="L392" i="90"/>
  <c r="L382" i="90"/>
  <c r="L371" i="90"/>
  <c r="L360" i="90"/>
  <c r="L350" i="90"/>
  <c r="L339" i="90"/>
  <c r="L328" i="90"/>
  <c r="L318" i="90"/>
  <c r="L307" i="90"/>
  <c r="L296" i="90"/>
  <c r="L286" i="90"/>
  <c r="L275" i="90"/>
  <c r="L264" i="90"/>
  <c r="L254" i="90"/>
  <c r="L243" i="90"/>
  <c r="L232" i="90"/>
  <c r="L222" i="90"/>
  <c r="L211" i="90"/>
  <c r="L200" i="90"/>
  <c r="L190" i="90"/>
  <c r="L179" i="90"/>
  <c r="L168" i="90"/>
  <c r="L158" i="90"/>
  <c r="L147" i="90"/>
  <c r="L136" i="90"/>
  <c r="L126" i="90"/>
  <c r="L115" i="90"/>
  <c r="L104" i="90"/>
  <c r="L94" i="90"/>
  <c r="L83" i="90"/>
  <c r="L72" i="90"/>
  <c r="L62" i="90"/>
  <c r="L51" i="90"/>
  <c r="L30" i="90"/>
  <c r="L19" i="90"/>
  <c r="M916" i="90"/>
  <c r="M894" i="90"/>
  <c r="M884" i="90"/>
  <c r="M862" i="90"/>
  <c r="M852" i="90"/>
  <c r="M830" i="90"/>
  <c r="M820" i="90"/>
  <c r="M798" i="90"/>
  <c r="M788" i="90"/>
  <c r="M766" i="90"/>
  <c r="M756" i="90"/>
  <c r="M734" i="90"/>
  <c r="M724" i="90"/>
  <c r="M702" i="90"/>
  <c r="M692" i="90"/>
  <c r="M670" i="90"/>
  <c r="M660" i="90"/>
  <c r="M638" i="90"/>
  <c r="M628" i="90"/>
  <c r="M606" i="90"/>
  <c r="M596" i="90"/>
  <c r="M574" i="90"/>
  <c r="M564" i="90"/>
  <c r="M542" i="90"/>
  <c r="M532" i="90"/>
  <c r="M510" i="90"/>
  <c r="M500" i="90"/>
  <c r="M478" i="90"/>
  <c r="M468" i="90"/>
  <c r="M446" i="90"/>
  <c r="M436" i="90"/>
  <c r="M414" i="90"/>
  <c r="M404" i="90"/>
  <c r="M382" i="90"/>
  <c r="M372" i="90"/>
  <c r="M350" i="90"/>
  <c r="M340" i="90"/>
  <c r="M318" i="90"/>
  <c r="M308" i="90"/>
  <c r="M286" i="90"/>
  <c r="M276" i="90"/>
  <c r="M254" i="90"/>
  <c r="M244" i="90"/>
  <c r="M222" i="90"/>
  <c r="M212" i="90"/>
  <c r="M190" i="90"/>
  <c r="M180" i="90"/>
  <c r="M158" i="90"/>
  <c r="M148" i="90"/>
  <c r="M126" i="90"/>
  <c r="M116" i="90"/>
  <c r="M94" i="90"/>
  <c r="M84" i="90"/>
  <c r="M62" i="90"/>
  <c r="M52" i="90"/>
  <c r="M30" i="90"/>
  <c r="O916" i="90"/>
  <c r="O906" i="90"/>
  <c r="O895" i="90"/>
  <c r="O884" i="90"/>
  <c r="O874" i="90"/>
  <c r="O863" i="90"/>
  <c r="O852" i="90"/>
  <c r="O842" i="90"/>
  <c r="O831" i="90"/>
  <c r="O820" i="90"/>
  <c r="O810" i="90"/>
  <c r="O799" i="90"/>
  <c r="O788" i="90"/>
  <c r="O778" i="90"/>
  <c r="O767" i="90"/>
  <c r="O756" i="90"/>
  <c r="O746" i="90"/>
  <c r="O735" i="90"/>
  <c r="O724" i="90"/>
  <c r="O714" i="90"/>
  <c r="O703" i="90"/>
  <c r="O692" i="90"/>
  <c r="O682" i="90"/>
  <c r="O671" i="90"/>
  <c r="O660" i="90"/>
  <c r="O650" i="90"/>
  <c r="O639" i="90"/>
  <c r="O628" i="90"/>
  <c r="O618" i="90"/>
  <c r="O607" i="90"/>
  <c r="O596" i="90"/>
  <c r="O586" i="90"/>
  <c r="O575" i="90"/>
  <c r="O564" i="90"/>
  <c r="O554" i="90"/>
  <c r="O543" i="90"/>
  <c r="O532" i="90"/>
  <c r="O522" i="90"/>
  <c r="O511" i="90"/>
  <c r="P511" i="90" s="1"/>
  <c r="O500" i="90"/>
  <c r="O490" i="90"/>
  <c r="O479" i="90"/>
  <c r="O468" i="90"/>
  <c r="P468" i="90" s="1"/>
  <c r="O458" i="90"/>
  <c r="P458" i="90" s="1"/>
  <c r="O447" i="90"/>
  <c r="P447" i="90" s="1"/>
  <c r="O436" i="90"/>
  <c r="O426" i="90"/>
  <c r="O415" i="90"/>
  <c r="P415" i="90" s="1"/>
  <c r="O404" i="90"/>
  <c r="P404" i="90" s="1"/>
  <c r="O394" i="90"/>
  <c r="O383" i="90"/>
  <c r="O372" i="90"/>
  <c r="O362" i="90"/>
  <c r="O351" i="90"/>
  <c r="O340" i="90"/>
  <c r="O330" i="90"/>
  <c r="O319" i="90"/>
  <c r="O308" i="90"/>
  <c r="O298" i="90"/>
  <c r="O287" i="90"/>
  <c r="O276" i="90"/>
  <c r="O266" i="90"/>
  <c r="O255" i="90"/>
  <c r="O244" i="90"/>
  <c r="O234" i="90"/>
  <c r="O223" i="90"/>
  <c r="O212" i="90"/>
  <c r="O202" i="90"/>
  <c r="O191" i="90"/>
  <c r="O180" i="90"/>
  <c r="O170" i="90"/>
  <c r="O159" i="90"/>
  <c r="O148" i="90"/>
  <c r="O138" i="90"/>
  <c r="O127" i="90"/>
  <c r="O116" i="90"/>
  <c r="O106" i="90"/>
  <c r="O95" i="90"/>
  <c r="O84" i="90"/>
  <c r="O74" i="90"/>
  <c r="O63" i="90"/>
  <c r="O52" i="90"/>
  <c r="O42" i="90"/>
  <c r="O31" i="90"/>
  <c r="O10" i="90"/>
  <c r="P906" i="90"/>
  <c r="P896" i="90"/>
  <c r="P874" i="90"/>
  <c r="P864" i="90"/>
  <c r="P842" i="90"/>
  <c r="P832" i="90"/>
  <c r="P810" i="90"/>
  <c r="P800" i="90"/>
  <c r="P778" i="90"/>
  <c r="P768" i="90"/>
  <c r="P746" i="90"/>
  <c r="P736" i="90"/>
  <c r="P714" i="90"/>
  <c r="P704" i="90"/>
  <c r="P682" i="90"/>
  <c r="P672" i="90"/>
  <c r="P650" i="90"/>
  <c r="P640" i="90"/>
  <c r="P618" i="90"/>
  <c r="P608" i="90"/>
  <c r="P586" i="90"/>
  <c r="P576" i="90"/>
  <c r="P554" i="90"/>
  <c r="P544" i="90"/>
  <c r="P522" i="90"/>
  <c r="P490" i="90"/>
  <c r="P480" i="90"/>
  <c r="P426" i="90"/>
  <c r="P394" i="90"/>
  <c r="P384" i="90"/>
  <c r="P362" i="90"/>
  <c r="P352" i="90"/>
  <c r="P330" i="90"/>
  <c r="P302" i="90"/>
  <c r="P288" i="90"/>
  <c r="P274" i="90"/>
  <c r="P260" i="90"/>
  <c r="P232" i="90"/>
  <c r="P202" i="90"/>
  <c r="P174" i="90"/>
  <c r="P160" i="90"/>
  <c r="P146" i="90"/>
  <c r="P132" i="90"/>
  <c r="P104" i="90"/>
  <c r="P74" i="90"/>
  <c r="P46" i="90"/>
  <c r="P18" i="90"/>
  <c r="Q4" i="90"/>
  <c r="Q907" i="90"/>
  <c r="Q894" i="90"/>
  <c r="Q879" i="90"/>
  <c r="Q864" i="90"/>
  <c r="Q851" i="90"/>
  <c r="Q836" i="90"/>
  <c r="Q822" i="90"/>
  <c r="Q808" i="90"/>
  <c r="Q794" i="90"/>
  <c r="Q779" i="90"/>
  <c r="Q766" i="90"/>
  <c r="Q751" i="90"/>
  <c r="Q736" i="90"/>
  <c r="Q723" i="90"/>
  <c r="Q708" i="90"/>
  <c r="Q694" i="90"/>
  <c r="Q680" i="90"/>
  <c r="Q666" i="90"/>
  <c r="Q651" i="90"/>
  <c r="Q638" i="90"/>
  <c r="Q623" i="90"/>
  <c r="Q608" i="90"/>
  <c r="Q595" i="90"/>
  <c r="Q580" i="90"/>
  <c r="Q566" i="90"/>
  <c r="Q552" i="90"/>
  <c r="Q538" i="90"/>
  <c r="Q523" i="90"/>
  <c r="Q510" i="90"/>
  <c r="Q495" i="90"/>
  <c r="Q480" i="90"/>
  <c r="Q467" i="90"/>
  <c r="Q452" i="90"/>
  <c r="Q438" i="90"/>
  <c r="Q424" i="90"/>
  <c r="Q410" i="90"/>
  <c r="Q395" i="90"/>
  <c r="Q382" i="90"/>
  <c r="Q367" i="90"/>
  <c r="Q352" i="90"/>
  <c r="Q339" i="90"/>
  <c r="Q324" i="90"/>
  <c r="Q310" i="90"/>
  <c r="Q296" i="90"/>
  <c r="Q282" i="90"/>
  <c r="Q267" i="90"/>
  <c r="Q254" i="90"/>
  <c r="Q239" i="90"/>
  <c r="Q224" i="90"/>
  <c r="Q211" i="90"/>
  <c r="Q196" i="90"/>
  <c r="Q182" i="90"/>
  <c r="Q168" i="90"/>
  <c r="Q154" i="90"/>
  <c r="Q139" i="90"/>
  <c r="Q126" i="90"/>
  <c r="Q111" i="90"/>
  <c r="Q96" i="90"/>
  <c r="Q83" i="90"/>
  <c r="Q68" i="90"/>
  <c r="Q54" i="90"/>
  <c r="Q26" i="90"/>
  <c r="Q11" i="90"/>
  <c r="R916" i="90"/>
  <c r="R886" i="90"/>
  <c r="R858" i="90"/>
  <c r="R844" i="90"/>
  <c r="R826" i="90"/>
  <c r="R784" i="90"/>
  <c r="R762" i="90"/>
  <c r="R720" i="90"/>
  <c r="R698" i="90"/>
  <c r="R656" i="90"/>
  <c r="R634" i="90"/>
  <c r="R592" i="90"/>
  <c r="R570" i="90"/>
  <c r="R528" i="90"/>
  <c r="R506" i="90"/>
  <c r="R464" i="90"/>
  <c r="R442" i="90"/>
  <c r="R400" i="90"/>
  <c r="R378" i="90"/>
  <c r="R336" i="90"/>
  <c r="R314" i="90"/>
  <c r="R272" i="90"/>
  <c r="R250" i="90"/>
  <c r="R208" i="90"/>
  <c r="R186" i="90"/>
  <c r="R164" i="90"/>
  <c r="R136" i="90"/>
  <c r="R107" i="90"/>
  <c r="R79" i="90"/>
  <c r="R51" i="90"/>
  <c r="R22" i="90"/>
  <c r="S912" i="90"/>
  <c r="S884" i="90"/>
  <c r="S854" i="90"/>
  <c r="S826" i="90"/>
  <c r="S798" i="90"/>
  <c r="S684" i="90"/>
  <c r="S656" i="90"/>
  <c r="S628" i="90"/>
  <c r="S598" i="90"/>
  <c r="S570" i="90"/>
  <c r="S542" i="90"/>
  <c r="S428" i="90"/>
  <c r="S400" i="90"/>
  <c r="S372" i="90"/>
  <c r="S342" i="90"/>
  <c r="S314" i="90"/>
  <c r="S286" i="90"/>
  <c r="S172" i="90"/>
  <c r="S144" i="90"/>
  <c r="S116" i="90"/>
  <c r="S86" i="90"/>
  <c r="S58" i="90"/>
  <c r="S30" i="90"/>
  <c r="T919" i="90"/>
  <c r="T891" i="90"/>
  <c r="T863" i="90"/>
  <c r="T834" i="90"/>
  <c r="T806" i="90"/>
  <c r="T778" i="90"/>
  <c r="T748" i="90"/>
  <c r="T720" i="90"/>
  <c r="T692" i="90"/>
  <c r="T663" i="90"/>
  <c r="T635" i="90"/>
  <c r="T607" i="90"/>
  <c r="T578" i="90"/>
  <c r="T550" i="90"/>
  <c r="T522" i="90"/>
  <c r="T492" i="90"/>
  <c r="T464" i="90"/>
  <c r="T436" i="90"/>
  <c r="T407" i="90"/>
  <c r="T379" i="90"/>
  <c r="T351" i="90"/>
  <c r="T322" i="90"/>
  <c r="T294" i="90"/>
  <c r="T260" i="90"/>
  <c r="T216" i="90"/>
  <c r="T175" i="90"/>
  <c r="T132" i="90"/>
  <c r="T88" i="90"/>
  <c r="T47" i="90"/>
  <c r="U4" i="90"/>
  <c r="U878" i="90"/>
  <c r="U794" i="90"/>
  <c r="U750" i="90"/>
  <c r="U666" i="90"/>
  <c r="U622" i="90"/>
  <c r="U538" i="90"/>
  <c r="U494" i="90"/>
  <c r="U410" i="90"/>
  <c r="U366" i="90"/>
  <c r="U282" i="90"/>
  <c r="U238" i="90"/>
  <c r="U154" i="90"/>
  <c r="U110" i="90"/>
  <c r="U26" i="90"/>
  <c r="V900" i="90"/>
  <c r="V859" i="90"/>
  <c r="V816" i="90"/>
  <c r="V772" i="90"/>
  <c r="V731" i="90"/>
  <c r="V667" i="90"/>
  <c r="V455" i="90"/>
  <c r="W205" i="90"/>
  <c r="W34" i="90"/>
  <c r="W7" i="90"/>
  <c r="W35" i="90"/>
  <c r="W210" i="90"/>
  <c r="B13" i="108"/>
  <c r="B10" i="108"/>
  <c r="D14" i="108"/>
  <c r="D10" i="108"/>
  <c r="M9" i="108"/>
  <c r="D12" i="108"/>
  <c r="B11" i="108"/>
  <c r="B12" i="108"/>
  <c r="B14" i="108"/>
  <c r="S11" i="108"/>
  <c r="V11" i="108"/>
  <c r="V13" i="108"/>
  <c r="F9" i="108"/>
  <c r="C11" i="108" s="1"/>
  <c r="D11" i="108"/>
  <c r="D13" i="108"/>
  <c r="P2" i="90" l="1"/>
  <c r="M2" i="90"/>
  <c r="C12" i="108"/>
  <c r="C10" i="108"/>
  <c r="C13" i="108"/>
  <c r="C14" i="108"/>
  <c r="S13" i="108"/>
  <c r="D9" i="108"/>
  <c r="S10" i="108"/>
  <c r="S12" i="108"/>
  <c r="I2" i="90" l="1"/>
  <c r="BR482" i="90"/>
  <c r="BS482" i="90" s="1"/>
  <c r="BR375" i="90"/>
  <c r="BS375" i="90" s="1"/>
  <c r="BR346" i="90"/>
  <c r="BS346" i="90" s="1"/>
  <c r="BR522" i="90"/>
  <c r="BS522" i="90" s="1"/>
  <c r="BR520" i="90"/>
  <c r="BT520" i="90" s="1"/>
  <c r="BR519" i="90"/>
  <c r="BS519" i="90" s="1"/>
  <c r="BR489" i="90"/>
  <c r="BW489" i="90" s="1"/>
  <c r="BR478" i="90"/>
  <c r="BS478" i="90" s="1"/>
  <c r="BR475" i="90"/>
  <c r="BV475" i="90" s="1"/>
  <c r="BR419" i="90"/>
  <c r="BV419" i="90" s="1"/>
  <c r="BR380" i="90"/>
  <c r="BS380" i="90" s="1"/>
  <c r="BR354" i="90"/>
  <c r="BS354" i="90" s="1"/>
  <c r="BR350" i="90"/>
  <c r="BT350" i="90" s="1"/>
  <c r="BR345" i="90"/>
  <c r="BS345" i="90" s="1"/>
  <c r="BR344" i="90"/>
  <c r="BW344" i="90" s="1"/>
  <c r="BR342" i="90"/>
  <c r="BS342" i="90" s="1"/>
  <c r="BR339" i="90"/>
  <c r="BT339" i="90" s="1"/>
  <c r="BW375" i="90" l="1"/>
  <c r="BV375" i="90"/>
  <c r="BW482" i="90"/>
  <c r="BV482" i="90"/>
  <c r="BT482" i="90"/>
  <c r="BW346" i="90"/>
  <c r="BV346" i="90"/>
  <c r="BU346" i="90"/>
  <c r="BU375" i="90"/>
  <c r="BT375" i="90"/>
  <c r="BT346" i="90"/>
  <c r="BU354" i="90"/>
  <c r="BU350" i="90"/>
  <c r="BU344" i="90"/>
  <c r="BV380" i="90"/>
  <c r="BU342" i="90"/>
  <c r="BU339" i="90"/>
  <c r="BU345" i="90"/>
  <c r="BU380" i="90"/>
  <c r="BW522" i="90"/>
  <c r="BV522" i="90"/>
  <c r="BT522" i="90"/>
  <c r="BV354" i="90"/>
  <c r="BW345" i="90"/>
  <c r="BS350" i="90"/>
  <c r="BS419" i="90"/>
  <c r="BT344" i="90"/>
  <c r="BS344" i="90"/>
  <c r="BT489" i="90"/>
  <c r="BS489" i="90"/>
  <c r="BS339" i="90"/>
  <c r="BT354" i="90"/>
  <c r="BT475" i="90"/>
  <c r="BS520" i="90"/>
  <c r="BS475" i="90"/>
  <c r="BT419" i="90"/>
  <c r="BV489" i="90"/>
  <c r="BW339" i="90"/>
  <c r="BV339" i="90"/>
  <c r="BW475" i="90"/>
  <c r="BW519" i="90"/>
  <c r="BV344" i="90"/>
  <c r="BW354" i="90"/>
  <c r="BT519" i="90"/>
  <c r="BV345" i="90"/>
  <c r="BW380" i="90"/>
  <c r="BV519" i="90"/>
  <c r="BW342" i="90"/>
  <c r="BT345" i="90"/>
  <c r="BW478" i="90"/>
  <c r="BV342" i="90"/>
  <c r="BW350" i="90"/>
  <c r="BT380" i="90"/>
  <c r="BV478" i="90"/>
  <c r="BW520" i="90"/>
  <c r="BT342" i="90"/>
  <c r="BV350" i="90"/>
  <c r="BW419" i="90"/>
  <c r="BT478" i="90"/>
  <c r="BV520" i="90"/>
  <c r="BO1" i="90" l="1"/>
  <c r="BQ1" i="90"/>
  <c r="BP1" i="90"/>
  <c r="BM1" i="90"/>
  <c r="BN1" i="90"/>
  <c r="H12" i="105" l="1"/>
  <c r="F11" i="105"/>
  <c r="BZ675" i="90"/>
  <c r="BZ564" i="90"/>
  <c r="BZ667" i="90"/>
  <c r="BZ681" i="90"/>
  <c r="BZ574" i="90" l="1"/>
  <c r="BZ450" i="90"/>
  <c r="BZ451" i="90"/>
  <c r="BZ390" i="90"/>
  <c r="BZ674" i="90"/>
  <c r="BZ666" i="90"/>
  <c r="BZ573" i="90"/>
  <c r="BZ686" i="90"/>
  <c r="BZ685" i="90"/>
  <c r="BZ684" i="90"/>
  <c r="BZ676" i="90"/>
  <c r="BZ682" i="90"/>
  <c r="BZ670" i="90"/>
  <c r="BZ772" i="90"/>
  <c r="BZ679" i="90"/>
  <c r="BZ545" i="90"/>
  <c r="BZ593" i="90"/>
  <c r="BZ563" i="90"/>
  <c r="BZ588" i="90"/>
  <c r="BZ575" i="90"/>
  <c r="BZ586" i="90"/>
  <c r="BZ591" i="90"/>
  <c r="BZ592" i="90"/>
  <c r="BZ590" i="90"/>
  <c r="BZ587" i="90"/>
  <c r="BZ577" i="90"/>
  <c r="BZ579" i="90"/>
  <c r="BZ566" i="90"/>
  <c r="BZ583" i="90"/>
  <c r="BZ556" i="90"/>
  <c r="BZ508" i="90"/>
  <c r="BZ680" i="90"/>
  <c r="BZ555" i="90"/>
  <c r="BZ578" i="90"/>
  <c r="BZ580" i="90"/>
  <c r="BZ560" i="90"/>
  <c r="BZ673" i="90"/>
  <c r="BZ512" i="90" l="1"/>
  <c r="BZ572" i="90"/>
  <c r="BZ585" i="90"/>
  <c r="BZ672" i="90"/>
  <c r="BZ562" i="90"/>
  <c r="BZ470" i="90"/>
  <c r="BZ551" i="90"/>
  <c r="BZ550" i="90"/>
  <c r="BZ541" i="90"/>
  <c r="BZ532" i="90"/>
  <c r="BZ553" i="90" l="1"/>
  <c r="BZ375" i="90"/>
  <c r="BZ471" i="90" l="1"/>
  <c r="BZ433" i="90"/>
  <c r="E9" i="105"/>
  <c r="BZ565" i="90" l="1"/>
  <c r="BZ576" i="90"/>
  <c r="BZ513" i="90"/>
  <c r="BZ571" i="90"/>
  <c r="BZ509" i="90"/>
  <c r="BZ511" i="90"/>
  <c r="BZ497" i="90"/>
  <c r="G11" i="105"/>
  <c r="G13" i="105" s="1"/>
  <c r="D11" i="105"/>
  <c r="D13" i="105" s="1"/>
  <c r="F13" i="105"/>
  <c r="C11" i="105"/>
  <c r="C13" i="105" s="1"/>
  <c r="H9" i="105"/>
  <c r="E5" i="105"/>
  <c r="H5" i="105" s="1"/>
  <c r="H6" i="105"/>
  <c r="H7" i="105"/>
  <c r="H8" i="105"/>
  <c r="H10" i="105"/>
  <c r="E11" i="105" l="1"/>
  <c r="I13" i="105"/>
  <c r="BZ455" i="90"/>
  <c r="E13" i="105" l="1"/>
  <c r="H13" i="105" s="1"/>
  <c r="H11" i="105"/>
  <c r="BZ462" i="90"/>
  <c r="BZ461" i="90"/>
  <c r="BZ454" i="90"/>
  <c r="BZ552" i="90"/>
  <c r="BZ669" i="90"/>
  <c r="BZ683" i="90"/>
  <c r="BZ678" i="90"/>
  <c r="BZ943" i="90"/>
  <c r="BZ942" i="90"/>
  <c r="BZ941" i="90"/>
  <c r="BZ940" i="90"/>
  <c r="BZ939" i="90"/>
  <c r="BZ938" i="90"/>
  <c r="BZ937" i="90"/>
  <c r="BZ936" i="90"/>
  <c r="BZ935" i="90"/>
  <c r="BZ934" i="90"/>
  <c r="BZ933" i="90"/>
  <c r="BZ932" i="90"/>
  <c r="BZ931" i="90"/>
  <c r="BZ930" i="90"/>
  <c r="BZ929" i="90"/>
  <c r="BZ928" i="90"/>
  <c r="BZ927" i="90"/>
  <c r="BZ926" i="90"/>
  <c r="BZ925" i="90"/>
  <c r="BZ924" i="90"/>
  <c r="BZ923" i="90"/>
  <c r="BZ922" i="90"/>
  <c r="BZ921" i="90"/>
  <c r="BZ920" i="90"/>
  <c r="BZ919" i="90"/>
  <c r="BZ918" i="90"/>
  <c r="BZ917" i="90"/>
  <c r="BZ916" i="90"/>
  <c r="BZ915" i="90"/>
  <c r="BZ914" i="90"/>
  <c r="BZ913" i="90"/>
  <c r="BZ912" i="90"/>
  <c r="BZ911" i="90"/>
  <c r="BZ910" i="90"/>
  <c r="BZ909" i="90"/>
  <c r="BZ908" i="90"/>
  <c r="BZ907" i="90"/>
  <c r="BZ906" i="90"/>
  <c r="BZ905" i="90"/>
  <c r="BZ904" i="90"/>
  <c r="BZ903" i="90"/>
  <c r="BZ902" i="90"/>
  <c r="BZ901" i="90"/>
  <c r="BZ900" i="90"/>
  <c r="BZ899" i="90"/>
  <c r="BZ898" i="90"/>
  <c r="BZ897" i="90"/>
  <c r="BZ896" i="90"/>
  <c r="BZ895" i="90"/>
  <c r="BZ894" i="90"/>
  <c r="BZ893" i="90"/>
  <c r="BZ892" i="90"/>
  <c r="BZ891" i="90"/>
  <c r="BZ890" i="90"/>
  <c r="BZ889" i="90"/>
  <c r="BZ888" i="90"/>
  <c r="BZ887" i="90"/>
  <c r="BZ886" i="90"/>
  <c r="BZ885" i="90"/>
  <c r="BZ884" i="90"/>
  <c r="BZ883" i="90"/>
  <c r="BZ882" i="90"/>
  <c r="BZ881" i="90"/>
  <c r="BZ880" i="90"/>
  <c r="BZ879" i="90"/>
  <c r="BZ878" i="90"/>
  <c r="BZ877" i="90"/>
  <c r="BZ876" i="90"/>
  <c r="BZ875" i="90"/>
  <c r="BZ874" i="90"/>
  <c r="BZ873" i="90"/>
  <c r="BZ872" i="90"/>
  <c r="BZ871" i="90"/>
  <c r="BZ870" i="90"/>
  <c r="BZ869" i="90"/>
  <c r="BZ868" i="90"/>
  <c r="BZ867" i="90"/>
  <c r="BZ866" i="90"/>
  <c r="BZ865" i="90"/>
  <c r="BZ864" i="90"/>
  <c r="BZ863" i="90"/>
  <c r="BZ862" i="90"/>
  <c r="BZ861" i="90"/>
  <c r="BZ860" i="90"/>
  <c r="BZ859" i="90"/>
  <c r="BZ858" i="90"/>
  <c r="BZ857" i="90"/>
  <c r="BZ856" i="90"/>
  <c r="BZ855" i="90"/>
  <c r="BZ854" i="90"/>
  <c r="BZ853" i="90"/>
  <c r="BZ852" i="90"/>
  <c r="BZ851" i="90"/>
  <c r="BZ850" i="90"/>
  <c r="BZ849" i="90"/>
  <c r="BZ848" i="90"/>
  <c r="BZ847" i="90"/>
  <c r="BZ846" i="90"/>
  <c r="BZ845" i="90"/>
  <c r="BZ844" i="90"/>
  <c r="BZ843" i="90"/>
  <c r="BZ842" i="90"/>
  <c r="BZ841" i="90"/>
  <c r="BZ840" i="90"/>
  <c r="BZ839" i="90"/>
  <c r="BZ838" i="90"/>
  <c r="BZ837" i="90"/>
  <c r="BZ836" i="90"/>
  <c r="BZ835" i="90"/>
  <c r="BZ834" i="90"/>
  <c r="BZ833" i="90"/>
  <c r="BZ832" i="90"/>
  <c r="BZ831" i="90"/>
  <c r="BZ830" i="90"/>
  <c r="BZ829" i="90"/>
  <c r="BZ828" i="90"/>
  <c r="BZ827" i="90"/>
  <c r="BZ826" i="90"/>
  <c r="BZ825" i="90"/>
  <c r="BZ824" i="90"/>
  <c r="BZ823" i="90"/>
  <c r="BZ822" i="90"/>
  <c r="BZ821" i="90"/>
  <c r="BZ820" i="90"/>
  <c r="BZ819" i="90"/>
  <c r="BZ818" i="90"/>
  <c r="BZ817" i="90"/>
  <c r="BZ816" i="90"/>
  <c r="BZ815" i="90"/>
  <c r="BZ814" i="90"/>
  <c r="BZ813" i="90"/>
  <c r="BZ812" i="90"/>
  <c r="BZ811" i="90"/>
  <c r="BZ810" i="90"/>
  <c r="BZ809" i="90"/>
  <c r="BZ808" i="90"/>
  <c r="BZ807" i="90"/>
  <c r="BZ806" i="90"/>
  <c r="BZ805" i="90"/>
  <c r="BZ804" i="90"/>
  <c r="BZ803" i="90"/>
  <c r="BZ802" i="90"/>
  <c r="BZ801" i="90"/>
  <c r="BZ800" i="90"/>
  <c r="BZ799" i="90"/>
  <c r="BZ798" i="90"/>
  <c r="BZ797" i="90"/>
  <c r="BZ796" i="90"/>
  <c r="BZ795" i="90"/>
  <c r="BZ794" i="90"/>
  <c r="BZ793" i="90"/>
  <c r="BZ792" i="90"/>
  <c r="BZ791" i="90"/>
  <c r="BZ790" i="90"/>
  <c r="BZ789" i="90"/>
  <c r="BZ788" i="90"/>
  <c r="BZ787" i="90"/>
  <c r="BZ786" i="90"/>
  <c r="BZ785" i="90"/>
  <c r="BZ784" i="90"/>
  <c r="BZ783" i="90"/>
  <c r="BZ782" i="90"/>
  <c r="BZ781" i="90"/>
  <c r="BZ780" i="90"/>
  <c r="BZ779" i="90"/>
  <c r="BZ778" i="90"/>
  <c r="BZ777" i="90"/>
  <c r="BZ776" i="90"/>
  <c r="BZ775" i="90"/>
  <c r="BZ774" i="90"/>
  <c r="BZ773" i="90"/>
  <c r="BZ771" i="90"/>
  <c r="BZ770" i="90"/>
  <c r="BZ769" i="90"/>
  <c r="BZ768" i="90"/>
  <c r="BZ767" i="90"/>
  <c r="BZ766" i="90"/>
  <c r="BZ765" i="90"/>
  <c r="BZ764" i="90"/>
  <c r="BZ763" i="90"/>
  <c r="BZ762" i="90"/>
  <c r="BZ761" i="90"/>
  <c r="BZ760" i="90"/>
  <c r="BZ759" i="90"/>
  <c r="BZ758" i="90"/>
  <c r="BZ757" i="90"/>
  <c r="BZ756" i="90"/>
  <c r="BZ755" i="90"/>
  <c r="BZ754" i="90"/>
  <c r="BZ753" i="90"/>
  <c r="BZ752" i="90"/>
  <c r="BZ751" i="90"/>
  <c r="BZ750" i="90"/>
  <c r="BZ749" i="90"/>
  <c r="BZ748" i="90"/>
  <c r="BZ747" i="90"/>
  <c r="BZ746" i="90"/>
  <c r="BZ745" i="90"/>
  <c r="BZ744" i="90"/>
  <c r="BZ743" i="90"/>
  <c r="BZ742" i="90"/>
  <c r="BZ741" i="90"/>
  <c r="BZ740" i="90"/>
  <c r="BZ739" i="90"/>
  <c r="BZ738" i="90"/>
  <c r="BZ737" i="90"/>
  <c r="BZ736" i="90"/>
  <c r="BZ735" i="90"/>
  <c r="BZ734" i="90"/>
  <c r="BZ733" i="90"/>
  <c r="BZ732" i="90"/>
  <c r="BZ731" i="90"/>
  <c r="BZ730" i="90"/>
  <c r="BZ729" i="90"/>
  <c r="BZ728" i="90"/>
  <c r="BZ727" i="90"/>
  <c r="BZ726" i="90"/>
  <c r="BZ725" i="90"/>
  <c r="BZ724" i="90"/>
  <c r="BZ723" i="90"/>
  <c r="BZ722" i="90"/>
  <c r="BZ721" i="90"/>
  <c r="BZ720" i="90"/>
  <c r="BZ719" i="90"/>
  <c r="BZ718" i="90"/>
  <c r="BZ717" i="90"/>
  <c r="BZ716" i="90"/>
  <c r="BZ715" i="90"/>
  <c r="BZ714" i="90"/>
  <c r="BZ713" i="90"/>
  <c r="BZ712" i="90"/>
  <c r="BZ711" i="90"/>
  <c r="BZ710" i="90"/>
  <c r="BZ709" i="90"/>
  <c r="BZ708" i="90"/>
  <c r="BZ707" i="90"/>
  <c r="BZ706" i="90"/>
  <c r="BZ705" i="90"/>
  <c r="BZ704" i="90"/>
  <c r="BZ703" i="90"/>
  <c r="BZ702" i="90"/>
  <c r="BZ701" i="90"/>
  <c r="BZ700" i="90"/>
  <c r="BZ699" i="90"/>
  <c r="BZ698" i="90"/>
  <c r="BZ697" i="90"/>
  <c r="BZ696" i="90"/>
  <c r="BZ695" i="90"/>
  <c r="BZ694" i="90"/>
  <c r="BZ693" i="90"/>
  <c r="BZ692" i="90"/>
  <c r="BZ691" i="90"/>
  <c r="BZ690" i="90"/>
  <c r="BZ689" i="90"/>
  <c r="BZ688" i="90"/>
  <c r="BZ687" i="90"/>
  <c r="BZ677" i="90"/>
  <c r="BZ671" i="90"/>
  <c r="BZ668" i="90"/>
  <c r="BZ665" i="90"/>
  <c r="BZ663" i="90"/>
  <c r="BZ662" i="90"/>
  <c r="BZ661" i="90"/>
  <c r="BZ660" i="90"/>
  <c r="BZ659" i="90"/>
  <c r="BZ658" i="90"/>
  <c r="BZ657" i="90"/>
  <c r="BZ656" i="90"/>
  <c r="BZ655" i="90"/>
  <c r="BZ654" i="90"/>
  <c r="BZ653" i="90"/>
  <c r="BZ652" i="90"/>
  <c r="BZ651" i="90"/>
  <c r="BZ650" i="90"/>
  <c r="BZ649" i="90"/>
  <c r="BZ648" i="90"/>
  <c r="BZ647" i="90"/>
  <c r="BZ646" i="90"/>
  <c r="BZ645" i="90"/>
  <c r="BZ644" i="90"/>
  <c r="BZ643" i="90"/>
  <c r="BZ642" i="90"/>
  <c r="BZ641" i="90"/>
  <c r="BZ640" i="90"/>
  <c r="BZ639" i="90"/>
  <c r="BZ638" i="90"/>
  <c r="BZ637" i="90"/>
  <c r="BZ636" i="90"/>
  <c r="BZ635" i="90"/>
  <c r="BZ634" i="90"/>
  <c r="BZ633" i="90"/>
  <c r="BZ632" i="90"/>
  <c r="BZ631" i="90"/>
  <c r="BZ630" i="90"/>
  <c r="BZ629" i="90"/>
  <c r="BZ628" i="90"/>
  <c r="BZ627" i="90"/>
  <c r="BZ626" i="90"/>
  <c r="BZ625" i="90"/>
  <c r="BZ624" i="90"/>
  <c r="BZ623" i="90"/>
  <c r="BZ622" i="90"/>
  <c r="BZ621" i="90"/>
  <c r="BZ620" i="90"/>
  <c r="BZ619" i="90"/>
  <c r="BZ618" i="90"/>
  <c r="BZ617" i="90"/>
  <c r="BZ616" i="90"/>
  <c r="BZ615" i="90"/>
  <c r="BZ614" i="90"/>
  <c r="BZ613" i="90"/>
  <c r="BZ612" i="90"/>
  <c r="BZ611" i="90"/>
  <c r="BZ610" i="90"/>
  <c r="BZ609" i="90"/>
  <c r="BZ608" i="90"/>
  <c r="BZ607" i="90"/>
  <c r="BZ606" i="90"/>
  <c r="BZ605" i="90"/>
  <c r="BZ604" i="90"/>
  <c r="BZ603" i="90"/>
  <c r="BZ602" i="90"/>
  <c r="BZ601" i="90"/>
  <c r="BZ600" i="90"/>
  <c r="BZ599" i="90"/>
  <c r="BZ598" i="90"/>
  <c r="BZ597" i="90"/>
  <c r="BZ596" i="90"/>
  <c r="BZ595" i="90"/>
  <c r="BZ594" i="90"/>
  <c r="BZ584" i="90"/>
  <c r="BZ582" i="90"/>
  <c r="BZ581" i="90"/>
  <c r="BZ570" i="90"/>
  <c r="BZ569" i="90"/>
  <c r="BZ567" i="90"/>
  <c r="BZ561" i="90"/>
  <c r="BZ559" i="90"/>
  <c r="BZ558" i="90"/>
  <c r="BZ557" i="90"/>
  <c r="BZ547" i="90"/>
  <c r="BZ546" i="90"/>
  <c r="BZ544" i="90"/>
  <c r="BZ543" i="90"/>
  <c r="BZ542" i="90"/>
  <c r="BZ540" i="90"/>
  <c r="BZ539" i="90"/>
  <c r="BZ538" i="90"/>
  <c r="BZ533" i="90"/>
  <c r="BZ510" i="90"/>
  <c r="BZ507" i="90"/>
  <c r="BZ506" i="90"/>
  <c r="BZ505" i="90"/>
  <c r="BZ504" i="90"/>
  <c r="BZ503" i="90"/>
  <c r="BZ502" i="90"/>
  <c r="BZ501" i="90"/>
  <c r="BZ499" i="90"/>
  <c r="BZ498" i="90"/>
  <c r="BZ496" i="90"/>
  <c r="BZ495" i="90"/>
  <c r="BZ494" i="90"/>
  <c r="BZ469" i="90"/>
  <c r="BZ468" i="90"/>
  <c r="BZ467" i="90"/>
  <c r="BZ466" i="90"/>
  <c r="BZ465" i="90"/>
  <c r="BZ464" i="90"/>
  <c r="BZ460" i="90"/>
  <c r="BZ459" i="90"/>
  <c r="BZ458" i="90"/>
  <c r="BZ457" i="90"/>
  <c r="BZ456" i="90"/>
  <c r="BZ453" i="90"/>
  <c r="BZ452" i="90"/>
  <c r="BZ449" i="90"/>
  <c r="BZ448" i="90"/>
  <c r="BZ447" i="90"/>
  <c r="BZ446" i="90"/>
  <c r="BZ445" i="90"/>
  <c r="BZ444" i="90"/>
  <c r="BZ443" i="90"/>
  <c r="BZ442" i="90"/>
  <c r="BZ432" i="90"/>
  <c r="BZ431" i="90"/>
  <c r="BZ430" i="90"/>
  <c r="BZ429" i="90"/>
  <c r="BZ428" i="90"/>
  <c r="BZ427" i="90"/>
  <c r="BZ426" i="90"/>
  <c r="BZ425" i="90"/>
  <c r="BZ424" i="90"/>
  <c r="BZ423" i="90"/>
  <c r="BZ422" i="90"/>
  <c r="BZ421" i="90"/>
  <c r="BZ420" i="90"/>
  <c r="BZ419" i="90"/>
  <c r="BZ418" i="90"/>
  <c r="BZ417" i="90"/>
  <c r="BZ416" i="90"/>
  <c r="BZ415" i="90"/>
  <c r="BZ414" i="90"/>
  <c r="BZ413" i="90"/>
  <c r="BZ412" i="90"/>
  <c r="BZ411" i="90"/>
  <c r="BZ410" i="90"/>
  <c r="BZ409" i="90"/>
  <c r="BZ408" i="90"/>
  <c r="BZ407" i="90"/>
  <c r="BZ406" i="90"/>
  <c r="BZ405" i="90"/>
  <c r="BZ404" i="90"/>
  <c r="BZ403" i="90"/>
  <c r="BZ402" i="90"/>
  <c r="BZ401" i="90"/>
  <c r="BZ400" i="90"/>
  <c r="BZ399" i="90"/>
  <c r="BZ398" i="90"/>
  <c r="BZ397" i="90"/>
  <c r="BZ396" i="90"/>
  <c r="BZ395" i="90"/>
  <c r="BZ394" i="90"/>
  <c r="BZ393" i="90"/>
  <c r="BZ392" i="90"/>
  <c r="BZ391" i="90"/>
  <c r="BZ389" i="90"/>
  <c r="BZ388" i="90"/>
  <c r="BZ387" i="90"/>
  <c r="BZ386" i="90"/>
  <c r="BZ385" i="90"/>
  <c r="BZ384" i="90"/>
  <c r="BZ383" i="90"/>
  <c r="BZ382" i="90"/>
  <c r="BZ381" i="90"/>
  <c r="BZ380" i="90"/>
  <c r="BZ379" i="90"/>
  <c r="BZ378" i="90"/>
  <c r="BZ377" i="90"/>
  <c r="BZ376" i="90"/>
  <c r="BZ374" i="90"/>
  <c r="BZ373" i="90"/>
  <c r="BZ372" i="90"/>
  <c r="BZ371" i="90"/>
  <c r="BZ370" i="90"/>
  <c r="BZ369" i="90"/>
  <c r="BZ368" i="90"/>
  <c r="BZ367" i="90"/>
  <c r="BZ366" i="90"/>
  <c r="BZ365" i="90"/>
  <c r="BZ364" i="90"/>
  <c r="BZ363" i="90"/>
  <c r="BZ362" i="90"/>
  <c r="BZ361" i="90"/>
  <c r="BZ360" i="90"/>
  <c r="BZ359" i="90"/>
  <c r="BZ358" i="90"/>
  <c r="BZ357" i="90"/>
  <c r="BZ356" i="90"/>
  <c r="BZ355" i="90"/>
  <c r="BZ354" i="90"/>
  <c r="BZ353" i="90"/>
  <c r="BZ352" i="90"/>
  <c r="BZ351" i="90"/>
  <c r="BZ350" i="90"/>
  <c r="BZ349" i="90"/>
  <c r="BZ348" i="90"/>
  <c r="BZ347" i="90"/>
  <c r="BZ346" i="90"/>
  <c r="BZ345" i="90"/>
  <c r="BZ344" i="90"/>
  <c r="BZ343" i="90"/>
  <c r="BZ342" i="90"/>
  <c r="BZ341" i="90"/>
  <c r="BZ339" i="90"/>
  <c r="BZ338" i="90"/>
  <c r="BZ337" i="90"/>
  <c r="BZ336" i="90"/>
  <c r="BZ335" i="90"/>
  <c r="BZ334" i="90"/>
  <c r="BZ333" i="90"/>
  <c r="BZ332" i="90"/>
  <c r="BZ331" i="90"/>
  <c r="BZ330" i="90"/>
  <c r="BZ329" i="90"/>
  <c r="BZ328" i="90"/>
  <c r="BZ327" i="90"/>
  <c r="BZ326" i="90"/>
  <c r="BZ325" i="90"/>
  <c r="BZ324" i="90"/>
  <c r="BZ323" i="90"/>
  <c r="BZ322" i="90"/>
  <c r="BZ321" i="90"/>
  <c r="BZ320" i="90"/>
  <c r="BZ319" i="90"/>
  <c r="BZ318" i="90"/>
  <c r="BZ317" i="90"/>
  <c r="BZ316" i="90"/>
  <c r="BZ315" i="90"/>
  <c r="BZ314" i="90"/>
  <c r="BZ313" i="90"/>
  <c r="BZ312" i="90"/>
  <c r="BZ311" i="90"/>
  <c r="BZ310" i="90"/>
  <c r="BZ309" i="90"/>
  <c r="BZ308" i="90"/>
  <c r="BZ307" i="90"/>
  <c r="BZ306" i="90"/>
  <c r="BZ305" i="90"/>
  <c r="BZ304" i="90"/>
  <c r="BZ303" i="90"/>
  <c r="BZ302" i="90"/>
  <c r="BZ301" i="90"/>
  <c r="BZ300" i="90"/>
  <c r="BZ299" i="90"/>
  <c r="BZ298" i="90"/>
  <c r="BZ297" i="90"/>
  <c r="BZ296" i="90"/>
  <c r="BZ295" i="90"/>
  <c r="BZ294" i="90"/>
  <c r="BZ293" i="90"/>
  <c r="BZ292" i="90"/>
  <c r="BZ291" i="90"/>
  <c r="BZ290" i="90"/>
  <c r="BZ289" i="90"/>
  <c r="BZ288" i="90"/>
  <c r="BZ287" i="90"/>
  <c r="BZ286" i="90"/>
  <c r="BZ285" i="90"/>
  <c r="BZ284" i="90"/>
  <c r="BZ283" i="90"/>
  <c r="BZ282" i="90"/>
  <c r="BZ281" i="90"/>
  <c r="BZ280" i="90"/>
  <c r="BZ279" i="90"/>
  <c r="BZ278" i="90"/>
  <c r="BZ277" i="90"/>
  <c r="BZ276" i="90"/>
  <c r="BZ275" i="90"/>
  <c r="BZ274" i="90"/>
  <c r="BZ273" i="90"/>
  <c r="BZ272" i="90"/>
  <c r="BZ271" i="90"/>
  <c r="BZ270" i="90"/>
  <c r="BZ269" i="90"/>
  <c r="BZ268" i="90"/>
  <c r="BZ267" i="90"/>
  <c r="BZ266" i="90"/>
  <c r="BZ265" i="90"/>
  <c r="BZ264" i="90"/>
  <c r="BZ263" i="90"/>
  <c r="BZ262" i="90"/>
  <c r="BZ261" i="90"/>
  <c r="BZ260" i="90"/>
  <c r="BZ259" i="90"/>
  <c r="BZ258" i="90"/>
  <c r="BZ257" i="90"/>
  <c r="BZ256" i="90"/>
  <c r="BZ255" i="90"/>
  <c r="BZ254" i="90"/>
  <c r="BZ253" i="90"/>
  <c r="BZ252" i="90"/>
  <c r="BZ251" i="90"/>
  <c r="BZ250" i="90"/>
  <c r="BZ249" i="90"/>
  <c r="BZ248" i="90"/>
  <c r="BZ247" i="90"/>
  <c r="BZ246" i="90"/>
  <c r="BZ245" i="90"/>
  <c r="BZ244" i="90"/>
  <c r="BZ243" i="90"/>
  <c r="BZ242" i="90"/>
  <c r="BZ241" i="90"/>
  <c r="BZ240" i="90"/>
  <c r="BZ239" i="90"/>
  <c r="BZ238" i="90"/>
  <c r="BZ237" i="90"/>
  <c r="BZ236" i="90"/>
  <c r="BZ235" i="90"/>
  <c r="BZ234" i="90"/>
  <c r="BZ233" i="90"/>
  <c r="BZ232" i="90"/>
  <c r="BZ231" i="90"/>
  <c r="BZ230" i="90"/>
  <c r="BZ229" i="90"/>
  <c r="BZ228" i="90"/>
  <c r="BZ227" i="90"/>
  <c r="BZ226" i="90"/>
  <c r="BZ225" i="90"/>
  <c r="BZ224" i="90"/>
  <c r="BZ223" i="90"/>
  <c r="BZ222" i="90"/>
  <c r="BZ221" i="90"/>
  <c r="BZ220" i="90"/>
  <c r="BZ219" i="90"/>
  <c r="BZ218" i="90"/>
  <c r="BZ217" i="90"/>
  <c r="BZ216" i="90"/>
  <c r="BZ215" i="90"/>
  <c r="BZ214" i="90"/>
  <c r="BZ213" i="90"/>
  <c r="BZ212" i="90"/>
  <c r="BZ211" i="90"/>
  <c r="BZ210" i="90"/>
  <c r="BZ209" i="90"/>
  <c r="BZ208" i="90"/>
  <c r="BZ207" i="90"/>
  <c r="BZ206" i="90"/>
  <c r="BZ205" i="90"/>
  <c r="BZ204" i="90"/>
  <c r="BZ203" i="90"/>
  <c r="BZ202" i="90"/>
  <c r="BZ201" i="90"/>
  <c r="BZ200" i="90"/>
  <c r="BZ199" i="90"/>
  <c r="BZ198" i="90"/>
  <c r="BZ197" i="90"/>
  <c r="BZ196" i="90"/>
  <c r="BZ195" i="90"/>
  <c r="BZ194" i="90"/>
  <c r="BZ193" i="90"/>
  <c r="BZ192" i="90"/>
  <c r="BZ191" i="90"/>
  <c r="BZ190" i="90"/>
  <c r="BZ189" i="90"/>
  <c r="BZ188" i="90"/>
  <c r="BZ187" i="90"/>
  <c r="BZ186" i="90"/>
  <c r="BZ185" i="90"/>
  <c r="BZ184" i="90"/>
  <c r="BZ183" i="90"/>
  <c r="BZ182" i="90"/>
  <c r="BZ181" i="90"/>
  <c r="BZ180" i="90"/>
  <c r="BZ179" i="90"/>
  <c r="BZ178" i="90"/>
  <c r="BZ177" i="90"/>
  <c r="BZ176" i="90"/>
  <c r="BZ175" i="90"/>
  <c r="BZ174" i="90"/>
  <c r="BZ173" i="90"/>
  <c r="BZ172" i="90"/>
  <c r="BZ171" i="90"/>
  <c r="BZ170" i="90"/>
  <c r="BZ169" i="90"/>
  <c r="BZ168" i="90"/>
  <c r="BZ167" i="90"/>
  <c r="BZ166" i="90"/>
  <c r="BZ165" i="90"/>
  <c r="BZ164" i="90"/>
  <c r="BZ163" i="90"/>
  <c r="BZ162" i="90"/>
  <c r="BZ161" i="90"/>
  <c r="BZ160" i="90"/>
  <c r="BZ159" i="90"/>
  <c r="BZ158" i="90"/>
  <c r="BZ157" i="90"/>
  <c r="BZ156" i="90"/>
  <c r="BZ155" i="90"/>
  <c r="BZ154" i="90"/>
  <c r="BZ153" i="90"/>
  <c r="BZ152" i="90"/>
  <c r="BZ151" i="90"/>
  <c r="BZ150" i="90"/>
  <c r="BZ149" i="90"/>
  <c r="BZ148" i="90"/>
  <c r="BZ147" i="90"/>
  <c r="BZ146" i="90"/>
  <c r="BZ145" i="90"/>
  <c r="BZ144" i="90"/>
  <c r="BZ143" i="90"/>
  <c r="BZ142" i="90"/>
  <c r="BZ141" i="90"/>
  <c r="BZ140" i="90"/>
  <c r="BZ139" i="90"/>
  <c r="BZ138" i="90"/>
  <c r="BZ137" i="90"/>
  <c r="BZ136" i="90"/>
  <c r="BZ135" i="90"/>
  <c r="BZ134" i="90"/>
  <c r="BZ133" i="90"/>
  <c r="BZ132" i="90"/>
  <c r="BZ131" i="90"/>
  <c r="BZ130" i="90"/>
  <c r="BZ129" i="90"/>
  <c r="BZ128" i="90"/>
  <c r="BZ127" i="90"/>
  <c r="BZ126" i="90"/>
  <c r="BZ125" i="90"/>
  <c r="BZ124" i="90"/>
  <c r="BZ123" i="90"/>
  <c r="BZ122" i="90"/>
  <c r="BZ121" i="90"/>
  <c r="BZ120" i="90"/>
  <c r="BZ119" i="90"/>
  <c r="BZ118" i="90"/>
  <c r="BZ117" i="90"/>
  <c r="BZ116" i="90"/>
  <c r="BZ115" i="90"/>
  <c r="BZ114" i="90"/>
  <c r="BZ113" i="90"/>
  <c r="BZ112" i="90"/>
  <c r="BZ111" i="90"/>
  <c r="BZ110" i="90"/>
  <c r="BZ109" i="90"/>
  <c r="BZ108" i="90"/>
  <c r="BZ107" i="90"/>
  <c r="BZ106" i="90"/>
  <c r="BZ105" i="90"/>
  <c r="BZ104" i="90"/>
  <c r="BZ103" i="90"/>
  <c r="BZ102" i="90"/>
  <c r="BZ101" i="90"/>
  <c r="BZ100" i="90"/>
  <c r="BZ99" i="90"/>
  <c r="BZ98" i="90"/>
  <c r="BZ97" i="90"/>
  <c r="BZ96" i="90"/>
  <c r="BZ95" i="90"/>
  <c r="BZ94" i="90"/>
  <c r="BZ93" i="90"/>
  <c r="BZ92" i="90"/>
  <c r="BZ91" i="90"/>
  <c r="BZ90" i="90"/>
  <c r="BZ89" i="90"/>
  <c r="BZ88" i="90"/>
  <c r="BZ87" i="90"/>
  <c r="BZ86" i="90"/>
  <c r="BZ85" i="90"/>
  <c r="BZ84" i="90"/>
  <c r="BZ83" i="90"/>
  <c r="BZ82" i="90"/>
  <c r="BZ81" i="90"/>
  <c r="BZ80" i="90"/>
  <c r="BZ79" i="90"/>
  <c r="BZ78" i="90"/>
  <c r="BZ77" i="90"/>
  <c r="BZ76" i="90"/>
  <c r="BZ75" i="90"/>
  <c r="BZ74" i="90"/>
  <c r="BZ73" i="90"/>
  <c r="BZ72" i="90"/>
  <c r="BZ71" i="90"/>
  <c r="BZ70" i="90"/>
  <c r="BZ69" i="90"/>
  <c r="BZ68" i="90"/>
  <c r="BZ67" i="90"/>
  <c r="BZ66" i="90"/>
  <c r="BZ65" i="90"/>
  <c r="BZ64" i="90"/>
  <c r="BZ63" i="90"/>
  <c r="BZ62" i="90"/>
  <c r="BZ61" i="90"/>
  <c r="BZ60" i="90"/>
  <c r="BZ59" i="90"/>
  <c r="BZ58" i="90"/>
  <c r="BZ57" i="90"/>
  <c r="BZ56" i="90"/>
  <c r="BZ55" i="90"/>
  <c r="BZ54" i="90"/>
  <c r="BZ53" i="90"/>
  <c r="BZ52" i="90"/>
  <c r="BZ51" i="90"/>
  <c r="BZ50" i="90"/>
  <c r="BZ49" i="90"/>
  <c r="BZ48" i="90"/>
  <c r="BZ47" i="90"/>
  <c r="BZ46" i="90"/>
  <c r="BZ45" i="90"/>
  <c r="BZ44" i="90"/>
  <c r="BZ43" i="90"/>
  <c r="BZ42" i="90"/>
  <c r="BZ41" i="90"/>
  <c r="BZ40" i="90"/>
  <c r="BZ39" i="90"/>
  <c r="BZ38" i="90"/>
  <c r="BZ37" i="90"/>
  <c r="BZ36" i="90"/>
  <c r="BZ35" i="90"/>
  <c r="BZ34" i="90"/>
  <c r="BZ33" i="90"/>
  <c r="BZ32" i="90"/>
  <c r="BZ31" i="90"/>
  <c r="BZ30" i="90"/>
  <c r="BZ29" i="90"/>
  <c r="BZ28" i="90"/>
  <c r="BZ27" i="90"/>
  <c r="BZ26" i="90"/>
  <c r="BZ25" i="90"/>
  <c r="BZ24" i="90"/>
  <c r="BZ23" i="90"/>
  <c r="BZ22" i="90"/>
  <c r="BZ21" i="90"/>
  <c r="BZ20" i="90"/>
  <c r="BZ19" i="90"/>
  <c r="BZ18" i="90"/>
  <c r="BZ17" i="90"/>
  <c r="BZ16" i="90"/>
  <c r="BZ15" i="90"/>
  <c r="BZ14" i="90"/>
  <c r="BZ13" i="90"/>
  <c r="BZ12" i="90"/>
  <c r="BZ11" i="90"/>
  <c r="BZ10" i="90"/>
  <c r="BZ9" i="90"/>
  <c r="BZ8" i="90"/>
  <c r="BZ7" i="90"/>
  <c r="BZ6" i="90"/>
  <c r="BZ5" i="90"/>
  <c r="BZ4" i="90"/>
  <c r="G2" i="90" l="1"/>
  <c r="C2" i="90"/>
  <c r="G2" i="14"/>
  <c r="AJ15" i="17"/>
  <c r="AE1443" i="14"/>
  <c r="AF1443" i="14" s="1"/>
  <c r="AE1438" i="14"/>
  <c r="AG1438" i="14" s="1"/>
  <c r="AE1348" i="14"/>
  <c r="AG1348" i="14" s="1"/>
  <c r="AF1348" i="14" l="1"/>
  <c r="AF1438" i="14"/>
  <c r="AI1443" i="14"/>
  <c r="AH1443" i="14"/>
  <c r="AH1348" i="14"/>
  <c r="AH1438" i="14"/>
  <c r="AG1443" i="14"/>
  <c r="AI1438" i="14"/>
  <c r="B2" i="14"/>
  <c r="AR2062" i="14"/>
  <c r="AU2062" i="14" s="1"/>
  <c r="AR2058" i="14"/>
  <c r="AV2058" i="14" s="1"/>
  <c r="AR2055" i="14"/>
  <c r="AS2055" i="14" s="1"/>
  <c r="AV2047" i="14"/>
  <c r="AU2047" i="14"/>
  <c r="AT2047" i="14"/>
  <c r="AS2047" i="14"/>
  <c r="AR2035" i="14"/>
  <c r="AT2035" i="14" s="1"/>
  <c r="AR2028" i="14"/>
  <c r="AU2028" i="14" s="1"/>
  <c r="T2028" i="14"/>
  <c r="AR2027" i="14"/>
  <c r="AS2027" i="14" s="1"/>
  <c r="AR2026" i="14"/>
  <c r="AT2026" i="14" s="1"/>
  <c r="AR2025" i="14"/>
  <c r="AU2025" i="14" s="1"/>
  <c r="AR2020" i="14"/>
  <c r="AV2020" i="14" s="1"/>
  <c r="AR2019" i="14"/>
  <c r="AS2019" i="14" s="1"/>
  <c r="AR2010" i="14"/>
  <c r="AT2010" i="14" s="1"/>
  <c r="AR2008" i="14"/>
  <c r="AU2008" i="14" s="1"/>
  <c r="AR2006" i="14"/>
  <c r="AV2006" i="14" s="1"/>
  <c r="AR1991" i="14"/>
  <c r="AS1991" i="14" s="1"/>
  <c r="AR1986" i="14"/>
  <c r="AT1986" i="14" s="1"/>
  <c r="AR1984" i="14"/>
  <c r="AU1984" i="14" s="1"/>
  <c r="AR1981" i="14"/>
  <c r="AV1981" i="14" s="1"/>
  <c r="AR1974" i="14"/>
  <c r="AS1974" i="14" s="1"/>
  <c r="AR1954" i="14"/>
  <c r="AT1954" i="14" s="1"/>
  <c r="AR1723" i="14"/>
  <c r="AT1723" i="14" s="1"/>
  <c r="AR1721" i="14"/>
  <c r="AU1721" i="14" s="1"/>
  <c r="AR1713" i="14"/>
  <c r="AV1713" i="14" s="1"/>
  <c r="AR1706" i="14"/>
  <c r="AS1706" i="14" s="1"/>
  <c r="AR1705" i="14"/>
  <c r="AT1705" i="14" s="1"/>
  <c r="AR1703" i="14"/>
  <c r="AU1703" i="14" s="1"/>
  <c r="AR1700" i="14"/>
  <c r="AV1700" i="14" s="1"/>
  <c r="AR1698" i="14"/>
  <c r="AS1698" i="14" s="1"/>
  <c r="AR1696" i="14"/>
  <c r="AT1696" i="14" s="1"/>
  <c r="AR1695" i="14"/>
  <c r="AU1695" i="14" s="1"/>
  <c r="AR1688" i="14"/>
  <c r="AV1688" i="14" s="1"/>
  <c r="AR1686" i="14"/>
  <c r="AS1686" i="14" s="1"/>
  <c r="AR1676" i="14"/>
  <c r="AT1676" i="14" s="1"/>
  <c r="AR1671" i="14"/>
  <c r="AU1671" i="14" s="1"/>
  <c r="AR1664" i="14"/>
  <c r="AV1664" i="14" s="1"/>
  <c r="AR1663" i="14"/>
  <c r="AS1663" i="14" s="1"/>
  <c r="AR1651" i="14"/>
  <c r="AT1651" i="14" s="1"/>
  <c r="AR1644" i="14"/>
  <c r="AU1644" i="14" s="1"/>
  <c r="AR1640" i="14"/>
  <c r="AV1640" i="14" s="1"/>
  <c r="AR1628" i="14"/>
  <c r="AS1628" i="14" s="1"/>
  <c r="AR1624" i="14"/>
  <c r="AT1624" i="14" s="1"/>
  <c r="AR1623" i="14"/>
  <c r="AU1623" i="14" s="1"/>
  <c r="AR1622" i="14"/>
  <c r="AV1622" i="14" s="1"/>
  <c r="AR1610" i="14"/>
  <c r="AS1610" i="14" s="1"/>
  <c r="AR1606" i="14"/>
  <c r="AT1606" i="14" s="1"/>
  <c r="AE1341" i="14"/>
  <c r="AH1341" i="14" s="1"/>
  <c r="AE1340" i="14"/>
  <c r="AI1340" i="14" s="1"/>
  <c r="AE1323" i="14"/>
  <c r="AF1323" i="14" s="1"/>
  <c r="AE1318" i="14"/>
  <c r="AG1318" i="14" s="1"/>
  <c r="AE1228" i="14"/>
  <c r="AF1228" i="14" s="1"/>
  <c r="AE1206" i="14"/>
  <c r="AF1206" i="14" s="1"/>
  <c r="AE1205" i="14"/>
  <c r="AF1205" i="14" s="1"/>
  <c r="AE1188" i="14"/>
  <c r="AF1188" i="14" s="1"/>
  <c r="AE1183" i="14"/>
  <c r="AF1183" i="14" s="1"/>
  <c r="AC1094" i="14"/>
  <c r="AE1094" i="14" s="1"/>
  <c r="AC1092" i="14"/>
  <c r="AE1092" i="14" s="1"/>
  <c r="AC1085" i="14"/>
  <c r="AE1085" i="14" s="1"/>
  <c r="AC1075" i="14"/>
  <c r="AE1075" i="14" s="1"/>
  <c r="AC1073" i="14"/>
  <c r="AE1073" i="14" s="1"/>
  <c r="AC1060" i="14"/>
  <c r="AE1060" i="14" s="1"/>
  <c r="AC1023" i="14"/>
  <c r="AD1023" i="14" s="1"/>
  <c r="AC1022" i="14"/>
  <c r="AD1022" i="14" s="1"/>
  <c r="AC1015" i="14"/>
  <c r="AD1015" i="14" s="1"/>
  <c r="AC1006" i="14"/>
  <c r="AD1006" i="14" s="1"/>
  <c r="AC995" i="14"/>
  <c r="AD995" i="14" s="1"/>
  <c r="AC991" i="14"/>
  <c r="AD991" i="14" s="1"/>
  <c r="AC990" i="14"/>
  <c r="AD990" i="14" s="1"/>
  <c r="AC976" i="14"/>
  <c r="AD976" i="14" s="1"/>
  <c r="AC966" i="14"/>
  <c r="AD966" i="14" s="1"/>
  <c r="AB914" i="14"/>
  <c r="AC914" i="14" s="1"/>
  <c r="AB912" i="14"/>
  <c r="AC912" i="14" s="1"/>
  <c r="AB909" i="14"/>
  <c r="AC909" i="14" s="1"/>
  <c r="AB903" i="14"/>
  <c r="AC903" i="14" s="1"/>
  <c r="AB902" i="14"/>
  <c r="AC902" i="14" s="1"/>
  <c r="AB895" i="14"/>
  <c r="AC895" i="14" s="1"/>
  <c r="AB887" i="14"/>
  <c r="AC887" i="14" s="1"/>
  <c r="AB886" i="14"/>
  <c r="AC886" i="14" s="1"/>
  <c r="AB885" i="14"/>
  <c r="AC885" i="14" s="1"/>
  <c r="AB883" i="14"/>
  <c r="AC883" i="14" s="1"/>
  <c r="AB880" i="14"/>
  <c r="AC880" i="14" s="1"/>
  <c r="AB878" i="14"/>
  <c r="AC878" i="14" s="1"/>
  <c r="AB873" i="14"/>
  <c r="AC873" i="14" s="1"/>
  <c r="AE873" i="14" s="1"/>
  <c r="AB872" i="14"/>
  <c r="AC872" i="14" s="1"/>
  <c r="AE872" i="14" s="1"/>
  <c r="AB870" i="14"/>
  <c r="AC870" i="14" s="1"/>
  <c r="AB855" i="14"/>
  <c r="AC855" i="14" s="1"/>
  <c r="AB796" i="14"/>
  <c r="AC796" i="14" s="1"/>
  <c r="AE796" i="14" s="1"/>
  <c r="AB795" i="14"/>
  <c r="AC795" i="14" s="1"/>
  <c r="AE795" i="14" s="1"/>
  <c r="AB791" i="14"/>
  <c r="AC791" i="14" s="1"/>
  <c r="AE791" i="14" s="1"/>
  <c r="AB774" i="14"/>
  <c r="AC774" i="14" s="1"/>
  <c r="AE774" i="14" s="1"/>
  <c r="AB757" i="14"/>
  <c r="AC757" i="14" s="1"/>
  <c r="AE757" i="14" s="1"/>
  <c r="AB741" i="14"/>
  <c r="AC741" i="14" s="1"/>
  <c r="AE741" i="14" s="1"/>
  <c r="AB740" i="14"/>
  <c r="AC740" i="14" s="1"/>
  <c r="AE740" i="14" s="1"/>
  <c r="AB735" i="14"/>
  <c r="AC735" i="14" s="1"/>
  <c r="AE735" i="14" s="1"/>
  <c r="AB733" i="14"/>
  <c r="AC733" i="14" s="1"/>
  <c r="AE733" i="14" s="1"/>
  <c r="AB728" i="14"/>
  <c r="AC728" i="14" s="1"/>
  <c r="AE728" i="14" s="1"/>
  <c r="AB727" i="14"/>
  <c r="AC727" i="14" s="1"/>
  <c r="AE727" i="14" s="1"/>
  <c r="AA641" i="14"/>
  <c r="AB641" i="14" s="1"/>
  <c r="AA622" i="14"/>
  <c r="AB622" i="14" s="1"/>
  <c r="AA620" i="14"/>
  <c r="AB620" i="14" s="1"/>
  <c r="AD618" i="14"/>
  <c r="AC618" i="14"/>
  <c r="AB618" i="14"/>
  <c r="AA607" i="14"/>
  <c r="AC607" i="14" s="1"/>
  <c r="AA605" i="14"/>
  <c r="AC605" i="14" s="1"/>
  <c r="AA590" i="14"/>
  <c r="AC590" i="14" s="1"/>
  <c r="AA577" i="14"/>
  <c r="AC577" i="14" s="1"/>
  <c r="AA573" i="14"/>
  <c r="AC573" i="14" s="1"/>
  <c r="AA570" i="14"/>
  <c r="AC570" i="14" s="1"/>
  <c r="AA568" i="14"/>
  <c r="AC568" i="14" s="1"/>
  <c r="AA566" i="14"/>
  <c r="AC566" i="14" s="1"/>
  <c r="AS1688" i="14" l="1"/>
  <c r="AG1188" i="14"/>
  <c r="AT2028" i="14"/>
  <c r="AT2020" i="14"/>
  <c r="AG1228" i="14"/>
  <c r="AT2058" i="14"/>
  <c r="AE995" i="14"/>
  <c r="AH1183" i="14"/>
  <c r="AF1015" i="14"/>
  <c r="AB573" i="14"/>
  <c r="AG1206" i="14"/>
  <c r="AB607" i="14"/>
  <c r="AT1703" i="14"/>
  <c r="AB566" i="14"/>
  <c r="AE1023" i="14"/>
  <c r="AG1183" i="14"/>
  <c r="AH1206" i="14"/>
  <c r="AU1640" i="14"/>
  <c r="AD577" i="14"/>
  <c r="AS1676" i="14"/>
  <c r="AG1205" i="14"/>
  <c r="AU1624" i="14"/>
  <c r="AH1188" i="14"/>
  <c r="AE966" i="14"/>
  <c r="AD1075" i="14"/>
  <c r="AG1341" i="14"/>
  <c r="AT1991" i="14"/>
  <c r="AH1205" i="14"/>
  <c r="AT1981" i="14"/>
  <c r="AD566" i="14"/>
  <c r="AF990" i="14"/>
  <c r="AD1092" i="14"/>
  <c r="AH1228" i="14"/>
  <c r="AT1610" i="14"/>
  <c r="AS1981" i="14"/>
  <c r="AT2006" i="14"/>
  <c r="AU1713" i="14"/>
  <c r="AD568" i="14"/>
  <c r="AD590" i="14"/>
  <c r="AE976" i="14"/>
  <c r="AE1006" i="14"/>
  <c r="AD1060" i="14"/>
  <c r="AG1340" i="14"/>
  <c r="AU1622" i="14"/>
  <c r="AU1664" i="14"/>
  <c r="AS1700" i="14"/>
  <c r="AS1705" i="14"/>
  <c r="AS1713" i="14"/>
  <c r="AT1974" i="14"/>
  <c r="AS2062" i="14"/>
  <c r="AB577" i="14"/>
  <c r="AF976" i="14"/>
  <c r="AF1006" i="14"/>
  <c r="AF1318" i="14"/>
  <c r="AH1340" i="14"/>
  <c r="AU1651" i="14"/>
  <c r="AS1696" i="14"/>
  <c r="AU1705" i="14"/>
  <c r="AT1713" i="14"/>
  <c r="AS1723" i="14"/>
  <c r="AS2006" i="14"/>
  <c r="AS2028" i="14"/>
  <c r="AT2062" i="14"/>
  <c r="AB568" i="14"/>
  <c r="AD570" i="14"/>
  <c r="AB590" i="14"/>
  <c r="AD605" i="14"/>
  <c r="AE990" i="14"/>
  <c r="AF991" i="14"/>
  <c r="AE1015" i="14"/>
  <c r="AF1022" i="14"/>
  <c r="AF1340" i="14"/>
  <c r="AF1341" i="14"/>
  <c r="AU1606" i="14"/>
  <c r="AS1622" i="14"/>
  <c r="AS1624" i="14"/>
  <c r="AS1640" i="14"/>
  <c r="AS1651" i="14"/>
  <c r="AS1664" i="14"/>
  <c r="AV1671" i="14"/>
  <c r="AU1700" i="14"/>
  <c r="AS2008" i="14"/>
  <c r="AT2025" i="14"/>
  <c r="AB570" i="14"/>
  <c r="AD573" i="14"/>
  <c r="AB605" i="14"/>
  <c r="AD607" i="14"/>
  <c r="AF966" i="14"/>
  <c r="AE991" i="14"/>
  <c r="AF995" i="14"/>
  <c r="AE1022" i="14"/>
  <c r="AF1023" i="14"/>
  <c r="AD1073" i="14"/>
  <c r="AD1085" i="14"/>
  <c r="AD1094" i="14"/>
  <c r="AS1606" i="14"/>
  <c r="AT1671" i="14"/>
  <c r="AU1676" i="14"/>
  <c r="AU1688" i="14"/>
  <c r="AU1696" i="14"/>
  <c r="AT1700" i="14"/>
  <c r="AV1703" i="14"/>
  <c r="AU1723" i="14"/>
  <c r="AU1974" i="14"/>
  <c r="AU1991" i="14"/>
  <c r="AU2019" i="14"/>
  <c r="AS2025" i="14"/>
  <c r="AU2058" i="14"/>
  <c r="AS1954" i="14"/>
  <c r="AV1974" i="14"/>
  <c r="AU1981" i="14"/>
  <c r="AT1984" i="14"/>
  <c r="AS1986" i="14"/>
  <c r="AV1991" i="14"/>
  <c r="AU2006" i="14"/>
  <c r="AT2008" i="14"/>
  <c r="AS2010" i="14"/>
  <c r="AV2019" i="14"/>
  <c r="AU2020" i="14"/>
  <c r="AS2026" i="14"/>
  <c r="AV2027" i="14"/>
  <c r="AS2035" i="14"/>
  <c r="AV2055" i="14"/>
  <c r="AV1954" i="14"/>
  <c r="AS1984" i="14"/>
  <c r="AV1986" i="14"/>
  <c r="AV2010" i="14"/>
  <c r="AV2026" i="14"/>
  <c r="AU2027" i="14"/>
  <c r="AV2035" i="14"/>
  <c r="AU2055" i="14"/>
  <c r="AU1954" i="14"/>
  <c r="AV1984" i="14"/>
  <c r="AU1986" i="14"/>
  <c r="AV2008" i="14"/>
  <c r="AU2010" i="14"/>
  <c r="AT2019" i="14"/>
  <c r="AS2020" i="14"/>
  <c r="AV2025" i="14"/>
  <c r="AU2026" i="14"/>
  <c r="AT2027" i="14"/>
  <c r="AV2028" i="14"/>
  <c r="AU2035" i="14"/>
  <c r="AT2055" i="14"/>
  <c r="AS2058" i="14"/>
  <c r="AV2062" i="14"/>
  <c r="AV1610" i="14"/>
  <c r="AT1623" i="14"/>
  <c r="AV1628" i="14"/>
  <c r="AT1644" i="14"/>
  <c r="AV1663" i="14"/>
  <c r="AV1686" i="14"/>
  <c r="AT1695" i="14"/>
  <c r="AV1698" i="14"/>
  <c r="AV1706" i="14"/>
  <c r="AT1721" i="14"/>
  <c r="AV1606" i="14"/>
  <c r="AU1610" i="14"/>
  <c r="AT1622" i="14"/>
  <c r="AS1623" i="14"/>
  <c r="AV1624" i="14"/>
  <c r="AU1628" i="14"/>
  <c r="AT1640" i="14"/>
  <c r="AS1644" i="14"/>
  <c r="AV1651" i="14"/>
  <c r="AU1663" i="14"/>
  <c r="AT1664" i="14"/>
  <c r="AS1671" i="14"/>
  <c r="AV1676" i="14"/>
  <c r="AU1686" i="14"/>
  <c r="AT1688" i="14"/>
  <c r="AS1695" i="14"/>
  <c r="AV1696" i="14"/>
  <c r="AU1698" i="14"/>
  <c r="AS1703" i="14"/>
  <c r="AV1705" i="14"/>
  <c r="AU1706" i="14"/>
  <c r="AS1721" i="14"/>
  <c r="AV1723" i="14"/>
  <c r="AV1623" i="14"/>
  <c r="AT1628" i="14"/>
  <c r="AV1644" i="14"/>
  <c r="AT1663" i="14"/>
  <c r="AT1686" i="14"/>
  <c r="AV1695" i="14"/>
  <c r="AT1698" i="14"/>
  <c r="AT1706" i="14"/>
  <c r="AV1721" i="14"/>
  <c r="AH1323" i="14"/>
  <c r="AH1318" i="14"/>
  <c r="AG1323" i="14"/>
  <c r="AI1341" i="14"/>
  <c r="AI1323" i="14"/>
  <c r="AI1318" i="14"/>
  <c r="AF1060" i="14"/>
  <c r="AF1073" i="14"/>
  <c r="AF1075" i="14"/>
  <c r="AF1085" i="14"/>
  <c r="AF1092" i="14"/>
  <c r="AF1094" i="14"/>
  <c r="AE878" i="14"/>
  <c r="AE883" i="14"/>
  <c r="AE886" i="14"/>
  <c r="AE895" i="14"/>
  <c r="AE902" i="14"/>
  <c r="AE912" i="14"/>
  <c r="AD855" i="14"/>
  <c r="AD870" i="14"/>
  <c r="AD872" i="14"/>
  <c r="AD873" i="14"/>
  <c r="AD878" i="14"/>
  <c r="AD880" i="14"/>
  <c r="AD883" i="14"/>
  <c r="AD885" i="14"/>
  <c r="AD886" i="14"/>
  <c r="AD887" i="14"/>
  <c r="AD895" i="14"/>
  <c r="AD902" i="14"/>
  <c r="AD903" i="14"/>
  <c r="AD909" i="14"/>
  <c r="AD912" i="14"/>
  <c r="AD914" i="14"/>
  <c r="AE855" i="14"/>
  <c r="AE870" i="14"/>
  <c r="AE880" i="14"/>
  <c r="AE885" i="14"/>
  <c r="AE887" i="14"/>
  <c r="AE903" i="14"/>
  <c r="AE909" i="14"/>
  <c r="AD727" i="14"/>
  <c r="AD728" i="14"/>
  <c r="AD733" i="14"/>
  <c r="AD735" i="14"/>
  <c r="AD740" i="14"/>
  <c r="AD741" i="14"/>
  <c r="AD757" i="14"/>
  <c r="AD774" i="14"/>
  <c r="AD791" i="14"/>
  <c r="AD795" i="14"/>
  <c r="AD796" i="14"/>
  <c r="AD620" i="14"/>
  <c r="AD622" i="14"/>
  <c r="AD641" i="14"/>
  <c r="AC641" i="14"/>
  <c r="AC620" i="14"/>
  <c r="AC622" i="14"/>
  <c r="AB16" i="17" l="1"/>
  <c r="Y16" i="17"/>
  <c r="W16" i="17"/>
  <c r="V16" i="17"/>
  <c r="L16" i="17"/>
  <c r="K16" i="17"/>
  <c r="J16" i="17"/>
  <c r="F16" i="17"/>
  <c r="D16" i="17"/>
  <c r="AK15" i="17"/>
  <c r="AL15" i="17" s="1"/>
  <c r="AI15" i="17"/>
  <c r="AH15" i="17"/>
  <c r="AG15" i="17"/>
  <c r="AF15" i="17"/>
  <c r="Z15" i="17"/>
  <c r="R15" i="17"/>
  <c r="Q15" i="17"/>
  <c r="P15" i="17"/>
  <c r="AR15" i="17" s="1"/>
  <c r="O15" i="17"/>
  <c r="AP15" i="17" s="1"/>
  <c r="M15" i="17"/>
  <c r="H15" i="17"/>
  <c r="G15" i="17"/>
  <c r="B15" i="17"/>
  <c r="AK14" i="17"/>
  <c r="AJ14" i="17"/>
  <c r="AH14" i="17"/>
  <c r="AG14" i="17"/>
  <c r="AF14" i="17"/>
  <c r="AC14" i="17"/>
  <c r="AI14" i="17" s="1"/>
  <c r="Z14" i="17"/>
  <c r="R14" i="17"/>
  <c r="P14" i="17"/>
  <c r="AR14" i="17" s="1"/>
  <c r="O14" i="17"/>
  <c r="AP14" i="17" s="1"/>
  <c r="M14" i="17"/>
  <c r="H14" i="17"/>
  <c r="E14" i="17"/>
  <c r="G14" i="17" s="1"/>
  <c r="B14" i="17"/>
  <c r="N14" i="17" s="1"/>
  <c r="AK13" i="17"/>
  <c r="AJ13" i="17"/>
  <c r="AI13" i="17"/>
  <c r="AH13" i="17"/>
  <c r="AG13" i="17"/>
  <c r="AF13" i="17"/>
  <c r="Z13" i="17"/>
  <c r="R13" i="17"/>
  <c r="Q13" i="17"/>
  <c r="P13" i="17"/>
  <c r="AR13" i="17" s="1"/>
  <c r="O13" i="17"/>
  <c r="AP13" i="17" s="1"/>
  <c r="M13" i="17"/>
  <c r="H13" i="17"/>
  <c r="G13" i="17"/>
  <c r="B13" i="17"/>
  <c r="N13" i="17" s="1"/>
  <c r="AK12" i="17"/>
  <c r="AJ12" i="17"/>
  <c r="AI12" i="17"/>
  <c r="AH12" i="17"/>
  <c r="AG12" i="17"/>
  <c r="AF12" i="17"/>
  <c r="Z12" i="17"/>
  <c r="R12" i="17"/>
  <c r="Q12" i="17"/>
  <c r="P12" i="17"/>
  <c r="AR12" i="17" s="1"/>
  <c r="O12" i="17"/>
  <c r="AP12" i="17" s="1"/>
  <c r="M12" i="17"/>
  <c r="H12" i="17"/>
  <c r="G12" i="17"/>
  <c r="B12" i="17"/>
  <c r="N12" i="17" s="1"/>
  <c r="AR11" i="17"/>
  <c r="AK11" i="17"/>
  <c r="AJ11" i="17"/>
  <c r="AI11" i="17"/>
  <c r="AH11" i="17"/>
  <c r="AG11" i="17"/>
  <c r="AF11" i="17"/>
  <c r="Z11" i="17"/>
  <c r="R11" i="17"/>
  <c r="Q11" i="17"/>
  <c r="M11" i="17"/>
  <c r="I11" i="17"/>
  <c r="H11" i="17"/>
  <c r="G11" i="17"/>
  <c r="C11" i="17"/>
  <c r="B11" i="17"/>
  <c r="AK10" i="17"/>
  <c r="AJ10" i="17"/>
  <c r="AI10" i="17"/>
  <c r="AH10" i="17"/>
  <c r="AG10" i="17"/>
  <c r="AF10" i="17"/>
  <c r="Z10" i="17"/>
  <c r="R10" i="17"/>
  <c r="Q10" i="17"/>
  <c r="P10" i="17"/>
  <c r="AR10" i="17" s="1"/>
  <c r="M10" i="17"/>
  <c r="I10" i="17"/>
  <c r="H10" i="17"/>
  <c r="G10" i="17"/>
  <c r="C10" i="17"/>
  <c r="B10" i="17"/>
  <c r="AK9" i="17"/>
  <c r="AJ9" i="17"/>
  <c r="AI9" i="17"/>
  <c r="AH9" i="17"/>
  <c r="AG9" i="17"/>
  <c r="AF9" i="17"/>
  <c r="Z9" i="17"/>
  <c r="R9" i="17"/>
  <c r="Q9" i="17"/>
  <c r="P9" i="17"/>
  <c r="AR9" i="17" s="1"/>
  <c r="M9" i="17"/>
  <c r="I9" i="17"/>
  <c r="O9" i="17" s="1"/>
  <c r="AP9" i="17" s="1"/>
  <c r="H9" i="17"/>
  <c r="G9" i="17"/>
  <c r="B9" i="17"/>
  <c r="AK8" i="17"/>
  <c r="AJ8" i="17"/>
  <c r="AI8" i="17"/>
  <c r="AH8" i="17"/>
  <c r="AG8" i="17"/>
  <c r="AF8" i="17"/>
  <c r="Z8" i="17"/>
  <c r="R8" i="17"/>
  <c r="Q8" i="17"/>
  <c r="P8" i="17"/>
  <c r="AR8" i="17" s="1"/>
  <c r="M8" i="17"/>
  <c r="I8" i="17"/>
  <c r="O8" i="17" s="1"/>
  <c r="AP8" i="17" s="1"/>
  <c r="H8" i="17"/>
  <c r="G8" i="17"/>
  <c r="B8" i="17"/>
  <c r="AK7" i="17"/>
  <c r="AJ7" i="17"/>
  <c r="AI7" i="17"/>
  <c r="AH7" i="17"/>
  <c r="AG7" i="17"/>
  <c r="AF7" i="17"/>
  <c r="Z7" i="17"/>
  <c r="R7" i="17"/>
  <c r="Q7" i="17"/>
  <c r="P7" i="17"/>
  <c r="AR7" i="17" s="1"/>
  <c r="M7" i="17"/>
  <c r="I7" i="17"/>
  <c r="H7" i="17"/>
  <c r="G7" i="17"/>
  <c r="C7" i="17"/>
  <c r="B7" i="17"/>
  <c r="AK6" i="17"/>
  <c r="AI6" i="17"/>
  <c r="AH6" i="17"/>
  <c r="AG6" i="17"/>
  <c r="AD6" i="17"/>
  <c r="AF6" i="17" s="1"/>
  <c r="X6" i="17"/>
  <c r="X16" i="17" s="1"/>
  <c r="R6" i="17"/>
  <c r="Q6" i="17"/>
  <c r="P6" i="17"/>
  <c r="AR6" i="17" s="1"/>
  <c r="M6" i="17"/>
  <c r="I6" i="17"/>
  <c r="H6" i="17"/>
  <c r="G6" i="17"/>
  <c r="C6" i="17"/>
  <c r="B6" i="17"/>
  <c r="AK5" i="17"/>
  <c r="AJ5" i="17"/>
  <c r="AI5" i="17"/>
  <c r="AH5" i="17"/>
  <c r="AF5" i="17"/>
  <c r="Z5" i="17"/>
  <c r="U5" i="17"/>
  <c r="U16" i="17" s="1"/>
  <c r="R5" i="17"/>
  <c r="Q5" i="17"/>
  <c r="P5" i="17"/>
  <c r="AR5" i="17" s="1"/>
  <c r="M5" i="17"/>
  <c r="I5" i="17"/>
  <c r="H5" i="17"/>
  <c r="G5" i="17"/>
  <c r="C5" i="17"/>
  <c r="B5" i="17"/>
  <c r="AK4" i="17"/>
  <c r="AJ4" i="17"/>
  <c r="AI4" i="17"/>
  <c r="AH4" i="17"/>
  <c r="AF4" i="17"/>
  <c r="AA4" i="17"/>
  <c r="AG4" i="17" s="1"/>
  <c r="Z4" i="17"/>
  <c r="R4" i="17"/>
  <c r="Q4" i="17"/>
  <c r="P4" i="17"/>
  <c r="AR4" i="17" s="1"/>
  <c r="M4" i="17"/>
  <c r="I4" i="17"/>
  <c r="H4" i="17"/>
  <c r="G4" i="17"/>
  <c r="C4" i="17"/>
  <c r="B4" i="17"/>
  <c r="AA184" i="14"/>
  <c r="AB184" i="14" s="1"/>
  <c r="AA176" i="14"/>
  <c r="AB176" i="14" s="1"/>
  <c r="AA174" i="14"/>
  <c r="AB174" i="14" s="1"/>
  <c r="AA173" i="14"/>
  <c r="AD173" i="14" s="1"/>
  <c r="AA110" i="14"/>
  <c r="AD110" i="14" s="1"/>
  <c r="AA105" i="14"/>
  <c r="AC105" i="14" s="1"/>
  <c r="N10" i="17" l="1"/>
  <c r="S5" i="17"/>
  <c r="N9" i="17"/>
  <c r="AL12" i="17"/>
  <c r="N15" i="17"/>
  <c r="N5" i="17"/>
  <c r="AJ6" i="17"/>
  <c r="AL6" i="17" s="1"/>
  <c r="E16" i="17"/>
  <c r="G16" i="17" s="1"/>
  <c r="S13" i="17"/>
  <c r="S4" i="17"/>
  <c r="S6" i="17"/>
  <c r="S7" i="17"/>
  <c r="S8" i="17"/>
  <c r="S10" i="17"/>
  <c r="S11" i="17"/>
  <c r="AL9" i="17"/>
  <c r="AL13" i="17"/>
  <c r="AL14" i="17"/>
  <c r="AL7" i="17"/>
  <c r="AL8" i="17"/>
  <c r="AL10" i="17"/>
  <c r="AL11" i="17"/>
  <c r="AA16" i="17"/>
  <c r="O5" i="17"/>
  <c r="AP5" i="17" s="1"/>
  <c r="O6" i="17"/>
  <c r="AP6" i="17" s="1"/>
  <c r="O10" i="17"/>
  <c r="AP10" i="17" s="1"/>
  <c r="N11" i="17"/>
  <c r="N4" i="17"/>
  <c r="O11" i="17"/>
  <c r="AP11" i="17" s="1"/>
  <c r="O7" i="17"/>
  <c r="AP7" i="17" s="1"/>
  <c r="I16" i="17"/>
  <c r="S12" i="17"/>
  <c r="S15" i="17"/>
  <c r="Z16" i="17"/>
  <c r="AL5" i="17"/>
  <c r="N6" i="17"/>
  <c r="P16" i="17"/>
  <c r="O4" i="17"/>
  <c r="AP4" i="17" s="1"/>
  <c r="N7" i="17"/>
  <c r="N8" i="17"/>
  <c r="AI16" i="17"/>
  <c r="AH16" i="17"/>
  <c r="AK16" i="17"/>
  <c r="H16" i="17"/>
  <c r="B16" i="17"/>
  <c r="C16" i="17"/>
  <c r="AG5" i="17"/>
  <c r="AG16" i="17" s="1"/>
  <c r="S9" i="17"/>
  <c r="AL4" i="17"/>
  <c r="M16" i="17"/>
  <c r="Z6" i="17"/>
  <c r="AC16" i="17"/>
  <c r="AD16" i="17"/>
  <c r="AF16" i="17" s="1"/>
  <c r="Q14" i="17"/>
  <c r="S14" i="17" s="1"/>
  <c r="R16" i="17"/>
  <c r="AC174" i="14"/>
  <c r="AD174" i="14"/>
  <c r="AC176" i="14"/>
  <c r="AC184" i="14"/>
  <c r="AD184" i="14"/>
  <c r="AB173" i="14"/>
  <c r="AC173" i="14"/>
  <c r="AB105" i="14"/>
  <c r="AD176" i="14"/>
  <c r="AD105" i="14"/>
  <c r="AB110" i="14"/>
  <c r="AC110" i="14"/>
  <c r="Y1" i="14" l="1"/>
  <c r="AJ16" i="17"/>
  <c r="AL16" i="17" s="1"/>
  <c r="N16" i="17"/>
  <c r="O16" i="17"/>
  <c r="Q16" i="17"/>
  <c r="S16" i="17" s="1"/>
  <c r="Z1" i="14"/>
  <c r="X1" i="14"/>
</calcChain>
</file>

<file path=xl/sharedStrings.xml><?xml version="1.0" encoding="utf-8"?>
<sst xmlns="http://schemas.openxmlformats.org/spreadsheetml/2006/main" count="40840" uniqueCount="4143">
  <si>
    <t>EL</t>
  </si>
  <si>
    <t>Tipo</t>
  </si>
  <si>
    <t>Nº</t>
  </si>
  <si>
    <t>Nº Ação</t>
  </si>
  <si>
    <t>Curso</t>
  </si>
  <si>
    <t>Data</t>
  </si>
  <si>
    <t>Localidade</t>
  </si>
  <si>
    <t>Participantes</t>
  </si>
  <si>
    <t>Op</t>
  </si>
  <si>
    <t>Admin</t>
  </si>
  <si>
    <t>VER</t>
  </si>
  <si>
    <t>Formador</t>
  </si>
  <si>
    <t>Confirmação</t>
  </si>
  <si>
    <t>Adjudicação</t>
  </si>
  <si>
    <t>Data Fecho</t>
  </si>
  <si>
    <t>Fechada</t>
  </si>
  <si>
    <t>OP</t>
  </si>
  <si>
    <t>Faltam dados</t>
  </si>
  <si>
    <t>Nº certificados</t>
  </si>
  <si>
    <t>Data envio</t>
  </si>
  <si>
    <t>DTP</t>
  </si>
  <si>
    <t>PP</t>
  </si>
  <si>
    <t>LS</t>
  </si>
  <si>
    <t>MJF</t>
  </si>
  <si>
    <t>Presencial</t>
  </si>
  <si>
    <t>M041/25</t>
  </si>
  <si>
    <t>SST</t>
  </si>
  <si>
    <t>São Pedro da Cova</t>
  </si>
  <si>
    <t>AS</t>
  </si>
  <si>
    <t>S</t>
  </si>
  <si>
    <t>Sim</t>
  </si>
  <si>
    <t>conta</t>
  </si>
  <si>
    <t>Não</t>
  </si>
  <si>
    <t>M060/25</t>
  </si>
  <si>
    <t>TC</t>
  </si>
  <si>
    <t>Viseu</t>
  </si>
  <si>
    <t>SP</t>
  </si>
  <si>
    <t>AFS</t>
  </si>
  <si>
    <t>M103/25</t>
  </si>
  <si>
    <t>Celorico da Beira</t>
  </si>
  <si>
    <t>M104/25</t>
  </si>
  <si>
    <t>M105/25</t>
  </si>
  <si>
    <t>M042/24</t>
  </si>
  <si>
    <t>PS</t>
  </si>
  <si>
    <t>M028/25</t>
  </si>
  <si>
    <t>Aljezur</t>
  </si>
  <si>
    <t>MJ</t>
  </si>
  <si>
    <t>FG</t>
  </si>
  <si>
    <t>SQ</t>
  </si>
  <si>
    <t>M029/25</t>
  </si>
  <si>
    <t>CI</t>
  </si>
  <si>
    <t>M030/25</t>
  </si>
  <si>
    <t>M106/25</t>
  </si>
  <si>
    <t>M107/25</t>
  </si>
  <si>
    <t>M049/25</t>
  </si>
  <si>
    <t>Salvaterra de Magos</t>
  </si>
  <si>
    <t>M017/25</t>
  </si>
  <si>
    <t>MET5S</t>
  </si>
  <si>
    <t>Meãs do Campo</t>
  </si>
  <si>
    <t>M018/25</t>
  </si>
  <si>
    <t>AAC</t>
  </si>
  <si>
    <t>M020/25</t>
  </si>
  <si>
    <t>Moita</t>
  </si>
  <si>
    <t>M034/25</t>
  </si>
  <si>
    <t>HST</t>
  </si>
  <si>
    <t>Beloura</t>
  </si>
  <si>
    <t>conta-</t>
  </si>
  <si>
    <t>IM</t>
  </si>
  <si>
    <t>M035/25</t>
  </si>
  <si>
    <t>M036/25</t>
  </si>
  <si>
    <t>M037/25</t>
  </si>
  <si>
    <t>M038/25</t>
  </si>
  <si>
    <t>CDE</t>
  </si>
  <si>
    <t>M128/25</t>
  </si>
  <si>
    <t>Oiã</t>
  </si>
  <si>
    <t>024/25</t>
  </si>
  <si>
    <t>M067/25</t>
  </si>
  <si>
    <t>Tondela</t>
  </si>
  <si>
    <t>PP/MJ</t>
  </si>
  <si>
    <t>SP/FG</t>
  </si>
  <si>
    <t>007/25</t>
  </si>
  <si>
    <t>M118/25</t>
  </si>
  <si>
    <t>M119/25</t>
  </si>
  <si>
    <t>CED</t>
  </si>
  <si>
    <t>M120/25</t>
  </si>
  <si>
    <t>M121/25</t>
  </si>
  <si>
    <t>023/25</t>
  </si>
  <si>
    <t>Sertã</t>
  </si>
  <si>
    <t>M043/25</t>
  </si>
  <si>
    <t>Estarreja</t>
  </si>
  <si>
    <t>M130/25</t>
  </si>
  <si>
    <t>Vila do Conde</t>
  </si>
  <si>
    <t>M125/25</t>
  </si>
  <si>
    <t>Lousada</t>
  </si>
  <si>
    <t>008/25</t>
  </si>
  <si>
    <t>Penacova</t>
  </si>
  <si>
    <t>003/25</t>
  </si>
  <si>
    <t>Maia</t>
  </si>
  <si>
    <t>M026/25</t>
  </si>
  <si>
    <t>GTC</t>
  </si>
  <si>
    <t>Negrais</t>
  </si>
  <si>
    <t>M027/25</t>
  </si>
  <si>
    <t>CE</t>
  </si>
  <si>
    <t>M127/25</t>
  </si>
  <si>
    <t>São Mamede do Coronado</t>
  </si>
  <si>
    <t>009/25</t>
  </si>
  <si>
    <t>Vila Nova de Gaia</t>
  </si>
  <si>
    <t>010/25</t>
  </si>
  <si>
    <t>001/25</t>
  </si>
  <si>
    <t>CAM Merc</t>
  </si>
  <si>
    <t>TEAMS</t>
  </si>
  <si>
    <t>LS/PP</t>
  </si>
  <si>
    <t>AS/SP</t>
  </si>
  <si>
    <t>N/A</t>
  </si>
  <si>
    <t>011/25</t>
  </si>
  <si>
    <t>012/25</t>
  </si>
  <si>
    <t>M050/25</t>
  </si>
  <si>
    <t>Penafiel</t>
  </si>
  <si>
    <t>M051/25</t>
  </si>
  <si>
    <t>M052/25</t>
  </si>
  <si>
    <t>013/25</t>
  </si>
  <si>
    <t>014/25</t>
  </si>
  <si>
    <t>015/25</t>
  </si>
  <si>
    <t>Rcomu</t>
  </si>
  <si>
    <t>027/25</t>
  </si>
  <si>
    <t>025/25</t>
  </si>
  <si>
    <t>Marco de Canaveses</t>
  </si>
  <si>
    <t>SF</t>
  </si>
  <si>
    <t>026/25</t>
  </si>
  <si>
    <t>ERG</t>
  </si>
  <si>
    <t>M114/25</t>
  </si>
  <si>
    <t>Carregal do Sal</t>
  </si>
  <si>
    <t>M115/25</t>
  </si>
  <si>
    <t>M116/25</t>
  </si>
  <si>
    <t>M117/25</t>
  </si>
  <si>
    <t>M044/25</t>
  </si>
  <si>
    <t>Laranjeiro</t>
  </si>
  <si>
    <t>E-Learning</t>
  </si>
  <si>
    <t>ELPTMED_001/25</t>
  </si>
  <si>
    <t>TC (E-Learning)</t>
  </si>
  <si>
    <t>MOODLE</t>
  </si>
  <si>
    <t>PP/LS</t>
  </si>
  <si>
    <t>ELPTMED_002/25</t>
  </si>
  <si>
    <t>AC (E-Learning)</t>
  </si>
  <si>
    <t>ELPTMED_003/25</t>
  </si>
  <si>
    <t>CE - e-Learning</t>
  </si>
  <si>
    <t>ELPTMED_004/25</t>
  </si>
  <si>
    <t>PS-Elearning</t>
  </si>
  <si>
    <t>ELPTMED_005/25</t>
  </si>
  <si>
    <t>CI- Elearning</t>
  </si>
  <si>
    <t>ELPTMED_006/25</t>
  </si>
  <si>
    <t>SHT - e-Learning</t>
  </si>
  <si>
    <t>ELPTMED_008/25</t>
  </si>
  <si>
    <t>PTR - e-Learning</t>
  </si>
  <si>
    <t>ELPTMED_009/25</t>
  </si>
  <si>
    <t>GSC (e-learning)</t>
  </si>
  <si>
    <t>ELPTMED_010/25</t>
  </si>
  <si>
    <t>TC- Elearning</t>
  </si>
  <si>
    <t>ELPTTCV_001/25</t>
  </si>
  <si>
    <t>CE (e-Learning)</t>
  </si>
  <si>
    <t>M134/25</t>
  </si>
  <si>
    <t>Marinha Grande</t>
  </si>
  <si>
    <t>M135/25</t>
  </si>
  <si>
    <t>M136/25</t>
  </si>
  <si>
    <t>M132/25</t>
  </si>
  <si>
    <t>Alverca do Ribatejo</t>
  </si>
  <si>
    <t>M078/25</t>
  </si>
  <si>
    <t>Vila Nova de Famalicão</t>
  </si>
  <si>
    <t>M011/25</t>
  </si>
  <si>
    <t>M012/25</t>
  </si>
  <si>
    <t>M013/25</t>
  </si>
  <si>
    <t>São Pedro de Tomar</t>
  </si>
  <si>
    <t>M122/25</t>
  </si>
  <si>
    <t>Loulé</t>
  </si>
  <si>
    <t>M165/25</t>
  </si>
  <si>
    <t>DL 50/2005 - ISMET</t>
  </si>
  <si>
    <t>M166/25</t>
  </si>
  <si>
    <t>M137/25</t>
  </si>
  <si>
    <t>AC</t>
  </si>
  <si>
    <t>Setúbal</t>
  </si>
  <si>
    <t>M133/25</t>
  </si>
  <si>
    <t>Sintra</t>
  </si>
  <si>
    <t>M070/25</t>
  </si>
  <si>
    <t>Seixal</t>
  </si>
  <si>
    <t>M071/25</t>
  </si>
  <si>
    <t>022/25</t>
  </si>
  <si>
    <t>M008/25</t>
  </si>
  <si>
    <t>Leiria</t>
  </si>
  <si>
    <t>M009/25</t>
  </si>
  <si>
    <t>M010/25</t>
  </si>
  <si>
    <t>M152/25</t>
  </si>
  <si>
    <t>036/25</t>
  </si>
  <si>
    <t>M093/25</t>
  </si>
  <si>
    <t>MMO</t>
  </si>
  <si>
    <t>São Pedro do Sul</t>
  </si>
  <si>
    <t>034/25</t>
  </si>
  <si>
    <t>M102/25</t>
  </si>
  <si>
    <t>Tarouca</t>
  </si>
  <si>
    <t>M063/25</t>
  </si>
  <si>
    <t>Ovar</t>
  </si>
  <si>
    <t>M064/25</t>
  </si>
  <si>
    <t>M138/25</t>
  </si>
  <si>
    <t>Braga</t>
  </si>
  <si>
    <t>M139/25</t>
  </si>
  <si>
    <t>M140/25</t>
  </si>
  <si>
    <t>M084/25</t>
  </si>
  <si>
    <t>Santa Maria da Feira</t>
  </si>
  <si>
    <t>M085/25</t>
  </si>
  <si>
    <t>M086/25</t>
  </si>
  <si>
    <t>ELPTMED_011/25</t>
  </si>
  <si>
    <t>LS/MJ</t>
  </si>
  <si>
    <t>AS/FG</t>
  </si>
  <si>
    <t>ELPTMED_012/25</t>
  </si>
  <si>
    <t>CI - e-Learning</t>
  </si>
  <si>
    <t>ELPTMED_013/25</t>
  </si>
  <si>
    <t>HST (E-Learning)</t>
  </si>
  <si>
    <t>PP/LS/MJ</t>
  </si>
  <si>
    <t>SP/AS/FG</t>
  </si>
  <si>
    <t>ELPTMED_014/25</t>
  </si>
  <si>
    <t>EXC - e-Learning</t>
  </si>
  <si>
    <t>ELPTMED_015/25</t>
  </si>
  <si>
    <t>PS - e-Learning</t>
  </si>
  <si>
    <t>ELPTMED_016/25</t>
  </si>
  <si>
    <t>PR (e-Learning)</t>
  </si>
  <si>
    <t>ELPTMED_017/25</t>
  </si>
  <si>
    <t>GTC- Elearning</t>
  </si>
  <si>
    <t>ELPTMED_018/25</t>
  </si>
  <si>
    <t>TRS -e-Learning</t>
  </si>
  <si>
    <t>SP/AS</t>
  </si>
  <si>
    <t>ELPTMED_019/25</t>
  </si>
  <si>
    <t>ATC- Elearning</t>
  </si>
  <si>
    <t>028/25</t>
  </si>
  <si>
    <t>São João da Talha</t>
  </si>
  <si>
    <t>029/25</t>
  </si>
  <si>
    <t>ORTT</t>
  </si>
  <si>
    <t>M021/25</t>
  </si>
  <si>
    <t>Lourinhã</t>
  </si>
  <si>
    <t>P/V</t>
  </si>
  <si>
    <t>FGJ</t>
  </si>
  <si>
    <t>M022/25</t>
  </si>
  <si>
    <t>M023/25</t>
  </si>
  <si>
    <t>M149/25</t>
  </si>
  <si>
    <t>Faro</t>
  </si>
  <si>
    <t>LC</t>
  </si>
  <si>
    <t>M145/25</t>
  </si>
  <si>
    <t>Portimão</t>
  </si>
  <si>
    <t>M087/25</t>
  </si>
  <si>
    <t>São Julião do Tojal</t>
  </si>
  <si>
    <t>VB</t>
  </si>
  <si>
    <t>M088/25</t>
  </si>
  <si>
    <t>M089/25</t>
  </si>
  <si>
    <t>M188/25</t>
  </si>
  <si>
    <t>M123/25</t>
  </si>
  <si>
    <t>VM</t>
  </si>
  <si>
    <t>M167/25</t>
  </si>
  <si>
    <t>NS</t>
  </si>
  <si>
    <t>M168/25</t>
  </si>
  <si>
    <t>FALTA AVALIAÇÕES</t>
  </si>
  <si>
    <t>M019/25</t>
  </si>
  <si>
    <t>MMC</t>
  </si>
  <si>
    <t>M073/25</t>
  </si>
  <si>
    <t>Avelãs de Cima</t>
  </si>
  <si>
    <t>M170/25</t>
  </si>
  <si>
    <t>M079/25</t>
  </si>
  <si>
    <t>M080/25</t>
  </si>
  <si>
    <t>M094/25</t>
  </si>
  <si>
    <t>Campo Raso</t>
  </si>
  <si>
    <t>M095/25</t>
  </si>
  <si>
    <t>M096/25</t>
  </si>
  <si>
    <t>M097/25</t>
  </si>
  <si>
    <t>EMER</t>
  </si>
  <si>
    <t>M158/25</t>
  </si>
  <si>
    <t>Pombal</t>
  </si>
  <si>
    <t>BG</t>
  </si>
  <si>
    <t>M081/25</t>
  </si>
  <si>
    <t>M082/25</t>
  </si>
  <si>
    <t>M083/25</t>
  </si>
  <si>
    <t>M157/25</t>
  </si>
  <si>
    <t>M131/25</t>
  </si>
  <si>
    <t>041/25</t>
  </si>
  <si>
    <t>030/25</t>
  </si>
  <si>
    <t>M177/25</t>
  </si>
  <si>
    <t>Albergaria a Velha</t>
  </si>
  <si>
    <t>JÁ</t>
  </si>
  <si>
    <t>045/25</t>
  </si>
  <si>
    <t>M101/25</t>
  </si>
  <si>
    <t>Baião</t>
  </si>
  <si>
    <t>M150/25</t>
  </si>
  <si>
    <t>FP</t>
  </si>
  <si>
    <t>M151/25</t>
  </si>
  <si>
    <t>M175/25</t>
  </si>
  <si>
    <t>MJ/PP</t>
  </si>
  <si>
    <t>FG/SP</t>
  </si>
  <si>
    <t>043/25</t>
  </si>
  <si>
    <t>035/25</t>
  </si>
  <si>
    <t>002/25</t>
  </si>
  <si>
    <t>Sesimbra</t>
  </si>
  <si>
    <t>ELPTMED_020/25</t>
  </si>
  <si>
    <t>ATC- ELEARNING</t>
  </si>
  <si>
    <t>ELPTMED_021/25</t>
  </si>
  <si>
    <t>CE -e- Learning</t>
  </si>
  <si>
    <t>MJ/LS</t>
  </si>
  <si>
    <t>FG/AS</t>
  </si>
  <si>
    <t>ELPTMED_022/25</t>
  </si>
  <si>
    <t>CED (e-learning)</t>
  </si>
  <si>
    <t>ELPTMED_023/25</t>
  </si>
  <si>
    <t>CI E-Learning</t>
  </si>
  <si>
    <t>ELPTMED_024/25</t>
  </si>
  <si>
    <t>TA (E-Learning)</t>
  </si>
  <si>
    <t>ELPTMED_025/25</t>
  </si>
  <si>
    <t>LS/PP/MJ</t>
  </si>
  <si>
    <t>AS/SP/FG</t>
  </si>
  <si>
    <t>ELPTMED_026/25</t>
  </si>
  <si>
    <t>HST- elearning</t>
  </si>
  <si>
    <t>ELPTMED_028/25</t>
  </si>
  <si>
    <t>ORTT (E-Learning)</t>
  </si>
  <si>
    <t>ELPTMED_029/25</t>
  </si>
  <si>
    <t>ISMET E-Learning</t>
  </si>
  <si>
    <t>ELPTMED_030/25</t>
  </si>
  <si>
    <t>ELPTMED_031/25</t>
  </si>
  <si>
    <t>MMO (e-Learning)</t>
  </si>
  <si>
    <t>ELPTTCV_002/25</t>
  </si>
  <si>
    <t>HST (e-Learning)</t>
  </si>
  <si>
    <t>051/25</t>
  </si>
  <si>
    <t>Coimbra</t>
  </si>
  <si>
    <t>JL</t>
  </si>
  <si>
    <t>M090/25</t>
  </si>
  <si>
    <t>M091/25</t>
  </si>
  <si>
    <t>M092/25</t>
  </si>
  <si>
    <t>M205/25</t>
  </si>
  <si>
    <t>JB</t>
  </si>
  <si>
    <t>ELPTMED_027/25</t>
  </si>
  <si>
    <t>IS - e-Learning</t>
  </si>
  <si>
    <t>ELPTMED_032/25</t>
  </si>
  <si>
    <t>AC - e-Learning</t>
  </si>
  <si>
    <t>ELPTMED_033/25</t>
  </si>
  <si>
    <t>ORTT- Elearning</t>
  </si>
  <si>
    <t>ELPTMED_034/25</t>
  </si>
  <si>
    <t>ISMET (e-learning)</t>
  </si>
  <si>
    <t>ELPTMED_035/25</t>
  </si>
  <si>
    <t>ELPTMED_036/25</t>
  </si>
  <si>
    <t>ELPTMED_037/25</t>
  </si>
  <si>
    <t>TC (e-learning)</t>
  </si>
  <si>
    <t>ELPTMED_038/25</t>
  </si>
  <si>
    <t>HST Elearning</t>
  </si>
  <si>
    <t>MJF/LS</t>
  </si>
  <si>
    <t>ELPTMED_039/25</t>
  </si>
  <si>
    <t>CE E-learning</t>
  </si>
  <si>
    <t>ELPTMED_040/25</t>
  </si>
  <si>
    <t>ELPTMED_041/25</t>
  </si>
  <si>
    <t>Arat e-learning</t>
  </si>
  <si>
    <t>ELPTMED_042/25</t>
  </si>
  <si>
    <t>GC (e-learning)</t>
  </si>
  <si>
    <t>ELPTMED_043/25</t>
  </si>
  <si>
    <t>SR E-Learning</t>
  </si>
  <si>
    <t>ELPTSEEP_001/25</t>
  </si>
  <si>
    <t>ISMET (E-Learning)</t>
  </si>
  <si>
    <t>ELPTTCV_003/25</t>
  </si>
  <si>
    <t>ERG E-learning</t>
  </si>
  <si>
    <t>ELPTTCV_004/25</t>
  </si>
  <si>
    <t>SHT (e-Learning)</t>
  </si>
  <si>
    <t>ELPTTCV_005/25</t>
  </si>
  <si>
    <t>TC elearning</t>
  </si>
  <si>
    <t>M191/25</t>
  </si>
  <si>
    <t>Guarda</t>
  </si>
  <si>
    <t>M129/25</t>
  </si>
  <si>
    <t>042/25</t>
  </si>
  <si>
    <t>M182/25</t>
  </si>
  <si>
    <t>Castelo Branco</t>
  </si>
  <si>
    <t>M183/25</t>
  </si>
  <si>
    <t>M184/25</t>
  </si>
  <si>
    <t>050/25</t>
  </si>
  <si>
    <t>M204/25</t>
  </si>
  <si>
    <t>M206/25</t>
  </si>
  <si>
    <t>SHT</t>
  </si>
  <si>
    <t>M207/25</t>
  </si>
  <si>
    <t>M208/25</t>
  </si>
  <si>
    <t>M142/25</t>
  </si>
  <si>
    <t>M164/25</t>
  </si>
  <si>
    <t>M109/25</t>
  </si>
  <si>
    <t>Tábua</t>
  </si>
  <si>
    <t>M110/25</t>
  </si>
  <si>
    <t>M111/25</t>
  </si>
  <si>
    <t>M112/25</t>
  </si>
  <si>
    <t>ARAT</t>
  </si>
  <si>
    <t>São João das Lampas</t>
  </si>
  <si>
    <t>M113/25</t>
  </si>
  <si>
    <t>APF</t>
  </si>
  <si>
    <t>M195/25</t>
  </si>
  <si>
    <t>Póvoa do Lanhoso</t>
  </si>
  <si>
    <t>M214/25</t>
  </si>
  <si>
    <t>046/25</t>
  </si>
  <si>
    <t>M065/25</t>
  </si>
  <si>
    <t>M220/25</t>
  </si>
  <si>
    <t>M058/25</t>
  </si>
  <si>
    <t>Santo Tirso</t>
  </si>
  <si>
    <t>M055/25</t>
  </si>
  <si>
    <t>MMT</t>
  </si>
  <si>
    <t>Porto de Mós</t>
  </si>
  <si>
    <t>FORMANDOS INSERIDOS, FALTA NOTAS, PEDI FORMADOR HOJE</t>
  </si>
  <si>
    <t>M056/25</t>
  </si>
  <si>
    <t>"</t>
  </si>
  <si>
    <t>053/25</t>
  </si>
  <si>
    <t>EC</t>
  </si>
  <si>
    <t>Zibreira</t>
  </si>
  <si>
    <t>054/25</t>
  </si>
  <si>
    <t>TA</t>
  </si>
  <si>
    <t>052/25</t>
  </si>
  <si>
    <t>M212/25</t>
  </si>
  <si>
    <t>Montalegre</t>
  </si>
  <si>
    <t>020/25</t>
  </si>
  <si>
    <t>ACSR</t>
  </si>
  <si>
    <t>Loures</t>
  </si>
  <si>
    <t>021/25</t>
  </si>
  <si>
    <t>M160/25</t>
  </si>
  <si>
    <t>FALTA DADOS</t>
  </si>
  <si>
    <t>M161/25</t>
  </si>
  <si>
    <t>M162/25</t>
  </si>
  <si>
    <t>M163/25</t>
  </si>
  <si>
    <t>M169/25</t>
  </si>
  <si>
    <t>060/25</t>
  </si>
  <si>
    <t>Fundão</t>
  </si>
  <si>
    <t>Freixo de Espada à Cinta</t>
  </si>
  <si>
    <t>039/25</t>
  </si>
  <si>
    <t>040/25</t>
  </si>
  <si>
    <t>AFC</t>
  </si>
  <si>
    <t>056/25</t>
  </si>
  <si>
    <t>M198/25</t>
  </si>
  <si>
    <t>TCC-I</t>
  </si>
  <si>
    <t>M176/25</t>
  </si>
  <si>
    <t>Mafra</t>
  </si>
  <si>
    <t>M190/25</t>
  </si>
  <si>
    <t>MPE</t>
  </si>
  <si>
    <t>M146/25</t>
  </si>
  <si>
    <t>M003/25</t>
  </si>
  <si>
    <t>Alcobaça</t>
  </si>
  <si>
    <t>M004/25</t>
  </si>
  <si>
    <t>M199/25</t>
  </si>
  <si>
    <t>SUSTEN</t>
  </si>
  <si>
    <t>Guimarães</t>
  </si>
  <si>
    <t>M154/25</t>
  </si>
  <si>
    <t>M155/25</t>
  </si>
  <si>
    <t>M156/25</t>
  </si>
  <si>
    <t>M240/25</t>
  </si>
  <si>
    <t>M238/25</t>
  </si>
  <si>
    <t>M239/25</t>
  </si>
  <si>
    <t>PTR</t>
  </si>
  <si>
    <t>044/25</t>
  </si>
  <si>
    <t>068/25</t>
  </si>
  <si>
    <t>M178/25</t>
  </si>
  <si>
    <t>M141/25</t>
  </si>
  <si>
    <t>GTR</t>
  </si>
  <si>
    <t>M248/25</t>
  </si>
  <si>
    <t>M254/25</t>
  </si>
  <si>
    <t>073/25</t>
  </si>
  <si>
    <t>Vilarinho das Cambas</t>
  </si>
  <si>
    <t>M143/25</t>
  </si>
  <si>
    <t>Vitor Costa</t>
  </si>
  <si>
    <t>M144/25</t>
  </si>
  <si>
    <t>M173/25</t>
  </si>
  <si>
    <t>038/25</t>
  </si>
  <si>
    <t>037/25</t>
  </si>
  <si>
    <t>Famões</t>
  </si>
  <si>
    <t>031/25</t>
  </si>
  <si>
    <t>Torres Novas</t>
  </si>
  <si>
    <t>M227/25</t>
  </si>
  <si>
    <t>M024/25</t>
  </si>
  <si>
    <t>M224/25</t>
  </si>
  <si>
    <t>M225/25</t>
  </si>
  <si>
    <t>PR</t>
  </si>
  <si>
    <t>047/25</t>
  </si>
  <si>
    <t>M069/25</t>
  </si>
  <si>
    <t>MET TS</t>
  </si>
  <si>
    <t>M066/25</t>
  </si>
  <si>
    <t>M241/25</t>
  </si>
  <si>
    <t>062/25</t>
  </si>
  <si>
    <t>M247/25</t>
  </si>
  <si>
    <t>ISMET</t>
  </si>
  <si>
    <t>M186/25</t>
  </si>
  <si>
    <t>M187/25</t>
  </si>
  <si>
    <t>M242/25</t>
  </si>
  <si>
    <t>Aljubarrota/Porto de Mós</t>
  </si>
  <si>
    <t>M243/25</t>
  </si>
  <si>
    <t>058/25</t>
  </si>
  <si>
    <t>059/25</t>
  </si>
  <si>
    <t>M159/25</t>
  </si>
  <si>
    <t>MMFA</t>
  </si>
  <si>
    <t>M192/25</t>
  </si>
  <si>
    <t>Atalaia</t>
  </si>
  <si>
    <t>M193/25</t>
  </si>
  <si>
    <t>M194/25</t>
  </si>
  <si>
    <t>M249/25</t>
  </si>
  <si>
    <t>M216/25</t>
  </si>
  <si>
    <t>032/25</t>
  </si>
  <si>
    <t>Évora</t>
  </si>
  <si>
    <t>M232/25</t>
  </si>
  <si>
    <t>Gavião</t>
  </si>
  <si>
    <t>M233/25</t>
  </si>
  <si>
    <t>M234/25</t>
  </si>
  <si>
    <t>M200/25</t>
  </si>
  <si>
    <t>Arruda dos Vinhos</t>
  </si>
  <si>
    <t>055/25</t>
  </si>
  <si>
    <t>M075/25</t>
  </si>
  <si>
    <t>M076/25</t>
  </si>
  <si>
    <t>M077/25</t>
  </si>
  <si>
    <t>M197/25</t>
  </si>
  <si>
    <t>Matosinhos</t>
  </si>
  <si>
    <t>Jorge Aug.</t>
  </si>
  <si>
    <t>falta</t>
  </si>
  <si>
    <t>M072/25</t>
  </si>
  <si>
    <t>M226/25</t>
  </si>
  <si>
    <t>Vila Real</t>
  </si>
  <si>
    <t>061/25</t>
  </si>
  <si>
    <t>M196/25</t>
  </si>
  <si>
    <t>048/25</t>
  </si>
  <si>
    <t>083/25</t>
  </si>
  <si>
    <t>André R.</t>
  </si>
  <si>
    <t>ELPTMED_044/25</t>
  </si>
  <si>
    <t>ELPTMED_045/25</t>
  </si>
  <si>
    <t>CI (e-learning)</t>
  </si>
  <si>
    <t>MJ/PP/LS</t>
  </si>
  <si>
    <t>FG/SP/AS</t>
  </si>
  <si>
    <t>ELPTMED_046/25</t>
  </si>
  <si>
    <t>PS (e-learning)</t>
  </si>
  <si>
    <t>ELPTMED_047/25</t>
  </si>
  <si>
    <t>ELPTMED_048/25</t>
  </si>
  <si>
    <t>SHT (e-learning)</t>
  </si>
  <si>
    <t>ELPTMED_049/25</t>
  </si>
  <si>
    <t>CQA (e-learning)</t>
  </si>
  <si>
    <t>ELPTMED_050/25</t>
  </si>
  <si>
    <t>ELPTMED_051/25</t>
  </si>
  <si>
    <t>CMG E-Learning</t>
  </si>
  <si>
    <t>ELPTMED_052/25</t>
  </si>
  <si>
    <t>EMER elearning</t>
  </si>
  <si>
    <t>ELPTMED_053/25</t>
  </si>
  <si>
    <t>GSC (E-Learning)</t>
  </si>
  <si>
    <t>ELPTMED_054/25</t>
  </si>
  <si>
    <t>FC (e-learning)</t>
  </si>
  <si>
    <t>ELPTMED_056/25</t>
  </si>
  <si>
    <t>AC (e-Learning)</t>
  </si>
  <si>
    <t>ELPTMED_057/25</t>
  </si>
  <si>
    <t>ELPTMED_058/25</t>
  </si>
  <si>
    <t>SHT Elearning</t>
  </si>
  <si>
    <t>ELPTMED_059/25</t>
  </si>
  <si>
    <t>ELPTMED_060/25</t>
  </si>
  <si>
    <t>ELPTMED_061/25</t>
  </si>
  <si>
    <t>CMG (E-Learning)</t>
  </si>
  <si>
    <t>ELPTMED_062/25</t>
  </si>
  <si>
    <t>TA (e-Learning)</t>
  </si>
  <si>
    <t>ELPTMED_063/25</t>
  </si>
  <si>
    <t>ELPTMED_064/25</t>
  </si>
  <si>
    <t>ELPTMED_065/25</t>
  </si>
  <si>
    <t>TVN (e-learning)</t>
  </si>
  <si>
    <t>ELPTMED_066/25</t>
  </si>
  <si>
    <t>HST E-Learning</t>
  </si>
  <si>
    <t>ELPTMED_067/25</t>
  </si>
  <si>
    <t>ELPTMED_068/25</t>
  </si>
  <si>
    <t>ELPTMED_069/25</t>
  </si>
  <si>
    <t>CQA - e-Learning</t>
  </si>
  <si>
    <t>ELPTMED_070/25</t>
  </si>
  <si>
    <t>ELPTMED_071/25</t>
  </si>
  <si>
    <t>GSC (e-Learning)</t>
  </si>
  <si>
    <t>ELPTMED_072/25</t>
  </si>
  <si>
    <t>ELPTMED_073/25</t>
  </si>
  <si>
    <t>CE (e-learning)</t>
  </si>
  <si>
    <t>ELPTMED_074/25</t>
  </si>
  <si>
    <t>ORTT - E-Learning</t>
  </si>
  <si>
    <t>ELPTMED_075/25</t>
  </si>
  <si>
    <t>ELPTMED_076/25</t>
  </si>
  <si>
    <t>GRC (e-learning)</t>
  </si>
  <si>
    <t>ELPTMED_077/25</t>
  </si>
  <si>
    <t>MPE (E-L)</t>
  </si>
  <si>
    <t>ELPTMED_078/25</t>
  </si>
  <si>
    <t>ELPTMED_079/25</t>
  </si>
  <si>
    <t>ELPTMED_081/25</t>
  </si>
  <si>
    <t>EMER-E-learning</t>
  </si>
  <si>
    <t>ELPTMED_082/25</t>
  </si>
  <si>
    <t>ELPTMED_084/25</t>
  </si>
  <si>
    <t>ATE (e-Learning)</t>
  </si>
  <si>
    <t>ELPTMED_085/25</t>
  </si>
  <si>
    <t>ISO9001 (e-Learning)</t>
  </si>
  <si>
    <t>ELPTMED_086/25</t>
  </si>
  <si>
    <t>ELPTMED_087/25</t>
  </si>
  <si>
    <t>ELPTMED_088/25</t>
  </si>
  <si>
    <t>ELPTMED_089/25</t>
  </si>
  <si>
    <t>ELPTTCV_006/25</t>
  </si>
  <si>
    <t>MEC E-Learning</t>
  </si>
  <si>
    <t>ELPTTCV_007/25</t>
  </si>
  <si>
    <t>PGC E-Learning</t>
  </si>
  <si>
    <t>ELPTTCV_008/25</t>
  </si>
  <si>
    <t>ELPTTCV_009/25</t>
  </si>
  <si>
    <t>ELPTTCV_011/25</t>
  </si>
  <si>
    <t>e-Combate a Incêndios</t>
  </si>
  <si>
    <t>ELPTTCV_012/25</t>
  </si>
  <si>
    <t>ELPTTCV_013/25</t>
  </si>
  <si>
    <t>M276/25</t>
  </si>
  <si>
    <t>M277/25</t>
  </si>
  <si>
    <t>M278/25</t>
  </si>
  <si>
    <t>M235/25</t>
  </si>
  <si>
    <t>M236/25</t>
  </si>
  <si>
    <t>M237/25</t>
  </si>
  <si>
    <t>080/25</t>
  </si>
  <si>
    <t>063/25</t>
  </si>
  <si>
    <t>Anadia</t>
  </si>
  <si>
    <t>064/25</t>
  </si>
  <si>
    <t>082/25</t>
  </si>
  <si>
    <t>CMM</t>
  </si>
  <si>
    <t>SIm</t>
  </si>
  <si>
    <t>M005/25</t>
  </si>
  <si>
    <t>M006/25</t>
  </si>
  <si>
    <t>M007/25</t>
  </si>
  <si>
    <t>M255/25</t>
  </si>
  <si>
    <t>Sabrosa</t>
  </si>
  <si>
    <t>084/25</t>
  </si>
  <si>
    <t>Santiago do Cacém</t>
  </si>
  <si>
    <t>M272/25</t>
  </si>
  <si>
    <t>M269/25</t>
  </si>
  <si>
    <t>M270/25</t>
  </si>
  <si>
    <t>Ferreira do Alentejo</t>
  </si>
  <si>
    <t>069/25</t>
  </si>
  <si>
    <t>Rebordosa</t>
  </si>
  <si>
    <t>070/25</t>
  </si>
  <si>
    <t>071/25</t>
  </si>
  <si>
    <t>072/25</t>
  </si>
  <si>
    <t>M171/25</t>
  </si>
  <si>
    <t>Serzedo</t>
  </si>
  <si>
    <t>M172/25</t>
  </si>
  <si>
    <t>M062/25</t>
  </si>
  <si>
    <t>Melgaço</t>
  </si>
  <si>
    <t xml:space="preserve">  M274/25</t>
  </si>
  <si>
    <t>MT</t>
  </si>
  <si>
    <t>Fátima</t>
  </si>
  <si>
    <t xml:space="preserve">  M295/25</t>
  </si>
  <si>
    <t xml:space="preserve">  M296/25</t>
  </si>
  <si>
    <t>M297/25</t>
  </si>
  <si>
    <t>Celorico de Basto</t>
  </si>
  <si>
    <t>M147/25</t>
  </si>
  <si>
    <t>M289/25</t>
  </si>
  <si>
    <t>M273/25</t>
  </si>
  <si>
    <t>Castelo Branco </t>
  </si>
  <si>
    <t>M256/25</t>
  </si>
  <si>
    <t>Alcochete</t>
  </si>
  <si>
    <t>M271/25</t>
  </si>
  <si>
    <t>M153/25</t>
  </si>
  <si>
    <t>Barcelos</t>
  </si>
  <si>
    <t>M281/25</t>
  </si>
  <si>
    <t>Sacavém</t>
  </si>
  <si>
    <t>FALTA DTP</t>
  </si>
  <si>
    <t>M282/25</t>
  </si>
  <si>
    <t>M262/25</t>
  </si>
  <si>
    <t>Alhos Vedros</t>
  </si>
  <si>
    <t>M306/25</t>
  </si>
  <si>
    <t>MTS</t>
  </si>
  <si>
    <t>Abrantes</t>
  </si>
  <si>
    <t>M307/25</t>
  </si>
  <si>
    <t>MMAF</t>
  </si>
  <si>
    <t> M057/25</t>
  </si>
  <si>
    <t>GTOT</t>
  </si>
  <si>
    <t>M215/25</t>
  </si>
  <si>
    <t>Seroa</t>
  </si>
  <si>
    <t>M074/25</t>
  </si>
  <si>
    <t>Alverca</t>
  </si>
  <si>
    <t>M250/25</t>
  </si>
  <si>
    <t>M302/25</t>
  </si>
  <si>
    <t>M285/25</t>
  </si>
  <si>
    <t xml:space="preserve"> M290/25</t>
  </si>
  <si>
    <t>Tomar</t>
  </si>
  <si>
    <t>086/25</t>
  </si>
  <si>
    <t>Cantanhede</t>
  </si>
  <si>
    <t>081/25</t>
  </si>
  <si>
    <t>Rio Maior</t>
  </si>
  <si>
    <t>M228/25</t>
  </si>
  <si>
    <t>Bombarral</t>
  </si>
  <si>
    <t>M291/25</t>
  </si>
  <si>
    <t>Pinhel</t>
  </si>
  <si>
    <t>M031/25</t>
  </si>
  <si>
    <t>FR</t>
  </si>
  <si>
    <t>ZOOM</t>
  </si>
  <si>
    <t>A DECORRER</t>
  </si>
  <si>
    <t>049/25</t>
  </si>
  <si>
    <t>M263/25</t>
  </si>
  <si>
    <t>M311/25</t>
  </si>
  <si>
    <t>M201/25</t>
  </si>
  <si>
    <t>Caldas da Rainha</t>
  </si>
  <si>
    <t>M244/25</t>
  </si>
  <si>
    <t>M148/25</t>
  </si>
  <si>
    <t>M294/25</t>
  </si>
  <si>
    <t>M326/25</t>
  </si>
  <si>
    <t>Figueira da Foz</t>
  </si>
  <si>
    <t>M312/25</t>
  </si>
  <si>
    <t>Casével</t>
  </si>
  <si>
    <t>M319/25</t>
  </si>
  <si>
    <t>Casais de Advagar</t>
  </si>
  <si>
    <t>M335/25</t>
  </si>
  <si>
    <t>M322/25</t>
  </si>
  <si>
    <t>Arouca</t>
  </si>
  <si>
    <t>076/25</t>
  </si>
  <si>
    <t>087/25</t>
  </si>
  <si>
    <t>Águeda</t>
  </si>
  <si>
    <t>M231/25</t>
  </si>
  <si>
    <t>M124/25</t>
  </si>
  <si>
    <t>Oliveira de Azemeis</t>
  </si>
  <si>
    <t>M293/25</t>
  </si>
  <si>
    <t>005/25</t>
  </si>
  <si>
    <t>M275/25</t>
  </si>
  <si>
    <t>Cernache</t>
  </si>
  <si>
    <t>089/25</t>
  </si>
  <si>
    <t>Monte Redondo </t>
  </si>
  <si>
    <t>pp</t>
  </si>
  <si>
    <t>M310/25</t>
  </si>
  <si>
    <t>M179/25</t>
  </si>
  <si>
    <t>GS</t>
  </si>
  <si>
    <t>M336/25</t>
  </si>
  <si>
    <t>006/25</t>
  </si>
  <si>
    <t>M338/25</t>
  </si>
  <si>
    <t>090/25</t>
  </si>
  <si>
    <t>SMDA</t>
  </si>
  <si>
    <t>M320/25</t>
  </si>
  <si>
    <t>Mangualde</t>
  </si>
  <si>
    <t>M264/25</t>
  </si>
  <si>
    <t>091/25</t>
  </si>
  <si>
    <t>RPS</t>
  </si>
  <si>
    <t>Porto</t>
  </si>
  <si>
    <t>FALTA PAG</t>
  </si>
  <si>
    <t>M321/25</t>
  </si>
  <si>
    <t>M339/25</t>
  </si>
  <si>
    <t>092/25</t>
  </si>
  <si>
    <t>M340/25</t>
  </si>
  <si>
    <t>M316/25</t>
  </si>
  <si>
    <t>Vale de Cambra</t>
  </si>
  <si>
    <t>096/25</t>
  </si>
  <si>
    <t>Espinho</t>
  </si>
  <si>
    <t>M279/25</t>
  </si>
  <si>
    <t>M280/25</t>
  </si>
  <si>
    <t>M098/25</t>
  </si>
  <si>
    <t>M099/25</t>
  </si>
  <si>
    <t>M333/25</t>
  </si>
  <si>
    <t>Trofa</t>
  </si>
  <si>
    <t>M337/25</t>
  </si>
  <si>
    <t>Ferreira Do Alentejo</t>
  </si>
  <si>
    <t>093/25</t>
  </si>
  <si>
    <t>M298/25</t>
  </si>
  <si>
    <t>M288/25</t>
  </si>
  <si>
    <t>Chamusca</t>
  </si>
  <si>
    <t>M292/25</t>
  </si>
  <si>
    <t>M305/25</t>
  </si>
  <si>
    <t>Cinfães</t>
  </si>
  <si>
    <t>M334/25</t>
  </si>
  <si>
    <t>M257/25</t>
  </si>
  <si>
    <t>M258/25</t>
  </si>
  <si>
    <t>M259/25</t>
  </si>
  <si>
    <t>ATC</t>
  </si>
  <si>
    <t>M260/25</t>
  </si>
  <si>
    <t>ELPTMED_080/25</t>
  </si>
  <si>
    <t>GC E-learning</t>
  </si>
  <si>
    <t>ELPTMED_083/25</t>
  </si>
  <si>
    <t>CQA E-Learning</t>
  </si>
  <si>
    <t>ELPTMED_090/25</t>
  </si>
  <si>
    <t>ASPV(E-Learning)</t>
  </si>
  <si>
    <t>ELPTMED_091/25</t>
  </si>
  <si>
    <t>FG/SF</t>
  </si>
  <si>
    <t>ELPTMED_092/25</t>
  </si>
  <si>
    <t>TC -ELlearning</t>
  </si>
  <si>
    <t>ELPTMED_093/25</t>
  </si>
  <si>
    <t>ELPTMED_094/25</t>
  </si>
  <si>
    <t>PTR (E-Learning)</t>
  </si>
  <si>
    <t>ELPTMED_095/25</t>
  </si>
  <si>
    <t>SST E-Learning</t>
  </si>
  <si>
    <t>ELPTMED_096/25</t>
  </si>
  <si>
    <t>CE- e-Learning</t>
  </si>
  <si>
    <t>ELPTMED_097/25</t>
  </si>
  <si>
    <t>REDT- e-Learning</t>
  </si>
  <si>
    <t>ELPTMED_098/25</t>
  </si>
  <si>
    <t>PS E-Learning</t>
  </si>
  <si>
    <t>ELPTMED_099/25</t>
  </si>
  <si>
    <t>ELPTMED_100/25</t>
  </si>
  <si>
    <t>LS/MJ/PP</t>
  </si>
  <si>
    <t>AS/FG/SF</t>
  </si>
  <si>
    <t>ELPTMED_101/25</t>
  </si>
  <si>
    <t>e-Tacógrafos Digitais - V.25 - 8h elearning</t>
  </si>
  <si>
    <t>ELPTMED_102/25</t>
  </si>
  <si>
    <t>HST- e-Learning</t>
  </si>
  <si>
    <t>ELPTMED_103/25</t>
  </si>
  <si>
    <t>ELPTMED_104/25</t>
  </si>
  <si>
    <t>SST (e-learning)</t>
  </si>
  <si>
    <t>ELPTMED_105/25</t>
  </si>
  <si>
    <t>ELPTMED_106/25</t>
  </si>
  <si>
    <t>EMER E-learning</t>
  </si>
  <si>
    <t>ELPTMED_107/25</t>
  </si>
  <si>
    <t>TCA- elearning</t>
  </si>
  <si>
    <t>ELPTMED_108/25</t>
  </si>
  <si>
    <t>ISMET- Elearning</t>
  </si>
  <si>
    <t>ELPTMED_109/25</t>
  </si>
  <si>
    <t>ELPTMED_110/25</t>
  </si>
  <si>
    <t>TC E-Learning</t>
  </si>
  <si>
    <t>ELPTMED_111/25</t>
  </si>
  <si>
    <t>ELPTMED_112/25</t>
  </si>
  <si>
    <t>ELPTMED_113/25</t>
  </si>
  <si>
    <t>e-Trabalho em Altura (Andaimes, Escadas, Plataformas) 8h</t>
  </si>
  <si>
    <t>ELPTMED_114/25</t>
  </si>
  <si>
    <t>ESA E-Learning</t>
  </si>
  <si>
    <t>ELPTMED_115/25</t>
  </si>
  <si>
    <t>M5S E-learning</t>
  </si>
  <si>
    <t>ELPTMED_116/25</t>
  </si>
  <si>
    <t>ELPTMED_117/25</t>
  </si>
  <si>
    <t>ELPTMED_118/25</t>
  </si>
  <si>
    <t>ELPTMED_119/25</t>
  </si>
  <si>
    <t>e-Ergonomia</t>
  </si>
  <si>
    <t>ELPTMED_120/25</t>
  </si>
  <si>
    <t>TVNC E-learning</t>
  </si>
  <si>
    <t>ELPTMED_121/25</t>
  </si>
  <si>
    <t>AVP (E-Learning)</t>
  </si>
  <si>
    <t>ELPTMED_122/25</t>
  </si>
  <si>
    <t>Condutor/Manobrador de Máquinas 8h- E-learning</t>
  </si>
  <si>
    <t>ELPTMED_123/25</t>
  </si>
  <si>
    <t>ELPTMED_124/25</t>
  </si>
  <si>
    <t>ORTT_Organização e Registo dos Tempos de Trabalho_8h</t>
  </si>
  <si>
    <t>ELPTMED_125/25</t>
  </si>
  <si>
    <t>e-Pontes Rolantes 8h</t>
  </si>
  <si>
    <t>SF/AS</t>
  </si>
  <si>
    <t>ELPTMED_126/25</t>
  </si>
  <si>
    <t>PR - e-Learning</t>
  </si>
  <si>
    <t>ELPTMED_127/25</t>
  </si>
  <si>
    <t>LID (e-Learning)</t>
  </si>
  <si>
    <t>ELPTMED_128/25</t>
  </si>
  <si>
    <t>AS/SF/FG</t>
  </si>
  <si>
    <t>ELPTMED_129/25</t>
  </si>
  <si>
    <t>SHT(e-learning)</t>
  </si>
  <si>
    <t>ELPTMED_130/25</t>
  </si>
  <si>
    <t>e-HST - Higiene, Segurança do Trabalho 8h</t>
  </si>
  <si>
    <t>SF/A«FG</t>
  </si>
  <si>
    <t>ELPTMED_131/25</t>
  </si>
  <si>
    <t>ELPTMED_132/25</t>
  </si>
  <si>
    <t>TC - Elearning</t>
  </si>
  <si>
    <t>ELPTMED_133/25</t>
  </si>
  <si>
    <t>ELPTMED_134/25</t>
  </si>
  <si>
    <t>ELPTMED_135/25</t>
  </si>
  <si>
    <t>SF/AFG</t>
  </si>
  <si>
    <t>ELPTMED_136/25</t>
  </si>
  <si>
    <t>COI (e-learning)</t>
  </si>
  <si>
    <t>ELPTMED_137/25</t>
  </si>
  <si>
    <t>CI Elearning</t>
  </si>
  <si>
    <t>ELPTMED_138/25</t>
  </si>
  <si>
    <t>ELPTMED_139/25</t>
  </si>
  <si>
    <t>ELPTMED_140/25</t>
  </si>
  <si>
    <t>ELPTMED_141/25</t>
  </si>
  <si>
    <t>e-CMG_Condutor Manobrador de Gruas (Móveis e Fixas) 8 h</t>
  </si>
  <si>
    <t>ELPTMED_142/25</t>
  </si>
  <si>
    <t>e-IEA - Inteligência Emocional</t>
  </si>
  <si>
    <t>ELPTMED_143/25</t>
  </si>
  <si>
    <t>CQA (E-Learning)</t>
  </si>
  <si>
    <t>ELPTTCV_014/25</t>
  </si>
  <si>
    <t>ELPTTCV_015/25</t>
  </si>
  <si>
    <t>ELPTTCV_016/25</t>
  </si>
  <si>
    <t>AFC (e-Learning)</t>
  </si>
  <si>
    <t>ELPTTCV_017/25</t>
  </si>
  <si>
    <t>e-Tacógrafos</t>
  </si>
  <si>
    <t>ELPTTCV_018/25</t>
  </si>
  <si>
    <t>ELPTTCV_019/25</t>
  </si>
  <si>
    <t>e-Acondicionamento de Cargas</t>
  </si>
  <si>
    <t>ELPTTCV_020/25</t>
  </si>
  <si>
    <t>MET 5S E-Leaning</t>
  </si>
  <si>
    <t>ELPTTCV_021/25</t>
  </si>
  <si>
    <t>TA(E-Learning)</t>
  </si>
  <si>
    <t>ELPTTCV_022/25</t>
  </si>
  <si>
    <t>e-ORTT_Organização e Registo dos Tempos de Trabalho_8h</t>
  </si>
  <si>
    <t>ELPTTCV_023/25</t>
  </si>
  <si>
    <t>e-CDE</t>
  </si>
  <si>
    <t>ELPTTCV_024/25</t>
  </si>
  <si>
    <t>ELPTTCV_025/25</t>
  </si>
  <si>
    <t>M284/25</t>
  </si>
  <si>
    <t>V</t>
  </si>
  <si>
    <t>M341/25</t>
  </si>
  <si>
    <t>M327/25</t>
  </si>
  <si>
    <t>M328/25</t>
  </si>
  <si>
    <t>M329/25</t>
  </si>
  <si>
    <t>M100/25</t>
  </si>
  <si>
    <t>094/25</t>
  </si>
  <si>
    <t>M349/25</t>
  </si>
  <si>
    <t>GTRP</t>
  </si>
  <si>
    <t>M033/25</t>
  </si>
  <si>
    <t>Montijo</t>
  </si>
  <si>
    <t>LID</t>
  </si>
  <si>
    <t>M355/25</t>
  </si>
  <si>
    <t>M353/25</t>
  </si>
  <si>
    <t>Valongo</t>
  </si>
  <si>
    <t>M343/25</t>
  </si>
  <si>
    <t>074/25</t>
  </si>
  <si>
    <t>088/25</t>
  </si>
  <si>
    <t>M358/25</t>
  </si>
  <si>
    <t>M202/25</t>
  </si>
  <si>
    <t>M342/25</t>
  </si>
  <si>
    <t>M356/25</t>
  </si>
  <si>
    <t>NBMO</t>
  </si>
  <si>
    <t>Perulheira</t>
  </si>
  <si>
    <t>085/25</t>
  </si>
  <si>
    <t>Alandroal</t>
  </si>
  <si>
    <t>M229/25</t>
  </si>
  <si>
    <t>Moura</t>
  </si>
  <si>
    <t>Oeiras</t>
  </si>
  <si>
    <t>M350/25</t>
  </si>
  <si>
    <t>M351/25</t>
  </si>
  <si>
    <t>095/25</t>
  </si>
  <si>
    <t>M126/25</t>
  </si>
  <si>
    <t>Paredes de Coura</t>
  </si>
  <si>
    <t>M360/25</t>
  </si>
  <si>
    <t>M365/25</t>
  </si>
  <si>
    <t>112/25</t>
  </si>
  <si>
    <t>M354/25</t>
  </si>
  <si>
    <t>Paços de Ferreira</t>
  </si>
  <si>
    <t>104/25</t>
  </si>
  <si>
    <t>M221/25</t>
  </si>
  <si>
    <t>Gondomar</t>
  </si>
  <si>
    <t>M372/25</t>
  </si>
  <si>
    <t>Chão Pardo</t>
  </si>
  <si>
    <t>097/25</t>
  </si>
  <si>
    <t>Resende</t>
  </si>
  <si>
    <t>111/25</t>
  </si>
  <si>
    <t>Povoa de Varzim</t>
  </si>
  <si>
    <t>113/25</t>
  </si>
  <si>
    <t>M378/25</t>
  </si>
  <si>
    <t>066/25</t>
  </si>
  <si>
    <t>M387/25</t>
  </si>
  <si>
    <t>MC</t>
  </si>
  <si>
    <t>M388/25</t>
  </si>
  <si>
    <t>M386/25</t>
  </si>
  <si>
    <t>M391/25</t>
  </si>
  <si>
    <t>Vialonga</t>
  </si>
  <si>
    <t>M392/25</t>
  </si>
  <si>
    <t>M367/25</t>
  </si>
  <si>
    <t>M362/25</t>
  </si>
  <si>
    <t>Fornos de Algodres</t>
  </si>
  <si>
    <t>M402/25</t>
  </si>
  <si>
    <t>ELPTMED_144/25</t>
  </si>
  <si>
    <t>ELPTMED_145/25</t>
  </si>
  <si>
    <t>CED(e-learning)</t>
  </si>
  <si>
    <t>ELPTMED_146/25</t>
  </si>
  <si>
    <t>e-PS - Primeiros Socorros 8h</t>
  </si>
  <si>
    <t>MJ/LS/PP</t>
  </si>
  <si>
    <t>FG/AS/SF</t>
  </si>
  <si>
    <t>ELPTMED_147/25</t>
  </si>
  <si>
    <t>PS ELEARNING</t>
  </si>
  <si>
    <t>ELPTMED_148/25</t>
  </si>
  <si>
    <t>ELPTMED_149/25</t>
  </si>
  <si>
    <t>e-GTOT</t>
  </si>
  <si>
    <t>ELPTMED_150/25</t>
  </si>
  <si>
    <t>TA - e-Learning</t>
  </si>
  <si>
    <t>ELPTMED_151/25</t>
  </si>
  <si>
    <t>AS/SF</t>
  </si>
  <si>
    <t>ELPTMED_152/25</t>
  </si>
  <si>
    <t>SHT (E-Learning)</t>
  </si>
  <si>
    <t>ELPTMED_153/25</t>
  </si>
  <si>
    <t>ELPTMED_154/25</t>
  </si>
  <si>
    <t>PE (E-Learning)</t>
  </si>
  <si>
    <t>ELPTMED_155/25</t>
  </si>
  <si>
    <t>e- Tacógrafos Digitais - V.25 - 8h</t>
  </si>
  <si>
    <t>ELPTMED_156/25</t>
  </si>
  <si>
    <t>ELPTMED_157/25</t>
  </si>
  <si>
    <t>MGM (E-Learning)</t>
  </si>
  <si>
    <t>ELPTMED_158/25</t>
  </si>
  <si>
    <t>e-Gestão Tratamento Reclamações 8h</t>
  </si>
  <si>
    <t>ELPTMED_159/25</t>
  </si>
  <si>
    <t>PCBCFT - e-Learning</t>
  </si>
  <si>
    <t>ELPTMED_160/25</t>
  </si>
  <si>
    <t>e-Gestão de Tempo e de Stress</t>
  </si>
  <si>
    <t>ELPTMED_161/25</t>
  </si>
  <si>
    <t>ORTT e-Learning</t>
  </si>
  <si>
    <t>ELPTMED_162/25</t>
  </si>
  <si>
    <t>ELPTMED_163/25</t>
  </si>
  <si>
    <t>e-Condução Defensiva e Económica 8h</t>
  </si>
  <si>
    <t>ELPTMED_164/25</t>
  </si>
  <si>
    <t>e-Excel Avançado_50h</t>
  </si>
  <si>
    <t>ELPTMED_165/25</t>
  </si>
  <si>
    <t>GCOB (E-learning)</t>
  </si>
  <si>
    <t>ELPTMED_166/25</t>
  </si>
  <si>
    <t>ELPTMED_167/25</t>
  </si>
  <si>
    <t>ELPTMED_168/25</t>
  </si>
  <si>
    <t>ELPTMED_169/25</t>
  </si>
  <si>
    <t>ELPTMED_170/25</t>
  </si>
  <si>
    <t>ELPTMED_171/25</t>
  </si>
  <si>
    <t>ELPTMED_172/25</t>
  </si>
  <si>
    <t>SHT E-Learning</t>
  </si>
  <si>
    <t>ELPTMED_173/25</t>
  </si>
  <si>
    <t>EL - Tacógrafos Digitais - V.25</t>
  </si>
  <si>
    <t>ELPTMED_174/25</t>
  </si>
  <si>
    <t>e-Gtot- e-learning</t>
  </si>
  <si>
    <t>ELPTMED_175/25</t>
  </si>
  <si>
    <t>e-ORTT</t>
  </si>
  <si>
    <t>ELPTMED_176/25</t>
  </si>
  <si>
    <t>e-Gestão de Cobranças 8h</t>
  </si>
  <si>
    <t>ELPTMED_177/25</t>
  </si>
  <si>
    <t>ELPTMED_178/25</t>
  </si>
  <si>
    <t>e-Fidelização de Clientes_8h</t>
  </si>
  <si>
    <t>ELPTMED_179/25</t>
  </si>
  <si>
    <t>ATC E-Learning</t>
  </si>
  <si>
    <t>ELPTMED_180/25</t>
  </si>
  <si>
    <t>TA E-learning</t>
  </si>
  <si>
    <t>ELPTMED_181/25</t>
  </si>
  <si>
    <t>e-ARAT - Avaliação de Riscos por Atividade 2h</t>
  </si>
  <si>
    <t>ELPTMED_182/25</t>
  </si>
  <si>
    <t>MM (e-learning)</t>
  </si>
  <si>
    <t>ELPTMED_183/25</t>
  </si>
  <si>
    <t>ELPTMED_184/25</t>
  </si>
  <si>
    <t>ELPTMED_185/25</t>
  </si>
  <si>
    <t>ELPTMED_186/25</t>
  </si>
  <si>
    <t>ELPTMED_187/25</t>
  </si>
  <si>
    <t>ELPTMED_188/25</t>
  </si>
  <si>
    <t>ELPTMED_189/25</t>
  </si>
  <si>
    <t>e-Higiene e Segurança Alimentar 8h</t>
  </si>
  <si>
    <t>ELPTMED_190/25</t>
  </si>
  <si>
    <t>ELPTMED_191/25</t>
  </si>
  <si>
    <t>GTS (e-Learning)</t>
  </si>
  <si>
    <t>ELPTMED_192/25</t>
  </si>
  <si>
    <t>CIT (E-L)</t>
  </si>
  <si>
    <t>ELPTMED_193/25</t>
  </si>
  <si>
    <t>ELPTMED_194/25</t>
  </si>
  <si>
    <t>ELPTMED_195/25</t>
  </si>
  <si>
    <t>AFC (E-Learning)</t>
  </si>
  <si>
    <t>ELPTMED_196/25</t>
  </si>
  <si>
    <t>ARAT (e-learning)</t>
  </si>
  <si>
    <t>ELPTMED_197/25</t>
  </si>
  <si>
    <t>ELPTMED_198/25</t>
  </si>
  <si>
    <t>ELPTMED_199/25</t>
  </si>
  <si>
    <t>ELPTMED_200/25</t>
  </si>
  <si>
    <t>ELPTMED_201/25</t>
  </si>
  <si>
    <t>e-RETD24_Representante do empregador, empregador ou trabalhador designado_35h</t>
  </si>
  <si>
    <t>ELPTMED_202/25</t>
  </si>
  <si>
    <t>ERG (e-learning)</t>
  </si>
  <si>
    <t>ELPTMED_203/25</t>
  </si>
  <si>
    <t>GC (E-learning)</t>
  </si>
  <si>
    <t>ELPTMED_204/25</t>
  </si>
  <si>
    <t>GEC (e-Learning)</t>
  </si>
  <si>
    <t>ELPTMED_205/25</t>
  </si>
  <si>
    <t>ELPTMED_206/25</t>
  </si>
  <si>
    <t>ELPTMED_208/25</t>
  </si>
  <si>
    <t>ELPTMED_210/25</t>
  </si>
  <si>
    <t>M5S - e-Learning</t>
  </si>
  <si>
    <t>ELPTSEEP_002/25</t>
  </si>
  <si>
    <t>e-Excel Fundamental</t>
  </si>
  <si>
    <t>ELPTSEEP_003/25</t>
  </si>
  <si>
    <t>e-Excel Avançado</t>
  </si>
  <si>
    <t>ELPTSEEP_004/25</t>
  </si>
  <si>
    <t>e-Excel Fundamental 25h</t>
  </si>
  <si>
    <t>ELPTTCV_026/25</t>
  </si>
  <si>
    <t>LID E-Learning</t>
  </si>
  <si>
    <t>ELPTTCV_027/25</t>
  </si>
  <si>
    <t>ELPTTCV_028/25</t>
  </si>
  <si>
    <t>e-ORTT_Organização e Registo dos Tempos de Trabalho_4h</t>
  </si>
  <si>
    <t>ELPTTCV_029/25</t>
  </si>
  <si>
    <t>ELPTTCV_030/25</t>
  </si>
  <si>
    <t>ELPTTCV_031/25</t>
  </si>
  <si>
    <t>ELPTTCV_032/25</t>
  </si>
  <si>
    <t>ELPTTCV_033/25</t>
  </si>
  <si>
    <t>M325/25</t>
  </si>
  <si>
    <t>Batalha</t>
  </si>
  <si>
    <t>não</t>
  </si>
  <si>
    <t>M405/25</t>
  </si>
  <si>
    <t>sim</t>
  </si>
  <si>
    <t>M230/25</t>
  </si>
  <si>
    <t>M352/25</t>
  </si>
  <si>
    <t>M368/25</t>
  </si>
  <si>
    <t>Vila Nova de Poiares</t>
  </si>
  <si>
    <t>105/25</t>
  </si>
  <si>
    <t>SIM</t>
  </si>
  <si>
    <t>M395/25</t>
  </si>
  <si>
    <t>Aguiar da Beira</t>
  </si>
  <si>
    <t>M396/25</t>
  </si>
  <si>
    <t>M217/25</t>
  </si>
  <si>
    <t>Famalicão</t>
  </si>
  <si>
    <t>FL</t>
  </si>
  <si>
    <t>M373/25</t>
  </si>
  <si>
    <t>M174/25</t>
  </si>
  <si>
    <t>M185/25</t>
  </si>
  <si>
    <t>Carregado/VFXIRA</t>
  </si>
  <si>
    <t>079/25</t>
  </si>
  <si>
    <t>M414/25</t>
  </si>
  <si>
    <t>JM</t>
  </si>
  <si>
    <t>CB</t>
  </si>
  <si>
    <t>M415/25</t>
  </si>
  <si>
    <t>M416/25</t>
  </si>
  <si>
    <t>M399/25</t>
  </si>
  <si>
    <t>Sátão</t>
  </si>
  <si>
    <t>M266/25</t>
  </si>
  <si>
    <t>M375/25</t>
  </si>
  <si>
    <t>M369/25</t>
  </si>
  <si>
    <t>M393/25</t>
  </si>
  <si>
    <t>M371/25</t>
  </si>
  <si>
    <t>Vila Nova de Cerveira</t>
  </si>
  <si>
    <t>M374/25</t>
  </si>
  <si>
    <t>M429/25</t>
  </si>
  <si>
    <t>119/25</t>
  </si>
  <si>
    <t xml:space="preserve">Sim </t>
  </si>
  <si>
    <t>M404/25</t>
  </si>
  <si>
    <t>M287/25</t>
  </si>
  <si>
    <t>M344/25</t>
  </si>
  <si>
    <t>Vila Facaia</t>
  </si>
  <si>
    <t>JP</t>
  </si>
  <si>
    <t>116/25</t>
  </si>
  <si>
    <t>117/25</t>
  </si>
  <si>
    <t>106/25</t>
  </si>
  <si>
    <t>M424/25</t>
  </si>
  <si>
    <t>107/25</t>
  </si>
  <si>
    <t>108/25</t>
  </si>
  <si>
    <t>M345/25</t>
  </si>
  <si>
    <t>M439/25</t>
  </si>
  <si>
    <t>Paredes</t>
  </si>
  <si>
    <t>M440/25</t>
  </si>
  <si>
    <t>M400/25</t>
  </si>
  <si>
    <t>110/25</t>
  </si>
  <si>
    <t>M054/25</t>
  </si>
  <si>
    <t>Santa Comba Dão</t>
  </si>
  <si>
    <t>M419/25</t>
  </si>
  <si>
    <t>M446/25</t>
  </si>
  <si>
    <t>Ponte de Sôr</t>
  </si>
  <si>
    <t>M447/25</t>
  </si>
  <si>
    <t>M381/25</t>
  </si>
  <si>
    <t>M428/25</t>
  </si>
  <si>
    <t>M222/25</t>
  </si>
  <si>
    <t>098/25</t>
  </si>
  <si>
    <t>M394/25</t>
  </si>
  <si>
    <t>124/25</t>
  </si>
  <si>
    <t>M433/25</t>
  </si>
  <si>
    <t>Altura</t>
  </si>
  <si>
    <t>M434/25</t>
  </si>
  <si>
    <t>Palmela</t>
  </si>
  <si>
    <t>LDS</t>
  </si>
  <si>
    <t>M435/25</t>
  </si>
  <si>
    <t>M401/25</t>
  </si>
  <si>
    <t>Beja</t>
  </si>
  <si>
    <t>M382/25</t>
  </si>
  <si>
    <t>M380/25</t>
  </si>
  <si>
    <t>CMG</t>
  </si>
  <si>
    <t>Nazaré</t>
  </si>
  <si>
    <t>M379/25</t>
  </si>
  <si>
    <t>M436/25</t>
  </si>
  <si>
    <t>Oliveira do Hospital</t>
  </si>
  <si>
    <t>M442/25</t>
  </si>
  <si>
    <t>Canelas</t>
  </si>
  <si>
    <t>IF</t>
  </si>
  <si>
    <t>M421/25</t>
  </si>
  <si>
    <t xml:space="preserve">Não </t>
  </si>
  <si>
    <t>M422/25</t>
  </si>
  <si>
    <t>M423/25</t>
  </si>
  <si>
    <t>M203/25</t>
  </si>
  <si>
    <t>M376/25</t>
  </si>
  <si>
    <t>M032/25</t>
  </si>
  <si>
    <t>M406/25</t>
  </si>
  <si>
    <t>Valega/Ovar</t>
  </si>
  <si>
    <t>M427/25</t>
  </si>
  <si>
    <t>M418/25</t>
  </si>
  <si>
    <t>M407/25</t>
  </si>
  <si>
    <t>M437/25</t>
  </si>
  <si>
    <t>M449/25</t>
  </si>
  <si>
    <t>Povoa de Lanhoso</t>
  </si>
  <si>
    <t>M454/25</t>
  </si>
  <si>
    <t>M452/25</t>
  </si>
  <si>
    <t>FM</t>
  </si>
  <si>
    <t>M453/25</t>
  </si>
  <si>
    <t>M455/25</t>
  </si>
  <si>
    <t>M443/25</t>
  </si>
  <si>
    <t>M218/25</t>
  </si>
  <si>
    <t>M040/25</t>
  </si>
  <si>
    <t>AVP</t>
  </si>
  <si>
    <t>Gandra</t>
  </si>
  <si>
    <t>M389/25</t>
  </si>
  <si>
    <t>Felgueiras</t>
  </si>
  <si>
    <t>M313/25</t>
  </si>
  <si>
    <t>M252/25</t>
  </si>
  <si>
    <t xml:space="preserve">Pinhel </t>
  </si>
  <si>
    <t>M383/25</t>
  </si>
  <si>
    <t>118/25</t>
  </si>
  <si>
    <t>Arganil</t>
  </si>
  <si>
    <t>121/25</t>
  </si>
  <si>
    <t>M425/25</t>
  </si>
  <si>
    <t>067/25</t>
  </si>
  <si>
    <t>ELPTMED_211/25</t>
  </si>
  <si>
    <t>ELPTMED_212/25</t>
  </si>
  <si>
    <t>ELPTMED_213/25</t>
  </si>
  <si>
    <t>e-Tacógrafos Digitais</t>
  </si>
  <si>
    <t>ELPTMED_214/25</t>
  </si>
  <si>
    <t>ASPV (e-Learning)</t>
  </si>
  <si>
    <t>ELPTMED_215/25</t>
  </si>
  <si>
    <t>CDE (e-learning)</t>
  </si>
  <si>
    <t>ELPTMED_216/25</t>
  </si>
  <si>
    <t>e-Condução de Empilhadores 8h</t>
  </si>
  <si>
    <t>ELPTMED_217/25</t>
  </si>
  <si>
    <t>HSA -E learning</t>
  </si>
  <si>
    <t>ELPTMED_218/25</t>
  </si>
  <si>
    <t>ELPTMED_219/25</t>
  </si>
  <si>
    <t>ELPTMED_220/25</t>
  </si>
  <si>
    <t>ELPTMED_221/25</t>
  </si>
  <si>
    <t>ELPTMED_222/25</t>
  </si>
  <si>
    <t>ELPTMED_223/25</t>
  </si>
  <si>
    <t>M5S (E-Learning)</t>
  </si>
  <si>
    <t>ELPTMED_224/25</t>
  </si>
  <si>
    <t>EMR-E-learning</t>
  </si>
  <si>
    <t>ELPTMED_225/25</t>
  </si>
  <si>
    <t>ELPTMED_226/25</t>
  </si>
  <si>
    <t>e-Combate a Incêndios 8h</t>
  </si>
  <si>
    <t>ELPTMED_227/25</t>
  </si>
  <si>
    <t>ELPTMED_228/25</t>
  </si>
  <si>
    <t>E-learning ARAT</t>
  </si>
  <si>
    <t>ELPTMED_229/25</t>
  </si>
  <si>
    <t>ELPTMED_230/25</t>
  </si>
  <si>
    <t>GT (e-learning)</t>
  </si>
  <si>
    <t>ELPTMED_231/25</t>
  </si>
  <si>
    <t>SF/FG</t>
  </si>
  <si>
    <t>ELPTMED_232/25</t>
  </si>
  <si>
    <t>e-ISMET - Instruções de Segurança no Manuseamento de Equipamentos de Trabalho 8h</t>
  </si>
  <si>
    <t>ELPTMED_233/25</t>
  </si>
  <si>
    <t>CCR (E-learning)</t>
  </si>
  <si>
    <t>ELPTMED_234/25</t>
  </si>
  <si>
    <t>e-Plataformas Elevatórias 8h</t>
  </si>
  <si>
    <t>ELPTMED_235/25</t>
  </si>
  <si>
    <t>ELPTMED_236/25</t>
  </si>
  <si>
    <t>GRC (e-Learning)</t>
  </si>
  <si>
    <t>ELPTMED_237/25</t>
  </si>
  <si>
    <t>ELPTMED_238/25</t>
  </si>
  <si>
    <t>ELPTMED_239/25</t>
  </si>
  <si>
    <t>TVN (E-Learning)</t>
  </si>
  <si>
    <t>ELPTMED_240/25</t>
  </si>
  <si>
    <t>ELPTMED_241/25</t>
  </si>
  <si>
    <t>SF/AS/FG</t>
  </si>
  <si>
    <t>ELPTMED_242/25</t>
  </si>
  <si>
    <t>ELPTMED_243/25</t>
  </si>
  <si>
    <t>ELPTMED_244/25</t>
  </si>
  <si>
    <t>ORTT- ELEARNIG</t>
  </si>
  <si>
    <t>ELPTMED_245/25</t>
  </si>
  <si>
    <t>TC-Elearning</t>
  </si>
  <si>
    <t>ELPTMED_246/25</t>
  </si>
  <si>
    <t>e-EM-Emergência_8h</t>
  </si>
  <si>
    <t>ELPTMED_247/25</t>
  </si>
  <si>
    <t>ELPTMED_248/25</t>
  </si>
  <si>
    <t>ELPTMED_249/25</t>
  </si>
  <si>
    <t>GTOT (e-learning)</t>
  </si>
  <si>
    <t>ELPTMED_250/25</t>
  </si>
  <si>
    <t>e-Movimentação de Terras 8h</t>
  </si>
  <si>
    <t>ELPTMED_251/25</t>
  </si>
  <si>
    <t>Tacógrafos Digitais- Elearning</t>
  </si>
  <si>
    <t>ELPTMED_252/25</t>
  </si>
  <si>
    <t>ELPTMED_253/25</t>
  </si>
  <si>
    <t>ELPTMED_254/25</t>
  </si>
  <si>
    <t>PS- E-LEARNING</t>
  </si>
  <si>
    <t>ELPTMED_255/25</t>
  </si>
  <si>
    <t>ELPTMED_256/25</t>
  </si>
  <si>
    <t>e-Gestão e Resolução de Conflitos 8h</t>
  </si>
  <si>
    <t>ELPTMED_257/25</t>
  </si>
  <si>
    <t>EMER (E-Learning)</t>
  </si>
  <si>
    <t>ELPTMED_258/25</t>
  </si>
  <si>
    <t>ELPTMED_260/25</t>
  </si>
  <si>
    <t>e-Acondicionamento de Cargas 8h</t>
  </si>
  <si>
    <t>ELPTMED_261/25</t>
  </si>
  <si>
    <t>MMT- Elearning</t>
  </si>
  <si>
    <t>ELPTMED_262/25</t>
  </si>
  <si>
    <t>GTO (e-Learning)</t>
  </si>
  <si>
    <t>falta pagamento, o cliente não paga até ter a situação dos dois cursos que tinham os mesmos conteudos programáticos, resolvida</t>
  </si>
  <si>
    <t>ELPTMED_263/25</t>
  </si>
  <si>
    <t>e-Movimentação de Terras 16h</t>
  </si>
  <si>
    <t>ELPTTCV_036/25</t>
  </si>
  <si>
    <t>CI (e-Learning)</t>
  </si>
  <si>
    <t>ELPTTCV_037_25</t>
  </si>
  <si>
    <t>ELPTTCV_038_25</t>
  </si>
  <si>
    <t>ELPTTCV_039_25</t>
  </si>
  <si>
    <t>TA- Elearning</t>
  </si>
  <si>
    <t>ELPTTCV_040_25</t>
  </si>
  <si>
    <t>CMM E-Learning</t>
  </si>
  <si>
    <t>ELPTTCV_041_25</t>
  </si>
  <si>
    <t>CE- elearning</t>
  </si>
  <si>
    <t>ELPTTCV_042/25</t>
  </si>
  <si>
    <t>ELPTTCV_043_25</t>
  </si>
  <si>
    <t>ELPTTCV_044_25</t>
  </si>
  <si>
    <t>ELPTTCV_045/25</t>
  </si>
  <si>
    <t>ELPTTCV_046/25</t>
  </si>
  <si>
    <t>ELPTTCV_047/25</t>
  </si>
  <si>
    <t>ELPTTCV_048/25</t>
  </si>
  <si>
    <t>ELPTTCV_049/25</t>
  </si>
  <si>
    <t>ELPTTCV_050/25</t>
  </si>
  <si>
    <t>PR-elearning</t>
  </si>
  <si>
    <t>ELPTTCV_051/25</t>
  </si>
  <si>
    <t>AAC- elearning</t>
  </si>
  <si>
    <t>ELPTMED_264/25</t>
  </si>
  <si>
    <t>ELPTMED_265/25</t>
  </si>
  <si>
    <t>M366/25</t>
  </si>
  <si>
    <t>Alto de Estanqueiro / Jardia</t>
  </si>
  <si>
    <t>M438/25</t>
  </si>
  <si>
    <t>M426/25</t>
  </si>
  <si>
    <t>M377/25</t>
  </si>
  <si>
    <t>M451/25</t>
  </si>
  <si>
    <t>Albergaria a Nova</t>
  </si>
  <si>
    <t>M467/25</t>
  </si>
  <si>
    <t>Sanguedo, Sta Maria da Feira</t>
  </si>
  <si>
    <t>Falta pagar</t>
  </si>
  <si>
    <t>M014/25</t>
  </si>
  <si>
    <t>M219/25</t>
  </si>
  <si>
    <t>M253/25</t>
  </si>
  <si>
    <t>Ferreira do Zêzere</t>
  </si>
  <si>
    <t>M361/25</t>
  </si>
  <si>
    <t>M397/25</t>
  </si>
  <si>
    <t>Caxarias</t>
  </si>
  <si>
    <t>M409/25</t>
  </si>
  <si>
    <t>M016/25</t>
  </si>
  <si>
    <t xml:space="preserve">Serpa </t>
  </si>
  <si>
    <t>M303/25</t>
  </si>
  <si>
    <t>M430/25</t>
  </si>
  <si>
    <t>M477/25</t>
  </si>
  <si>
    <t xml:space="preserve">Mirandela </t>
  </si>
  <si>
    <t>Falta pagar Transportes morais e filho</t>
  </si>
  <si>
    <t>114/25</t>
  </si>
  <si>
    <t>Murteira</t>
  </si>
  <si>
    <t>115/25</t>
  </si>
  <si>
    <t>127/25</t>
  </si>
  <si>
    <t>Juncal</t>
  </si>
  <si>
    <t>078/25</t>
  </si>
  <si>
    <t>M476/25</t>
  </si>
  <si>
    <t>Marinha das Ondas</t>
  </si>
  <si>
    <t>M466/25</t>
  </si>
  <si>
    <t>M410/25</t>
  </si>
  <si>
    <t>Formador não enviou avaliações</t>
  </si>
  <si>
    <t>M463/25</t>
  </si>
  <si>
    <t>Lavre</t>
  </si>
  <si>
    <t>M460/25</t>
  </si>
  <si>
    <t>132/25</t>
  </si>
  <si>
    <t>M461/25</t>
  </si>
  <si>
    <t>131/25</t>
  </si>
  <si>
    <t>M390/25</t>
  </si>
  <si>
    <t xml:space="preserve">Setúbal </t>
  </si>
  <si>
    <t>133/25</t>
  </si>
  <si>
    <t>Vagos</t>
  </si>
  <si>
    <t>SC</t>
  </si>
  <si>
    <t>M223/25</t>
  </si>
  <si>
    <t>M472/25</t>
  </si>
  <si>
    <t>122/25</t>
  </si>
  <si>
    <t>016/25</t>
  </si>
  <si>
    <t>vários</t>
  </si>
  <si>
    <t>Vários</t>
  </si>
  <si>
    <t>M431/25</t>
  </si>
  <si>
    <t>Baltar/Porto</t>
  </si>
  <si>
    <t>RM</t>
  </si>
  <si>
    <t>M015/25</t>
  </si>
  <si>
    <t>Várzea/Santarém</t>
  </si>
  <si>
    <t>M059/25</t>
  </si>
  <si>
    <t>125/25</t>
  </si>
  <si>
    <t>Ourém</t>
  </si>
  <si>
    <t>M251/25</t>
  </si>
  <si>
    <t>M464/25</t>
  </si>
  <si>
    <t>Couto de Mosteiro</t>
  </si>
  <si>
    <t>M465/25</t>
  </si>
  <si>
    <t>M403/25</t>
  </si>
  <si>
    <t>Covilhã</t>
  </si>
  <si>
    <t>M450/25</t>
  </si>
  <si>
    <t>M420/25</t>
  </si>
  <si>
    <t>M458/25</t>
  </si>
  <si>
    <t xml:space="preserve">Celorico da Beira </t>
  </si>
  <si>
    <t>GG</t>
  </si>
  <si>
    <t>M468/25</t>
  </si>
  <si>
    <t>M417/25</t>
  </si>
  <si>
    <t>Castanheira do Ribatejo</t>
  </si>
  <si>
    <t>M482/25</t>
  </si>
  <si>
    <t>M483/25</t>
  </si>
  <si>
    <t>134/25</t>
  </si>
  <si>
    <t>M398/25</t>
  </si>
  <si>
    <t>M473/25</t>
  </si>
  <si>
    <t>IE</t>
  </si>
  <si>
    <t>e-SHT Segurança e Saúde no Trabalho 8h</t>
  </si>
  <si>
    <t>ELPTMED_266/25</t>
  </si>
  <si>
    <t>ELPTMED_267/25</t>
  </si>
  <si>
    <t>e-Gestão de Tempo 8h</t>
  </si>
  <si>
    <t>ELPTMED_268/25</t>
  </si>
  <si>
    <t>ELPTMED_270/25</t>
  </si>
  <si>
    <t>ELPTMED_271/25</t>
  </si>
  <si>
    <t>Arat (e-learning)</t>
  </si>
  <si>
    <t>ELPTMED_272/25</t>
  </si>
  <si>
    <t>ELPTMED_273/25</t>
  </si>
  <si>
    <t>ELPTMED_274/25</t>
  </si>
  <si>
    <t>ELPTMED_275/25</t>
  </si>
  <si>
    <t>ELPTMED_276/25</t>
  </si>
  <si>
    <t>SHT- Elearning</t>
  </si>
  <si>
    <t>ELPTMED_277/25</t>
  </si>
  <si>
    <t>Ainda não terminou</t>
  </si>
  <si>
    <t>ELPTMED_278/25</t>
  </si>
  <si>
    <t>ELPTMED_279/25</t>
  </si>
  <si>
    <t>Não tem dados</t>
  </si>
  <si>
    <t>ELPTMED_281/25</t>
  </si>
  <si>
    <t>ELPTMED_282/25</t>
  </si>
  <si>
    <t>ELPTMED_283/25</t>
  </si>
  <si>
    <t>ELPTMED_284/25</t>
  </si>
  <si>
    <t>AC- Elearning</t>
  </si>
  <si>
    <t>ELPTMED_285/25</t>
  </si>
  <si>
    <t>ELPTMED_286/25</t>
  </si>
  <si>
    <t>ELPTMED_287/25</t>
  </si>
  <si>
    <t>ELPTMED_288/25</t>
  </si>
  <si>
    <t>ELPTMED_289/25</t>
  </si>
  <si>
    <t>ELPTMED_290/25</t>
  </si>
  <si>
    <t>FC (E-Learning)</t>
  </si>
  <si>
    <t>ELPTMED_291/25</t>
  </si>
  <si>
    <t>ELPTMED_292/25</t>
  </si>
  <si>
    <t>ELPTMED_293/25</t>
  </si>
  <si>
    <t>ELPTMED_294/25</t>
  </si>
  <si>
    <t>e-GTT-EAB_Gestão do Tempo e do Trabalho - Estratégias Anti-Burnout_16h</t>
  </si>
  <si>
    <t>ELPTMED_295/25</t>
  </si>
  <si>
    <t>ELPTMED_296/25</t>
  </si>
  <si>
    <t>e-Prevenção Rodoviária 8h</t>
  </si>
  <si>
    <t>ELPTMED_297/25</t>
  </si>
  <si>
    <t>HST - e-Learning</t>
  </si>
  <si>
    <t>ELPTMED_298/25</t>
  </si>
  <si>
    <t>ELPTMED_299/25</t>
  </si>
  <si>
    <t>e-Comunicação Interpessoal 8h</t>
  </si>
  <si>
    <t>ELPTMED_300/25</t>
  </si>
  <si>
    <t>ELPTMED_301/25</t>
  </si>
  <si>
    <t>ELPTMED_302/25</t>
  </si>
  <si>
    <t>ELPTMED_303/25</t>
  </si>
  <si>
    <t>ELPTMED_304/25</t>
  </si>
  <si>
    <t>ELPTMED_305/25</t>
  </si>
  <si>
    <t>ELPTMED_307/25</t>
  </si>
  <si>
    <t>ELPTMED_308/25</t>
  </si>
  <si>
    <t>ELPTMED_309/25</t>
  </si>
  <si>
    <t>ELPTMED_310/25</t>
  </si>
  <si>
    <t>ELPTMED_311/25</t>
  </si>
  <si>
    <t>ELPTMED_312/25</t>
  </si>
  <si>
    <t>ELPTMED_313/25</t>
  </si>
  <si>
    <t>ELPTMED_314/25</t>
  </si>
  <si>
    <t>ELPTMED_315/25</t>
  </si>
  <si>
    <t>ELPTMED_316/25</t>
  </si>
  <si>
    <t>ELPTMED_317/25</t>
  </si>
  <si>
    <t>e-Técnica de vendas e negociação 8h</t>
  </si>
  <si>
    <t>ELPTMED_318/25</t>
  </si>
  <si>
    <t>e-IEA - Inteligência Emocional_8h</t>
  </si>
  <si>
    <t>ELPTMED_319/25</t>
  </si>
  <si>
    <t>ELPTMED_320/25</t>
  </si>
  <si>
    <t>ELPTTCV_052/25</t>
  </si>
  <si>
    <t>ELPTTCV_053/25</t>
  </si>
  <si>
    <t>ELPTTCV_054/25</t>
  </si>
  <si>
    <t>ELPTTCV_055/25</t>
  </si>
  <si>
    <t>ELPTTCV_056/25</t>
  </si>
  <si>
    <t>ELPTTCV_057/25</t>
  </si>
  <si>
    <t>ELPTTCV_058/25</t>
  </si>
  <si>
    <t>ELPTTCV_059/25</t>
  </si>
  <si>
    <t>ELPTTCV_060/25</t>
  </si>
  <si>
    <t>AAC- E-learning</t>
  </si>
  <si>
    <t>ELPTTCV_061/25</t>
  </si>
  <si>
    <t>ELPTTCV_062/25</t>
  </si>
  <si>
    <t>IS (E-Learning)</t>
  </si>
  <si>
    <t>ELPTTCV_063/25</t>
  </si>
  <si>
    <t>ELPTTCV_064/25</t>
  </si>
  <si>
    <t>CIE (E-Learning)</t>
  </si>
  <si>
    <t>CI (E-learning)</t>
  </si>
  <si>
    <t>ELPTMED_321/25</t>
  </si>
  <si>
    <t>PS (E-learning)</t>
  </si>
  <si>
    <t>ELPTMED_322/25</t>
  </si>
  <si>
    <t>TCD (E-learning)</t>
  </si>
  <si>
    <t>ELPTMED_323/25</t>
  </si>
  <si>
    <t>ELPTMED_324/25</t>
  </si>
  <si>
    <t>SMDA (E-Learning)</t>
  </si>
  <si>
    <t>ELPTTCV_065/25</t>
  </si>
  <si>
    <t>CE (E-learning)</t>
  </si>
  <si>
    <t>ELPTTCV_066/25</t>
  </si>
  <si>
    <t>M048/25</t>
  </si>
  <si>
    <t>M480/25</t>
  </si>
  <si>
    <t>Aldeia Gavinha</t>
  </si>
  <si>
    <t>M459/25</t>
  </si>
  <si>
    <t>M462/25</t>
  </si>
  <si>
    <t>M346/25</t>
  </si>
  <si>
    <t>M180/25</t>
  </si>
  <si>
    <t>COI</t>
  </si>
  <si>
    <t>M479/25</t>
  </si>
  <si>
    <t>M484/25</t>
  </si>
  <si>
    <t>M499/25</t>
  </si>
  <si>
    <t>M500/25</t>
  </si>
  <si>
    <t>M475/25</t>
  </si>
  <si>
    <t>M497/25</t>
  </si>
  <si>
    <t>Soure</t>
  </si>
  <si>
    <t>M498/25</t>
  </si>
  <si>
    <t>Falta enviar certificados por falta de pagamento</t>
  </si>
  <si>
    <t>M448/25</t>
  </si>
  <si>
    <t>Carnaxide</t>
  </si>
  <si>
    <t>141/25</t>
  </si>
  <si>
    <t>142/25</t>
  </si>
  <si>
    <t>M496/25</t>
  </si>
  <si>
    <t>Trancoso</t>
  </si>
  <si>
    <t>M508/25</t>
  </si>
  <si>
    <t>M509/25</t>
  </si>
  <si>
    <t>HF</t>
  </si>
  <si>
    <t>M502/25</t>
  </si>
  <si>
    <t>M493/25</t>
  </si>
  <si>
    <t>Alpiarça</t>
  </si>
  <si>
    <t>M506/25</t>
  </si>
  <si>
    <t>Falta enviar certificados Speesun por falta de pagamento</t>
  </si>
  <si>
    <t>M494/25</t>
  </si>
  <si>
    <t>140/25</t>
  </si>
  <si>
    <t>Certificados não enviados à Supertulhos por falta de pagamento</t>
  </si>
  <si>
    <t>M384/25</t>
  </si>
  <si>
    <t>SBV</t>
  </si>
  <si>
    <t>Oliveira de Frades</t>
  </si>
  <si>
    <t>FJ</t>
  </si>
  <si>
    <t>M505/25</t>
  </si>
  <si>
    <t>Pinhal Novo</t>
  </si>
  <si>
    <t>M261/25</t>
  </si>
  <si>
    <t>143/25</t>
  </si>
  <si>
    <t>144/25</t>
  </si>
  <si>
    <t>M411/25</t>
  </si>
  <si>
    <t>M519/25</t>
  </si>
  <si>
    <t>Mortágua</t>
  </si>
  <si>
    <t>M520/25</t>
  </si>
  <si>
    <t>M518/25</t>
  </si>
  <si>
    <t>M501/25</t>
  </si>
  <si>
    <t>Castelo de Paiva</t>
  </si>
  <si>
    <t>Falta enviar certificados de Otilogia, não enviaram os dados</t>
  </si>
  <si>
    <t>M474/25</t>
  </si>
  <si>
    <t>M213/25</t>
  </si>
  <si>
    <t>M521/25</t>
  </si>
  <si>
    <t>M486/25</t>
  </si>
  <si>
    <t>M487/25</t>
  </si>
  <si>
    <t>ELPTMED_325/25</t>
  </si>
  <si>
    <t>CB/PP</t>
  </si>
  <si>
    <t>IF/FG</t>
  </si>
  <si>
    <t>ELPTMED_326/25</t>
  </si>
  <si>
    <t>e-Ergonomia 8h</t>
  </si>
  <si>
    <t>ELPTMED_327/25</t>
  </si>
  <si>
    <t>ELPTMED_328/25</t>
  </si>
  <si>
    <t>PP/CB/SQ</t>
  </si>
  <si>
    <t>SF/IF/FG</t>
  </si>
  <si>
    <t>ELPTMED_329/25</t>
  </si>
  <si>
    <t>ELPTMED_330/25</t>
  </si>
  <si>
    <t>ELPTMED_331/25</t>
  </si>
  <si>
    <t>e-CSO - Coordenação de Segurança em Obra_35h</t>
  </si>
  <si>
    <t>ELPTMED_332/25</t>
  </si>
  <si>
    <t>ELPTMED_333/25</t>
  </si>
  <si>
    <t>ELPTMED_334/25</t>
  </si>
  <si>
    <t>CB/SQ</t>
  </si>
  <si>
    <t>ELPTMED_335/25</t>
  </si>
  <si>
    <t>ELPTMED_336/25</t>
  </si>
  <si>
    <t>ELPTMED_337/25</t>
  </si>
  <si>
    <t>ELPTMED_338/25</t>
  </si>
  <si>
    <t>ELPTMED_339/25</t>
  </si>
  <si>
    <t>Falta de pagamento</t>
  </si>
  <si>
    <t>ELPTMED_340/25</t>
  </si>
  <si>
    <t>Certificados de Agosto</t>
  </si>
  <si>
    <t>ELPTMED_341/25</t>
  </si>
  <si>
    <t>ELPTMED_342/25</t>
  </si>
  <si>
    <t>ELPTMED_343/25</t>
  </si>
  <si>
    <t>ELPTMED_344/25</t>
  </si>
  <si>
    <t>ELPTMED_345/25</t>
  </si>
  <si>
    <t>e-Tacógrafos Digitais - V.25 - 8h Presencial</t>
  </si>
  <si>
    <t>ELPTMED_346/25</t>
  </si>
  <si>
    <t>e-Gestão de Tempo e de Stress 8h</t>
  </si>
  <si>
    <t>ELPTMED_347/25</t>
  </si>
  <si>
    <t>IF/SF</t>
  </si>
  <si>
    <t>ELPTMED_348/25</t>
  </si>
  <si>
    <t>ELPTMED_349/25</t>
  </si>
  <si>
    <t>e-Máquinas de Movimentação de Terras 8h</t>
  </si>
  <si>
    <t>ELPTMED_350/25</t>
  </si>
  <si>
    <t>ELPTMED_351/25</t>
  </si>
  <si>
    <t>terminou a 24-08</t>
  </si>
  <si>
    <t>ELPTMED_352/25</t>
  </si>
  <si>
    <t>RETD - e-Learning</t>
  </si>
  <si>
    <t>ELPTMED_353/25</t>
  </si>
  <si>
    <t>ELPTMED_354/25</t>
  </si>
  <si>
    <t>ELPTMED_355/25</t>
  </si>
  <si>
    <t>ELPTMED_356/25</t>
  </si>
  <si>
    <t>e-Tacógrafos Digitais - V.25</t>
  </si>
  <si>
    <t>ELPTMED_357/25</t>
  </si>
  <si>
    <t>ELPTMED_358/25</t>
  </si>
  <si>
    <t>ELPTMED_359/25</t>
  </si>
  <si>
    <t>ELPTMED_360/25</t>
  </si>
  <si>
    <t>ELPTMED_361/25</t>
  </si>
  <si>
    <t>e-Comunicação e Qualidade no Atendimento 8h</t>
  </si>
  <si>
    <t>ELPTMED_362/25</t>
  </si>
  <si>
    <t>e-Finanças para Não Financeiros_8h</t>
  </si>
  <si>
    <t>ELPTMED_363/25</t>
  </si>
  <si>
    <t>ELPTMED_364/25</t>
  </si>
  <si>
    <t>ELPTMED_367/25</t>
  </si>
  <si>
    <t>SQ/PP</t>
  </si>
  <si>
    <t>ELPTMED_368/25</t>
  </si>
  <si>
    <t>ELPTMED_369/25</t>
  </si>
  <si>
    <t>e-Atendimento e Venda Presencial 8h</t>
  </si>
  <si>
    <t>ELPTMED_370/25</t>
  </si>
  <si>
    <t>ELPTMED_371/25</t>
  </si>
  <si>
    <t>ELPTMED_372/25</t>
  </si>
  <si>
    <t>HST (e-learning)</t>
  </si>
  <si>
    <t>ELPTMED_373/25</t>
  </si>
  <si>
    <t>ELPTMED_374/25</t>
  </si>
  <si>
    <t>ELPTMED_375/25</t>
  </si>
  <si>
    <t>ELPTTCV_067/25</t>
  </si>
  <si>
    <t>ELPTTCV_068/25</t>
  </si>
  <si>
    <t>E-Gestão de Stress e Conflitos</t>
  </si>
  <si>
    <t>ELPTTCV_069/25</t>
  </si>
  <si>
    <t>ELPTTCV_070/25</t>
  </si>
  <si>
    <t>ELPTTCV_071/25</t>
  </si>
  <si>
    <t>e-HST para motoristas 8h</t>
  </si>
  <si>
    <t>ELPTTCV_072/25</t>
  </si>
  <si>
    <t>ELPTTCV_073/25</t>
  </si>
  <si>
    <t>TVNC (e-Learning)</t>
  </si>
  <si>
    <t>Falta fazer SIGO</t>
  </si>
  <si>
    <t>ELPTTCV_074/25</t>
  </si>
  <si>
    <t>E-Primeiros Socorros</t>
  </si>
  <si>
    <t>O Nif do formando não está correto no SIGO</t>
  </si>
  <si>
    <t>ELPTTCV_075/25</t>
  </si>
  <si>
    <t>ELPTTCV_076/25</t>
  </si>
  <si>
    <t>E-Fidelização de Clientes</t>
  </si>
  <si>
    <t>ELPTTCV_077/25</t>
  </si>
  <si>
    <t>ELPTTCV_078/25</t>
  </si>
  <si>
    <t>HST-Elearning</t>
  </si>
  <si>
    <t>ELPTTCV_079/25</t>
  </si>
  <si>
    <t>CED (E-Learning)</t>
  </si>
  <si>
    <t>ELPTTCV_080/25</t>
  </si>
  <si>
    <t>E-Combate a incêndios</t>
  </si>
  <si>
    <t>ELPTTCV_082/25</t>
  </si>
  <si>
    <t>M309/25</t>
  </si>
  <si>
    <t>Almeirim</t>
  </si>
  <si>
    <t>M491/25</t>
  </si>
  <si>
    <t>SMUDA</t>
  </si>
  <si>
    <t>Peniche</t>
  </si>
  <si>
    <t>M492/25</t>
  </si>
  <si>
    <t>CSO</t>
  </si>
  <si>
    <t>M535/25</t>
  </si>
  <si>
    <t>M538/25</t>
  </si>
  <si>
    <t>M314/25</t>
  </si>
  <si>
    <t>MM</t>
  </si>
  <si>
    <t>Torres Vedras</t>
  </si>
  <si>
    <t>Faltam dados, enviei certificados dos dados que tinha.</t>
  </si>
  <si>
    <t>M408/25</t>
  </si>
  <si>
    <t>Aveiro</t>
  </si>
  <si>
    <t>Jorge Augusto</t>
  </si>
  <si>
    <t>M045/25</t>
  </si>
  <si>
    <t>São Jorge de Pevidem</t>
  </si>
  <si>
    <t>136/25</t>
  </si>
  <si>
    <t>Benavente</t>
  </si>
  <si>
    <t>M308/25</t>
  </si>
  <si>
    <t>138/25</t>
  </si>
  <si>
    <t>M524/25</t>
  </si>
  <si>
    <t>M525/25</t>
  </si>
  <si>
    <t>M526/25</t>
  </si>
  <si>
    <t>137/25</t>
  </si>
  <si>
    <t>João Gomes</t>
  </si>
  <si>
    <t>M539/25</t>
  </si>
  <si>
    <t>Faltam dados de uma empresa, mas os outros certificados estão feitos</t>
  </si>
  <si>
    <t>M315/25</t>
  </si>
  <si>
    <t>Sertã/Pedrgão</t>
  </si>
  <si>
    <t>SD</t>
  </si>
  <si>
    <t>M534/25</t>
  </si>
  <si>
    <t>M540/25</t>
  </si>
  <si>
    <t>GSC</t>
  </si>
  <si>
    <t>Óbidos</t>
  </si>
  <si>
    <t>139/25</t>
  </si>
  <si>
    <t>M503/25</t>
  </si>
  <si>
    <t>130/25</t>
  </si>
  <si>
    <t>Vila de Rei</t>
  </si>
  <si>
    <t>Hernani Francisco</t>
  </si>
  <si>
    <t>M546/25</t>
  </si>
  <si>
    <t>Venda do Pinheiro</t>
  </si>
  <si>
    <t>Vitor Brito</t>
  </si>
  <si>
    <t>M504/25</t>
  </si>
  <si>
    <t>M544/25</t>
  </si>
  <si>
    <t>M545/25</t>
  </si>
  <si>
    <t>M488/25</t>
  </si>
  <si>
    <t>M489/25</t>
  </si>
  <si>
    <t>M541/25</t>
  </si>
  <si>
    <t>Bruno Monteiro</t>
  </si>
  <si>
    <t>M364/25</t>
  </si>
  <si>
    <t>ELPTMED_376/25</t>
  </si>
  <si>
    <t>ELPTMED_377/25</t>
  </si>
  <si>
    <t>ELPTMED_378/25</t>
  </si>
  <si>
    <t>ELPTMED_379/25</t>
  </si>
  <si>
    <t>ELPTMED_380/25</t>
  </si>
  <si>
    <t>CB/PP/SQ</t>
  </si>
  <si>
    <t>IF/SF/FG</t>
  </si>
  <si>
    <t>ELPTMED_382/25</t>
  </si>
  <si>
    <t>ELPTMED_383/25</t>
  </si>
  <si>
    <t>ELPTMED_384/25</t>
  </si>
  <si>
    <t>SQ/CB</t>
  </si>
  <si>
    <t>FG/IF</t>
  </si>
  <si>
    <t>ELPTMED_385/25</t>
  </si>
  <si>
    <t>ELPTMED_386/25</t>
  </si>
  <si>
    <t>ELPTMED_387/25</t>
  </si>
  <si>
    <t>ELPTMED_388/25</t>
  </si>
  <si>
    <t>ELPTMED_389/25</t>
  </si>
  <si>
    <t>ELPTMED_390/25</t>
  </si>
  <si>
    <t>ELPTMED_391/25</t>
  </si>
  <si>
    <t>ELPTMED_392/25</t>
  </si>
  <si>
    <t>ELPTMED_393/25</t>
  </si>
  <si>
    <t>ELPTMED_394/25</t>
  </si>
  <si>
    <t>SPR (e-learning)</t>
  </si>
  <si>
    <t>ELPTMED_395/25</t>
  </si>
  <si>
    <t>MG (e-learning)</t>
  </si>
  <si>
    <t>ELPTMED_396/25</t>
  </si>
  <si>
    <t>ELPTMED_397/25</t>
  </si>
  <si>
    <t>ELPTMED_398/25</t>
  </si>
  <si>
    <t>ELPTMED_399/25</t>
  </si>
  <si>
    <t>ELPTMED_400/25</t>
  </si>
  <si>
    <t>e-Trabalho em Altura (Andaimes, Escadas, Plataformas) 16h</t>
  </si>
  <si>
    <t>ELPTMED_401/25</t>
  </si>
  <si>
    <t>ELPTMED_402/25</t>
  </si>
  <si>
    <t>ELPTMED_403/25</t>
  </si>
  <si>
    <t>ELPTMED_404/25</t>
  </si>
  <si>
    <t>ELPTMED_405/25</t>
  </si>
  <si>
    <t>ELPTMED_406/25</t>
  </si>
  <si>
    <t>ELPTMED_407/25</t>
  </si>
  <si>
    <t>ELPTMED_408/25</t>
  </si>
  <si>
    <t>ELPTMED_409/25</t>
  </si>
  <si>
    <t>GEC (E-Learning)</t>
  </si>
  <si>
    <t>ELPTMED_410/25</t>
  </si>
  <si>
    <t>Excel Fundamental 25h - el</t>
  </si>
  <si>
    <t>ELPTMED_411/25</t>
  </si>
  <si>
    <t>ELPTSEEP_005/25</t>
  </si>
  <si>
    <t>EXC (E-Learning)</t>
  </si>
  <si>
    <t>ELPTTCV_083/25</t>
  </si>
  <si>
    <t>ELPTTCV_084/25</t>
  </si>
  <si>
    <t>ELPTTCV_085/25</t>
  </si>
  <si>
    <t>ELPTTCV_086/25</t>
  </si>
  <si>
    <t>ELPTTCV_087/25</t>
  </si>
  <si>
    <t>ELPTTCV_088/25</t>
  </si>
  <si>
    <t>ELPTTCV_089/25</t>
  </si>
  <si>
    <t>E-Gestão de Cobranças 8h</t>
  </si>
  <si>
    <t>ELPTTCV_090/25</t>
  </si>
  <si>
    <t>ELPTTCV_091/25</t>
  </si>
  <si>
    <t>ELPTTCV_092/25</t>
  </si>
  <si>
    <t>FALTA SIGO</t>
  </si>
  <si>
    <t>ELPTTCV_093/25</t>
  </si>
  <si>
    <t>e-Liderança 8h</t>
  </si>
  <si>
    <t>065/25</t>
  </si>
  <si>
    <t>M549/25</t>
  </si>
  <si>
    <t>TS</t>
  </si>
  <si>
    <t>M550/25</t>
  </si>
  <si>
    <t>M359/25</t>
  </si>
  <si>
    <t>M490/25</t>
  </si>
  <si>
    <t>ID</t>
  </si>
  <si>
    <t>018/15</t>
  </si>
  <si>
    <t>M548/25</t>
  </si>
  <si>
    <t>M210/25</t>
  </si>
  <si>
    <t>147/25</t>
  </si>
  <si>
    <t>057/25</t>
  </si>
  <si>
    <t>M301/25</t>
  </si>
  <si>
    <t>M456/25</t>
  </si>
  <si>
    <t>M469/25</t>
  </si>
  <si>
    <t>Certificados feitos exceto MC - Manuel Carvalho</t>
  </si>
  <si>
    <t>M536/25</t>
  </si>
  <si>
    <t>Borda do Campo</t>
  </si>
  <si>
    <t>M537/25</t>
  </si>
  <si>
    <t>151/25</t>
  </si>
  <si>
    <t>M357/25</t>
  </si>
  <si>
    <t xml:space="preserve"> Não</t>
  </si>
  <si>
    <t>M304/25</t>
  </si>
  <si>
    <t>M554/25</t>
  </si>
  <si>
    <t>M556/25</t>
  </si>
  <si>
    <t>145/25</t>
  </si>
  <si>
    <t>M528/25</t>
  </si>
  <si>
    <t>GE</t>
  </si>
  <si>
    <t>M412/25</t>
  </si>
  <si>
    <t>149/25</t>
  </si>
  <si>
    <t>Ilhavo</t>
  </si>
  <si>
    <t>M457/25</t>
  </si>
  <si>
    <t>M523/25</t>
  </si>
  <si>
    <t>123/25</t>
  </si>
  <si>
    <t>154/25</t>
  </si>
  <si>
    <t>CAM MERC</t>
  </si>
  <si>
    <t>Várias</t>
  </si>
  <si>
    <t>M575/25</t>
  </si>
  <si>
    <t>Oliveira do Bairro</t>
  </si>
  <si>
    <t>M385/25</t>
  </si>
  <si>
    <t>M576/25</t>
  </si>
  <si>
    <t>M507/25</t>
  </si>
  <si>
    <t>Abrigada</t>
  </si>
  <si>
    <t>120/25</t>
  </si>
  <si>
    <t>M330/25</t>
  </si>
  <si>
    <t>MPQ</t>
  </si>
  <si>
    <t>M529/25</t>
  </si>
  <si>
    <t>M577/25</t>
  </si>
  <si>
    <t>M578/25</t>
  </si>
  <si>
    <t>M510/25</t>
  </si>
  <si>
    <t>155/25</t>
  </si>
  <si>
    <t>Vila Velha De Rodão</t>
  </si>
  <si>
    <t>M574/25</t>
  </si>
  <si>
    <t>Mação</t>
  </si>
  <si>
    <t>M573/25</t>
  </si>
  <si>
    <t>M604/25</t>
  </si>
  <si>
    <t>M265/25</t>
  </si>
  <si>
    <t>152/25</t>
  </si>
  <si>
    <t>156/25</t>
  </si>
  <si>
    <t>M597/25</t>
  </si>
  <si>
    <t>M599/25</t>
  </si>
  <si>
    <t>M603/25</t>
  </si>
  <si>
    <t>M485/25</t>
  </si>
  <si>
    <t>M608/25</t>
  </si>
  <si>
    <t>M587/25</t>
  </si>
  <si>
    <t>M552/25</t>
  </si>
  <si>
    <t>ELPTMED_412/25</t>
  </si>
  <si>
    <t>SF/CB/TS</t>
  </si>
  <si>
    <t>SP/IF/SD</t>
  </si>
  <si>
    <t>ELPTMED_413/25</t>
  </si>
  <si>
    <t>ELPTMED_414/25</t>
  </si>
  <si>
    <t>CB/SF</t>
  </si>
  <si>
    <t>IF/SP</t>
  </si>
  <si>
    <t>ELPTMED_415/25</t>
  </si>
  <si>
    <t>PTR Elearning</t>
  </si>
  <si>
    <t>ELPTMED_416/25</t>
  </si>
  <si>
    <t>SF/TS</t>
  </si>
  <si>
    <t>ELPTMED_417/25</t>
  </si>
  <si>
    <t>IS (e-learning)</t>
  </si>
  <si>
    <t>ELPTMED_418/25</t>
  </si>
  <si>
    <t>SF/CB</t>
  </si>
  <si>
    <t>SP/IF</t>
  </si>
  <si>
    <t>ELPTMED_420/25</t>
  </si>
  <si>
    <t>ELPTMED_421/25</t>
  </si>
  <si>
    <t>ELPTMED_422/25</t>
  </si>
  <si>
    <t>el Trabalhador Designado 8h</t>
  </si>
  <si>
    <t>ELPTMED_478/25</t>
  </si>
  <si>
    <t>ELPTMED_423/25</t>
  </si>
  <si>
    <t>Gestão de Cobranças (E-Learning)</t>
  </si>
  <si>
    <t>ELPTMED_424/25</t>
  </si>
  <si>
    <t>ELPTMED_425/25</t>
  </si>
  <si>
    <t>TC E-learning</t>
  </si>
  <si>
    <t>TS/SF/CB</t>
  </si>
  <si>
    <t>SD/SP/IF</t>
  </si>
  <si>
    <t>ELPTMED_426/25</t>
  </si>
  <si>
    <t>e-Fidelização de Clientes 16h</t>
  </si>
  <si>
    <t>ELPTMED_427/25</t>
  </si>
  <si>
    <t>ELPTMED_428/25</t>
  </si>
  <si>
    <t>SHT - e-learning</t>
  </si>
  <si>
    <t>TS/SF</t>
  </si>
  <si>
    <t>SF/IF</t>
  </si>
  <si>
    <t>ELPTMED_429/25</t>
  </si>
  <si>
    <t>ELPTMED_430/25</t>
  </si>
  <si>
    <t>ELPTMED_431/25</t>
  </si>
  <si>
    <t>ELPTMED_432/25</t>
  </si>
  <si>
    <t>ELPTMED_433/25</t>
  </si>
  <si>
    <t>ELPTMED_434/25</t>
  </si>
  <si>
    <t>AC E learning</t>
  </si>
  <si>
    <t>ELPTMED_435/25</t>
  </si>
  <si>
    <t>ELPTMED_436/25</t>
  </si>
  <si>
    <t>eLearnin-ORTT 1 S/CF</t>
  </si>
  <si>
    <t>ELPTMED_437/25</t>
  </si>
  <si>
    <t>SF/ID/TS</t>
  </si>
  <si>
    <t>SP/FG/SD</t>
  </si>
  <si>
    <t>ELPTMED_438/25</t>
  </si>
  <si>
    <t>3 euros</t>
  </si>
  <si>
    <t>ELPTMED_439/25</t>
  </si>
  <si>
    <t>ELPTMED_440/25</t>
  </si>
  <si>
    <t>e-ISMET - Instruções de Segurança no Manuseamento de Equipamentos de Trabalho 4h</t>
  </si>
  <si>
    <t>ELPTMED_441/25</t>
  </si>
  <si>
    <t>Segurança e Higiene no Trabalho 8h</t>
  </si>
  <si>
    <t>ELPTMED_442/25</t>
  </si>
  <si>
    <t>TVNC (E-Learning)</t>
  </si>
  <si>
    <t>ELPTMED_443/25</t>
  </si>
  <si>
    <t>SF/TS/CB</t>
  </si>
  <si>
    <t>SP/SD/IF</t>
  </si>
  <si>
    <t>ELPTMED_444/25</t>
  </si>
  <si>
    <t>ELPTMED_445/25</t>
  </si>
  <si>
    <t>ELPTMED_446/25</t>
  </si>
  <si>
    <t>ELPTMED_447/25</t>
  </si>
  <si>
    <t>ELPTMED_479/25</t>
  </si>
  <si>
    <t>ELPTMED_448/25</t>
  </si>
  <si>
    <t>ISMET- e-learning</t>
  </si>
  <si>
    <t>ELPTMED_449/25</t>
  </si>
  <si>
    <t>CB/TS</t>
  </si>
  <si>
    <t>IF/SD</t>
  </si>
  <si>
    <t>ELPTMED_450/25</t>
  </si>
  <si>
    <t>ELPTMED_451/25</t>
  </si>
  <si>
    <t>ELPTMED_452/25</t>
  </si>
  <si>
    <t>ELPTMED_453/25</t>
  </si>
  <si>
    <t>TD E-Learning</t>
  </si>
  <si>
    <t>ELPTMED_480/25</t>
  </si>
  <si>
    <t>ELPTMED_454/25</t>
  </si>
  <si>
    <t>ELPTMED_455/25</t>
  </si>
  <si>
    <t>ARA(E-Learning)</t>
  </si>
  <si>
    <t>ELPTMED_456/25</t>
  </si>
  <si>
    <t>ELPTMED_457/25</t>
  </si>
  <si>
    <t>SF/ID</t>
  </si>
  <si>
    <t>ELPTMED_458/25</t>
  </si>
  <si>
    <t>ELPTMED_459/25</t>
  </si>
  <si>
    <t>ELPTMED_460/25</t>
  </si>
  <si>
    <t>GTR (E-Learning)</t>
  </si>
  <si>
    <t>ELPTMED_461/25</t>
  </si>
  <si>
    <t>CB/ID</t>
  </si>
  <si>
    <t>ELPTMED_462/25</t>
  </si>
  <si>
    <t>ELPTMED_463/25</t>
  </si>
  <si>
    <t>ELPTMED_464/25</t>
  </si>
  <si>
    <t>ELPTMED_465/25</t>
  </si>
  <si>
    <t>SP/SD</t>
  </si>
  <si>
    <t>ELPTMED_466/25</t>
  </si>
  <si>
    <t>ELPTMED_467/25</t>
  </si>
  <si>
    <t>ELPTMED_468/25</t>
  </si>
  <si>
    <t>GQ ISSO(E-Learning)</t>
  </si>
  <si>
    <t>ELPTMED_469/25</t>
  </si>
  <si>
    <t>ELPTMED_470/25</t>
  </si>
  <si>
    <t>ELPTMED_471/25</t>
  </si>
  <si>
    <t>e-HST - Higiene, Segurança do Trabalho 16h</t>
  </si>
  <si>
    <t>ELPTMED_472/25</t>
  </si>
  <si>
    <t>e-M5S - Metodologia 5S_8h</t>
  </si>
  <si>
    <t>ID/TS</t>
  </si>
  <si>
    <t>FG/SD</t>
  </si>
  <si>
    <t>ELPTMED_473/25</t>
  </si>
  <si>
    <t>ELPTMED_474/25</t>
  </si>
  <si>
    <t>ELPTMED_475/25</t>
  </si>
  <si>
    <t>ELPTMED_476/25</t>
  </si>
  <si>
    <t>ELPTMED_477/25</t>
  </si>
  <si>
    <t>ELPTSEEP_006/25</t>
  </si>
  <si>
    <t>ELPTTCV_094/25</t>
  </si>
  <si>
    <t>ELPTTCV_095/25</t>
  </si>
  <si>
    <t>AFC elearning</t>
  </si>
  <si>
    <t>ELPTTCV_096/25</t>
  </si>
  <si>
    <t>ELPTTCV_097/25</t>
  </si>
  <si>
    <t>ELPTTCV_098/25</t>
  </si>
  <si>
    <t>ID/SF</t>
  </si>
  <si>
    <t>ELPTTCV_099/25</t>
  </si>
  <si>
    <t>E-Gestão do Tempo e Organização do Trabalho</t>
  </si>
  <si>
    <t>ELPTTCV_100/25</t>
  </si>
  <si>
    <t>ELPTTCV_101/25</t>
  </si>
  <si>
    <t>ELPTTCV_102/25</t>
  </si>
  <si>
    <t>ID/CB</t>
  </si>
  <si>
    <t>ELPTTCV_103/25</t>
  </si>
  <si>
    <t>ELPTTCV_104/25</t>
  </si>
  <si>
    <t>ELPTTCV_105/25</t>
  </si>
  <si>
    <t>Tacógrafos Digitais - V.25 - 8h e-learning</t>
  </si>
  <si>
    <t>ELPTTCV_106/25</t>
  </si>
  <si>
    <t>ELPTTCV_107/25</t>
  </si>
  <si>
    <t>ELPTTCV_108/25</t>
  </si>
  <si>
    <t>ELPTTCV_109/25</t>
  </si>
  <si>
    <t>M209/25</t>
  </si>
  <si>
    <t>M588/25</t>
  </si>
  <si>
    <t>M413/25</t>
  </si>
  <si>
    <t>M542/25</t>
  </si>
  <si>
    <t>Nelas</t>
  </si>
  <si>
    <t>M598/25</t>
  </si>
  <si>
    <t>Gouveia</t>
  </si>
  <si>
    <t>M211/25</t>
  </si>
  <si>
    <t>157/25</t>
  </si>
  <si>
    <t>Estremoz</t>
  </si>
  <si>
    <t>Faltam dados do Mun. Estremoz</t>
  </si>
  <si>
    <t>M560/25</t>
  </si>
  <si>
    <t>Viana do Alentejo</t>
  </si>
  <si>
    <t>148/25</t>
  </si>
  <si>
    <t>M553/25</t>
  </si>
  <si>
    <t>M610/25</t>
  </si>
  <si>
    <t>M558/25</t>
  </si>
  <si>
    <t>M606/25</t>
  </si>
  <si>
    <t>M562/25</t>
  </si>
  <si>
    <t>017/25</t>
  </si>
  <si>
    <t>EXCEL</t>
  </si>
  <si>
    <t>Termina em janeiro</t>
  </si>
  <si>
    <t>160/25</t>
  </si>
  <si>
    <t>M589/25</t>
  </si>
  <si>
    <t>M432/25</t>
  </si>
  <si>
    <t>146/25</t>
  </si>
  <si>
    <t>Guifões</t>
  </si>
  <si>
    <t>202/25</t>
  </si>
  <si>
    <t>Viana do Castelo</t>
  </si>
  <si>
    <t>M557/25</t>
  </si>
  <si>
    <t>159/25</t>
  </si>
  <si>
    <t>M581/25</t>
  </si>
  <si>
    <t>Nem dossier nem notas.</t>
  </si>
  <si>
    <t>126/25</t>
  </si>
  <si>
    <t>M613/25</t>
  </si>
  <si>
    <t>Figueiró dos Vinhos</t>
  </si>
  <si>
    <t>M363/25</t>
  </si>
  <si>
    <t>M621/25</t>
  </si>
  <si>
    <t>M564/25</t>
  </si>
  <si>
    <t>100/25</t>
  </si>
  <si>
    <t>M611/25</t>
  </si>
  <si>
    <t>M616/25</t>
  </si>
  <si>
    <t>M478/25</t>
  </si>
  <si>
    <t>Amadora</t>
  </si>
  <si>
    <t>M638/25</t>
  </si>
  <si>
    <t xml:space="preserve">Maia </t>
  </si>
  <si>
    <t>M639/25</t>
  </si>
  <si>
    <t>M571/25</t>
  </si>
  <si>
    <t>HSA</t>
  </si>
  <si>
    <t>Póvoa de Santa Iria</t>
  </si>
  <si>
    <t>M331/25</t>
  </si>
  <si>
    <t>M723/25</t>
  </si>
  <si>
    <t>M623/25</t>
  </si>
  <si>
    <t>109/25</t>
  </si>
  <si>
    <t>162/25</t>
  </si>
  <si>
    <t>Miranda do Corvo</t>
  </si>
  <si>
    <t>M245/25_170</t>
  </si>
  <si>
    <t>Não enviados porque não está pago</t>
  </si>
  <si>
    <t>M584/25</t>
  </si>
  <si>
    <t>M585/25</t>
  </si>
  <si>
    <t>M590/25_184</t>
  </si>
  <si>
    <t>M635/25</t>
  </si>
  <si>
    <t>M569/25</t>
  </si>
  <si>
    <t>M568/25</t>
  </si>
  <si>
    <t>M620/25</t>
  </si>
  <si>
    <t>M586/25_164</t>
  </si>
  <si>
    <t>M615/25</t>
  </si>
  <si>
    <t>163/25</t>
  </si>
  <si>
    <t>M039/25</t>
  </si>
  <si>
    <t>153/25</t>
  </si>
  <si>
    <t>204/25</t>
  </si>
  <si>
    <t>M531/25</t>
  </si>
  <si>
    <t>M622/25_189/25</t>
  </si>
  <si>
    <t>207/25</t>
  </si>
  <si>
    <t>M181/25</t>
  </si>
  <si>
    <t>206/25</t>
  </si>
  <si>
    <t>M602/25_176</t>
  </si>
  <si>
    <t>173/25</t>
  </si>
  <si>
    <t>M511/25</t>
  </si>
  <si>
    <t>195/25</t>
  </si>
  <si>
    <t>M053/25</t>
  </si>
  <si>
    <t>186/25</t>
  </si>
  <si>
    <t>161/25</t>
  </si>
  <si>
    <t>004/25</t>
  </si>
  <si>
    <t>ING</t>
  </si>
  <si>
    <t>M561/25</t>
  </si>
  <si>
    <t>019/25</t>
  </si>
  <si>
    <t>M602/25_196</t>
  </si>
  <si>
    <t>196/25</t>
  </si>
  <si>
    <t>M565/25</t>
  </si>
  <si>
    <t>Vila Pouca de Aguiar</t>
  </si>
  <si>
    <t>190/25</t>
  </si>
  <si>
    <t>177/25</t>
  </si>
  <si>
    <t>M624/25</t>
  </si>
  <si>
    <t>197/25</t>
  </si>
  <si>
    <t>169/25</t>
  </si>
  <si>
    <t>M631/25</t>
  </si>
  <si>
    <t>Setubal</t>
  </si>
  <si>
    <t>201/25</t>
  </si>
  <si>
    <t>Corroios</t>
  </si>
  <si>
    <t>185/25</t>
  </si>
  <si>
    <t>174/25</t>
  </si>
  <si>
    <t>175/25</t>
  </si>
  <si>
    <t>Vila Nova de Paiva</t>
  </si>
  <si>
    <t>135/25</t>
  </si>
  <si>
    <t>DL 50/2005</t>
  </si>
  <si>
    <t>M644/25</t>
  </si>
  <si>
    <t xml:space="preserve">M245/25 </t>
  </si>
  <si>
    <t>179/25</t>
  </si>
  <si>
    <t>193/25</t>
  </si>
  <si>
    <t>180/25</t>
  </si>
  <si>
    <t>M656/25</t>
  </si>
  <si>
    <t>M646/25</t>
  </si>
  <si>
    <t>191/25</t>
  </si>
  <si>
    <t>101/25</t>
  </si>
  <si>
    <t>M634/25</t>
  </si>
  <si>
    <t>192/25</t>
  </si>
  <si>
    <t>M582/25</t>
  </si>
  <si>
    <t>M566/25</t>
  </si>
  <si>
    <t>165/25</t>
  </si>
  <si>
    <t>M444/25_168</t>
  </si>
  <si>
    <t>Bobadela</t>
  </si>
  <si>
    <t>M532/25</t>
  </si>
  <si>
    <t>209/25</t>
  </si>
  <si>
    <t>198/25</t>
  </si>
  <si>
    <t>Forte da Casa</t>
  </si>
  <si>
    <t>210/25</t>
  </si>
  <si>
    <t>172/25</t>
  </si>
  <si>
    <t>200/25</t>
  </si>
  <si>
    <t>Vila Franca de Xira</t>
  </si>
  <si>
    <t>Manuel Nascimento - confirmado</t>
  </si>
  <si>
    <t>SQ #27.10.2025 Enviada</t>
  </si>
  <si>
    <t>SQ #29.10.2025 Enviada</t>
  </si>
  <si>
    <t>Sala cliente, projetor nosso</t>
  </si>
  <si>
    <t xml:space="preserve"> </t>
  </si>
  <si>
    <t>João Gomes - confirmado</t>
  </si>
  <si>
    <t>SQ #03.11.2025 Enviada</t>
  </si>
  <si>
    <t>M551/25</t>
  </si>
  <si>
    <t xml:space="preserve">SD </t>
  </si>
  <si>
    <t>Francisco Lima - confirmado</t>
  </si>
  <si>
    <t>SQ #28.10.2025 Enviada</t>
  </si>
  <si>
    <t>Sala cliente, projetor formador</t>
  </si>
  <si>
    <t>SQ #12.11.2025</t>
  </si>
  <si>
    <t>239/25</t>
  </si>
  <si>
    <t>José Brites - confirmado</t>
  </si>
  <si>
    <t>SQ #04.11.2025 Enviada</t>
  </si>
  <si>
    <t>240/25</t>
  </si>
  <si>
    <t>M514/25_M696</t>
  </si>
  <si>
    <t xml:space="preserve">IF </t>
  </si>
  <si>
    <t>Luis da Silva - confirmado</t>
  </si>
  <si>
    <t>SQ #24.10.2025 Enviada</t>
  </si>
  <si>
    <t>SQ #19.11.2025</t>
  </si>
  <si>
    <t>M668/25</t>
  </si>
  <si>
    <t>SQ #06.11.2025 Enviada</t>
  </si>
  <si>
    <t>AM #30.12.2025</t>
  </si>
  <si>
    <t>M547/25</t>
  </si>
  <si>
    <t>Certificados feitos, mas faltam dados do Arlindo.</t>
  </si>
  <si>
    <t>Diogo Duarte - confirmado</t>
  </si>
  <si>
    <t>247/25_M706/25</t>
  </si>
  <si>
    <t>Luis Casquinha - confirmado</t>
  </si>
  <si>
    <t>SQ #05.11.2025 Enviada</t>
  </si>
  <si>
    <t>M567/25</t>
  </si>
  <si>
    <t>224/25</t>
  </si>
  <si>
    <t>AS #30.12.2025</t>
  </si>
  <si>
    <t>171/25</t>
  </si>
  <si>
    <t>Diogo Gomes - confirmado</t>
  </si>
  <si>
    <t>Sala cliente, projetor cliente</t>
  </si>
  <si>
    <t>222/25</t>
  </si>
  <si>
    <t>Jorge Augusto - confirmado</t>
  </si>
  <si>
    <t>M683/25</t>
  </si>
  <si>
    <t>José Fernandes - confirmado</t>
  </si>
  <si>
    <t>Alugada (School House Gaia)</t>
  </si>
  <si>
    <t>Não pedir os dados.</t>
  </si>
  <si>
    <t>217/25</t>
  </si>
  <si>
    <t>M689/25</t>
  </si>
  <si>
    <t>Mauro Silva - confirmado</t>
  </si>
  <si>
    <t>SQ #07.11.2025 Enviada</t>
  </si>
  <si>
    <t>250/25</t>
  </si>
  <si>
    <t>M347/25</t>
  </si>
  <si>
    <t>Ana Isabel Sousa - confirmado</t>
  </si>
  <si>
    <t>M636/25</t>
  </si>
  <si>
    <t>José Lopez - confirmado</t>
  </si>
  <si>
    <t>231/25</t>
  </si>
  <si>
    <t>Vitor Sousa - confirmado</t>
  </si>
  <si>
    <t>M286/25</t>
  </si>
  <si>
    <t>João Antunes - confirmado</t>
  </si>
  <si>
    <t>M655/25</t>
  </si>
  <si>
    <t>Falta pagar o Transquim.</t>
  </si>
  <si>
    <t>Alugada (Cowork)</t>
  </si>
  <si>
    <t>223/25_M533/25</t>
  </si>
  <si>
    <t>Samora Correia</t>
  </si>
  <si>
    <t>Ricardo Vinhais - confirmado</t>
  </si>
  <si>
    <t>216/25</t>
  </si>
  <si>
    <t>Faltam dados.</t>
  </si>
  <si>
    <t>Alugada (Hotel Lis batalha)</t>
  </si>
  <si>
    <t>212/25</t>
  </si>
  <si>
    <t>Fernando Galvão Jesus - confirmado</t>
  </si>
  <si>
    <t>219/25</t>
  </si>
  <si>
    <t>João Martinho - confirmado</t>
  </si>
  <si>
    <t>Alugada (Movalmeirim)</t>
  </si>
  <si>
    <t>M629/25</t>
  </si>
  <si>
    <t>M643/25</t>
  </si>
  <si>
    <t>Isabel Fernandes - confirmado</t>
  </si>
  <si>
    <t>Alugada (Talentus Figueira da Foz)</t>
  </si>
  <si>
    <t>M682/25</t>
  </si>
  <si>
    <t>Certificados feitos, mas faltam dados.</t>
  </si>
  <si>
    <t>Ricardo Pimentel - confirmado</t>
  </si>
  <si>
    <t>M645/25</t>
  </si>
  <si>
    <t>Certificados foram feitos, mas falta dados Silvarui.</t>
  </si>
  <si>
    <t>Miguel Perdigão - confirmado</t>
  </si>
  <si>
    <t>194/25</t>
  </si>
  <si>
    <t>228/25</t>
  </si>
  <si>
    <t>Donas</t>
  </si>
  <si>
    <t>Bruno Gomes - confirmado</t>
  </si>
  <si>
    <t>Alugada (GADonas)</t>
  </si>
  <si>
    <t>M445/25</t>
  </si>
  <si>
    <t>226/25</t>
  </si>
  <si>
    <t>M680/25</t>
  </si>
  <si>
    <t>Frederico Moreira - confirmado</t>
  </si>
  <si>
    <t>Alugada (Ginasios Da Vinci)</t>
  </si>
  <si>
    <t>M693/25_220</t>
  </si>
  <si>
    <t>254/25</t>
  </si>
  <si>
    <t>M694/25_246/25</t>
  </si>
  <si>
    <t>Paulo Correia - confirmado</t>
  </si>
  <si>
    <t>M691/25_252/25</t>
  </si>
  <si>
    <t>Marcelo Fernandes - confirmado</t>
  </si>
  <si>
    <t>M513/25</t>
  </si>
  <si>
    <t>M699/25</t>
  </si>
  <si>
    <t>Pedro Osório - Confirmado</t>
  </si>
  <si>
    <t>SQ #12.11.2025 Enviada</t>
  </si>
  <si>
    <t xml:space="preserve">não </t>
  </si>
  <si>
    <t>199/25</t>
  </si>
  <si>
    <t>M692/25_253/25</t>
  </si>
  <si>
    <t>238/25</t>
  </si>
  <si>
    <t>M659/25</t>
  </si>
  <si>
    <t>SQ #13.11.2025 Enviada</t>
  </si>
  <si>
    <t>241/25</t>
  </si>
  <si>
    <t>242/25</t>
  </si>
  <si>
    <t>M701/25</t>
  </si>
  <si>
    <t>M625/25</t>
  </si>
  <si>
    <t>Alugada (Comunilog Loures)</t>
  </si>
  <si>
    <t>M712/25</t>
  </si>
  <si>
    <t>Macedo de Cavaleiros</t>
  </si>
  <si>
    <t>M695/25</t>
  </si>
  <si>
    <t>Carregado</t>
  </si>
  <si>
    <t>Mayara Viegas - confirmado</t>
  </si>
  <si>
    <t>SQ #13.11.2025 ENVIAR</t>
  </si>
  <si>
    <t>178/25</t>
  </si>
  <si>
    <t>Certificados feitos, mas faltam dados de duas empresas.</t>
  </si>
  <si>
    <t>Sala nossa, projetor nosso</t>
  </si>
  <si>
    <t>M715/25</t>
  </si>
  <si>
    <t>Não tem lista de formandos.</t>
  </si>
  <si>
    <t>M628/25</t>
  </si>
  <si>
    <t>Rúben Branco - confirmado</t>
  </si>
  <si>
    <t>M514/25</t>
  </si>
  <si>
    <t>M348/25</t>
  </si>
  <si>
    <t>M590/25</t>
  </si>
  <si>
    <t>102/25</t>
  </si>
  <si>
    <t>Enviei certificados mas faltam 2 dados.</t>
  </si>
  <si>
    <t>M572/25</t>
  </si>
  <si>
    <t>Mondim de Basto</t>
  </si>
  <si>
    <t>259/25</t>
  </si>
  <si>
    <t>Póvoa de Varzim</t>
  </si>
  <si>
    <t>Pedro Pereira - confirmado</t>
  </si>
  <si>
    <t>M651/25</t>
  </si>
  <si>
    <t>Alugada (Bombeiros)</t>
  </si>
  <si>
    <t>M612/25</t>
  </si>
  <si>
    <t>Vilar Formoso</t>
  </si>
  <si>
    <t>Alugada (Junta)</t>
  </si>
  <si>
    <t>M530/25</t>
  </si>
  <si>
    <t>M666/25</t>
  </si>
  <si>
    <t>PE</t>
  </si>
  <si>
    <t>M698/25</t>
  </si>
  <si>
    <t>M667/25</t>
  </si>
  <si>
    <t>Certificados feitos, mas não enviados os do Casimiro.</t>
  </si>
  <si>
    <t>M619/25</t>
  </si>
  <si>
    <t>Alugada (Associação INE)</t>
  </si>
  <si>
    <t>M617/25</t>
  </si>
  <si>
    <t>Miguel Mota - confirmado</t>
  </si>
  <si>
    <t>M702/25</t>
  </si>
  <si>
    <t>187/25</t>
  </si>
  <si>
    <t>Fiz certificados, mas faltam dados de alguns formandos.</t>
  </si>
  <si>
    <t>208/25</t>
  </si>
  <si>
    <t>SQ #14.11.2025 Enviada</t>
  </si>
  <si>
    <t>M710/25</t>
  </si>
  <si>
    <t>Coruche</t>
  </si>
  <si>
    <t>Pedro Carriço - confirmado</t>
  </si>
  <si>
    <t>233/25</t>
  </si>
  <si>
    <t>Manuela Trepado - confirmado</t>
  </si>
  <si>
    <t>Sala cliente, cliente com tv</t>
  </si>
  <si>
    <t>018/25</t>
  </si>
  <si>
    <t>255/25</t>
  </si>
  <si>
    <t>M726/25</t>
  </si>
  <si>
    <t>CB #17.11.2025 Enviada</t>
  </si>
  <si>
    <t>SQ #18.11.2025 Enviada</t>
  </si>
  <si>
    <t>M727/25</t>
  </si>
  <si>
    <t>Não há pasta</t>
  </si>
  <si>
    <t>M607/25</t>
  </si>
  <si>
    <t>M630/25</t>
  </si>
  <si>
    <t>M676/25</t>
  </si>
  <si>
    <t>SQ #19.11.2025 Enviada</t>
  </si>
  <si>
    <t>M609/25</t>
  </si>
  <si>
    <t>M515/25</t>
  </si>
  <si>
    <t>M512/25</t>
  </si>
  <si>
    <t>Aveleda</t>
  </si>
  <si>
    <t>Pedro Costa - confirmado</t>
  </si>
  <si>
    <t>M697/25</t>
  </si>
  <si>
    <t>223/25</t>
  </si>
  <si>
    <t>Não tem dados.</t>
  </si>
  <si>
    <t>Cláudia Gomes - confirmado</t>
  </si>
  <si>
    <t>SQ #20.11.2025 Enviada</t>
  </si>
  <si>
    <t>258/25</t>
  </si>
  <si>
    <t>M648/25</t>
  </si>
  <si>
    <t>CIE</t>
  </si>
  <si>
    <t>Não tenho dossier nem notas.</t>
  </si>
  <si>
    <t>M671/25</t>
  </si>
  <si>
    <t>Arcozelo</t>
  </si>
  <si>
    <t>Adolfo Moreira - confirmado</t>
  </si>
  <si>
    <t>232/25</t>
  </si>
  <si>
    <t>SHA</t>
  </si>
  <si>
    <t>M246/25</t>
  </si>
  <si>
    <t>Certificados feitos, mas não enviados por falta de pagamento.</t>
  </si>
  <si>
    <t>103/25</t>
  </si>
  <si>
    <t>São Cosme</t>
  </si>
  <si>
    <t>Certificados feitos, mas faltam 2 dados.</t>
  </si>
  <si>
    <t>M725/25</t>
  </si>
  <si>
    <t>M471/25</t>
  </si>
  <si>
    <t>Luis Milheiro - confirmado</t>
  </si>
  <si>
    <t>Alugada (Tecmaia)</t>
  </si>
  <si>
    <t>M736/25</t>
  </si>
  <si>
    <t>M735/25</t>
  </si>
  <si>
    <t>Alugada (Zona Verde)</t>
  </si>
  <si>
    <t>251/25</t>
  </si>
  <si>
    <t>Certificados feito, mas faltam dados.</t>
  </si>
  <si>
    <t>SQ #21.11.2025 Enviada</t>
  </si>
  <si>
    <t>Alugada (Eptoliva)</t>
  </si>
  <si>
    <t>FG e SF</t>
  </si>
  <si>
    <t>267/25</t>
  </si>
  <si>
    <t>077/25</t>
  </si>
  <si>
    <t>M720/25</t>
  </si>
  <si>
    <t>Gafanha da Nazaré</t>
  </si>
  <si>
    <t>Alugada (Ilhavos)</t>
  </si>
  <si>
    <t>M579/25</t>
  </si>
  <si>
    <t>Alcanede</t>
  </si>
  <si>
    <t>252/25</t>
  </si>
  <si>
    <t>M703/25</t>
  </si>
  <si>
    <t>M711/25</t>
  </si>
  <si>
    <t>Susana Soares - confirmado</t>
  </si>
  <si>
    <t>247/25</t>
  </si>
  <si>
    <t>Paulo Carvalho - confirmado</t>
  </si>
  <si>
    <t>M673/25</t>
  </si>
  <si>
    <t>M704/25</t>
  </si>
  <si>
    <t>Ermesinde</t>
  </si>
  <si>
    <t>Fernando Loureiro Jesus - confirmado</t>
  </si>
  <si>
    <t>M705/25</t>
  </si>
  <si>
    <t>Alugada (URBE)</t>
  </si>
  <si>
    <t>M633/25</t>
  </si>
  <si>
    <t>Certificados feitos, mas não há dados numa empresa.</t>
  </si>
  <si>
    <t>235/25</t>
  </si>
  <si>
    <t>Juliana Miranda - confirmado</t>
  </si>
  <si>
    <t>M637/25</t>
  </si>
  <si>
    <t>Alugada (Cowork Malvarosa)</t>
  </si>
  <si>
    <t>M660/25</t>
  </si>
  <si>
    <t>M047/25</t>
  </si>
  <si>
    <t>M570/25</t>
  </si>
  <si>
    <t>M728/25</t>
  </si>
  <si>
    <t>234/25</t>
  </si>
  <si>
    <t>Joaquim Álvaro - confirmado</t>
  </si>
  <si>
    <t>256/25</t>
  </si>
  <si>
    <t>257/25</t>
  </si>
  <si>
    <t>M650/25</t>
  </si>
  <si>
    <t>Esposende</t>
  </si>
  <si>
    <t>M657/25</t>
  </si>
  <si>
    <t>M441/25</t>
  </si>
  <si>
    <t>214/25</t>
  </si>
  <si>
    <t>SQ #24.11.2025 Enviada</t>
  </si>
  <si>
    <t>M719/25</t>
  </si>
  <si>
    <t>M717/25</t>
  </si>
  <si>
    <t>Odivelas</t>
  </si>
  <si>
    <t>Vitor Brito - confirmado</t>
  </si>
  <si>
    <t>M595/25</t>
  </si>
  <si>
    <t>Ana Rita Teixeira - confirmado</t>
  </si>
  <si>
    <t>SQ #28.11.2025 Enviada</t>
  </si>
  <si>
    <t>SQ #29.11.2025</t>
  </si>
  <si>
    <t>M594/25</t>
  </si>
  <si>
    <t>M679/25</t>
  </si>
  <si>
    <t>SQ #26.11.2025 Enviada</t>
  </si>
  <si>
    <t>M580/25</t>
  </si>
  <si>
    <t>Sala cliente, projetor</t>
  </si>
  <si>
    <t>M647/25</t>
  </si>
  <si>
    <t>QEA</t>
  </si>
  <si>
    <t>M747/25</t>
  </si>
  <si>
    <t>SQ #27.11.2025 Enviada</t>
  </si>
  <si>
    <t>Alugada (Da Vinci Viana)</t>
  </si>
  <si>
    <t>M741/25</t>
  </si>
  <si>
    <t>Fernando Pinto - confirmado</t>
  </si>
  <si>
    <t>Alugada (Quasimprovavel)</t>
  </si>
  <si>
    <t>277/25</t>
  </si>
  <si>
    <t>281/25</t>
  </si>
  <si>
    <t>Nuno Marques - confirmado</t>
  </si>
  <si>
    <t>M661/25</t>
  </si>
  <si>
    <t>M664/25</t>
  </si>
  <si>
    <t>Luis Custódio - confirmado</t>
  </si>
  <si>
    <t>M721/25</t>
  </si>
  <si>
    <t>M675/25</t>
  </si>
  <si>
    <t>Camarate</t>
  </si>
  <si>
    <t>M652/25</t>
  </si>
  <si>
    <t>M046/25</t>
  </si>
  <si>
    <t>José Pires - confirmado</t>
  </si>
  <si>
    <t>M737/25</t>
  </si>
  <si>
    <t>Alugada (Bombeiros Fátima)</t>
  </si>
  <si>
    <t>M522/25</t>
  </si>
  <si>
    <t>Ansião</t>
  </si>
  <si>
    <t>150/25</t>
  </si>
  <si>
    <t>Alugada (Bombeiros Ourem)</t>
  </si>
  <si>
    <t>280/25</t>
  </si>
  <si>
    <t>Alugada (Hotel Caldas da Rainha)</t>
  </si>
  <si>
    <t>243/25</t>
  </si>
  <si>
    <t>M674/25</t>
  </si>
  <si>
    <t>M654/25</t>
  </si>
  <si>
    <t>Alugada (Hotel SJ Tondela)</t>
  </si>
  <si>
    <t>M748/25</t>
  </si>
  <si>
    <t>M672/25</t>
  </si>
  <si>
    <t>Alugada (Junta Vilar Formoso)</t>
  </si>
  <si>
    <t>M744/25</t>
  </si>
  <si>
    <t>E-learning</t>
  </si>
  <si>
    <t>ELPTMED_543/25</t>
  </si>
  <si>
    <t>ELPTMED_544/25</t>
  </si>
  <si>
    <t>SF/CB/TS/JM</t>
  </si>
  <si>
    <t>ELPTMED_545/25</t>
  </si>
  <si>
    <t>ELPTMED_546/25</t>
  </si>
  <si>
    <t>ELPTMED_547/25</t>
  </si>
  <si>
    <t>ELPTMED_548/25</t>
  </si>
  <si>
    <t>e-IEA - Inteligência Emocional no Atendimento_16h</t>
  </si>
  <si>
    <t>ELPTMED_549/25</t>
  </si>
  <si>
    <t>ELPTMED_550/25</t>
  </si>
  <si>
    <t>EL - Pontes Rolantes 8h</t>
  </si>
  <si>
    <t>ELPTMED_551/25</t>
  </si>
  <si>
    <t>ELPTMED_552/25</t>
  </si>
  <si>
    <t>ELPTMED_553/25</t>
  </si>
  <si>
    <t>ELPTMED_554/25</t>
  </si>
  <si>
    <t>e-Eco-Condução 8h</t>
  </si>
  <si>
    <t>ELPTMED_555/25</t>
  </si>
  <si>
    <t>FNF (E-Learning)</t>
  </si>
  <si>
    <t>ELPTMED_556/25</t>
  </si>
  <si>
    <t>ELPTMED_557/25</t>
  </si>
  <si>
    <t>ELPTMED_558/25</t>
  </si>
  <si>
    <t>e-Gestão do Tempo e Organização do Trabalho 8h</t>
  </si>
  <si>
    <t>ELPTMED_559/25</t>
  </si>
  <si>
    <t>ELPTMED_560/25</t>
  </si>
  <si>
    <t>ELPTMED_561/25</t>
  </si>
  <si>
    <t>ELPTMED_562/25</t>
  </si>
  <si>
    <t>ELPTMED_563/25</t>
  </si>
  <si>
    <t>ELPTMED_564/25</t>
  </si>
  <si>
    <t>ELPTMED_565/25</t>
  </si>
  <si>
    <t>e-Atendimento e Serviço Pós-venda 8h</t>
  </si>
  <si>
    <t>ELPTMED_566/25</t>
  </si>
  <si>
    <t>e-Higiene e Segurança Alimentar_4h</t>
  </si>
  <si>
    <t>ELPTMED_568/25</t>
  </si>
  <si>
    <t>EL - TVNC</t>
  </si>
  <si>
    <t>ELPTMED_569/25</t>
  </si>
  <si>
    <t>e - Pontes Rolantes 8h</t>
  </si>
  <si>
    <t>TS/JM</t>
  </si>
  <si>
    <t>ELPTMED_570/25</t>
  </si>
  <si>
    <t>e - Tacógrafos Digitais - V.25 - 8h</t>
  </si>
  <si>
    <t>ELPTMED_571/25</t>
  </si>
  <si>
    <t>ELPTMED_572/25</t>
  </si>
  <si>
    <t>ELPTMED_573/25</t>
  </si>
  <si>
    <t>ELPTMED_574/25</t>
  </si>
  <si>
    <t>ELPTMED_575/25</t>
  </si>
  <si>
    <t>ELPTMED_576/25</t>
  </si>
  <si>
    <t>ELPTMED_577/25</t>
  </si>
  <si>
    <t>ELPTMED_578/25</t>
  </si>
  <si>
    <t>e-Condução económica e defensiva 8h</t>
  </si>
  <si>
    <t>CB/JM</t>
  </si>
  <si>
    <t>ELPTMED_579/25</t>
  </si>
  <si>
    <t>e-Gestão do Trabalho e Riscos Psicossociais 16h</t>
  </si>
  <si>
    <t>ELPTMED_580/25</t>
  </si>
  <si>
    <t>e-Gestão de Tempo e de Stress 16h</t>
  </si>
  <si>
    <t>ELPTMED_581/25</t>
  </si>
  <si>
    <t>e-IELE - Inteligencia Emocional na Liderança de Equipas_16h</t>
  </si>
  <si>
    <t>ELPTMED_582/25</t>
  </si>
  <si>
    <t>ELPTMED_583/25</t>
  </si>
  <si>
    <t>ELPTMED_584/25</t>
  </si>
  <si>
    <t>ELPTMED_585/25</t>
  </si>
  <si>
    <t>e-Primeiros Socorros 4h</t>
  </si>
  <si>
    <t>ELPTMED_586/25</t>
  </si>
  <si>
    <t>ELPTMED_587/25</t>
  </si>
  <si>
    <t>ELPTMED_588/25</t>
  </si>
  <si>
    <t>e- Tacógrafos Digitais</t>
  </si>
  <si>
    <t>ELPTMED_589/25</t>
  </si>
  <si>
    <t>e-HST - Higiene, Segurança do Trabalho 8h 2</t>
  </si>
  <si>
    <t>TS/CB</t>
  </si>
  <si>
    <t>ELPTMED_590/25</t>
  </si>
  <si>
    <t>ELPTMED_591/25</t>
  </si>
  <si>
    <t>Gestão do Tempo e Organização do Trabalho 8h</t>
  </si>
  <si>
    <t>ELPTMED_592/25</t>
  </si>
  <si>
    <t>ELPTMED_593/25</t>
  </si>
  <si>
    <t>e-Competências de Liderança_8h</t>
  </si>
  <si>
    <t>ELPTMED_594/25</t>
  </si>
  <si>
    <t>ELPTMED_595/25</t>
  </si>
  <si>
    <t>ELPTMED_596/25</t>
  </si>
  <si>
    <t>e-ISO 9001:2015 - Sistema de Gestão da Qualidade_8h</t>
  </si>
  <si>
    <t>ELPTMED_597/25</t>
  </si>
  <si>
    <t>e-Motivação e Otimização de Equipas_16h</t>
  </si>
  <si>
    <t>ELPTMED_598/25</t>
  </si>
  <si>
    <t>E - Pontes Rolantes 8h</t>
  </si>
  <si>
    <t>ELPTMED_599/25</t>
  </si>
  <si>
    <t>ELPTMED_600/25</t>
  </si>
  <si>
    <t>ELPTMED_601/25</t>
  </si>
  <si>
    <t>ELPTMED_602/25</t>
  </si>
  <si>
    <t>e-Combate a Incêndios 16h</t>
  </si>
  <si>
    <t>ELPTMED_603/25</t>
  </si>
  <si>
    <t>Contratos e Garantias do Crédito e-learning</t>
  </si>
  <si>
    <t>ELPTMED_604/25</t>
  </si>
  <si>
    <t>ELPTMED_605/25</t>
  </si>
  <si>
    <t>ELPTMED_606/25</t>
  </si>
  <si>
    <t>ELPTMED_607/25</t>
  </si>
  <si>
    <t>ELPTMED_608/25</t>
  </si>
  <si>
    <t>ELPTMED_609/25</t>
  </si>
  <si>
    <t>Ainda estão a fazer o curso.</t>
  </si>
  <si>
    <t>ELPTMED_610/25</t>
  </si>
  <si>
    <t>ELPTMED_611/25</t>
  </si>
  <si>
    <t>e-Gestão do Trabalho e Riscos Psicossociais 8h</t>
  </si>
  <si>
    <t>ELPTMED_612/25</t>
  </si>
  <si>
    <t>EL - - Segurança e Higiene no Trabalho 8h</t>
  </si>
  <si>
    <t>JM/TS/CB</t>
  </si>
  <si>
    <t>ELPTMED_613/25</t>
  </si>
  <si>
    <t>ELPTMED_614/25</t>
  </si>
  <si>
    <t>JM/TS/CB/SF</t>
  </si>
  <si>
    <t>ELPTMED_615/25</t>
  </si>
  <si>
    <t>ELPTMED_616/25</t>
  </si>
  <si>
    <t>MGM (e-learning)</t>
  </si>
  <si>
    <t>ELPTMED_617/25</t>
  </si>
  <si>
    <t>Primeiros Socorros 16h</t>
  </si>
  <si>
    <t>ELPTMED_618/25</t>
  </si>
  <si>
    <t>TD- E-learning</t>
  </si>
  <si>
    <t>ELPTMED_619/25</t>
  </si>
  <si>
    <t>Certificados feitos não enviados</t>
  </si>
  <si>
    <t>ELPTMED_620/25</t>
  </si>
  <si>
    <t>NÃO</t>
  </si>
  <si>
    <t>ELPTMED_621/25</t>
  </si>
  <si>
    <t>e-RAP_Regulamentação da atividade – Transporte Rodoviário de Passageiros 50h</t>
  </si>
  <si>
    <t>ELPTMED_622/25</t>
  </si>
  <si>
    <t>ELPTMED_623/25</t>
  </si>
  <si>
    <t>e-Atendimento e Serviço Pós-venda</t>
  </si>
  <si>
    <t>ELPTMED_624/25</t>
  </si>
  <si>
    <t>ELPTMED_625/25</t>
  </si>
  <si>
    <t>ELPTMED_626/25</t>
  </si>
  <si>
    <t>ELPTMED_627/25</t>
  </si>
  <si>
    <t>Tacógrafos Digitais - V.25 - 8h Presencial + el</t>
  </si>
  <si>
    <t>JM/SF</t>
  </si>
  <si>
    <t>ELPTMED_631/25</t>
  </si>
  <si>
    <t>ELPTMED_632/25</t>
  </si>
  <si>
    <t>GRC(E-Learning)</t>
  </si>
  <si>
    <t>02/012026</t>
  </si>
  <si>
    <t>ELPTSEEP_011/25</t>
  </si>
  <si>
    <t>ELPTSEEP_012/25</t>
  </si>
  <si>
    <t>ELPTTCV_160/25</t>
  </si>
  <si>
    <t>ELPTTCV_160/25 (Seep)</t>
  </si>
  <si>
    <t>E - Combate a incêndios 8h</t>
  </si>
  <si>
    <t>ELPTTCV_161/25 (Seep)</t>
  </si>
  <si>
    <t>Certificados feitos mas faltam dados.</t>
  </si>
  <si>
    <t>ELPTTCV_162/25 (Seep)</t>
  </si>
  <si>
    <t>ELPTTCV_163/25 (Seep)</t>
  </si>
  <si>
    <t>ELPTTCV_164/25 (Seep)</t>
  </si>
  <si>
    <t>ELPTTCV_165/25 (Seep)</t>
  </si>
  <si>
    <t>ELPTTCV_166/25 (Seep)</t>
  </si>
  <si>
    <t>EL - ISMET</t>
  </si>
  <si>
    <t>ELPTTCV_175/25 (SEEP)</t>
  </si>
  <si>
    <t>E - Primeiros Socorros 8h</t>
  </si>
  <si>
    <t>ELPTTCV_178/25 (SEEP)</t>
  </si>
  <si>
    <t>ELPTTCV_168/25</t>
  </si>
  <si>
    <t>EL - ORTT</t>
  </si>
  <si>
    <t>ELPTTCV_169/25</t>
  </si>
  <si>
    <t>ELPTTCV_170/25</t>
  </si>
  <si>
    <t>e- TC</t>
  </si>
  <si>
    <t>TS/CB/JM</t>
  </si>
  <si>
    <t>ELPTTCV_171/25</t>
  </si>
  <si>
    <t>ELPTTCV_172/25</t>
  </si>
  <si>
    <t>GTOT (E-Learning)</t>
  </si>
  <si>
    <t>ELPTTCV_174/25</t>
  </si>
  <si>
    <t>ELPTTCV_175/25</t>
  </si>
  <si>
    <t>e-Primeiros Socorros 8h</t>
  </si>
  <si>
    <t>SF/JM</t>
  </si>
  <si>
    <t>ELPTTCV_176/25</t>
  </si>
  <si>
    <t>ELPTTCV_177/25</t>
  </si>
  <si>
    <t>ELPTTCV_178/25</t>
  </si>
  <si>
    <t>ELPTTCV_179/25</t>
  </si>
  <si>
    <t>E - Gestão do Tempo e Organização do Trabalho 8h</t>
  </si>
  <si>
    <t>ELPTTCV_180/25</t>
  </si>
  <si>
    <t>e - Liderança 8h</t>
  </si>
  <si>
    <t>ELPTTCV_184/25</t>
  </si>
  <si>
    <t>ELPTTCV_185/25</t>
  </si>
  <si>
    <t>ELPTTCV_186/25</t>
  </si>
  <si>
    <t>e-Tacógrafos Digitais - V.25 - 4h elearning</t>
  </si>
  <si>
    <t>ELPTTCV_187/25</t>
  </si>
  <si>
    <t>ELPTTCV_188/25</t>
  </si>
  <si>
    <t>ELPTTCV_189/25</t>
  </si>
  <si>
    <t>e - Segurança e Higiene no Trabalho 8h</t>
  </si>
  <si>
    <t>ELPTTCV_190/25</t>
  </si>
  <si>
    <t>E - Gestão de Stress e Conflitos 8h</t>
  </si>
  <si>
    <t>ELPTTCV_191/25</t>
  </si>
  <si>
    <t>ELPTTCV_192/25</t>
  </si>
  <si>
    <t>ELPTTCV_193/25</t>
  </si>
  <si>
    <t>ELPTTCV_194/25</t>
  </si>
  <si>
    <t>e-Segurança e Higiene no Trabalho 8h</t>
  </si>
  <si>
    <t>ELPTTCV_195/25</t>
  </si>
  <si>
    <t>e-Gestão e Tratamento de Reclamações 8h</t>
  </si>
  <si>
    <t>ELPTTCV_196/25</t>
  </si>
  <si>
    <t>e-Gestão de Stress e Conflitos 8h</t>
  </si>
  <si>
    <t>ELPTTCV_197/25</t>
  </si>
  <si>
    <t>Amarração e Fixação de Cargas 8h</t>
  </si>
  <si>
    <t>ELPTTCV_198/25</t>
  </si>
  <si>
    <t>ELPTTCV_199/25</t>
  </si>
  <si>
    <t>ELPTTCV_200/25</t>
  </si>
  <si>
    <t>PS E-learning</t>
  </si>
  <si>
    <t>ELPTTCV_201/25</t>
  </si>
  <si>
    <t>ELPTTCV_202/25</t>
  </si>
  <si>
    <t>ELPTTCV_203/25</t>
  </si>
  <si>
    <t>ELPTTCV_204/25</t>
  </si>
  <si>
    <t>236/25</t>
  </si>
  <si>
    <t>167/25</t>
  </si>
  <si>
    <t>M729/25</t>
  </si>
  <si>
    <t>SQ #02.12.2025 Enviada</t>
  </si>
  <si>
    <t>M734/25</t>
  </si>
  <si>
    <t>M640/25</t>
  </si>
  <si>
    <t>Não tem dossier, nem notas.</t>
  </si>
  <si>
    <t>#AM 20/01/2026 Enviei email</t>
  </si>
  <si>
    <t>M749/25</t>
  </si>
  <si>
    <t>268/25</t>
  </si>
  <si>
    <t>#AM 21/01/2026 Enviei email</t>
  </si>
  <si>
    <t>269/25</t>
  </si>
  <si>
    <t>M516/25</t>
  </si>
  <si>
    <t>AS #04.12.2025 Enviada</t>
  </si>
  <si>
    <t>M714/25</t>
  </si>
  <si>
    <t>DL50</t>
  </si>
  <si>
    <t>Frielas</t>
  </si>
  <si>
    <t>SQ #04.12.2025 Enviada</t>
  </si>
  <si>
    <t>M750/25</t>
  </si>
  <si>
    <t>Agueda de Cima</t>
  </si>
  <si>
    <t>#SQ 03.12.2025 Enviada</t>
  </si>
  <si>
    <t>M626/25</t>
  </si>
  <si>
    <t>SQ #05.12.2025 Enviada</t>
  </si>
  <si>
    <t>M662/25</t>
  </si>
  <si>
    <t>278/25</t>
  </si>
  <si>
    <t>158/25</t>
  </si>
  <si>
    <t>Campo Maior</t>
  </si>
  <si>
    <t>M669/25</t>
  </si>
  <si>
    <t>Entroncamento</t>
  </si>
  <si>
    <t>Alugada (Bomb. Entrocamento)</t>
  </si>
  <si>
    <t>M591/25</t>
  </si>
  <si>
    <t>270/25</t>
  </si>
  <si>
    <t>M718/25</t>
  </si>
  <si>
    <t>Ferreira do Zezere</t>
  </si>
  <si>
    <t>IM #05.12.2025 Enviada</t>
  </si>
  <si>
    <t>Alugada (Escuteiros)</t>
  </si>
  <si>
    <t>M730/25</t>
  </si>
  <si>
    <t>181/25</t>
  </si>
  <si>
    <t>Falta pagar.</t>
  </si>
  <si>
    <t>M740/25</t>
  </si>
  <si>
    <t>Bruno Monteiro - confirmado</t>
  </si>
  <si>
    <t>Sala cliente, cliente tem TV</t>
  </si>
  <si>
    <t>M641/25</t>
  </si>
  <si>
    <t>Dossier não está no servidor.</t>
  </si>
  <si>
    <t>M751/25</t>
  </si>
  <si>
    <t>265/25</t>
  </si>
  <si>
    <t>SQ #06.12.2025 Enviada</t>
  </si>
  <si>
    <t>SQ #09.12.2025 Enviada</t>
  </si>
  <si>
    <t>M733/25</t>
  </si>
  <si>
    <t>M754/25</t>
  </si>
  <si>
    <t>M765/25</t>
  </si>
  <si>
    <t>Vouzela</t>
  </si>
  <si>
    <t>Luis Caetano - confirmado</t>
  </si>
  <si>
    <t>SQ #10.12.2025 Enviada</t>
  </si>
  <si>
    <t>SQ #11.12.2025 Enviada</t>
  </si>
  <si>
    <t>M743/25</t>
  </si>
  <si>
    <t>Julieta Messena - confirmado</t>
  </si>
  <si>
    <t>128/25</t>
  </si>
  <si>
    <t>M653/25</t>
  </si>
  <si>
    <t>M658/25</t>
  </si>
  <si>
    <t>M663/25</t>
  </si>
  <si>
    <t>M670/25</t>
  </si>
  <si>
    <t>Vítor Brito - confirmado</t>
  </si>
  <si>
    <t>M632/25</t>
  </si>
  <si>
    <t>M752/25</t>
  </si>
  <si>
    <t>SQ #12.12.2025 Enviada</t>
  </si>
  <si>
    <t>266/25</t>
  </si>
  <si>
    <t>182/25</t>
  </si>
  <si>
    <t>M618/25</t>
  </si>
  <si>
    <t>Alugada (Junta Aguas Belas)</t>
  </si>
  <si>
    <t>M773/25</t>
  </si>
  <si>
    <t>Alugada (INES)</t>
  </si>
  <si>
    <t>M777/25</t>
  </si>
  <si>
    <t>Oleiros</t>
  </si>
  <si>
    <t>272/25</t>
  </si>
  <si>
    <t>M555/25</t>
  </si>
  <si>
    <t>Alugada (Talentus Pombal)</t>
  </si>
  <si>
    <t>M793/25</t>
  </si>
  <si>
    <t>M783/25</t>
  </si>
  <si>
    <t>M614/25</t>
  </si>
  <si>
    <t>M757/25</t>
  </si>
  <si>
    <t>275/25</t>
  </si>
  <si>
    <t>188/25</t>
  </si>
  <si>
    <t>M517/25</t>
  </si>
  <si>
    <t>M593/25</t>
  </si>
  <si>
    <t>RICE</t>
  </si>
  <si>
    <t>M778/25</t>
  </si>
  <si>
    <t>M786/25</t>
  </si>
  <si>
    <t>Vila Verde</t>
  </si>
  <si>
    <t>M685/25</t>
  </si>
  <si>
    <t>M742/25</t>
  </si>
  <si>
    <t>07-012026</t>
  </si>
  <si>
    <t>M686/25</t>
  </si>
  <si>
    <t>M753/25</t>
  </si>
  <si>
    <t>SQ #15.12.2025 Enviada</t>
  </si>
  <si>
    <t>SQ #13.12.2025 Enviada</t>
  </si>
  <si>
    <t>M687/25</t>
  </si>
  <si>
    <t>M332/25</t>
  </si>
  <si>
    <t>SQ #17.12.2025 Enviada</t>
  </si>
  <si>
    <t>M724/25</t>
  </si>
  <si>
    <t>ATEquipas</t>
  </si>
  <si>
    <t>Alenquer</t>
  </si>
  <si>
    <t>Conceição Figueiredo - confirmado</t>
  </si>
  <si>
    <t>M543/25</t>
  </si>
  <si>
    <t>Alugada (Osca Hotel)</t>
  </si>
  <si>
    <t>M756/25</t>
  </si>
  <si>
    <t>M681/25</t>
  </si>
  <si>
    <t>#AM 29/01/2026 Enviei email</t>
  </si>
  <si>
    <t>M684/25</t>
  </si>
  <si>
    <t>203/25</t>
  </si>
  <si>
    <t>M716/25</t>
  </si>
  <si>
    <t>M815/25</t>
  </si>
  <si>
    <t>IM #18.12.2025 Enviada</t>
  </si>
  <si>
    <t>M785/25</t>
  </si>
  <si>
    <t>M760/25</t>
  </si>
  <si>
    <t>M784/25</t>
  </si>
  <si>
    <t>M688/25</t>
  </si>
  <si>
    <t>M267/25</t>
  </si>
  <si>
    <t>M797/25</t>
  </si>
  <si>
    <t>M779/25</t>
  </si>
  <si>
    <t>M795/25</t>
  </si>
  <si>
    <t>279/25</t>
  </si>
  <si>
    <t>Ansiao</t>
  </si>
  <si>
    <t>SQ #19.12.2025 Enviada</t>
  </si>
  <si>
    <t>M804/25</t>
  </si>
  <si>
    <t>Alugada (B &amp; B Avenida)</t>
  </si>
  <si>
    <t>246/25</t>
  </si>
  <si>
    <t>M700/25</t>
  </si>
  <si>
    <t>SQ #16.12.2025 Enviada</t>
  </si>
  <si>
    <t>M722/25</t>
  </si>
  <si>
    <t>GC</t>
  </si>
  <si>
    <t xml:space="preserve">Évora </t>
  </si>
  <si>
    <t xml:space="preserve">TA </t>
  </si>
  <si>
    <t>M745/25</t>
  </si>
  <si>
    <t>Serôa</t>
  </si>
  <si>
    <t>M798/25</t>
  </si>
  <si>
    <t>M787/25</t>
  </si>
  <si>
    <t>M583/25</t>
  </si>
  <si>
    <t>M817/25</t>
  </si>
  <si>
    <t>André Rodrigues  - confirmado</t>
  </si>
  <si>
    <t> SQ #17.12.2025 Enviada</t>
  </si>
  <si>
    <t>M746/25</t>
  </si>
  <si>
    <t>M805/25</t>
  </si>
  <si>
    <t>M806/25</t>
  </si>
  <si>
    <t>M762/25</t>
  </si>
  <si>
    <t>M769/25</t>
  </si>
  <si>
    <t>Mealhada</t>
  </si>
  <si>
    <t>M780/25</t>
  </si>
  <si>
    <t>285/25</t>
  </si>
  <si>
    <t>Viseu - Cardoso</t>
  </si>
  <si>
    <t>213/25</t>
  </si>
  <si>
    <t>286/25</t>
  </si>
  <si>
    <t>218/25</t>
  </si>
  <si>
    <t>Não fazer.</t>
  </si>
  <si>
    <t>276/25</t>
  </si>
  <si>
    <t>M759/25</t>
  </si>
  <si>
    <t>Fafe</t>
  </si>
  <si>
    <t>Sandro Sá - confirmado</t>
  </si>
  <si>
    <t>Alugada (Bombeiros Fafe)</t>
  </si>
  <si>
    <t>M713/25</t>
  </si>
  <si>
    <t>M601/25</t>
  </si>
  <si>
    <t>M761/25</t>
  </si>
  <si>
    <t>273/25</t>
  </si>
  <si>
    <t>Ouressa</t>
  </si>
  <si>
    <t>M770/25</t>
  </si>
  <si>
    <t>Danielle Rufino - confirmado</t>
  </si>
  <si>
    <t>M807/25</t>
  </si>
  <si>
    <t>Rui Machado - confirmado</t>
  </si>
  <si>
    <t>SQ #22.12.2025 Enviada</t>
  </si>
  <si>
    <t>NOVA2</t>
  </si>
  <si>
    <t>M808/25</t>
  </si>
  <si>
    <t>M592/25</t>
  </si>
  <si>
    <t>M800/25</t>
  </si>
  <si>
    <t>Alugada (Bombeiros Lousada)</t>
  </si>
  <si>
    <t>M002/25</t>
  </si>
  <si>
    <t>Bolho</t>
  </si>
  <si>
    <t>M771/25</t>
  </si>
  <si>
    <t>Castro Daire</t>
  </si>
  <si>
    <t>M781/25</t>
  </si>
  <si>
    <t>M820/25</t>
  </si>
  <si>
    <t>M768/25</t>
  </si>
  <si>
    <t>M789/25</t>
  </si>
  <si>
    <t>Santana</t>
  </si>
  <si>
    <t>221/25</t>
  </si>
  <si>
    <t>227/25</t>
  </si>
  <si>
    <t>287/25</t>
  </si>
  <si>
    <t>288/25</t>
  </si>
  <si>
    <t>M665/25</t>
  </si>
  <si>
    <t>M767/25</t>
  </si>
  <si>
    <t>215/25</t>
  </si>
  <si>
    <t>SQ #23.12.2025 Enviada</t>
  </si>
  <si>
    <t>M299/25</t>
  </si>
  <si>
    <t>M731/25</t>
  </si>
  <si>
    <t>M774/25</t>
  </si>
  <si>
    <t>Portalegre</t>
  </si>
  <si>
    <t>271/25</t>
  </si>
  <si>
    <t>SQ #24.12.2025 Enviada</t>
  </si>
  <si>
    <t>M709/25</t>
  </si>
  <si>
    <t>M801/25</t>
  </si>
  <si>
    <t>M794/25</t>
  </si>
  <si>
    <t>Alugada (Bombeiros Caxarias)</t>
  </si>
  <si>
    <t>229/25</t>
  </si>
  <si>
    <t>290/25</t>
  </si>
  <si>
    <t>289/25</t>
  </si>
  <si>
    <t>260/25</t>
  </si>
  <si>
    <t>M470/25</t>
  </si>
  <si>
    <t>Cabeceiras de Basto</t>
  </si>
  <si>
    <t>SQ #26.12.2025 Enviada</t>
  </si>
  <si>
    <t>M822/25</t>
  </si>
  <si>
    <t>M758/25</t>
  </si>
  <si>
    <t>M764/25</t>
  </si>
  <si>
    <t>Alugada (CESAE Digital)</t>
  </si>
  <si>
    <t>M300/25</t>
  </si>
  <si>
    <t>M799/25</t>
  </si>
  <si>
    <t>M821/25</t>
  </si>
  <si>
    <t>253/25</t>
  </si>
  <si>
    <t>Santarem</t>
  </si>
  <si>
    <t>284/25</t>
  </si>
  <si>
    <t>M824/25</t>
  </si>
  <si>
    <t>M739/25</t>
  </si>
  <si>
    <t>M068/25</t>
  </si>
  <si>
    <t>M788/25</t>
  </si>
  <si>
    <t>Alugada (Bombeiros Castro Daire)</t>
  </si>
  <si>
    <t>M605/25</t>
  </si>
  <si>
    <t>M796/25</t>
  </si>
  <si>
    <t>M600/25</t>
  </si>
  <si>
    <t>Alugada (Hotel BB Felgueiras)</t>
  </si>
  <si>
    <t>M818/25</t>
  </si>
  <si>
    <t>Alugada (Alpha21)</t>
  </si>
  <si>
    <t>220/25</t>
  </si>
  <si>
    <t>248/25</t>
  </si>
  <si>
    <t>Nâo</t>
  </si>
  <si>
    <t>129/25</t>
  </si>
  <si>
    <t>Alugada (Bombeiros Estarreja)</t>
  </si>
  <si>
    <t>M816/25</t>
  </si>
  <si>
    <t>M809/25</t>
  </si>
  <si>
    <t>M810/25</t>
  </si>
  <si>
    <t>M268/25</t>
  </si>
  <si>
    <t>Alugada (Bombeiros Sátao)</t>
  </si>
  <si>
    <t>M495/25</t>
  </si>
  <si>
    <t>M559/25</t>
  </si>
  <si>
    <t>M803/25</t>
  </si>
  <si>
    <t>M707/25</t>
  </si>
  <si>
    <t>M792/25</t>
  </si>
  <si>
    <t>Alugada (Clube recreativo)</t>
  </si>
  <si>
    <t>M790/25</t>
  </si>
  <si>
    <t>M690/25</t>
  </si>
  <si>
    <t>NOVA1</t>
  </si>
  <si>
    <t>M755/25</t>
  </si>
  <si>
    <t>M596/25</t>
  </si>
  <si>
    <t>249/25</t>
  </si>
  <si>
    <t>Alugada (Bombeiros Mangualde)</t>
  </si>
  <si>
    <t>244/25</t>
  </si>
  <si>
    <t>Alugada (ACR Chão Pardo)</t>
  </si>
  <si>
    <t>237/25</t>
  </si>
  <si>
    <t>261/25</t>
  </si>
  <si>
    <t>291/25</t>
  </si>
  <si>
    <t>292/25</t>
  </si>
  <si>
    <t>262/25</t>
  </si>
  <si>
    <t>M813/25</t>
  </si>
  <si>
    <t>Jorge Moleiro</t>
  </si>
  <si>
    <t>SQ #29.12.2025 Enviada</t>
  </si>
  <si>
    <t>M563/25</t>
  </si>
  <si>
    <t>M814/25</t>
  </si>
  <si>
    <t>M766/25</t>
  </si>
  <si>
    <t>M823/25</t>
  </si>
  <si>
    <t>Alugada (Da Vinci Guimarães)</t>
  </si>
  <si>
    <t>M819/25</t>
  </si>
  <si>
    <t>M811/25</t>
  </si>
  <si>
    <t>M812/25</t>
  </si>
  <si>
    <t>M775/25</t>
  </si>
  <si>
    <t>M791/25</t>
  </si>
  <si>
    <t>M708/25</t>
  </si>
  <si>
    <t>M317/25</t>
  </si>
  <si>
    <t>M318/25</t>
  </si>
  <si>
    <t>263/25</t>
  </si>
  <si>
    <t>294/25</t>
  </si>
  <si>
    <t>264/25</t>
  </si>
  <si>
    <t>293/25</t>
  </si>
  <si>
    <t>M642/25</t>
  </si>
  <si>
    <t>282/25</t>
  </si>
  <si>
    <t>SQ #30.12.2025 Enviada</t>
  </si>
  <si>
    <t>283/25</t>
  </si>
  <si>
    <t>274/25</t>
  </si>
  <si>
    <t>M782/25</t>
  </si>
  <si>
    <t>PTCI</t>
  </si>
  <si>
    <t>Alugada (EUROSOL)</t>
  </si>
  <si>
    <t>M776/25</t>
  </si>
  <si>
    <t>ELPTTCV_205/25</t>
  </si>
  <si>
    <t>e-Combate a incêndios 8h</t>
  </si>
  <si>
    <t>ELPTTCV_206/25</t>
  </si>
  <si>
    <t>e-Qualidade e Excelência no Atendimento 8h</t>
  </si>
  <si>
    <t>ELPTTCV_207/25</t>
  </si>
  <si>
    <t>e-Fidelização de Clientes 8h</t>
  </si>
  <si>
    <t>ELPTTCV_208/25</t>
  </si>
  <si>
    <t>ELPTTCV_209/25</t>
  </si>
  <si>
    <t>e- Segurança e Higiene no Trabalho 8h</t>
  </si>
  <si>
    <t>IM/CB</t>
  </si>
  <si>
    <t>ELPTTCV_210/25</t>
  </si>
  <si>
    <t>TRS (E-Learning)</t>
  </si>
  <si>
    <t>ELPTTCV_211/25</t>
  </si>
  <si>
    <t>e -Amarração e Fixação de Cargas 8h</t>
  </si>
  <si>
    <t>IM/TS</t>
  </si>
  <si>
    <t>ELPTTCV_213/25</t>
  </si>
  <si>
    <t>E - Qualidade e Excelência no Atendimento 8h</t>
  </si>
  <si>
    <t>ELPTTCV_214/25</t>
  </si>
  <si>
    <t>EL - Prevenção Rodoviária 8h</t>
  </si>
  <si>
    <t>ELPTTCV_216/25</t>
  </si>
  <si>
    <t>EL-Plataformas elevatorias</t>
  </si>
  <si>
    <t>ELPTTCV_217/25</t>
  </si>
  <si>
    <t>EL - TC</t>
  </si>
  <si>
    <t>ELPTTCV_218/25</t>
  </si>
  <si>
    <t>ELPTTCV_219/25</t>
  </si>
  <si>
    <t>ELPTTCV_220/25</t>
  </si>
  <si>
    <t>ELPTTCV_221/25</t>
  </si>
  <si>
    <t>e-RAM_Regulamentação da atividade – Transporte Rodoviário de Mercadorias 50h</t>
  </si>
  <si>
    <t>ELPTTCV_222/25</t>
  </si>
  <si>
    <t>e- Combate a incêndios 8h</t>
  </si>
  <si>
    <t>CB/IM/TS</t>
  </si>
  <si>
    <t>ELPTTCV_223/25</t>
  </si>
  <si>
    <t>ELPTTCV_224/25</t>
  </si>
  <si>
    <t>E - Manipulação de Plataformas Elevatórias 8h</t>
  </si>
  <si>
    <t>ELPTTCV_225/25</t>
  </si>
  <si>
    <t>El - MM</t>
  </si>
  <si>
    <t>ELPTTCV_226/25</t>
  </si>
  <si>
    <t>CONTA</t>
  </si>
  <si>
    <t>ELPTTCV_227/25</t>
  </si>
  <si>
    <t>ELPTTCV_228/25</t>
  </si>
  <si>
    <t>ELPTTCV_229/25</t>
  </si>
  <si>
    <t>ELPTTCV_230/25</t>
  </si>
  <si>
    <t>ELPTTCV_231/25</t>
  </si>
  <si>
    <t>ELPTTCV_232/25</t>
  </si>
  <si>
    <t>ELPTTCV_233/25</t>
  </si>
  <si>
    <t>ELPTTCV_234/25</t>
  </si>
  <si>
    <t>ELPTTCV_236/25</t>
  </si>
  <si>
    <t>ELPTTCV_237/25</t>
  </si>
  <si>
    <t>Combate a incêndios 8h</t>
  </si>
  <si>
    <t>ELPTTCV_238/25</t>
  </si>
  <si>
    <t>ELPTTCV_239/25</t>
  </si>
  <si>
    <t>ELPTTCV_240/25</t>
  </si>
  <si>
    <t>ELPTTCV_241/25</t>
  </si>
  <si>
    <t>ELPTTCV_242/25</t>
  </si>
  <si>
    <t>ELPTTCV_243/25</t>
  </si>
  <si>
    <t>ELPTTCV_244/25</t>
  </si>
  <si>
    <t>ELPTTCV_245/25</t>
  </si>
  <si>
    <t>ELPTTCV_246/25</t>
  </si>
  <si>
    <t>ELPTMED_629/25</t>
  </si>
  <si>
    <t>el - Segurança e Higiene no Trabalho 8h</t>
  </si>
  <si>
    <t>ELPTMED_630/25</t>
  </si>
  <si>
    <t>e-Gestão de conflitos-8h</t>
  </si>
  <si>
    <t>e-Gestão de reclamação e conflitos_8h</t>
  </si>
  <si>
    <t>ELPTMED_633/25</t>
  </si>
  <si>
    <t>ELPTMED_634/25</t>
  </si>
  <si>
    <t>TCD elearning</t>
  </si>
  <si>
    <t>ELPTMED_635/25</t>
  </si>
  <si>
    <t>ELPTMED_636/25</t>
  </si>
  <si>
    <t>TS/CB/SF</t>
  </si>
  <si>
    <t>ELPTMED_638/25</t>
  </si>
  <si>
    <t>e- Condução económica e defensiva 8h</t>
  </si>
  <si>
    <t>CB/IM</t>
  </si>
  <si>
    <t>ELPTMED_639/25</t>
  </si>
  <si>
    <t>ELPTMED_640/25</t>
  </si>
  <si>
    <t>e-Técnica de vendas e negociação 16h</t>
  </si>
  <si>
    <t>ELPTMED_641/25</t>
  </si>
  <si>
    <t>ELPTMED_642/25</t>
  </si>
  <si>
    <t>SF/IM/CB</t>
  </si>
  <si>
    <t>ELPTMED_643/25</t>
  </si>
  <si>
    <t>ELPTMED_644/25</t>
  </si>
  <si>
    <t>LATE(E-Learning)</t>
  </si>
  <si>
    <t>ELPTMED_645/25</t>
  </si>
  <si>
    <t>ELPTMED_646/25</t>
  </si>
  <si>
    <t>ELPTMED_647/25</t>
  </si>
  <si>
    <t>ELPTMED_648/25</t>
  </si>
  <si>
    <t>ELPTMED_649/25</t>
  </si>
  <si>
    <t>e - Combate a incêndios 8h</t>
  </si>
  <si>
    <t>ELPTMED_650/25</t>
  </si>
  <si>
    <t>ELPTMED_651/25</t>
  </si>
  <si>
    <t>ELPTMED_652/25</t>
  </si>
  <si>
    <t>ELPTMED_653/25</t>
  </si>
  <si>
    <t>Prevenção Rodoviária 8h</t>
  </si>
  <si>
    <t>ELPTMED_654/25</t>
  </si>
  <si>
    <t>ELPTMED_655/25</t>
  </si>
  <si>
    <t>ELPTMED_656/25</t>
  </si>
  <si>
    <t>ELPTMED_657/25</t>
  </si>
  <si>
    <t>ELPTMED_658/25</t>
  </si>
  <si>
    <t>ELPTMED_659/25</t>
  </si>
  <si>
    <t>ELPTMED_660/25</t>
  </si>
  <si>
    <t>e-Movimentação de carga 8h</t>
  </si>
  <si>
    <t>SF/CB/IM</t>
  </si>
  <si>
    <t>ELPTMED_661/25</t>
  </si>
  <si>
    <t>ELPTMED_662/25</t>
  </si>
  <si>
    <t>ELPTMED_663/25</t>
  </si>
  <si>
    <t>ELPTMED_664/25</t>
  </si>
  <si>
    <t>ELPTMED_665/25</t>
  </si>
  <si>
    <t>ELPTMED_666/25</t>
  </si>
  <si>
    <t>e- Primeiros Socorros 8h</t>
  </si>
  <si>
    <t>CB/TS/SF</t>
  </si>
  <si>
    <t>ELPTMED_667/25</t>
  </si>
  <si>
    <t>ELPTMED_668/25</t>
  </si>
  <si>
    <t>ELPTMED_669/25</t>
  </si>
  <si>
    <t>ELPTMED_670/25</t>
  </si>
  <si>
    <t>ELPTMED_671/25</t>
  </si>
  <si>
    <t>ELPTMED_672/25</t>
  </si>
  <si>
    <t>el - Instruções de Segurança 8h</t>
  </si>
  <si>
    <t>ELPTMED_673/25</t>
  </si>
  <si>
    <t>ELPTMED_674/25</t>
  </si>
  <si>
    <t>ELPTMED_675/25</t>
  </si>
  <si>
    <t>Curso a fazer até final do ano.</t>
  </si>
  <si>
    <t>ELPTMED_676/25</t>
  </si>
  <si>
    <t>ELPTMED_677/25</t>
  </si>
  <si>
    <t>ELPTMED_678/25</t>
  </si>
  <si>
    <t>ELPTMED_679/25</t>
  </si>
  <si>
    <t>ELPTMED_680/25</t>
  </si>
  <si>
    <t>ELPTMED_681/25</t>
  </si>
  <si>
    <t>ELPTMED_682/25</t>
  </si>
  <si>
    <t>CB/TS/IM</t>
  </si>
  <si>
    <t>ELPTMED_683/25</t>
  </si>
  <si>
    <t>ELPTMED_684/25</t>
  </si>
  <si>
    <t>ELPTMED_685/25</t>
  </si>
  <si>
    <t>ELPTMED_686/25</t>
  </si>
  <si>
    <t>ELPTMED_687/25</t>
  </si>
  <si>
    <t>e-MPE</t>
  </si>
  <si>
    <t>ELPTMED_688/25</t>
  </si>
  <si>
    <t>ELPTMED_689/25</t>
  </si>
  <si>
    <t>ELPTMED_690/25</t>
  </si>
  <si>
    <t>e-ARAT - Avaliação de Riscos por Atividade 8h</t>
  </si>
  <si>
    <t>ELPTMED_691/25</t>
  </si>
  <si>
    <t>EL - EMER</t>
  </si>
  <si>
    <t>TS/IM</t>
  </si>
  <si>
    <t>ELPTMED_692/25</t>
  </si>
  <si>
    <t>e- Pontes Rolantes 8h</t>
  </si>
  <si>
    <t>ELPTMED_693/25</t>
  </si>
  <si>
    <t>ELPTMED_694/25</t>
  </si>
  <si>
    <t>ELPTMED_695/25</t>
  </si>
  <si>
    <t>ELPTMED_696/25</t>
  </si>
  <si>
    <t>ELPTMED_697/25</t>
  </si>
  <si>
    <t>ELPTMED_698/25</t>
  </si>
  <si>
    <t>e-ST_Sinistralidade Rodoviária_8h</t>
  </si>
  <si>
    <t>ELPTMED_699/25</t>
  </si>
  <si>
    <t>CB/IM/SF</t>
  </si>
  <si>
    <t>ELPTMED_700/25</t>
  </si>
  <si>
    <t>IM/SF/TS/CB</t>
  </si>
  <si>
    <t>ELPTMED_701/25</t>
  </si>
  <si>
    <t>ELPTMED_702/25</t>
  </si>
  <si>
    <t>Sofia Fonseca</t>
  </si>
  <si>
    <t>ELPTMED_703/25</t>
  </si>
  <si>
    <t>IM/CB/TS</t>
  </si>
  <si>
    <t>ELPTMED_704/25</t>
  </si>
  <si>
    <t>IM/SF</t>
  </si>
  <si>
    <t>ELPTMED_705/25</t>
  </si>
  <si>
    <t>ELPTMED_706/25</t>
  </si>
  <si>
    <t>EME E-learning</t>
  </si>
  <si>
    <t>ELPTMED_707/25</t>
  </si>
  <si>
    <t>ELPTMED_708/25</t>
  </si>
  <si>
    <t>ELPTMED_709/25</t>
  </si>
  <si>
    <t>ELPTMED_710/25</t>
  </si>
  <si>
    <t>im/cb/sf</t>
  </si>
  <si>
    <t>ELPTMED_711/25</t>
  </si>
  <si>
    <t>ELPTMED_712/25</t>
  </si>
  <si>
    <t>ts</t>
  </si>
  <si>
    <t>ELPTMED_713/25</t>
  </si>
  <si>
    <t>e-CMM</t>
  </si>
  <si>
    <t>ELPTMED_714/25</t>
  </si>
  <si>
    <t>EL - ARAT</t>
  </si>
  <si>
    <t>ELPTMED_715/25</t>
  </si>
  <si>
    <t>ELPTMED_716/25</t>
  </si>
  <si>
    <t>RGPD - Regulamento Geral de Proteção de Dados 25h</t>
  </si>
  <si>
    <t>ELPTMED_717/25</t>
  </si>
  <si>
    <t>Tânia Sousa</t>
  </si>
  <si>
    <t>ELPTMED_718/25</t>
  </si>
  <si>
    <t>ELPTMED_719/25</t>
  </si>
  <si>
    <t>Barraqueiro - terminam a 15/02</t>
  </si>
  <si>
    <t>ELPTMED_720/25</t>
  </si>
  <si>
    <t>ELPTMED_721/25</t>
  </si>
  <si>
    <t>ELPTMED_722/25</t>
  </si>
  <si>
    <t>ELPTMED_723/25</t>
  </si>
  <si>
    <t>ELPTMED_724/25</t>
  </si>
  <si>
    <t>EL - Tacógrafos Digitais - V.25 - 8h</t>
  </si>
  <si>
    <t>ELPTMED_725/25</t>
  </si>
  <si>
    <t>ELPTMED_726/25</t>
  </si>
  <si>
    <t>ELPTMED_727/25</t>
  </si>
  <si>
    <t>ELPTMED_728/25</t>
  </si>
  <si>
    <t>ELPTMED_729/25</t>
  </si>
  <si>
    <t>ELPTMED_730/25</t>
  </si>
  <si>
    <t>ELPTMED_731/25</t>
  </si>
  <si>
    <t>ELPTMED_732/25</t>
  </si>
  <si>
    <t>ELPTMED_734/25</t>
  </si>
  <si>
    <t>ELPTMED_735/25</t>
  </si>
  <si>
    <t>ELPTSEEP_013/25</t>
  </si>
  <si>
    <t>ELPTSEEP_014/25</t>
  </si>
  <si>
    <t>ELPTSEEP_015/25</t>
  </si>
  <si>
    <t>Excel Fundamental 25h</t>
  </si>
  <si>
    <t>DTP Digitalizado</t>
  </si>
  <si>
    <t>Lista formandos</t>
  </si>
  <si>
    <t>Mat. Pedagógico</t>
  </si>
  <si>
    <t>Plano de sessão</t>
  </si>
  <si>
    <t>Programa</t>
  </si>
  <si>
    <t>Avaliação</t>
  </si>
  <si>
    <t>Certificados</t>
  </si>
  <si>
    <t>Enviei email formador</t>
  </si>
  <si>
    <t>Contar Data</t>
  </si>
  <si>
    <t>Empresa</t>
  </si>
  <si>
    <t>Nome Formador</t>
  </si>
  <si>
    <t>Ext - Interno</t>
  </si>
  <si>
    <t>Nº Formandos</t>
  </si>
  <si>
    <t>Contam</t>
  </si>
  <si>
    <t>Horas</t>
  </si>
  <si>
    <t>Valor Hora</t>
  </si>
  <si>
    <t>Total</t>
  </si>
  <si>
    <t>Cliente</t>
  </si>
  <si>
    <t>Kms/diesel</t>
  </si>
  <si>
    <t>Valor</t>
  </si>
  <si>
    <t>IVA</t>
  </si>
  <si>
    <t>IRS</t>
  </si>
  <si>
    <t>Valor Final</t>
  </si>
  <si>
    <t>DTP Entregue</t>
  </si>
  <si>
    <t>N. Recibo</t>
  </si>
  <si>
    <t>Data Pagamento</t>
  </si>
  <si>
    <t>Tesouraria</t>
  </si>
  <si>
    <t>VER/OBS</t>
  </si>
  <si>
    <t>Sala</t>
  </si>
  <si>
    <t>Nome Sala</t>
  </si>
  <si>
    <t>Valor da Sala</t>
  </si>
  <si>
    <t>Data Pag Sala</t>
  </si>
  <si>
    <t>&gt; acima de 15</t>
  </si>
  <si>
    <t>DTP - Entrada</t>
  </si>
  <si>
    <t>Folha presenças</t>
  </si>
  <si>
    <t>Digitalizado</t>
  </si>
  <si>
    <t>CV</t>
  </si>
  <si>
    <t>Ficha curricular</t>
  </si>
  <si>
    <t>CCP</t>
  </si>
  <si>
    <t>Teste</t>
  </si>
  <si>
    <t>Quest. formandos</t>
  </si>
  <si>
    <t>Rel. Avaliativos</t>
  </si>
  <si>
    <t>Registos e resultados</t>
  </si>
  <si>
    <t xml:space="preserve">Aval. Formador </t>
  </si>
  <si>
    <t>Pauta</t>
  </si>
  <si>
    <t>MD</t>
  </si>
  <si>
    <t>M012/26</t>
  </si>
  <si>
    <t>INT</t>
  </si>
  <si>
    <t>M028/26</t>
  </si>
  <si>
    <t>005/26</t>
  </si>
  <si>
    <t>#AM 16/02/2026 Enviei email.</t>
  </si>
  <si>
    <t>015/26</t>
  </si>
  <si>
    <t>EXT</t>
  </si>
  <si>
    <t>M020/26</t>
  </si>
  <si>
    <t>Alugada (Lisotel)</t>
  </si>
  <si>
    <t>Lisotel</t>
  </si>
  <si>
    <t>M034/26</t>
  </si>
  <si>
    <t>SQ #31.12.2025 Enviada</t>
  </si>
  <si>
    <t>013/26</t>
  </si>
  <si>
    <t>#AM 19/02/2026 Enviei email.</t>
  </si>
  <si>
    <t>M021/26</t>
  </si>
  <si>
    <t>012/26</t>
  </si>
  <si>
    <t>SQ #02.01.2026 Enviada</t>
  </si>
  <si>
    <t>M031/26</t>
  </si>
  <si>
    <t>#AM 18/02/2026 Enviei email.</t>
  </si>
  <si>
    <t>M030/26</t>
  </si>
  <si>
    <t>M044/26</t>
  </si>
  <si>
    <t>Alugada (Bombeiros Paredes)</t>
  </si>
  <si>
    <t>M041/26</t>
  </si>
  <si>
    <t>TA - 16H</t>
  </si>
  <si>
    <t>M040/26</t>
  </si>
  <si>
    <t>SQ #06.01.2026 Enviada</t>
  </si>
  <si>
    <t>016/26</t>
  </si>
  <si>
    <t>Hernani Francisco - confirmado</t>
  </si>
  <si>
    <t>014/26</t>
  </si>
  <si>
    <t>M005/26</t>
  </si>
  <si>
    <t>SQ #07.01.2026 Enviada</t>
  </si>
  <si>
    <t>M047/26</t>
  </si>
  <si>
    <t>M038/26</t>
  </si>
  <si>
    <t>M008/26</t>
  </si>
  <si>
    <t>M016/26</t>
  </si>
  <si>
    <t>M029/26</t>
  </si>
  <si>
    <t>IM ENVIOU</t>
  </si>
  <si>
    <t>023/26</t>
  </si>
  <si>
    <t>024/26</t>
  </si>
  <si>
    <t>Falta dados.</t>
  </si>
  <si>
    <t>M042/26</t>
  </si>
  <si>
    <t>022/26</t>
  </si>
  <si>
    <t>M018/26</t>
  </si>
  <si>
    <t>Santarém</t>
  </si>
  <si>
    <t>SQ #12.01.2026 Enviada</t>
  </si>
  <si>
    <t>017/26</t>
  </si>
  <si>
    <t>M059/26</t>
  </si>
  <si>
    <t>SQ #14.01.2026 Enviada</t>
  </si>
  <si>
    <t>M054/26</t>
  </si>
  <si>
    <t>M052/26</t>
  </si>
  <si>
    <t>Alugada (In Gold Hotel)</t>
  </si>
  <si>
    <t>M003/26</t>
  </si>
  <si>
    <t>#AM 13/02/2026 Enviei email.</t>
  </si>
  <si>
    <t>M004/26</t>
  </si>
  <si>
    <t>003/26</t>
  </si>
  <si>
    <t>SQ #13.01.2026 Enviada</t>
  </si>
  <si>
    <t>M065/26</t>
  </si>
  <si>
    <t xml:space="preserve">Tarouca </t>
  </si>
  <si>
    <t>Sem dossier e sem notas.</t>
  </si>
  <si>
    <t>SQ #15.01.2026 Enviada</t>
  </si>
  <si>
    <t>SQ #16.01.2026 Enviada</t>
  </si>
  <si>
    <t>Alugada (Bombeiros Tarouca)</t>
  </si>
  <si>
    <t>M074/26</t>
  </si>
  <si>
    <t>036/26</t>
  </si>
  <si>
    <t>M049/26</t>
  </si>
  <si>
    <t>M050/26</t>
  </si>
  <si>
    <t>M068/26</t>
  </si>
  <si>
    <t>027/26</t>
  </si>
  <si>
    <t>Sernancelhe</t>
  </si>
  <si>
    <t>Alugada (Opus Securiti)</t>
  </si>
  <si>
    <t>M060/26</t>
  </si>
  <si>
    <t>M009/26</t>
  </si>
  <si>
    <t>Alugada (Hotel Premium Maia)</t>
  </si>
  <si>
    <t>018/26</t>
  </si>
  <si>
    <t>025/26</t>
  </si>
  <si>
    <t>Beloura/Cabriz</t>
  </si>
  <si>
    <t>M053/26</t>
  </si>
  <si>
    <t>Não tem dossier no servidor.</t>
  </si>
  <si>
    <t>M046/26</t>
  </si>
  <si>
    <t>Falta pagamento.</t>
  </si>
  <si>
    <t>Alugada (Bombeiros Santo André)</t>
  </si>
  <si>
    <t>M043/26</t>
  </si>
  <si>
    <t>Falta a segunda parte.</t>
  </si>
  <si>
    <t>001/26</t>
  </si>
  <si>
    <t>TCC</t>
  </si>
  <si>
    <t>-</t>
  </si>
  <si>
    <t>SQ #19.01.2026 Enviada</t>
  </si>
  <si>
    <t>SQ #20.01.2026 Enviada</t>
  </si>
  <si>
    <t>M035/26</t>
  </si>
  <si>
    <t>M001/26</t>
  </si>
  <si>
    <t>040/26</t>
  </si>
  <si>
    <t>M027/26</t>
  </si>
  <si>
    <t>Pavia</t>
  </si>
  <si>
    <t>SQ #23.01.2026 Enviada</t>
  </si>
  <si>
    <t>M045/26</t>
  </si>
  <si>
    <t>SQ #22.01.2026 Enviada</t>
  </si>
  <si>
    <t>M061/26</t>
  </si>
  <si>
    <t>M062/26</t>
  </si>
  <si>
    <t>M069/26</t>
  </si>
  <si>
    <t>Alugada (Talentus)</t>
  </si>
  <si>
    <t>035/26</t>
  </si>
  <si>
    <t>SQ #21.01.2026 Enviada</t>
  </si>
  <si>
    <t>037/26</t>
  </si>
  <si>
    <t>M075/26</t>
  </si>
  <si>
    <t>M048/26</t>
  </si>
  <si>
    <t>SQ #17.01.2026 Enviada</t>
  </si>
  <si>
    <t>#AM 18/02/2026</t>
  </si>
  <si>
    <t>M010/26</t>
  </si>
  <si>
    <t>Alugada (Aveiro Business Center)</t>
  </si>
  <si>
    <t>M086/26</t>
  </si>
  <si>
    <t>043/26</t>
  </si>
  <si>
    <t>M066/26</t>
  </si>
  <si>
    <t>Alugada (Da Vinci Braga)</t>
  </si>
  <si>
    <t>M078/26</t>
  </si>
  <si>
    <t>Falta dossier.</t>
  </si>
  <si>
    <t>042/26</t>
  </si>
  <si>
    <t>M067/26</t>
  </si>
  <si>
    <t>033/26</t>
  </si>
  <si>
    <t>002/26</t>
  </si>
  <si>
    <t>004/26</t>
  </si>
  <si>
    <t>M051/26</t>
  </si>
  <si>
    <t>Almada</t>
  </si>
  <si>
    <t>João Coelho - confirmado</t>
  </si>
  <si>
    <t>038/26</t>
  </si>
  <si>
    <t>M036/26</t>
  </si>
  <si>
    <t>Santa Marta de Penaguião</t>
  </si>
  <si>
    <t>M097/26</t>
  </si>
  <si>
    <t>SQ #26.01.2026 Enviada</t>
  </si>
  <si>
    <t>Alugada (Hotel Pombalense)</t>
  </si>
  <si>
    <t>031/26</t>
  </si>
  <si>
    <t>SQ #27.01.2026 Enviada</t>
  </si>
  <si>
    <t>032/26</t>
  </si>
  <si>
    <t>M099/26</t>
  </si>
  <si>
    <t>SSTSA</t>
  </si>
  <si>
    <t>SQ #28.01.2026 Enviada</t>
  </si>
  <si>
    <t>M057/26</t>
  </si>
  <si>
    <t>Alcoitão</t>
  </si>
  <si>
    <t>Rui Dias - confirmado</t>
  </si>
  <si>
    <t>M014/26</t>
  </si>
  <si>
    <t>MRS</t>
  </si>
  <si>
    <t>M094/26</t>
  </si>
  <si>
    <t>SQ #29.01.2026 Enviada</t>
  </si>
  <si>
    <t>Barreiro</t>
  </si>
  <si>
    <t>M070/26</t>
  </si>
  <si>
    <t>#AM 16/02/2026 Enviei email. Diz que enviou as avaliações por ctt no dossier.</t>
  </si>
  <si>
    <t>M079/26</t>
  </si>
  <si>
    <t>SQ #30.01.2026 Enviada</t>
  </si>
  <si>
    <t>M076/26</t>
  </si>
  <si>
    <t>M056/26</t>
  </si>
  <si>
    <t>M096/26</t>
  </si>
  <si>
    <t>044/26</t>
  </si>
  <si>
    <t>045/26</t>
  </si>
  <si>
    <t>M022/26</t>
  </si>
  <si>
    <t>M104/26</t>
  </si>
  <si>
    <t>052/26</t>
  </si>
  <si>
    <t>S006/26</t>
  </si>
  <si>
    <t>Alcino Ferreira - confirmado</t>
  </si>
  <si>
    <t>M007/26</t>
  </si>
  <si>
    <t>M108/26</t>
  </si>
  <si>
    <t>054/26</t>
  </si>
  <si>
    <t>ELPTMED_001/26</t>
  </si>
  <si>
    <t>NA</t>
  </si>
  <si>
    <t>ELPTMED_002/26</t>
  </si>
  <si>
    <t>ELPTMED_003/26</t>
  </si>
  <si>
    <t>ELPTMED_004/26</t>
  </si>
  <si>
    <t>ELPTMED_005/26</t>
  </si>
  <si>
    <t>e - Primeiros Socorros 8h</t>
  </si>
  <si>
    <t>CB/SF/TS</t>
  </si>
  <si>
    <t>ELPTMED_006/26</t>
  </si>
  <si>
    <t>ELPTMED_007/26</t>
  </si>
  <si>
    <t>TS/IM/CB</t>
  </si>
  <si>
    <t>ELPTMED_008/26</t>
  </si>
  <si>
    <t>ELPTMED_009/26</t>
  </si>
  <si>
    <t>e-Mecânica Fundamental - 8h</t>
  </si>
  <si>
    <t>ELPTMED_010/26</t>
  </si>
  <si>
    <t>ELPTMED_012/26</t>
  </si>
  <si>
    <t>ELPTMED_013/26</t>
  </si>
  <si>
    <t>ELPTMED_014/26</t>
  </si>
  <si>
    <t>ELPTMED_015/26</t>
  </si>
  <si>
    <t>TVN - e-Learning</t>
  </si>
  <si>
    <t>ELPTMED_016/26</t>
  </si>
  <si>
    <t>ELPTMED_017/26</t>
  </si>
  <si>
    <t>ELPTMED_018/26</t>
  </si>
  <si>
    <t>ELPTMED_019/26</t>
  </si>
  <si>
    <t>ELPTMED_020/26</t>
  </si>
  <si>
    <t>e-TC</t>
  </si>
  <si>
    <t>ELPTMED_021/26</t>
  </si>
  <si>
    <t>ELPTMED_022/26</t>
  </si>
  <si>
    <t>EL - Condutor/Manobrador de Máquinas 8h</t>
  </si>
  <si>
    <t>ELPTMED_023/26</t>
  </si>
  <si>
    <t>ELPTMED_024/26</t>
  </si>
  <si>
    <t>ELPTMED_025/26</t>
  </si>
  <si>
    <t>ELPTMED_026/26</t>
  </si>
  <si>
    <t>SF/IM/CB/TS</t>
  </si>
  <si>
    <t>ELPTMED_027/26</t>
  </si>
  <si>
    <t>ELPTMED_028/26</t>
  </si>
  <si>
    <t>ELPTMED_029/26</t>
  </si>
  <si>
    <t>ELPTMED_030/26</t>
  </si>
  <si>
    <t>ELPTMED_031/26</t>
  </si>
  <si>
    <t>E - Condutor/Manobrador de Máquinas 8h</t>
  </si>
  <si>
    <t>ELPTMED_032/26</t>
  </si>
  <si>
    <t>ELPTMED_033/26</t>
  </si>
  <si>
    <t>ELPTMED_034/26</t>
  </si>
  <si>
    <t>ELPTMED_035/26</t>
  </si>
  <si>
    <t>e-CiberCrime 8h</t>
  </si>
  <si>
    <t>ELPTMED_036/26</t>
  </si>
  <si>
    <t>ELPTMED_037/26</t>
  </si>
  <si>
    <t>El - Combate a incêndios 8h</t>
  </si>
  <si>
    <t>ELPTMED_038/26</t>
  </si>
  <si>
    <t>ELPTMED_039/26</t>
  </si>
  <si>
    <t>ELPTMED_040/26</t>
  </si>
  <si>
    <t>ELPTMED_041/26</t>
  </si>
  <si>
    <t>ELPTMED_042/26</t>
  </si>
  <si>
    <t>Faltam dados. Faltam fazer 1.</t>
  </si>
  <si>
    <t>ELPTMED_043/26</t>
  </si>
  <si>
    <t>ELPTMED_044/26</t>
  </si>
  <si>
    <t>ELPTMED_045/26</t>
  </si>
  <si>
    <t>ELPTMED_046/26</t>
  </si>
  <si>
    <t>ELPTMED_047/26</t>
  </si>
  <si>
    <t>ELPTMED_048/26</t>
  </si>
  <si>
    <t>ELPTMED_049/26</t>
  </si>
  <si>
    <t>ELPTMED_050/26</t>
  </si>
  <si>
    <t>ELPTMED_051/26</t>
  </si>
  <si>
    <t>ELPTMED_052/26</t>
  </si>
  <si>
    <t>ELPTMED_054/26</t>
  </si>
  <si>
    <t>ELPTMED_055/26</t>
  </si>
  <si>
    <t>Faltam dados. Faltam fazer 17.</t>
  </si>
  <si>
    <t>ELPTMED_056/26</t>
  </si>
  <si>
    <t>ELPTMED_057/26</t>
  </si>
  <si>
    <t>ELPTMED_058/26</t>
  </si>
  <si>
    <t>ELPTMED_059/26</t>
  </si>
  <si>
    <t>IM/TS/CB/SF</t>
  </si>
  <si>
    <t>Faltam fazer 2.</t>
  </si>
  <si>
    <t>ELPTMED_060/26</t>
  </si>
  <si>
    <t>ELPTMED_061/26</t>
  </si>
  <si>
    <t>ELPTMED_062/26</t>
  </si>
  <si>
    <t>ELPTMED_063/26</t>
  </si>
  <si>
    <t>Faltam fazer 5.</t>
  </si>
  <si>
    <t>ELPTMED_064/26</t>
  </si>
  <si>
    <t>ELPTMED_065/26</t>
  </si>
  <si>
    <t>ELPTMED_066/26</t>
  </si>
  <si>
    <t>ELPTMED_067/26</t>
  </si>
  <si>
    <t>ELPTMED_068/26</t>
  </si>
  <si>
    <t>ELPTMED_069/26</t>
  </si>
  <si>
    <t>ELPTMED_070/26</t>
  </si>
  <si>
    <t>E- Segurança e Higiene no Trabalho 8h</t>
  </si>
  <si>
    <t>ELPTMED_071/26</t>
  </si>
  <si>
    <t>ELPTMED_084/26</t>
  </si>
  <si>
    <t>ELPTTCV_001/26</t>
  </si>
  <si>
    <t>ELPTTCV_002/26</t>
  </si>
  <si>
    <t>ELPTTCV_003/26</t>
  </si>
  <si>
    <t>ELPTTCV_004/26</t>
  </si>
  <si>
    <t>ELPTTCV_005/26</t>
  </si>
  <si>
    <t>ELPTTCV_006/26</t>
  </si>
  <si>
    <t>ELPTTCV_007/26</t>
  </si>
  <si>
    <t>El - Tacógrafos Digitais - V.25 - 4h</t>
  </si>
  <si>
    <t>ELPTTCV_008/26</t>
  </si>
  <si>
    <t>ELPTTCV_009/26</t>
  </si>
  <si>
    <t>ELPTTCV_010/26</t>
  </si>
  <si>
    <t>ELPTTCV_011/26</t>
  </si>
  <si>
    <t>ELPTTCV_013/26</t>
  </si>
  <si>
    <t>E - Segurança e Higiene no Trabalho 8h</t>
  </si>
  <si>
    <t>ELPTTCV_014/26</t>
  </si>
  <si>
    <t>ELPTTCV_015/26</t>
  </si>
  <si>
    <t>E - TC</t>
  </si>
  <si>
    <t>ELPTTCV_016/26</t>
  </si>
  <si>
    <t>M037/26</t>
  </si>
  <si>
    <t>M082/26</t>
  </si>
  <si>
    <t>SQ #01.02.2026 Enviada</t>
  </si>
  <si>
    <t>M055/26</t>
  </si>
  <si>
    <t>TCC ON REC</t>
  </si>
  <si>
    <t>SQ #02.02.2026 Enviada</t>
  </si>
  <si>
    <t>M084/26</t>
  </si>
  <si>
    <t>M100/26</t>
  </si>
  <si>
    <t>Cascais</t>
  </si>
  <si>
    <t>Filipe Folgado - confirmado</t>
  </si>
  <si>
    <t>M058/26</t>
  </si>
  <si>
    <t>TRS</t>
  </si>
  <si>
    <t>SQ #03.02.2026 Enviada</t>
  </si>
  <si>
    <t>M116/26</t>
  </si>
  <si>
    <t>SQ #04.02.2026 Enviada</t>
  </si>
  <si>
    <t>MS</t>
  </si>
  <si>
    <t>M117/26</t>
  </si>
  <si>
    <t>M063/26</t>
  </si>
  <si>
    <t>M002/26</t>
  </si>
  <si>
    <t>Alugada (Hotel BB Porto)</t>
  </si>
  <si>
    <t>M124/26</t>
  </si>
  <si>
    <t>SQ #05.02.2026 Enviada</t>
  </si>
  <si>
    <t>SQ #06.02.2026 Enviada</t>
  </si>
  <si>
    <t>Alugada (Hotel BB Famalicao)</t>
  </si>
  <si>
    <t>059/26</t>
  </si>
  <si>
    <t>M107/26</t>
  </si>
  <si>
    <t>Falar com Sara</t>
  </si>
  <si>
    <t>M115/26</t>
  </si>
  <si>
    <t>Alugada (Hotel BB Talentus)</t>
  </si>
  <si>
    <t>M017/26</t>
  </si>
  <si>
    <t>053/26</t>
  </si>
  <si>
    <t>M090/26</t>
  </si>
  <si>
    <t>M013/26</t>
  </si>
  <si>
    <t>SQ #09.02.2026 Enviada</t>
  </si>
  <si>
    <t>M101/26</t>
  </si>
  <si>
    <t>PEDI AVALIAÇÕES</t>
  </si>
  <si>
    <t>M137/26</t>
  </si>
  <si>
    <t>IM #09.02.2026 Enviada</t>
  </si>
  <si>
    <t>048/26</t>
  </si>
  <si>
    <t>M113/26</t>
  </si>
  <si>
    <t>SMEQ</t>
  </si>
  <si>
    <t>SQ #10.02.2026 Enviada</t>
  </si>
  <si>
    <t>M083/26</t>
  </si>
  <si>
    <t>Sara Queiroz - Confirmada</t>
  </si>
  <si>
    <t>049/26</t>
  </si>
  <si>
    <t>039/26</t>
  </si>
  <si>
    <t>IM #11.02.2026 Enviada</t>
  </si>
  <si>
    <t>Ana Queiroz - confirmado</t>
  </si>
  <si>
    <t>064/26</t>
  </si>
  <si>
    <t>Penamacor</t>
  </si>
  <si>
    <t>IM #13.02.2026 Enviada</t>
  </si>
  <si>
    <t>050/26</t>
  </si>
  <si>
    <t>SQ #11.02.2026 Enviada</t>
  </si>
  <si>
    <t>M077/26</t>
  </si>
  <si>
    <t>Rui Nogueira - confirmado</t>
  </si>
  <si>
    <t>SQ #24.03.2026 Enviei</t>
  </si>
  <si>
    <t>M081/26</t>
  </si>
  <si>
    <t>M109/26</t>
  </si>
  <si>
    <t>Alugada (INFINIX)</t>
  </si>
  <si>
    <t>007/26</t>
  </si>
  <si>
    <t>M093/26</t>
  </si>
  <si>
    <t>S004/26</t>
  </si>
  <si>
    <t>SQ #16.02.2026 Enviada</t>
  </si>
  <si>
    <t>M087/26</t>
  </si>
  <si>
    <t>IM #14.02.2026 Enviada</t>
  </si>
  <si>
    <t>M088/26</t>
  </si>
  <si>
    <t>Não enviei email.</t>
  </si>
  <si>
    <t>M006/26</t>
  </si>
  <si>
    <t>M112/26</t>
  </si>
  <si>
    <t>Vera Basto - confirmado</t>
  </si>
  <si>
    <t>034/26</t>
  </si>
  <si>
    <t>SQ #18.02.2026 Enviada</t>
  </si>
  <si>
    <t>M129/26</t>
  </si>
  <si>
    <t>SQ #20.02.2026 Enviada</t>
  </si>
  <si>
    <t>sq #24.03.2026</t>
  </si>
  <si>
    <t>M025/26</t>
  </si>
  <si>
    <t>058/26</t>
  </si>
  <si>
    <t>M019/26</t>
  </si>
  <si>
    <t>M139/26</t>
  </si>
  <si>
    <t>Albergaria-a-Velha</t>
  </si>
  <si>
    <t>Jorge Augusto  - confirmado</t>
  </si>
  <si>
    <t>Alugada (Bombeiros Albergaria a Velha)</t>
  </si>
  <si>
    <t>M125/26</t>
  </si>
  <si>
    <t>SQ #19.02.2026 Enviada</t>
  </si>
  <si>
    <t>M064/26</t>
  </si>
  <si>
    <t>SQ #12.02.2026 Enviada</t>
  </si>
  <si>
    <t>Alugada (Bombeiros Azemeis)</t>
  </si>
  <si>
    <t>M</t>
  </si>
  <si>
    <t>M147/26</t>
  </si>
  <si>
    <t>046/26</t>
  </si>
  <si>
    <t>M106/26</t>
  </si>
  <si>
    <t xml:space="preserve">Guarda </t>
  </si>
  <si>
    <t>Alugada (NERGA)</t>
  </si>
  <si>
    <t>062/26</t>
  </si>
  <si>
    <t>M095/26</t>
  </si>
  <si>
    <t>M134/26</t>
  </si>
  <si>
    <t>M102/26</t>
  </si>
  <si>
    <t>SQ #23.02.2026 Enviada</t>
  </si>
  <si>
    <t>069/26</t>
  </si>
  <si>
    <t>Cadaval</t>
  </si>
  <si>
    <t>008/26</t>
  </si>
  <si>
    <t>IM #24.02.2026 Enviada</t>
  </si>
  <si>
    <t>M118/26</t>
  </si>
  <si>
    <t>Cacém</t>
  </si>
  <si>
    <t>IM #25.02.2026 Enviada</t>
  </si>
  <si>
    <t>M130/26</t>
  </si>
  <si>
    <t>M085/26</t>
  </si>
  <si>
    <t>IM #26.02.2026 Enviada</t>
  </si>
  <si>
    <t>M152/26</t>
  </si>
  <si>
    <t>Santiago de Cacém</t>
  </si>
  <si>
    <t>Sala alugada, projector da sala</t>
  </si>
  <si>
    <t>M132/26</t>
  </si>
  <si>
    <t>Mourão</t>
  </si>
  <si>
    <t>IM #27.02.2026 Enviada</t>
  </si>
  <si>
    <t>M144/26</t>
  </si>
  <si>
    <t>Alugada ( Quasimprovavel)</t>
  </si>
  <si>
    <t>070/26</t>
  </si>
  <si>
    <t>*</t>
  </si>
  <si>
    <t>M026/26</t>
  </si>
  <si>
    <t>Sala cliente, Projector nosso</t>
  </si>
  <si>
    <t>056/26</t>
  </si>
  <si>
    <t>M149/26</t>
  </si>
  <si>
    <t xml:space="preserve">Alugada Grupo de Convívio e Amizade nas Donas </t>
  </si>
  <si>
    <t>068/26</t>
  </si>
  <si>
    <t>FALTA INSERIR FORMANDOS CRM</t>
  </si>
  <si>
    <t>065/26</t>
  </si>
  <si>
    <t>ELPTTCV_017/26</t>
  </si>
  <si>
    <t>ELPTTCV_018/26</t>
  </si>
  <si>
    <t>ELPTTCV_019/26</t>
  </si>
  <si>
    <t>ELPTTCV_020/26</t>
  </si>
  <si>
    <t>ELPTTCV_021/26</t>
  </si>
  <si>
    <t>ELPTTCV_022/26</t>
  </si>
  <si>
    <t>ELPTTCV_023/26</t>
  </si>
  <si>
    <t>E - Liderança 8h</t>
  </si>
  <si>
    <t>ELPTTCV_024/26</t>
  </si>
  <si>
    <t>ELPTTCV_025/26</t>
  </si>
  <si>
    <t>ELPTTCV_026/26</t>
  </si>
  <si>
    <t>ELPTTCV_027/26</t>
  </si>
  <si>
    <t>ELPTTCV_028/26</t>
  </si>
  <si>
    <t>ELPTTCV_029/26</t>
  </si>
  <si>
    <t>Amarração e Fixação de Cargas 8h EL</t>
  </si>
  <si>
    <t>ELPTTCV_030/26</t>
  </si>
  <si>
    <t>ELPTMED_053/26</t>
  </si>
  <si>
    <t>CB/SF/MD</t>
  </si>
  <si>
    <t>ELPTMED_072/26</t>
  </si>
  <si>
    <t>ELPTMED_073/26</t>
  </si>
  <si>
    <t>ELPTMED_074/26</t>
  </si>
  <si>
    <t>ELPTMED_075/26</t>
  </si>
  <si>
    <t>ELPTMED_076/26</t>
  </si>
  <si>
    <t>ELPTMED_077/26</t>
  </si>
  <si>
    <t>MD/SF</t>
  </si>
  <si>
    <t>ELPTMED_078/26</t>
  </si>
  <si>
    <t>ELPTMED_079/26</t>
  </si>
  <si>
    <t>E - Acondicionamento de carga 8h</t>
  </si>
  <si>
    <t>ELPTMED_080/26</t>
  </si>
  <si>
    <t>Não está dossier no for adm.</t>
  </si>
  <si>
    <t>ELPTMED_081/26</t>
  </si>
  <si>
    <t>#AM 13/02/2026 Email enviado.</t>
  </si>
  <si>
    <t>ELPTMED_082/26</t>
  </si>
  <si>
    <t>Perguntar Sara</t>
  </si>
  <si>
    <t>ELPTMED_083/26</t>
  </si>
  <si>
    <t>ELPTMED_085/26</t>
  </si>
  <si>
    <t>ELPTMED_086/26</t>
  </si>
  <si>
    <t>ELPTMED_087/26</t>
  </si>
  <si>
    <t>ELPTMED_088/26</t>
  </si>
  <si>
    <t>ELPTMED_089/26</t>
  </si>
  <si>
    <t>MD/CB/SF</t>
  </si>
  <si>
    <t>ELPTMED_090/26</t>
  </si>
  <si>
    <t>ELPTMED_091/26</t>
  </si>
  <si>
    <t>ELPTMED_092/26</t>
  </si>
  <si>
    <t>e-Combate a Incêndios 8h_</t>
  </si>
  <si>
    <t>MD/CB</t>
  </si>
  <si>
    <t>ELPTMED_093/26</t>
  </si>
  <si>
    <t>ELPTMED_094/26</t>
  </si>
  <si>
    <t>e-Condução de Empilhadores 8h</t>
  </si>
  <si>
    <t>ELPTMED_095/26</t>
  </si>
  <si>
    <t>ELPTMED_097/26</t>
  </si>
  <si>
    <t>ASV (E-Learning)</t>
  </si>
  <si>
    <t>ELPTMED_098/26</t>
  </si>
  <si>
    <t>ELPTMED_100/26</t>
  </si>
  <si>
    <t>LID (e-learning)</t>
  </si>
  <si>
    <t>ELPTMED_101/26</t>
  </si>
  <si>
    <t>e-Exposição ao Gás Radão - 8h</t>
  </si>
  <si>
    <t>ELPTMED_102/26</t>
  </si>
  <si>
    <t>EL - Ergonomia 8h</t>
  </si>
  <si>
    <t>ELPTMED_103/26</t>
  </si>
  <si>
    <t>e- Gestão do Tempo e Organização do Trabalho 8h</t>
  </si>
  <si>
    <t>ELPTMED_104/26</t>
  </si>
  <si>
    <t>ELPTMED_105/26</t>
  </si>
  <si>
    <t>e-Acondicionamento de Cargas 16h</t>
  </si>
  <si>
    <t>ELPTMED_106/26</t>
  </si>
  <si>
    <t>E - Condução económica e defensiva 8h</t>
  </si>
  <si>
    <t>ELPTMED_107/26</t>
  </si>
  <si>
    <t>ELPTMED_108/26</t>
  </si>
  <si>
    <t>ELPTMED_109/26</t>
  </si>
  <si>
    <t>ELPTMED_110/26</t>
  </si>
  <si>
    <t>e-HST</t>
  </si>
  <si>
    <t>ELPTMED_111/26</t>
  </si>
  <si>
    <t>ELPTMED_112/26</t>
  </si>
  <si>
    <t>ELPTMED_113/26</t>
  </si>
  <si>
    <t>ELPTMED_114/26</t>
  </si>
  <si>
    <t>ELPTMED_115/26</t>
  </si>
  <si>
    <t>ELPTMED_116/26</t>
  </si>
  <si>
    <t>ELPTMED_117/26</t>
  </si>
  <si>
    <t>ASPV (E-Learning)</t>
  </si>
  <si>
    <t>ELPTMED_118/26</t>
  </si>
  <si>
    <t>ELPTMED_119/26</t>
  </si>
  <si>
    <t>ELPTMED_120/26</t>
  </si>
  <si>
    <t>ELPTMED_122/26</t>
  </si>
  <si>
    <t>ELPTMED_123/26</t>
  </si>
  <si>
    <t>ELPTMED_124/26</t>
  </si>
  <si>
    <t>ELPTMED_125/26</t>
  </si>
  <si>
    <t>ELPTMED_126/26</t>
  </si>
  <si>
    <t>TS/MD/CB/SF</t>
  </si>
  <si>
    <t>ELPTMED_127/26</t>
  </si>
  <si>
    <t>ELPTMED_129/26</t>
  </si>
  <si>
    <t>ELPTMED_130/26</t>
  </si>
  <si>
    <t>ELPTMED_131/26</t>
  </si>
  <si>
    <t>ELPTMED_132/26</t>
  </si>
  <si>
    <t>EL - Metodologia 5S 8h</t>
  </si>
  <si>
    <t>ELPTMED_133/26</t>
  </si>
  <si>
    <t>ELPTMED_134/26</t>
  </si>
  <si>
    <t>ELPTMED_135/26</t>
  </si>
  <si>
    <t>ELPTMED_136/26</t>
  </si>
  <si>
    <t>ELPTMED_137/26</t>
  </si>
  <si>
    <t>ELPTMED_139/26</t>
  </si>
  <si>
    <t>e- CED 8h</t>
  </si>
  <si>
    <t>ELPTMED_140/26</t>
  </si>
  <si>
    <t>ELPTMED_141/26</t>
  </si>
  <si>
    <t>ELPTMED_142/26</t>
  </si>
  <si>
    <t>e-Liderança - Animação e Treino de Equipas_8h</t>
  </si>
  <si>
    <t>ELPTMED_143/26</t>
  </si>
  <si>
    <t>ELPTMED_144/26</t>
  </si>
  <si>
    <t>EL - Formação Higiene e Segurança Alimentar 8h</t>
  </si>
  <si>
    <t>ELPTSEEP_001/26</t>
  </si>
  <si>
    <t>EXC (e-learning)</t>
  </si>
  <si>
    <t>ELPTMED_145/26</t>
  </si>
  <si>
    <t>CB/MD/TS/SF</t>
  </si>
  <si>
    <t>IF/FG/SD</t>
  </si>
  <si>
    <t>Conta-</t>
  </si>
  <si>
    <t>ELPTMED_178/26</t>
  </si>
  <si>
    <t>e-HSA -Higiene, Segurança do Alimentar 8h</t>
  </si>
  <si>
    <t>CM</t>
  </si>
  <si>
    <t>ELPTMED_146/26</t>
  </si>
  <si>
    <t>AM</t>
  </si>
  <si>
    <t>ELPTMED_147/26</t>
  </si>
  <si>
    <t>IF/AM/FG</t>
  </si>
  <si>
    <t>ELPTMED_148/26</t>
  </si>
  <si>
    <t>e-Condutor/Manobrador de Máquinas 8h</t>
  </si>
  <si>
    <t>ELPTMED_149/26</t>
  </si>
  <si>
    <t>ELPTMED_150/26</t>
  </si>
  <si>
    <t>ELPTMED_151/26</t>
  </si>
  <si>
    <t>MD/TS</t>
  </si>
  <si>
    <t>ELPTMED_152/26</t>
  </si>
  <si>
    <t xml:space="preserve">e-Pontes Rolantes 8h </t>
  </si>
  <si>
    <t>ELPTMED_153/26</t>
  </si>
  <si>
    <t>ELPTMED_154/26</t>
  </si>
  <si>
    <t>ELPTMED_155/26</t>
  </si>
  <si>
    <t>ELPTMED_156/26</t>
  </si>
  <si>
    <t>ELPTMED_157/26</t>
  </si>
  <si>
    <t xml:space="preserve"> E-Condutor/Manobrador de Máquinas 16h</t>
  </si>
  <si>
    <t>ELPTMED_158/26</t>
  </si>
  <si>
    <t>ELPTMED_159/26</t>
  </si>
  <si>
    <t>ELPTMED_160/26</t>
  </si>
  <si>
    <t>e-Excel Fundamental 25h F e FCT</t>
  </si>
  <si>
    <t>ELPTMED_161/26</t>
  </si>
  <si>
    <t>ELPTTCV_031/26</t>
  </si>
  <si>
    <t>ELPTTCV_032/26</t>
  </si>
  <si>
    <t>ELPTTCV_033/26</t>
  </si>
  <si>
    <t>ELPTTCV_034/26</t>
  </si>
  <si>
    <t>ELPTTCV_035/26</t>
  </si>
  <si>
    <t>ELPTTCV_036/26</t>
  </si>
  <si>
    <t>M138/26</t>
  </si>
  <si>
    <t>Luis Silva - confirmado</t>
  </si>
  <si>
    <t>Sala Cliente, projector cliente</t>
  </si>
  <si>
    <t>M024/26</t>
  </si>
  <si>
    <t>João Antunes- confirmado</t>
  </si>
  <si>
    <t>IM #02/03/2026 Enviada</t>
  </si>
  <si>
    <t>Sala cliente, Projector?</t>
  </si>
  <si>
    <t>063/26</t>
  </si>
  <si>
    <t>SS</t>
  </si>
  <si>
    <t>Claudia Gomes - confirmado</t>
  </si>
  <si>
    <t>M128/26</t>
  </si>
  <si>
    <t>Sala cliente, televisor c/HDMI</t>
  </si>
  <si>
    <t>M153/26</t>
  </si>
  <si>
    <t>IM #05/03/2026 Enviada</t>
  </si>
  <si>
    <t>IM #04/03/2026 Enviada</t>
  </si>
  <si>
    <t>Sala Alugada Hotel Turismo Trancoso</t>
  </si>
  <si>
    <t>M111/26</t>
  </si>
  <si>
    <t>LM</t>
  </si>
  <si>
    <t>020/26</t>
  </si>
  <si>
    <t>dfia 7 e 09</t>
  </si>
  <si>
    <t>026/26</t>
  </si>
  <si>
    <t>MF</t>
  </si>
  <si>
    <t>Sala alugada B&amp;B HOTEL Porto Expo Aeroporto</t>
  </si>
  <si>
    <t>M173/26</t>
  </si>
  <si>
    <t>057/26</t>
  </si>
  <si>
    <t>Sala alugada Junta Freguesia Mondim de Basto</t>
  </si>
  <si>
    <t>009/26</t>
  </si>
  <si>
    <t>IM #06/03/2026 Enviada</t>
  </si>
  <si>
    <t>ELPTMED_163/26</t>
  </si>
  <si>
    <t xml:space="preserve">e-PS - Primeiros Socorros 8h </t>
  </si>
  <si>
    <t>Moodle</t>
  </si>
  <si>
    <t>CB/MD/SF</t>
  </si>
  <si>
    <t>IF/FG/AM</t>
  </si>
  <si>
    <t>ELPTMED_164/26</t>
  </si>
  <si>
    <t>ELPTMED_165/26</t>
  </si>
  <si>
    <t>FG/AM</t>
  </si>
  <si>
    <t>ELPTMED_166/26</t>
  </si>
  <si>
    <t>IF/MS</t>
  </si>
  <si>
    <t>ELPTMED_167/26</t>
  </si>
  <si>
    <t>ELPTMED_168/26</t>
  </si>
  <si>
    <t>CB/MD</t>
  </si>
  <si>
    <t>ELPTMED_169/26</t>
  </si>
  <si>
    <t>ELPTMED_170/26</t>
  </si>
  <si>
    <t>ELPTMED_171/26</t>
  </si>
  <si>
    <t>JM/MD</t>
  </si>
  <si>
    <t>MS/FG</t>
  </si>
  <si>
    <t>ELPTMED_172/26</t>
  </si>
  <si>
    <t>ELPTMED_173/26</t>
  </si>
  <si>
    <t>ELPTMED_174/26</t>
  </si>
  <si>
    <t>ELPTMED_175/26</t>
  </si>
  <si>
    <t>ELPTMED_176/26</t>
  </si>
  <si>
    <t>ELPTMED_177/26</t>
  </si>
  <si>
    <t>ELPTMED_179/26</t>
  </si>
  <si>
    <t>e-Gestão das equipas</t>
  </si>
  <si>
    <t>ELPTMED_180/26</t>
  </si>
  <si>
    <t>ELPTMED_181/26</t>
  </si>
  <si>
    <t>e -Metodologia 5S 8h</t>
  </si>
  <si>
    <t>ELPTSEEP_002/26</t>
  </si>
  <si>
    <t>e- Excel Avançado</t>
  </si>
  <si>
    <t>ELPTTCV_037/26</t>
  </si>
  <si>
    <t>ELPTTCV_038/26</t>
  </si>
  <si>
    <t>ELPTTCV_039/26</t>
  </si>
  <si>
    <t>ELPTTCV_040/26</t>
  </si>
  <si>
    <t>M156/26</t>
  </si>
  <si>
    <t>M091/26</t>
  </si>
  <si>
    <t>M182/26</t>
  </si>
  <si>
    <t>M103/26</t>
  </si>
  <si>
    <t>GR</t>
  </si>
  <si>
    <t>Sala cliente, projetor ?</t>
  </si>
  <si>
    <t>010/26</t>
  </si>
  <si>
    <t>IM #11/03/2026 Enviada</t>
  </si>
  <si>
    <t>M183/26</t>
  </si>
  <si>
    <t>M197/26</t>
  </si>
  <si>
    <t>André Rodrigues - confirmado</t>
  </si>
  <si>
    <t>Nossa sala, projector nosso</t>
  </si>
  <si>
    <t>M198/26</t>
  </si>
  <si>
    <t>externo</t>
  </si>
  <si>
    <t>IM #12/03/2026 Enviada</t>
  </si>
  <si>
    <t>M140/26</t>
  </si>
  <si>
    <t>Azambuja</t>
  </si>
  <si>
    <t>M164/26</t>
  </si>
  <si>
    <t>SQ #12/03/2026 Enviada</t>
  </si>
  <si>
    <t>M071/26</t>
  </si>
  <si>
    <t>Cartaxo</t>
  </si>
  <si>
    <t>021/26</t>
  </si>
  <si>
    <t>João Coelho confirmado</t>
  </si>
  <si>
    <t>SQ #13/03/2026 Enviada</t>
  </si>
  <si>
    <t>Sala nossa, projector nosso</t>
  </si>
  <si>
    <t>M199/26</t>
  </si>
  <si>
    <t>Freixo Espada Cinta</t>
  </si>
  <si>
    <t>Pedro Pereira- confirmada</t>
  </si>
  <si>
    <t>Sala cliente, Projecto cliente</t>
  </si>
  <si>
    <t>066/26</t>
  </si>
  <si>
    <t>Sala alugada Meeting Space</t>
  </si>
  <si>
    <t>073/26</t>
  </si>
  <si>
    <t>Jose Lopez - confirmado</t>
  </si>
  <si>
    <t>Sala Alugada Desmor</t>
  </si>
  <si>
    <t>074/26</t>
  </si>
  <si>
    <t>#IM 13/03/2026</t>
  </si>
  <si>
    <t>Sala alugada Junta Freguesia Tondela</t>
  </si>
  <si>
    <t>M194/26</t>
  </si>
  <si>
    <t>M110/26</t>
  </si>
  <si>
    <t>Lourel</t>
  </si>
  <si>
    <t>4h</t>
  </si>
  <si>
    <t>M193/26</t>
  </si>
  <si>
    <t>C/ TEAMS</t>
  </si>
  <si>
    <t>João Antunes -  confirmado</t>
  </si>
  <si>
    <t>ELPTMED_183/26</t>
  </si>
  <si>
    <t>FG/AC</t>
  </si>
  <si>
    <t>1 da sofia</t>
  </si>
  <si>
    <t>ELPTMED_184/26</t>
  </si>
  <si>
    <t>MD/SF/CB</t>
  </si>
  <si>
    <t>FG/AC/IF</t>
  </si>
  <si>
    <t>3 da MD , 2 SF, 39 BAETA</t>
  </si>
  <si>
    <t>ELPTMED_185/26</t>
  </si>
  <si>
    <t>e-Comunicação e Qualidade no Atendimento 16h</t>
  </si>
  <si>
    <t>ELPTMED_186/26</t>
  </si>
  <si>
    <t>ELPTMED_187/26</t>
  </si>
  <si>
    <t>ELPTMED_188/26</t>
  </si>
  <si>
    <t>ELPTMED_189/26</t>
  </si>
  <si>
    <t>ELPTMED_190/26</t>
  </si>
  <si>
    <t>ELPTMED_191/26</t>
  </si>
  <si>
    <t>ELPTMED_192/26</t>
  </si>
  <si>
    <t>ELPTMED_193/26</t>
  </si>
  <si>
    <t>ELPTMED_194/26</t>
  </si>
  <si>
    <t>EL - Gestão e Tratamento de Reclamações 8h</t>
  </si>
  <si>
    <t>ELPTMED_195/26</t>
  </si>
  <si>
    <t>ELPTMED_196/26</t>
  </si>
  <si>
    <t>1 de cada</t>
  </si>
  <si>
    <t>ELPTMED_197/26</t>
  </si>
  <si>
    <t>e- Condutor/Manobrador de Máquinas 16h</t>
  </si>
  <si>
    <t>ELPTMED_198/26</t>
  </si>
  <si>
    <t>e-Sinistralidade Rodoviária</t>
  </si>
  <si>
    <t>ELPTMED_199/26</t>
  </si>
  <si>
    <t>ELPTMED_200/26</t>
  </si>
  <si>
    <t>ELPTTCV_041/26</t>
  </si>
  <si>
    <t>ELPTTCV_042/26</t>
  </si>
  <si>
    <t>ELPTTCV_043/26</t>
  </si>
  <si>
    <t>ELPTTCV_044/26</t>
  </si>
  <si>
    <t>e-HSA - Higiene, Segurança Alimentar 8h</t>
  </si>
  <si>
    <t>ELPTTCV_045/26</t>
  </si>
  <si>
    <t>S009/26</t>
  </si>
  <si>
    <t>Teams</t>
  </si>
  <si>
    <t>MS/SD/AC</t>
  </si>
  <si>
    <t>M092/26</t>
  </si>
  <si>
    <t>Diogo Duarte - Confirmado</t>
  </si>
  <si>
    <t>#SQ 13/03/2026</t>
  </si>
  <si>
    <t>Sala cliente, projector cliente</t>
  </si>
  <si>
    <t>M131/26</t>
  </si>
  <si>
    <t>M5S</t>
  </si>
  <si>
    <t>Marcelo Fernades Confirmado</t>
  </si>
  <si>
    <t>Sala cliente, projector nosso</t>
  </si>
  <si>
    <t>M208/26</t>
  </si>
  <si>
    <t>Formador ainda não enviou a pausa. Email a solicitar 31/03/2026</t>
  </si>
  <si>
    <t>#IM 16/03/2026</t>
  </si>
  <si>
    <t>M133/26</t>
  </si>
  <si>
    <t>Povoa de Santo Adriao</t>
  </si>
  <si>
    <t>Luis Casquinha-confirmado</t>
  </si>
  <si>
    <t>Sala cliente, projector ?</t>
  </si>
  <si>
    <t>M114/26</t>
  </si>
  <si>
    <t>Pedro Costa- confirmado</t>
  </si>
  <si>
    <t>M189/26</t>
  </si>
  <si>
    <t>Miguel Perdigão - Confirmadio</t>
  </si>
  <si>
    <t>Sala cliente, tv c/hdmi</t>
  </si>
  <si>
    <t>M190/26</t>
  </si>
  <si>
    <t xml:space="preserve">TVNC </t>
  </si>
  <si>
    <t>M202/26</t>
  </si>
  <si>
    <t>Ponte de Lima</t>
  </si>
  <si>
    <t>Manuel Dias- Confirmado</t>
  </si>
  <si>
    <t>#IM 17/03/2026</t>
  </si>
  <si>
    <t>076/26</t>
  </si>
  <si>
    <t>BRUNO GOMES INDICOU SUSANA SOARES</t>
  </si>
  <si>
    <t>#IM 18/03/2026</t>
  </si>
  <si>
    <t>M203/26</t>
  </si>
  <si>
    <t>M072/26</t>
  </si>
  <si>
    <t>#IM 20/03/2026</t>
  </si>
  <si>
    <t>M195/26</t>
  </si>
  <si>
    <t>Amares</t>
  </si>
  <si>
    <t>Pedro Pereira-confirmado</t>
  </si>
  <si>
    <t>M217/26</t>
  </si>
  <si>
    <t>#IM 19/03/2026</t>
  </si>
  <si>
    <t>Alugada, Zona Verde</t>
  </si>
  <si>
    <t>079/26</t>
  </si>
  <si>
    <t>051/26</t>
  </si>
  <si>
    <t>Mauro Silva?????</t>
  </si>
  <si>
    <t>Nuno Marques - Confirmado</t>
  </si>
  <si>
    <t>#SQ 19/03/2026</t>
  </si>
  <si>
    <t>047/26</t>
  </si>
  <si>
    <t>Bruno Gomes - combinado com o cliente</t>
  </si>
  <si>
    <t>M205/26</t>
  </si>
  <si>
    <t>Vandoma</t>
  </si>
  <si>
    <t>4 horas</t>
  </si>
  <si>
    <t>M180/26</t>
  </si>
  <si>
    <t>DTP impresso</t>
  </si>
  <si>
    <t>Joao Coelho - confirmado</t>
  </si>
  <si>
    <t>M201/26</t>
  </si>
  <si>
    <t>Vidigueira</t>
  </si>
  <si>
    <t>levar a formação numa pen</t>
  </si>
  <si>
    <t>082/26</t>
  </si>
  <si>
    <t xml:space="preserve">M219/26 </t>
  </si>
  <si>
    <t>Moimenta da Beira</t>
  </si>
  <si>
    <t>Alugada Opus Securiti</t>
  </si>
  <si>
    <t>080/26</t>
  </si>
  <si>
    <t>Miguel Perdigão-confirmado</t>
  </si>
  <si>
    <t>M155/26</t>
  </si>
  <si>
    <t>029/26</t>
  </si>
  <si>
    <t>Ainda sem DTP</t>
  </si>
  <si>
    <t>Alugada Bombeiros De Caxarias</t>
  </si>
  <si>
    <t>M212/26</t>
  </si>
  <si>
    <t>078/26</t>
  </si>
  <si>
    <t>Nossa Sala, nosso projector</t>
  </si>
  <si>
    <t>M209/26</t>
  </si>
  <si>
    <t>M098/26</t>
  </si>
  <si>
    <t>Alugada, Hotel Pombalense</t>
  </si>
  <si>
    <t>ELPTMED_201/26</t>
  </si>
  <si>
    <t>ELPTMED_202/26</t>
  </si>
  <si>
    <t>e-SHT - Segurança e Higiene no Trabalho 8h</t>
  </si>
  <si>
    <t>ELPTMED_203/26</t>
  </si>
  <si>
    <t>IF/AC</t>
  </si>
  <si>
    <t>ELPTMED_204/26</t>
  </si>
  <si>
    <t>ELPTMED_205/26</t>
  </si>
  <si>
    <t>ELPTMED_206/26</t>
  </si>
  <si>
    <t>ELPTMED_208/26</t>
  </si>
  <si>
    <t>e-Gestão de Equipas 8h</t>
  </si>
  <si>
    <t>ELPTMED_209/26</t>
  </si>
  <si>
    <t>ELPTMED_210/26</t>
  </si>
  <si>
    <t>ELPTMED_211/26</t>
  </si>
  <si>
    <t>MPE (E-Learning)</t>
  </si>
  <si>
    <t>ELPTMED_212/26</t>
  </si>
  <si>
    <t>TVNC (e-learning)</t>
  </si>
  <si>
    <t>ELPTMED_213/26</t>
  </si>
  <si>
    <t>ELPTMED_214/26</t>
  </si>
  <si>
    <t>ELPTMED_215/26</t>
  </si>
  <si>
    <t>ELPTMED_216/26</t>
  </si>
  <si>
    <t>ELPTMED_217/26</t>
  </si>
  <si>
    <t>MD/JM</t>
  </si>
  <si>
    <t>FG/MS</t>
  </si>
  <si>
    <t>ELPTMED_218/26</t>
  </si>
  <si>
    <t>ELPTMED_219/26</t>
  </si>
  <si>
    <t>ELPTTCV_046/26</t>
  </si>
  <si>
    <t>ELPTTCV_047/26</t>
  </si>
  <si>
    <t>ELPTTCV_048/26</t>
  </si>
  <si>
    <t>ELPTTCV_049/26</t>
  </si>
  <si>
    <t>EL - Segurança e Higiene no Trabalho 8h</t>
  </si>
  <si>
    <t>ELPTTCV_050/26</t>
  </si>
  <si>
    <t>M210/26</t>
  </si>
  <si>
    <t>Alugada, (Associação Cultural e Desportiva “Os Ílhavos”)</t>
  </si>
  <si>
    <t>M033/26</t>
  </si>
  <si>
    <t>Ana Beatriz Teixeira</t>
  </si>
  <si>
    <t>#IM 24/03/2026</t>
  </si>
  <si>
    <t>M186/26</t>
  </si>
  <si>
    <t xml:space="preserve">enviei email </t>
  </si>
  <si>
    <t>M222/26</t>
  </si>
  <si>
    <t>M163/26</t>
  </si>
  <si>
    <t>Diogo Duarte- Confirmado</t>
  </si>
  <si>
    <t>M196/26</t>
  </si>
  <si>
    <t>Formador ainda não enviou as presenças nem DTP</t>
  </si>
  <si>
    <t>Sala cliente, TV C/HDMI</t>
  </si>
  <si>
    <t>M226/26</t>
  </si>
  <si>
    <t>#IM 25/03/2026</t>
  </si>
  <si>
    <t>M089/26</t>
  </si>
  <si>
    <t>M123/26</t>
  </si>
  <si>
    <t>M148/26</t>
  </si>
  <si>
    <t>#IM 26/03/2026</t>
  </si>
  <si>
    <t>Sala nossa, projector nosso (coimbra)</t>
  </si>
  <si>
    <t>M165/26</t>
  </si>
  <si>
    <t>Sala alugadaTECMAIA</t>
  </si>
  <si>
    <t>M166/26</t>
  </si>
  <si>
    <t>Sala alugada Cowork Malvarosa</t>
  </si>
  <si>
    <t>M168/26</t>
  </si>
  <si>
    <t>Frederico Moreira - confrimado</t>
  </si>
  <si>
    <t>Sala alugada Politecnico de Setubal</t>
  </si>
  <si>
    <t>M200/26</t>
  </si>
  <si>
    <t>Sala Cliente , projecto???</t>
  </si>
  <si>
    <t>081/26</t>
  </si>
  <si>
    <t>M221/26</t>
  </si>
  <si>
    <t>Leixões</t>
  </si>
  <si>
    <t>Jorge Augusto -confirmado</t>
  </si>
  <si>
    <t>030/26</t>
  </si>
  <si>
    <t>Sines</t>
  </si>
  <si>
    <t>M220/26</t>
  </si>
  <si>
    <t>Sala Alugada Quasimprovavel</t>
  </si>
  <si>
    <t>085/26</t>
  </si>
  <si>
    <t>M218/26</t>
  </si>
  <si>
    <t>AC/MS</t>
  </si>
  <si>
    <t>Sala alugada CESAE Digital do Marco de Canavezes.</t>
  </si>
  <si>
    <t>M227/26</t>
  </si>
  <si>
    <t>Sala alugada Junta de Freguesia de Tondela</t>
  </si>
  <si>
    <t>M230/26</t>
  </si>
  <si>
    <t>Amarante</t>
  </si>
  <si>
    <t>4 horas das 14h ás 18h00</t>
  </si>
  <si>
    <t>ELPTMED_220/26</t>
  </si>
  <si>
    <t>ELPTMED_221/26</t>
  </si>
  <si>
    <t>ELPTMED_222/26</t>
  </si>
  <si>
    <t>ELPTMED_223/26</t>
  </si>
  <si>
    <t>ELPTMED_224/26</t>
  </si>
  <si>
    <t>JM/CB/MD</t>
  </si>
  <si>
    <t>MS/IF/FG</t>
  </si>
  <si>
    <t>ELPTMED_225/26</t>
  </si>
  <si>
    <t>ELPTMED_226/26</t>
  </si>
  <si>
    <t>ELPTMED_227/26</t>
  </si>
  <si>
    <t>ELPTMED_228/26</t>
  </si>
  <si>
    <t>e- Condução Económica e Defensiva</t>
  </si>
  <si>
    <t>ELPTMED_229/26</t>
  </si>
  <si>
    <t>ELPTMED_230/26</t>
  </si>
  <si>
    <t>ELPTTCV_051/26</t>
  </si>
  <si>
    <t>ELPTTCV_052/26</t>
  </si>
  <si>
    <t>EL - Tacógrafos Digitais - V.25 - 8</t>
  </si>
  <si>
    <t>ELPTTCV_053/26</t>
  </si>
  <si>
    <t>ELPTTCV_054/26</t>
  </si>
  <si>
    <t>088/26</t>
  </si>
  <si>
    <t>Pedro Carriço-confirmado</t>
  </si>
  <si>
    <t>028/26</t>
  </si>
  <si>
    <t>M122/26</t>
  </si>
  <si>
    <t>Penela</t>
  </si>
  <si>
    <t xml:space="preserve">JM </t>
  </si>
  <si>
    <t>#IM 27/03/2026</t>
  </si>
  <si>
    <t>089/26</t>
  </si>
  <si>
    <t>DTP FEITO</t>
  </si>
  <si>
    <t>M246/26</t>
  </si>
  <si>
    <t>Sala Alugada Hotel Quinta Cedros</t>
  </si>
  <si>
    <t>M247/26</t>
  </si>
  <si>
    <t>M248/26</t>
  </si>
  <si>
    <t>M188/26</t>
  </si>
  <si>
    <t>Castelo Paiva</t>
  </si>
  <si>
    <t>Miguel Perdigão ????</t>
  </si>
  <si>
    <t>Fernando Loureiro Jesus ????</t>
  </si>
  <si>
    <t>M119/26</t>
  </si>
  <si>
    <t>#IM 30/03/2026</t>
  </si>
  <si>
    <t>084/26</t>
  </si>
  <si>
    <t>Joao Antunes????</t>
  </si>
  <si>
    <t>Sala cliente, projector ????</t>
  </si>
  <si>
    <t>Aguardar confirmação da Sofia Fonseca</t>
  </si>
  <si>
    <t>M170/26</t>
  </si>
  <si>
    <t>Sala alugada AEBB - Castelo Branco</t>
  </si>
  <si>
    <t>M172/26</t>
  </si>
  <si>
    <t>José lopez ? Martinho? Coelho?frederico</t>
  </si>
  <si>
    <t>ALUGAR SALA</t>
  </si>
  <si>
    <t>019/26</t>
  </si>
  <si>
    <t>M184/26</t>
  </si>
  <si>
    <t>M181/26</t>
  </si>
  <si>
    <t>M135/26</t>
  </si>
  <si>
    <t>Figueira Castelo Rodrigo</t>
  </si>
  <si>
    <t>Aguardar confirmação da Joaquina Mourato</t>
  </si>
  <si>
    <t>083/26</t>
  </si>
  <si>
    <t>Alugar sala do restaurante da formação anterior do carlos cozinheiro</t>
  </si>
  <si>
    <t>Bruno gomes-confirmado</t>
  </si>
  <si>
    <t>Sala alugada Solar da Rainha</t>
  </si>
  <si>
    <t>Aguadar confirmação da Tania Sousa</t>
  </si>
  <si>
    <t>Sala cliente, projector???</t>
  </si>
  <si>
    <t>Aguardar confirmação da Carolina</t>
  </si>
  <si>
    <t>M015/26</t>
  </si>
  <si>
    <t>Aguadar confirmação da Mafalda Duque</t>
  </si>
  <si>
    <t>086/26</t>
  </si>
  <si>
    <t>M150/26</t>
  </si>
  <si>
    <t>Sala cliente, projetor ???</t>
  </si>
  <si>
    <t>M175/26</t>
  </si>
  <si>
    <t>Francisco Lima - Confirmado</t>
  </si>
  <si>
    <t>Sala cliente??, projector ??</t>
  </si>
  <si>
    <t>M191/26</t>
  </si>
  <si>
    <t>confirma dia 06/04</t>
  </si>
  <si>
    <t>Miguel Perdigão ??????</t>
  </si>
  <si>
    <t>M192/26</t>
  </si>
  <si>
    <t>M176/26</t>
  </si>
  <si>
    <t>*enviei email aferir disponibilidade 26/03</t>
  </si>
  <si>
    <t>Francisco Lima ??????</t>
  </si>
  <si>
    <t>011/26</t>
  </si>
  <si>
    <t>Ainda sem data definida</t>
  </si>
  <si>
    <t>José Brites  ???</t>
  </si>
  <si>
    <t>M228/26</t>
  </si>
  <si>
    <t>M039/26</t>
  </si>
  <si>
    <t>PSETEC</t>
  </si>
  <si>
    <t>Danielle Rufino - confirmada</t>
  </si>
  <si>
    <t>M178/26</t>
  </si>
  <si>
    <t>Lisboa</t>
  </si>
  <si>
    <t>Ricardo Vinhais-confirmado</t>
  </si>
  <si>
    <t>M136/26</t>
  </si>
  <si>
    <t>João Antunes????</t>
  </si>
  <si>
    <t>POR CONFIRMAR</t>
  </si>
  <si>
    <t>M141/26</t>
  </si>
  <si>
    <t>Sala cliente, projector ??</t>
  </si>
  <si>
    <t>M167/26</t>
  </si>
  <si>
    <t>M171/26</t>
  </si>
  <si>
    <t>ALUGAR SALA /SALA NOSSA</t>
  </si>
  <si>
    <t>067/26</t>
  </si>
  <si>
    <t>João Gomes????</t>
  </si>
  <si>
    <t>075/26</t>
  </si>
  <si>
    <t>M225/26</t>
  </si>
  <si>
    <t>GTC (TC)</t>
  </si>
  <si>
    <t>041/26</t>
  </si>
  <si>
    <t>Sala cliente projetor nosso</t>
  </si>
  <si>
    <t>M243/26</t>
  </si>
  <si>
    <t>João Antunes ???</t>
  </si>
  <si>
    <t>Sala cliente projetor ???</t>
  </si>
  <si>
    <t>Pedroso</t>
  </si>
  <si>
    <t>M235/26</t>
  </si>
  <si>
    <t>M216/26</t>
  </si>
  <si>
    <t>Vitor Costa ????</t>
  </si>
  <si>
    <t>M231/26</t>
  </si>
  <si>
    <t>M54/26</t>
  </si>
  <si>
    <t>Sala cliente??, projector cliente</t>
  </si>
  <si>
    <t>M177/26</t>
  </si>
  <si>
    <t>060/26</t>
  </si>
  <si>
    <t>M073/26</t>
  </si>
  <si>
    <t>M158/26</t>
  </si>
  <si>
    <t>Rio de Mouro</t>
  </si>
  <si>
    <t>M206/26</t>
  </si>
  <si>
    <t>M236/26</t>
  </si>
  <si>
    <t>Albufeira</t>
  </si>
  <si>
    <t>M253/26</t>
  </si>
  <si>
    <t>Gestão Riscos Psicosociais</t>
  </si>
  <si>
    <t>M151/26</t>
  </si>
  <si>
    <t>M211/26</t>
  </si>
  <si>
    <t>M023/26</t>
  </si>
  <si>
    <t>aguardar data pelo cliente</t>
  </si>
  <si>
    <t>Fernando Loureiro Jesus - ???</t>
  </si>
  <si>
    <t>M207/26</t>
  </si>
  <si>
    <t>Ação adiada de 24/04 sem data definida</t>
  </si>
  <si>
    <t>M105/26</t>
  </si>
  <si>
    <t>Formação adiada de 24/03 para 07/04 e adiada sem data</t>
  </si>
  <si>
    <t>M234/26</t>
  </si>
  <si>
    <t>Horta (vila nova de foz coa)</t>
  </si>
  <si>
    <t>4H</t>
  </si>
  <si>
    <t>Sala cliente, não é preciso projector</t>
  </si>
  <si>
    <t>M233/26</t>
  </si>
  <si>
    <t>M179/26</t>
  </si>
  <si>
    <t>MERCH</t>
  </si>
  <si>
    <t>M232/26</t>
  </si>
  <si>
    <t>Sala cliente, projector ???</t>
  </si>
  <si>
    <t>M169/26</t>
  </si>
  <si>
    <t>M244/26</t>
  </si>
  <si>
    <t>M249/26</t>
  </si>
  <si>
    <t>M213/26</t>
  </si>
  <si>
    <t>Excel 25h</t>
  </si>
  <si>
    <t>?</t>
  </si>
  <si>
    <t>M240/26</t>
  </si>
  <si>
    <t>4 Horas - 9h ás 13h00</t>
  </si>
  <si>
    <t>071/26</t>
  </si>
  <si>
    <t>Vila Nova Famalicão</t>
  </si>
  <si>
    <t>M229/26</t>
  </si>
  <si>
    <t>M080/26</t>
  </si>
  <si>
    <t>Alugada Bombeiros Voluntário Vialonga</t>
  </si>
  <si>
    <t>M245/26</t>
  </si>
  <si>
    <t>Olival de Bastos</t>
  </si>
  <si>
    <t>M241/26</t>
  </si>
  <si>
    <t>072/26</t>
  </si>
  <si>
    <t>M154/26</t>
  </si>
  <si>
    <t>EXCEL 16H</t>
  </si>
  <si>
    <t>M237/26</t>
  </si>
  <si>
    <t>087/26</t>
  </si>
  <si>
    <t>M250/26</t>
  </si>
  <si>
    <t>077/26</t>
  </si>
  <si>
    <t>M242/26</t>
  </si>
  <si>
    <t>M223/26</t>
  </si>
  <si>
    <t>Vaongo</t>
  </si>
  <si>
    <t>Sandro Sá -confirmado</t>
  </si>
  <si>
    <t>M214/26</t>
  </si>
  <si>
    <t>M215/26</t>
  </si>
  <si>
    <t>M159/26</t>
  </si>
  <si>
    <t>M160/26</t>
  </si>
  <si>
    <t>M161/26</t>
  </si>
  <si>
    <t>M162/26</t>
  </si>
  <si>
    <t>M238/26</t>
  </si>
  <si>
    <t>M224/26</t>
  </si>
  <si>
    <t>M239/26</t>
  </si>
  <si>
    <t>Variação</t>
  </si>
  <si>
    <t>Ações</t>
  </si>
  <si>
    <t>Formandos</t>
  </si>
  <si>
    <t>Análise</t>
  </si>
  <si>
    <t>Presenciais</t>
  </si>
  <si>
    <t>Elearning</t>
  </si>
  <si>
    <t>TOTAL Nº AÇÕES</t>
  </si>
  <si>
    <t>TOTAL Nº FORMANDOS</t>
  </si>
  <si>
    <t>Nº Vend</t>
  </si>
  <si>
    <t>Média Ação/Vendedor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</si>
  <si>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</si>
  <si>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</si>
  <si>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</si>
  <si>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</si>
  <si>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</si>
  <si>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</si>
  <si>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</si>
  <si>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</si>
  <si>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</si>
  <si>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</si>
  <si>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</si>
  <si>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</si>
  <si>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ACUMULADO</t>
  </si>
  <si>
    <t>02/03 a 07/03</t>
  </si>
  <si>
    <t>09/03 a 14/03</t>
  </si>
  <si>
    <t>16/03 a 21/03</t>
  </si>
  <si>
    <t>23/03 a 28/03</t>
  </si>
  <si>
    <t>30/03 a 31/03</t>
  </si>
  <si>
    <t>TOTAL</t>
  </si>
  <si>
    <t>Acima de 15</t>
  </si>
  <si>
    <t>SF/MC</t>
  </si>
  <si>
    <t>MD/FG</t>
  </si>
  <si>
    <t>JM/MS</t>
  </si>
  <si>
    <t>CB/IF</t>
  </si>
  <si>
    <t>TS/SD</t>
  </si>
  <si>
    <t>PRESENCIAIS</t>
  </si>
  <si>
    <t>E-LEARNING</t>
  </si>
  <si>
    <t>TOTAL formandos</t>
  </si>
  <si>
    <t>Média</t>
  </si>
  <si>
    <t>Vendedores</t>
  </si>
  <si>
    <t>Ações em aberto</t>
  </si>
  <si>
    <t>Média ações p/vendedor</t>
  </si>
  <si>
    <t>Ações/vendedor</t>
  </si>
  <si>
    <t>Percentagem de fecho</t>
  </si>
  <si>
    <t>%/Todo</t>
  </si>
  <si>
    <t>Formandos/Ação</t>
  </si>
  <si>
    <t>Seepmode</t>
  </si>
  <si>
    <t>Tacovia</t>
  </si>
  <si>
    <t>%</t>
  </si>
  <si>
    <t>TOP OP</t>
  </si>
  <si>
    <t>Norte Mode</t>
  </si>
  <si>
    <t>Sofia/Ana</t>
  </si>
  <si>
    <t>Tânia/Soraia</t>
  </si>
  <si>
    <t>Centro Sul</t>
  </si>
  <si>
    <t>Carolina/Inês Ferreira</t>
  </si>
  <si>
    <t>Centro</t>
  </si>
  <si>
    <t>Joaquina/Margarida</t>
  </si>
  <si>
    <t>Norte Med</t>
  </si>
  <si>
    <t>Mafalda/Filipa</t>
  </si>
  <si>
    <t>Carolina - 217</t>
  </si>
  <si>
    <t>Joaquina - 88</t>
  </si>
  <si>
    <t>Mafalda -258</t>
  </si>
  <si>
    <t>Sofia - 66</t>
  </si>
  <si>
    <t>Tania - 96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</si>
</sst>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dd\-mm\-yyyy;@"/>
    <numFmt numFmtId="166" formatCode="#,##0.00\ &quot;€&quot;"/>
    <numFmt numFmtId="167" formatCode="0.0%"/>
    <numFmt numFmtId="168" formatCode="#,##0.00\ _€"/>
    <numFmt numFmtId="169" formatCode="[$€-2]\ #,##0.00"/>
  </numFmts>
  <fonts count="5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-webkit-standard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-webkit-standard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534D64"/>
      <name val="Arial"/>
      <family val="2"/>
    </font>
    <font>
      <sz val="11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7030A0"/>
      <name val="Arial"/>
      <family val="2"/>
    </font>
    <font>
      <b/>
      <i/>
      <sz val="14"/>
      <color theme="0"/>
      <name val="Calibri"/>
      <family val="2"/>
      <scheme val="minor"/>
    </font>
    <font>
      <sz val="10"/>
      <name val="Arial"/>
      <family val="2"/>
    </font>
    <font>
      <sz val="10"/>
      <color rgb="FF534D6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9" fontId="9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164" fontId="9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38" fillId="0" borderId="0" applyNumberFormat="0" applyFill="0" applyBorder="0" applyAlignment="0" applyProtection="0"/>
  </cellStyleXfs>
  <cellXfs count="442">
    <xf numFmtId="0" fontId="0" fillId="0" borderId="0" xfId="0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5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4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65" fontId="11" fillId="0" borderId="1" xfId="0" applyNumberFormat="1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5" fontId="11" fillId="0" borderId="2" xfId="0" applyNumberFormat="1" applyFont="1" applyBorder="1" applyAlignment="1">
      <alignment horizontal="left"/>
    </xf>
    <xf numFmtId="165" fontId="1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2" xfId="0" applyNumberFormat="1" applyBorder="1"/>
    <xf numFmtId="0" fontId="10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65" fontId="0" fillId="3" borderId="0" xfId="0" applyNumberFormat="1" applyFill="1"/>
    <xf numFmtId="165" fontId="11" fillId="3" borderId="0" xfId="0" applyNumberFormat="1" applyFont="1" applyFill="1" applyAlignment="1">
      <alignment horizontal="left"/>
    </xf>
    <xf numFmtId="0" fontId="10" fillId="3" borderId="0" xfId="0" applyFont="1" applyFill="1"/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4" fontId="10" fillId="2" borderId="8" xfId="0" applyNumberFormat="1" applyFont="1" applyFill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10" fillId="0" borderId="10" xfId="0" applyNumberFormat="1" applyFont="1" applyBorder="1" applyAlignment="1">
      <alignment horizontal="center"/>
    </xf>
    <xf numFmtId="4" fontId="10" fillId="3" borderId="0" xfId="0" applyNumberFormat="1" applyFont="1" applyFill="1" applyAlignment="1">
      <alignment horizontal="center"/>
    </xf>
    <xf numFmtId="10" fontId="10" fillId="3" borderId="0" xfId="1" applyNumberFormat="1" applyFont="1" applyFill="1" applyAlignment="1">
      <alignment horizontal="center"/>
    </xf>
    <xf numFmtId="4" fontId="10" fillId="3" borderId="10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" fontId="10" fillId="3" borderId="2" xfId="0" applyNumberFormat="1" applyFont="1" applyFill="1" applyBorder="1" applyAlignment="1">
      <alignment horizontal="center"/>
    </xf>
    <xf numFmtId="1" fontId="10" fillId="3" borderId="2" xfId="0" applyNumberFormat="1" applyFont="1" applyFill="1" applyBorder="1" applyAlignment="1">
      <alignment horizontal="center"/>
    </xf>
    <xf numFmtId="4" fontId="10" fillId="3" borderId="0" xfId="0" applyNumberFormat="1" applyFont="1" applyFill="1"/>
    <xf numFmtId="4" fontId="0" fillId="3" borderId="0" xfId="0" applyNumberFormat="1" applyFill="1"/>
    <xf numFmtId="10" fontId="11" fillId="3" borderId="0" xfId="1" applyNumberFormat="1" applyFont="1" applyFill="1" applyAlignment="1">
      <alignment horizontal="left"/>
    </xf>
    <xf numFmtId="165" fontId="10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0" xfId="7" applyFont="1"/>
    <xf numFmtId="164" fontId="0" fillId="0" borderId="0" xfId="7" applyFont="1" applyAlignment="1">
      <alignment horizontal="center"/>
    </xf>
    <xf numFmtId="164" fontId="12" fillId="0" borderId="0" xfId="7" applyFont="1" applyAlignment="1">
      <alignment horizontal="center" vertical="center" wrapText="1"/>
    </xf>
    <xf numFmtId="1" fontId="10" fillId="4" borderId="10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165" fontId="11" fillId="3" borderId="1" xfId="0" applyNumberFormat="1" applyFont="1" applyFill="1" applyBorder="1" applyAlignment="1">
      <alignment horizontal="left"/>
    </xf>
    <xf numFmtId="14" fontId="11" fillId="3" borderId="1" xfId="0" applyNumberFormat="1" applyFont="1" applyFill="1" applyBorder="1" applyAlignment="1">
      <alignment horizontal="left"/>
    </xf>
    <xf numFmtId="1" fontId="10" fillId="3" borderId="10" xfId="0" applyNumberFormat="1" applyFont="1" applyFill="1" applyBorder="1" applyAlignment="1">
      <alignment horizontal="center"/>
    </xf>
    <xf numFmtId="166" fontId="0" fillId="0" borderId="0" xfId="0" applyNumberFormat="1"/>
    <xf numFmtId="0" fontId="0" fillId="0" borderId="1" xfId="0" applyBorder="1"/>
    <xf numFmtId="0" fontId="10" fillId="3" borderId="0" xfId="0" applyFont="1" applyFill="1" applyAlignment="1">
      <alignment horizontal="left"/>
    </xf>
    <xf numFmtId="4" fontId="0" fillId="0" borderId="0" xfId="0" applyNumberFormat="1"/>
    <xf numFmtId="167" fontId="9" fillId="3" borderId="0" xfId="1" quotePrefix="1" applyNumberFormat="1" applyFont="1" applyFill="1" applyAlignment="1">
      <alignment horizontal="center"/>
    </xf>
    <xf numFmtId="167" fontId="9" fillId="0" borderId="0" xfId="1" applyNumberFormat="1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1" xfId="0" applyFont="1" applyBorder="1"/>
    <xf numFmtId="0" fontId="0" fillId="3" borderId="1" xfId="0" applyFill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0" fontId="8" fillId="0" borderId="1" xfId="0" applyFont="1" applyBorder="1"/>
    <xf numFmtId="14" fontId="18" fillId="3" borderId="1" xfId="0" applyNumberFormat="1" applyFont="1" applyFill="1" applyBorder="1" applyAlignment="1">
      <alignment horizontal="left"/>
    </xf>
    <xf numFmtId="0" fontId="8" fillId="3" borderId="1" xfId="0" applyFont="1" applyFill="1" applyBorder="1"/>
    <xf numFmtId="0" fontId="8" fillId="0" borderId="0" xfId="0" applyFont="1"/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quotePrefix="1"/>
    <xf numFmtId="0" fontId="0" fillId="0" borderId="0" xfId="0" quotePrefix="1" applyAlignment="1">
      <alignment vertical="center"/>
    </xf>
    <xf numFmtId="0" fontId="8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0" fontId="23" fillId="0" borderId="1" xfId="0" applyFont="1" applyBorder="1"/>
    <xf numFmtId="168" fontId="0" fillId="0" borderId="0" xfId="0" applyNumberFormat="1"/>
    <xf numFmtId="168" fontId="11" fillId="0" borderId="0" xfId="0" applyNumberFormat="1" applyFont="1" applyAlignment="1">
      <alignment horizontal="left"/>
    </xf>
    <xf numFmtId="168" fontId="1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5" fillId="0" borderId="1" xfId="0" applyFont="1" applyBorder="1"/>
    <xf numFmtId="165" fontId="24" fillId="0" borderId="1" xfId="0" applyNumberFormat="1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5" fillId="0" borderId="0" xfId="0" applyFont="1"/>
    <xf numFmtId="0" fontId="24" fillId="0" borderId="1" xfId="0" applyFont="1" applyBorder="1" applyAlignment="1">
      <alignment horizontal="left"/>
    </xf>
    <xf numFmtId="0" fontId="10" fillId="3" borderId="14" xfId="0" applyFont="1" applyFill="1" applyBorder="1" applyAlignment="1">
      <alignment horizontal="center"/>
    </xf>
    <xf numFmtId="0" fontId="25" fillId="0" borderId="7" xfId="0" applyFont="1" applyBorder="1"/>
    <xf numFmtId="165" fontId="23" fillId="0" borderId="1" xfId="0" applyNumberFormat="1" applyFont="1" applyBorder="1" applyAlignment="1">
      <alignment horizontal="left"/>
    </xf>
    <xf numFmtId="166" fontId="10" fillId="0" borderId="0" xfId="0" applyNumberFormat="1" applyFont="1"/>
    <xf numFmtId="168" fontId="10" fillId="0" borderId="0" xfId="0" applyNumberFormat="1" applyFont="1"/>
    <xf numFmtId="0" fontId="25" fillId="3" borderId="7" xfId="0" applyFont="1" applyFill="1" applyBorder="1"/>
    <xf numFmtId="0" fontId="2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1" fillId="3" borderId="1" xfId="0" applyFont="1" applyFill="1" applyBorder="1" applyAlignment="1">
      <alignment horizontal="left"/>
    </xf>
    <xf numFmtId="0" fontId="23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165" fontId="29" fillId="0" borderId="1" xfId="0" applyNumberFormat="1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31" fillId="0" borderId="1" xfId="0" applyNumberFormat="1" applyFont="1" applyBorder="1" applyAlignment="1">
      <alignment horizontal="left"/>
    </xf>
    <xf numFmtId="165" fontId="25" fillId="0" borderId="1" xfId="0" applyNumberFormat="1" applyFont="1" applyBorder="1" applyAlignment="1">
      <alignment horizontal="left"/>
    </xf>
    <xf numFmtId="14" fontId="31" fillId="0" borderId="1" xfId="0" applyNumberFormat="1" applyFont="1" applyBorder="1" applyAlignment="1">
      <alignment horizontal="left"/>
    </xf>
    <xf numFmtId="0" fontId="25" fillId="8" borderId="1" xfId="0" applyFont="1" applyFill="1" applyBorder="1"/>
    <xf numFmtId="0" fontId="23" fillId="8" borderId="1" xfId="0" applyFont="1" applyFill="1" applyBorder="1"/>
    <xf numFmtId="165" fontId="23" fillId="8" borderId="1" xfId="0" applyNumberFormat="1" applyFont="1" applyFill="1" applyBorder="1" applyAlignment="1">
      <alignment horizontal="left"/>
    </xf>
    <xf numFmtId="165" fontId="8" fillId="8" borderId="1" xfId="0" applyNumberFormat="1" applyFont="1" applyFill="1" applyBorder="1" applyAlignment="1">
      <alignment horizontal="left"/>
    </xf>
    <xf numFmtId="14" fontId="21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9" fillId="3" borderId="1" xfId="0" applyFont="1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0" xfId="0" applyFill="1" applyAlignment="1">
      <alignment horizontal="left" vertical="center" wrapText="1"/>
    </xf>
    <xf numFmtId="0" fontId="10" fillId="2" borderId="0" xfId="0" applyFont="1" applyFill="1" applyAlignment="1">
      <alignment horizontal="left"/>
    </xf>
    <xf numFmtId="0" fontId="27" fillId="3" borderId="1" xfId="0" applyFont="1" applyFill="1" applyBorder="1" applyAlignment="1">
      <alignment horizontal="left"/>
    </xf>
    <xf numFmtId="0" fontId="10" fillId="0" borderId="1" xfId="0" quotePrefix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6" borderId="2" xfId="0" quotePrefix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166" fontId="32" fillId="0" borderId="0" xfId="0" applyNumberFormat="1" applyFont="1"/>
    <xf numFmtId="168" fontId="32" fillId="0" borderId="0" xfId="0" applyNumberFormat="1" applyFont="1"/>
    <xf numFmtId="0" fontId="21" fillId="0" borderId="1" xfId="0" applyFont="1" applyBorder="1" applyAlignment="1">
      <alignment horizontal="left"/>
    </xf>
    <xf numFmtId="0" fontId="33" fillId="5" borderId="1" xfId="0" applyFont="1" applyFill="1" applyBorder="1" applyAlignment="1">
      <alignment horizontal="center" vertical="center"/>
    </xf>
    <xf numFmtId="10" fontId="34" fillId="6" borderId="1" xfId="0" applyNumberFormat="1" applyFont="1" applyFill="1" applyBorder="1" applyAlignment="1">
      <alignment horizontal="center" vertical="center" wrapText="1"/>
    </xf>
    <xf numFmtId="1" fontId="33" fillId="5" borderId="1" xfId="0" applyNumberFormat="1" applyFont="1" applyFill="1" applyBorder="1" applyAlignment="1">
      <alignment horizontal="center" vertical="center"/>
    </xf>
    <xf numFmtId="10" fontId="34" fillId="3" borderId="8" xfId="0" applyNumberFormat="1" applyFont="1" applyFill="1" applyBorder="1" applyAlignment="1">
      <alignment horizontal="center" vertical="center" wrapText="1"/>
    </xf>
    <xf numFmtId="10" fontId="34" fillId="6" borderId="13" xfId="0" applyNumberFormat="1" applyFont="1" applyFill="1" applyBorder="1" applyAlignment="1">
      <alignment horizontal="center" vertical="center" wrapText="1"/>
    </xf>
    <xf numFmtId="0" fontId="33" fillId="5" borderId="16" xfId="0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33" fillId="5" borderId="19" xfId="0" applyFont="1" applyFill="1" applyBorder="1" applyAlignment="1">
      <alignment horizontal="center" vertical="center"/>
    </xf>
    <xf numFmtId="10" fontId="34" fillId="3" borderId="2" xfId="0" applyNumberFormat="1" applyFont="1" applyFill="1" applyBorder="1" applyAlignment="1">
      <alignment horizontal="center" vertical="center" wrapText="1"/>
    </xf>
    <xf numFmtId="10" fontId="34" fillId="6" borderId="0" xfId="0" applyNumberFormat="1" applyFont="1" applyFill="1" applyAlignment="1">
      <alignment horizontal="center" vertical="center" wrapText="1"/>
    </xf>
    <xf numFmtId="10" fontId="34" fillId="6" borderId="11" xfId="0" applyNumberFormat="1" applyFont="1" applyFill="1" applyBorder="1" applyAlignment="1">
      <alignment horizontal="center" vertical="center" wrapText="1"/>
    </xf>
    <xf numFmtId="10" fontId="34" fillId="6" borderId="22" xfId="0" applyNumberFormat="1" applyFont="1" applyFill="1" applyBorder="1" applyAlignment="1">
      <alignment horizontal="center" vertical="center" wrapText="1"/>
    </xf>
    <xf numFmtId="10" fontId="34" fillId="9" borderId="0" xfId="0" applyNumberFormat="1" applyFont="1" applyFill="1" applyAlignment="1">
      <alignment horizontal="center" vertical="center" wrapText="1"/>
    </xf>
    <xf numFmtId="0" fontId="34" fillId="10" borderId="24" xfId="0" applyFont="1" applyFill="1" applyBorder="1" applyAlignment="1">
      <alignment horizontal="center" vertical="center" wrapText="1"/>
    </xf>
    <xf numFmtId="0" fontId="34" fillId="6" borderId="17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7" borderId="6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0" fontId="33" fillId="5" borderId="1" xfId="0" applyFont="1" applyFill="1" applyBorder="1" applyAlignment="1">
      <alignment horizontal="center"/>
    </xf>
    <xf numFmtId="1" fontId="33" fillId="7" borderId="1" xfId="0" applyNumberFormat="1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10" fontId="33" fillId="3" borderId="10" xfId="0" applyNumberFormat="1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/>
    </xf>
    <xf numFmtId="0" fontId="33" fillId="6" borderId="27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10" fontId="33" fillId="0" borderId="28" xfId="0" applyNumberFormat="1" applyFont="1" applyBorder="1" applyAlignment="1">
      <alignment horizontal="center" vertical="center"/>
    </xf>
    <xf numFmtId="0" fontId="33" fillId="5" borderId="27" xfId="0" applyFont="1" applyFill="1" applyBorder="1" applyAlignment="1">
      <alignment horizontal="center" vertical="center"/>
    </xf>
    <xf numFmtId="10" fontId="33" fillId="9" borderId="0" xfId="0" applyNumberFormat="1" applyFont="1" applyFill="1" applyAlignment="1">
      <alignment horizontal="center" vertical="center"/>
    </xf>
    <xf numFmtId="0" fontId="33" fillId="10" borderId="27" xfId="0" applyFont="1" applyFill="1" applyBorder="1" applyAlignment="1">
      <alignment horizontal="center" vertical="center"/>
    </xf>
    <xf numFmtId="2" fontId="35" fillId="11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2" fontId="35" fillId="11" borderId="28" xfId="0" applyNumberFormat="1" applyFont="1" applyFill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2" fontId="35" fillId="4" borderId="28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3" fillId="6" borderId="6" xfId="0" applyFont="1" applyFill="1" applyBorder="1" applyAlignment="1">
      <alignment horizontal="center"/>
    </xf>
    <xf numFmtId="0" fontId="33" fillId="5" borderId="6" xfId="0" applyFont="1" applyFill="1" applyBorder="1" applyAlignment="1">
      <alignment horizontal="center"/>
    </xf>
    <xf numFmtId="0" fontId="33" fillId="6" borderId="12" xfId="0" applyFont="1" applyFill="1" applyBorder="1" applyAlignment="1">
      <alignment horizontal="center"/>
    </xf>
    <xf numFmtId="0" fontId="33" fillId="6" borderId="29" xfId="0" applyFont="1" applyFill="1" applyBorder="1" applyAlignment="1">
      <alignment horizontal="center" vertical="center"/>
    </xf>
    <xf numFmtId="0" fontId="33" fillId="6" borderId="8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/>
    </xf>
    <xf numFmtId="0" fontId="33" fillId="5" borderId="29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10" fontId="33" fillId="4" borderId="0" xfId="0" applyNumberFormat="1" applyFont="1" applyFill="1" applyAlignment="1">
      <alignment horizontal="center" vertical="center"/>
    </xf>
    <xf numFmtId="0" fontId="33" fillId="4" borderId="30" xfId="0" applyFont="1" applyFill="1" applyBorder="1" applyAlignment="1">
      <alignment horizontal="center" vertical="center"/>
    </xf>
    <xf numFmtId="2" fontId="35" fillId="4" borderId="31" xfId="0" applyNumberFormat="1" applyFont="1" applyFill="1" applyBorder="1" applyAlignment="1">
      <alignment horizontal="center" vertical="center"/>
    </xf>
    <xf numFmtId="0" fontId="33" fillId="4" borderId="31" xfId="0" applyFont="1" applyFill="1" applyBorder="1" applyAlignment="1">
      <alignment horizontal="center" vertical="center"/>
    </xf>
    <xf numFmtId="2" fontId="35" fillId="4" borderId="32" xfId="0" applyNumberFormat="1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0" fontId="33" fillId="3" borderId="2" xfId="0" applyNumberFormat="1" applyFont="1" applyFill="1" applyBorder="1" applyAlignment="1">
      <alignment horizontal="center" vertical="center"/>
    </xf>
    <xf numFmtId="1" fontId="8" fillId="3" borderId="33" xfId="0" applyNumberFormat="1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1" fontId="8" fillId="0" borderId="35" xfId="0" applyNumberFormat="1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65" fontId="0" fillId="0" borderId="0" xfId="0" applyNumberFormat="1" applyAlignment="1">
      <alignment horizontal="left"/>
    </xf>
    <xf numFmtId="165" fontId="18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5" fillId="0" borderId="1" xfId="9" applyBorder="1"/>
    <xf numFmtId="14" fontId="5" fillId="0" borderId="1" xfId="9" applyNumberFormat="1" applyBorder="1" applyAlignment="1">
      <alignment horizontal="center"/>
    </xf>
    <xf numFmtId="0" fontId="5" fillId="0" borderId="1" xfId="9" applyBorder="1" applyAlignment="1">
      <alignment horizontal="center"/>
    </xf>
    <xf numFmtId="0" fontId="23" fillId="0" borderId="0" xfId="0" applyFont="1"/>
    <xf numFmtId="0" fontId="1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8" fillId="0" borderId="6" xfId="0" applyFont="1" applyBorder="1"/>
    <xf numFmtId="0" fontId="20" fillId="0" borderId="1" xfId="0" applyFont="1" applyBorder="1" applyAlignment="1">
      <alignment horizontal="left"/>
    </xf>
    <xf numFmtId="14" fontId="23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8" fillId="0" borderId="8" xfId="0" applyFont="1" applyBorder="1"/>
    <xf numFmtId="165" fontId="28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4" fontId="27" fillId="0" borderId="1" xfId="0" applyNumberFormat="1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" fontId="11" fillId="0" borderId="1" xfId="0" applyNumberFormat="1" applyFont="1" applyBorder="1" applyAlignment="1">
      <alignment horizontal="left"/>
    </xf>
    <xf numFmtId="165" fontId="11" fillId="0" borderId="1" xfId="0" applyNumberFormat="1" applyFont="1" applyBorder="1"/>
    <xf numFmtId="0" fontId="27" fillId="0" borderId="0" xfId="0" applyFont="1" applyAlignment="1">
      <alignment horizontal="left"/>
    </xf>
    <xf numFmtId="0" fontId="31" fillId="0" borderId="1" xfId="0" applyFont="1" applyBorder="1"/>
    <xf numFmtId="165" fontId="29" fillId="0" borderId="1" xfId="0" applyNumberFormat="1" applyFont="1" applyBorder="1"/>
    <xf numFmtId="165" fontId="21" fillId="0" borderId="1" xfId="0" applyNumberFormat="1" applyFont="1" applyBorder="1"/>
    <xf numFmtId="0" fontId="27" fillId="0" borderId="1" xfId="0" applyFont="1" applyBorder="1"/>
    <xf numFmtId="0" fontId="24" fillId="0" borderId="1" xfId="0" applyFont="1" applyBorder="1"/>
    <xf numFmtId="165" fontId="24" fillId="0" borderId="1" xfId="0" applyNumberFormat="1" applyFont="1" applyBorder="1"/>
    <xf numFmtId="14" fontId="0" fillId="3" borderId="13" xfId="0" applyNumberFormat="1" applyFill="1" applyBorder="1" applyAlignment="1">
      <alignment horizontal="left"/>
    </xf>
    <xf numFmtId="164" fontId="0" fillId="3" borderId="13" xfId="7" applyFont="1" applyFill="1" applyBorder="1" applyAlignment="1">
      <alignment horizontal="left"/>
    </xf>
    <xf numFmtId="165" fontId="0" fillId="3" borderId="13" xfId="0" applyNumberFormat="1" applyFill="1" applyBorder="1" applyAlignment="1">
      <alignment horizontal="left"/>
    </xf>
    <xf numFmtId="14" fontId="30" fillId="6" borderId="1" xfId="0" applyNumberFormat="1" applyFont="1" applyFill="1" applyBorder="1" applyAlignment="1">
      <alignment horizontal="left" vertical="center" wrapText="1"/>
    </xf>
    <xf numFmtId="164" fontId="30" fillId="6" borderId="1" xfId="7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4" fontId="10" fillId="0" borderId="0" xfId="0" applyNumberFormat="1" applyFont="1" applyAlignment="1">
      <alignment horizontal="center"/>
    </xf>
    <xf numFmtId="0" fontId="10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40" fillId="0" borderId="1" xfId="0" applyFont="1" applyBorder="1" applyAlignment="1">
      <alignment horizontal="left"/>
    </xf>
    <xf numFmtId="0" fontId="0" fillId="4" borderId="0" xfId="0" applyFill="1"/>
    <xf numFmtId="165" fontId="37" fillId="0" borderId="1" xfId="0" applyNumberFormat="1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0" xfId="0" applyFont="1"/>
    <xf numFmtId="165" fontId="42" fillId="0" borderId="1" xfId="0" applyNumberFormat="1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2" fillId="0" borderId="0" xfId="0" applyFont="1"/>
    <xf numFmtId="0" fontId="44" fillId="0" borderId="1" xfId="0" applyFont="1" applyBorder="1" applyAlignment="1">
      <alignment horizontal="left"/>
    </xf>
    <xf numFmtId="14" fontId="45" fillId="0" borderId="1" xfId="0" applyNumberFormat="1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6" fillId="0" borderId="0" xfId="0" applyFont="1"/>
    <xf numFmtId="0" fontId="18" fillId="0" borderId="10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69" fontId="21" fillId="0" borderId="1" xfId="0" applyNumberFormat="1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/>
    </xf>
    <xf numFmtId="0" fontId="21" fillId="4" borderId="1" xfId="0" applyFont="1" applyFill="1" applyBorder="1" applyAlignment="1">
      <alignment horizontal="left"/>
    </xf>
    <xf numFmtId="0" fontId="42" fillId="3" borderId="13" xfId="0" applyFont="1" applyFill="1" applyBorder="1" applyAlignment="1">
      <alignment horizontal="left"/>
    </xf>
    <xf numFmtId="0" fontId="21" fillId="3" borderId="5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left" vertical="center" wrapText="1"/>
    </xf>
    <xf numFmtId="0" fontId="42" fillId="0" borderId="0" xfId="0" applyFont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0" fontId="0" fillId="3" borderId="0" xfId="0" applyFill="1" applyAlignment="1">
      <alignment vertical="center"/>
    </xf>
    <xf numFmtId="0" fontId="48" fillId="6" borderId="40" xfId="0" applyFont="1" applyFill="1" applyBorder="1" applyAlignment="1">
      <alignment horizontal="center" vertical="center"/>
    </xf>
    <xf numFmtId="0" fontId="48" fillId="6" borderId="40" xfId="0" applyFont="1" applyFill="1" applyBorder="1" applyAlignment="1">
      <alignment horizontal="center"/>
    </xf>
    <xf numFmtId="0" fontId="17" fillId="6" borderId="41" xfId="0" applyFont="1" applyFill="1" applyBorder="1" applyAlignment="1">
      <alignment horizontal="center"/>
    </xf>
    <xf numFmtId="0" fontId="36" fillId="6" borderId="39" xfId="0" applyFont="1" applyFill="1" applyBorder="1" applyAlignment="1">
      <alignment horizontal="center" vertical="top"/>
    </xf>
    <xf numFmtId="0" fontId="10" fillId="6" borderId="40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/>
    </xf>
    <xf numFmtId="0" fontId="49" fillId="12" borderId="39" xfId="0" applyFont="1" applyFill="1" applyBorder="1" applyAlignment="1">
      <alignment horizontal="center" vertical="center"/>
    </xf>
    <xf numFmtId="0" fontId="49" fillId="12" borderId="40" xfId="0" applyFont="1" applyFill="1" applyBorder="1" applyAlignment="1">
      <alignment horizontal="center" vertical="center"/>
    </xf>
    <xf numFmtId="0" fontId="49" fillId="13" borderId="40" xfId="0" applyFont="1" applyFill="1" applyBorder="1" applyAlignment="1">
      <alignment horizontal="center" vertical="center"/>
    </xf>
    <xf numFmtId="0" fontId="49" fillId="14" borderId="40" xfId="0" applyFont="1" applyFill="1" applyBorder="1" applyAlignment="1">
      <alignment horizontal="center" vertical="center"/>
    </xf>
    <xf numFmtId="0" fontId="49" fillId="15" borderId="40" xfId="0" applyFont="1" applyFill="1" applyBorder="1" applyAlignment="1">
      <alignment horizontal="center" vertical="center"/>
    </xf>
    <xf numFmtId="0" fontId="49" fillId="16" borderId="40" xfId="0" applyFont="1" applyFill="1" applyBorder="1" applyAlignment="1">
      <alignment horizontal="center" vertical="center"/>
    </xf>
    <xf numFmtId="0" fontId="49" fillId="17" borderId="40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42" fillId="0" borderId="1" xfId="0" applyFont="1" applyBorder="1" applyAlignment="1">
      <alignment horizontal="center"/>
    </xf>
    <xf numFmtId="0" fontId="50" fillId="0" borderId="1" xfId="0" applyFont="1" applyBorder="1"/>
    <xf numFmtId="0" fontId="51" fillId="0" borderId="0" xfId="0" applyFont="1"/>
    <xf numFmtId="0" fontId="1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52" fillId="17" borderId="40" xfId="0" applyFont="1" applyFill="1" applyBorder="1" applyAlignment="1">
      <alignment horizontal="center" vertical="center"/>
    </xf>
    <xf numFmtId="0" fontId="42" fillId="4" borderId="0" xfId="0" applyFont="1" applyFill="1"/>
    <xf numFmtId="0" fontId="53" fillId="18" borderId="0" xfId="0" applyFont="1" applyFill="1" applyAlignment="1">
      <alignment horizontal="left" vertical="center" wrapText="1"/>
    </xf>
    <xf numFmtId="0" fontId="27" fillId="4" borderId="1" xfId="0" applyFont="1" applyFill="1" applyBorder="1" applyAlignment="1">
      <alignment horizontal="left"/>
    </xf>
    <xf numFmtId="14" fontId="27" fillId="4" borderId="1" xfId="0" applyNumberFormat="1" applyFont="1" applyFill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43" fillId="0" borderId="1" xfId="0" applyFont="1" applyBorder="1"/>
    <xf numFmtId="169" fontId="27" fillId="0" borderId="1" xfId="4" applyNumberFormat="1" applyFont="1" applyBorder="1"/>
    <xf numFmtId="0" fontId="54" fillId="0" borderId="0" xfId="0" applyFont="1"/>
    <xf numFmtId="0" fontId="25" fillId="0" borderId="1" xfId="0" applyFont="1" applyBorder="1" applyAlignment="1">
      <alignment horizontal="center"/>
    </xf>
    <xf numFmtId="165" fontId="8" fillId="6" borderId="1" xfId="0" applyNumberFormat="1" applyFont="1" applyFill="1" applyBorder="1" applyAlignment="1">
      <alignment horizontal="left" vertical="center" wrapText="1"/>
    </xf>
    <xf numFmtId="165" fontId="21" fillId="0" borderId="1" xfId="0" applyNumberFormat="1" applyFont="1" applyBorder="1" applyAlignment="1">
      <alignment horizontal="left"/>
    </xf>
    <xf numFmtId="165" fontId="27" fillId="0" borderId="1" xfId="0" applyNumberFormat="1" applyFont="1" applyBorder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10" fillId="0" borderId="1" xfId="0" applyNumberFormat="1" applyFont="1" applyBorder="1" applyAlignment="1">
      <alignment horizontal="left"/>
    </xf>
    <xf numFmtId="165" fontId="0" fillId="0" borderId="13" xfId="0" applyNumberForma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165" fontId="30" fillId="0" borderId="1" xfId="0" applyNumberFormat="1" applyFont="1" applyBorder="1" applyAlignment="1">
      <alignment horizontal="left" vertical="center" wrapText="1"/>
    </xf>
    <xf numFmtId="0" fontId="32" fillId="0" borderId="0" xfId="0" applyFont="1"/>
    <xf numFmtId="0" fontId="32" fillId="0" borderId="0" xfId="0" quotePrefix="1" applyFont="1"/>
    <xf numFmtId="0" fontId="45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center" vertical="center"/>
    </xf>
    <xf numFmtId="0" fontId="43" fillId="0" borderId="0" xfId="0" applyFont="1"/>
    <xf numFmtId="0" fontId="43" fillId="0" borderId="0" xfId="0" quotePrefix="1" applyFont="1"/>
    <xf numFmtId="166" fontId="43" fillId="0" borderId="0" xfId="0" applyNumberFormat="1" applyFont="1"/>
    <xf numFmtId="168" fontId="43" fillId="0" borderId="0" xfId="0" applyNumberFormat="1" applyFont="1"/>
    <xf numFmtId="14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10" fillId="3" borderId="1" xfId="0" quotePrefix="1" applyFont="1" applyFill="1" applyBorder="1" applyAlignment="1">
      <alignment horizontal="center"/>
    </xf>
    <xf numFmtId="0" fontId="30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/>
    <xf numFmtId="0" fontId="11" fillId="3" borderId="0" xfId="0" applyFont="1" applyFill="1" applyAlignment="1">
      <alignment vertical="top" wrapText="1"/>
    </xf>
    <xf numFmtId="0" fontId="42" fillId="3" borderId="0" xfId="0" applyFont="1" applyFill="1"/>
    <xf numFmtId="0" fontId="11" fillId="3" borderId="0" xfId="0" applyFont="1" applyFill="1" applyAlignment="1">
      <alignment horizontal="center" vertical="center" wrapText="1"/>
    </xf>
    <xf numFmtId="0" fontId="37" fillId="3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64" fontId="1" fillId="3" borderId="1" xfId="7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64" fontId="1" fillId="0" borderId="1" xfId="7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/>
    </xf>
    <xf numFmtId="0" fontId="1" fillId="0" borderId="1" xfId="9" applyFont="1" applyBorder="1" applyAlignment="1">
      <alignment horizontal="center"/>
    </xf>
    <xf numFmtId="14" fontId="1" fillId="0" borderId="1" xfId="9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/>
    <xf numFmtId="1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165" fontId="1" fillId="3" borderId="13" xfId="0" applyNumberFormat="1" applyFont="1" applyFill="1" applyBorder="1" applyAlignment="1">
      <alignment horizontal="left"/>
    </xf>
    <xf numFmtId="164" fontId="1" fillId="3" borderId="5" xfId="7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165" fontId="1" fillId="3" borderId="5" xfId="0" applyNumberFormat="1" applyFont="1" applyFill="1" applyBorder="1" applyAlignment="1">
      <alignment horizontal="left" vertical="center"/>
    </xf>
    <xf numFmtId="165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68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9" fontId="1" fillId="3" borderId="10" xfId="1" applyFont="1" applyFill="1" applyBorder="1"/>
    <xf numFmtId="0" fontId="33" fillId="5" borderId="6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4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3" fillId="3" borderId="15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20" xfId="0" applyFont="1" applyFill="1" applyBorder="1" applyAlignment="1">
      <alignment horizontal="center" vertical="center"/>
    </xf>
    <xf numFmtId="0" fontId="33" fillId="5" borderId="13" xfId="0" applyFont="1" applyFill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0" fontId="34" fillId="6" borderId="9" xfId="0" applyFont="1" applyFill="1" applyBorder="1" applyAlignment="1">
      <alignment horizontal="center" vertical="center" wrapText="1"/>
    </xf>
    <xf numFmtId="0" fontId="34" fillId="6" borderId="7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34" fillId="6" borderId="2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5" fontId="10" fillId="0" borderId="11" xfId="0" applyNumberFormat="1" applyFont="1" applyBorder="1" applyAlignment="1">
      <alignment horizontal="center" vertical="center" wrapText="1"/>
    </xf>
    <xf numFmtId="165" fontId="10" fillId="0" borderId="13" xfId="0" applyNumberFormat="1" applyFont="1" applyBorder="1" applyAlignment="1">
      <alignment horizontal="center" vertical="center" wrapText="1"/>
    </xf>
    <xf numFmtId="165" fontId="10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13">
    <cellStyle name="Hiperligação 2" xfId="2" xr:uid="{00000000-0005-0000-0000-000000000000}"/>
    <cellStyle name="Hiperligação 3" xfId="1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9" xr:uid="{00000000-0005-0000-0000-000008000000}"/>
    <cellStyle name="Normal 8" xfId="10" xr:uid="{00000000-0005-0000-0000-000009000000}"/>
    <cellStyle name="Normal 9" xfId="11" xr:uid="{00000000-0005-0000-0000-00000A000000}"/>
    <cellStyle name="Porcentagem" xfId="1" builtinId="5"/>
    <cellStyle name="Vírgula" xfId="7" builtin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9FF"/>
      <color rgb="FFCB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AV2083"/>
  <sheetViews>
    <sheetView zoomScale="90" zoomScaleNormal="90" workbookViewId="0">
      <pane xSplit="5" ySplit="3" topLeftCell="F127" activePane="bottomRight" state="frozen"/>
      <selection pane="bottomRight" activeCell="G2" sqref="G2"/>
      <selection pane="bottomLeft" activeCell="X358" sqref="X358"/>
      <selection pane="topRight" activeCell="X358" sqref="X358"/>
    </sheetView>
  </sheetViews>
  <sheetFormatPr defaultColWidth="8.5" defaultRowHeight="15.95"/>
  <cols>
    <col min="1" max="1" width="9.5" style="1" customWidth="1"/>
    <col min="2" max="2" width="7" style="2" customWidth="1"/>
    <col min="3" max="3" width="19" customWidth="1"/>
    <col min="4" max="4" width="9.5" style="2" customWidth="1"/>
    <col min="5" max="5" width="15" style="3" customWidth="1"/>
    <col min="6" max="6" width="17.5" style="2" customWidth="1"/>
    <col min="7" max="7" width="14" style="4" bestFit="1" customWidth="1"/>
    <col min="8" max="8" width="12" bestFit="1" customWidth="1"/>
    <col min="9" max="9" width="10.5" bestFit="1" customWidth="1"/>
    <col min="10" max="10" width="12" bestFit="1" customWidth="1"/>
    <col min="11" max="11" width="9" customWidth="1"/>
    <col min="12" max="12" width="8" style="2" customWidth="1"/>
    <col min="13" max="13" width="9" customWidth="1"/>
    <col min="14" max="14" width="11.5" style="5" customWidth="1"/>
    <col min="15" max="15" width="7" style="5" bestFit="1" customWidth="1"/>
    <col min="16" max="16" width="6" style="5" bestFit="1" customWidth="1"/>
    <col min="17" max="17" width="10.5" style="5" customWidth="1"/>
    <col min="18" max="18" width="8" style="6" customWidth="1"/>
    <col min="19" max="19" width="10.5" customWidth="1"/>
    <col min="20" max="20" width="9.5" style="7" customWidth="1"/>
    <col min="21" max="21" width="7.5" style="8" customWidth="1"/>
    <col min="22" max="22" width="11.5" style="7" customWidth="1"/>
    <col min="23" max="23" width="8.5" style="9"/>
    <col min="25" max="26" width="12" style="10" customWidth="1"/>
    <col min="27" max="27" width="13.875" style="10" customWidth="1"/>
  </cols>
  <sheetData>
    <row r="1" spans="1:30">
      <c r="A1" s="365"/>
      <c r="G1" s="366"/>
      <c r="H1" s="63"/>
      <c r="W1" s="367"/>
      <c r="X1" s="75">
        <f>SUBTOTAL(9,AB3:AB186)</f>
        <v>26.299999999999997</v>
      </c>
      <c r="Y1" s="75">
        <f>SUBTOTAL(9,AC3:AC186)</f>
        <v>4.8872180451127827</v>
      </c>
      <c r="Z1" s="75">
        <f>SUBTOTAL(9,AD3:AD186)</f>
        <v>6.7897243107769425</v>
      </c>
      <c r="AA1" s="412"/>
      <c r="AB1">
        <v>9</v>
      </c>
      <c r="AC1" s="412">
        <v>6</v>
      </c>
      <c r="AD1" s="412">
        <v>3</v>
      </c>
    </row>
    <row r="2" spans="1:30">
      <c r="A2" s="365"/>
      <c r="B2" s="41">
        <f>COUNT(9,B4:B2081)</f>
        <v>2079</v>
      </c>
      <c r="C2" s="6"/>
      <c r="D2" s="41"/>
      <c r="E2" s="268"/>
      <c r="F2" s="41"/>
      <c r="G2" s="41">
        <f>SUBTOTAL(9,G4:G2081)</f>
        <v>23053</v>
      </c>
      <c r="H2" s="64"/>
      <c r="I2" s="2"/>
      <c r="J2" s="2"/>
      <c r="K2" s="2"/>
      <c r="W2" s="367"/>
      <c r="X2" t="s">
        <v>0</v>
      </c>
      <c r="Y2" s="412" t="s">
        <v>0</v>
      </c>
      <c r="Z2" s="412" t="s">
        <v>0</v>
      </c>
      <c r="AA2" s="412"/>
      <c r="AB2" t="s">
        <v>0</v>
      </c>
      <c r="AC2" s="412" t="s">
        <v>0</v>
      </c>
      <c r="AD2" s="412" t="s">
        <v>0</v>
      </c>
    </row>
    <row r="3" spans="1:30" s="19" customFormat="1" ht="29.25" customHeight="1">
      <c r="A3" s="368" t="s">
        <v>1</v>
      </c>
      <c r="B3" s="11" t="s">
        <v>2</v>
      </c>
      <c r="C3" s="12" t="s">
        <v>3</v>
      </c>
      <c r="D3" s="11" t="s">
        <v>4</v>
      </c>
      <c r="E3" s="13" t="s">
        <v>5</v>
      </c>
      <c r="F3" s="11" t="s">
        <v>6</v>
      </c>
      <c r="G3" s="11" t="s">
        <v>7</v>
      </c>
      <c r="H3" s="65" t="s">
        <v>8</v>
      </c>
      <c r="I3" s="11" t="s">
        <v>9</v>
      </c>
      <c r="J3" s="11" t="s">
        <v>10</v>
      </c>
      <c r="K3" s="11" t="s">
        <v>11</v>
      </c>
      <c r="L3" s="14" t="s">
        <v>12</v>
      </c>
      <c r="M3" s="12" t="s">
        <v>13</v>
      </c>
      <c r="N3" s="15" t="s">
        <v>14</v>
      </c>
      <c r="O3" s="15"/>
      <c r="P3" s="12" t="s">
        <v>15</v>
      </c>
      <c r="Q3" s="15" t="s">
        <v>14</v>
      </c>
      <c r="R3" s="16" t="s">
        <v>16</v>
      </c>
      <c r="S3" s="12" t="s">
        <v>17</v>
      </c>
      <c r="T3" s="17" t="s">
        <v>18</v>
      </c>
      <c r="U3" s="12" t="s">
        <v>16</v>
      </c>
      <c r="V3" s="17" t="s">
        <v>19</v>
      </c>
      <c r="W3" s="18" t="s">
        <v>20</v>
      </c>
      <c r="X3" s="19" t="s">
        <v>21</v>
      </c>
      <c r="Y3" s="20" t="s">
        <v>22</v>
      </c>
      <c r="Z3" s="20" t="s">
        <v>23</v>
      </c>
      <c r="AA3" s="20"/>
      <c r="AB3" s="19" t="s">
        <v>21</v>
      </c>
      <c r="AC3" s="20" t="s">
        <v>22</v>
      </c>
      <c r="AD3" s="20" t="s">
        <v>23</v>
      </c>
    </row>
    <row r="4" spans="1:30" ht="15.75" customHeight="1">
      <c r="A4" s="358" t="s">
        <v>24</v>
      </c>
      <c r="B4" s="369">
        <v>1</v>
      </c>
      <c r="C4" s="369" t="s">
        <v>25</v>
      </c>
      <c r="D4" s="369" t="s">
        <v>26</v>
      </c>
      <c r="E4" s="370">
        <v>45659</v>
      </c>
      <c r="F4" s="369" t="s">
        <v>27</v>
      </c>
      <c r="G4" s="369">
        <v>29</v>
      </c>
      <c r="H4" s="371" t="s">
        <v>22</v>
      </c>
      <c r="I4" s="369" t="s">
        <v>28</v>
      </c>
      <c r="J4" s="67" t="s">
        <v>29</v>
      </c>
      <c r="K4" s="67"/>
      <c r="L4" s="67"/>
      <c r="M4" s="68" t="s">
        <v>30</v>
      </c>
      <c r="N4" s="69">
        <v>45692</v>
      </c>
      <c r="O4" s="67" t="s">
        <v>31</v>
      </c>
      <c r="P4" s="68" t="s">
        <v>30</v>
      </c>
      <c r="Q4" s="69">
        <v>45692</v>
      </c>
      <c r="R4" s="83" t="s">
        <v>22</v>
      </c>
      <c r="S4" s="68" t="s">
        <v>32</v>
      </c>
      <c r="T4" s="68">
        <v>29</v>
      </c>
      <c r="U4" s="70" t="s">
        <v>22</v>
      </c>
      <c r="V4" s="69">
        <v>45692</v>
      </c>
      <c r="W4" s="84" t="s">
        <v>30</v>
      </c>
      <c r="Y4" s="412"/>
      <c r="Z4" s="412"/>
      <c r="AA4" s="412"/>
    </row>
    <row r="5" spans="1:30" ht="15.75" customHeight="1">
      <c r="A5" s="358" t="s">
        <v>24</v>
      </c>
      <c r="B5" s="369">
        <v>2</v>
      </c>
      <c r="C5" s="372" t="s">
        <v>33</v>
      </c>
      <c r="D5" s="372" t="s">
        <v>34</v>
      </c>
      <c r="E5" s="373">
        <v>45659</v>
      </c>
      <c r="F5" s="372" t="s">
        <v>35</v>
      </c>
      <c r="G5" s="372">
        <v>15</v>
      </c>
      <c r="H5" s="372" t="s">
        <v>21</v>
      </c>
      <c r="I5" s="372" t="s">
        <v>36</v>
      </c>
      <c r="J5" s="21" t="s">
        <v>29</v>
      </c>
      <c r="K5" s="21"/>
      <c r="L5" s="21"/>
      <c r="M5" s="22" t="s">
        <v>30</v>
      </c>
      <c r="N5" s="23">
        <v>45713</v>
      </c>
      <c r="O5" s="21" t="s">
        <v>31</v>
      </c>
      <c r="P5" s="22" t="s">
        <v>30</v>
      </c>
      <c r="Q5" s="23">
        <v>45713</v>
      </c>
      <c r="R5" s="81" t="s">
        <v>37</v>
      </c>
      <c r="S5" s="22" t="s">
        <v>32</v>
      </c>
      <c r="T5" s="22">
        <v>15</v>
      </c>
      <c r="U5" s="24" t="s">
        <v>37</v>
      </c>
      <c r="V5" s="23">
        <v>45713</v>
      </c>
      <c r="W5" s="360" t="s">
        <v>30</v>
      </c>
      <c r="Y5" s="412"/>
      <c r="Z5" s="412"/>
      <c r="AA5" s="412"/>
    </row>
    <row r="6" spans="1:30" ht="15.75" customHeight="1">
      <c r="A6" s="358" t="s">
        <v>24</v>
      </c>
      <c r="B6" s="369">
        <v>3</v>
      </c>
      <c r="C6" s="369" t="s">
        <v>38</v>
      </c>
      <c r="D6" s="369" t="s">
        <v>34</v>
      </c>
      <c r="E6" s="370">
        <v>45659</v>
      </c>
      <c r="F6" s="369" t="s">
        <v>39</v>
      </c>
      <c r="G6" s="369">
        <v>23</v>
      </c>
      <c r="H6" s="369" t="s">
        <v>21</v>
      </c>
      <c r="I6" s="369" t="s">
        <v>36</v>
      </c>
      <c r="J6" s="67" t="s">
        <v>29</v>
      </c>
      <c r="K6" s="67"/>
      <c r="L6" s="67"/>
      <c r="M6" s="68" t="s">
        <v>30</v>
      </c>
      <c r="N6" s="69">
        <v>45712</v>
      </c>
      <c r="O6" s="67" t="s">
        <v>31</v>
      </c>
      <c r="P6" s="68" t="s">
        <v>30</v>
      </c>
      <c r="Q6" s="69">
        <v>45712</v>
      </c>
      <c r="R6" s="83" t="s">
        <v>36</v>
      </c>
      <c r="S6" s="68" t="s">
        <v>32</v>
      </c>
      <c r="T6" s="68">
        <v>23</v>
      </c>
      <c r="U6" s="70" t="s">
        <v>36</v>
      </c>
      <c r="V6" s="69">
        <v>45712</v>
      </c>
      <c r="W6" s="374" t="s">
        <v>30</v>
      </c>
      <c r="Y6" s="412"/>
      <c r="Z6" s="412"/>
      <c r="AA6" s="412"/>
    </row>
    <row r="7" spans="1:30" ht="15.75" customHeight="1">
      <c r="A7" s="358" t="s">
        <v>24</v>
      </c>
      <c r="B7" s="369">
        <v>4</v>
      </c>
      <c r="C7" s="369" t="s">
        <v>40</v>
      </c>
      <c r="D7" s="369" t="s">
        <v>34</v>
      </c>
      <c r="E7" s="370">
        <v>45659</v>
      </c>
      <c r="F7" s="369" t="s">
        <v>39</v>
      </c>
      <c r="G7" s="369">
        <v>23</v>
      </c>
      <c r="H7" s="369" t="s">
        <v>21</v>
      </c>
      <c r="I7" s="369" t="s">
        <v>36</v>
      </c>
      <c r="J7" s="67" t="s">
        <v>29</v>
      </c>
      <c r="K7" s="67"/>
      <c r="L7" s="67"/>
      <c r="M7" s="68" t="s">
        <v>30</v>
      </c>
      <c r="N7" s="69">
        <v>45712</v>
      </c>
      <c r="O7" s="67" t="s">
        <v>31</v>
      </c>
      <c r="P7" s="68" t="s">
        <v>30</v>
      </c>
      <c r="Q7" s="69">
        <v>45712</v>
      </c>
      <c r="R7" s="83" t="s">
        <v>36</v>
      </c>
      <c r="S7" s="68" t="s">
        <v>32</v>
      </c>
      <c r="T7" s="68">
        <v>23</v>
      </c>
      <c r="U7" s="70" t="s">
        <v>36</v>
      </c>
      <c r="V7" s="69">
        <v>45712</v>
      </c>
      <c r="W7" s="374" t="s">
        <v>30</v>
      </c>
      <c r="Y7" s="412"/>
      <c r="Z7" s="412"/>
      <c r="AA7" s="412"/>
    </row>
    <row r="8" spans="1:30" ht="15.75" customHeight="1">
      <c r="A8" s="358" t="s">
        <v>24</v>
      </c>
      <c r="B8" s="369">
        <v>5</v>
      </c>
      <c r="C8" s="369" t="s">
        <v>41</v>
      </c>
      <c r="D8" s="369" t="s">
        <v>34</v>
      </c>
      <c r="E8" s="370">
        <v>45659</v>
      </c>
      <c r="F8" s="369" t="s">
        <v>39</v>
      </c>
      <c r="G8" s="369">
        <v>24</v>
      </c>
      <c r="H8" s="369" t="s">
        <v>21</v>
      </c>
      <c r="I8" s="369" t="s">
        <v>36</v>
      </c>
      <c r="J8" s="67" t="s">
        <v>29</v>
      </c>
      <c r="K8" s="67"/>
      <c r="L8" s="67"/>
      <c r="M8" s="68" t="s">
        <v>30</v>
      </c>
      <c r="N8" s="69">
        <v>45712</v>
      </c>
      <c r="O8" s="67" t="s">
        <v>31</v>
      </c>
      <c r="P8" s="68" t="s">
        <v>30</v>
      </c>
      <c r="Q8" s="69">
        <v>45712</v>
      </c>
      <c r="R8" s="83" t="s">
        <v>36</v>
      </c>
      <c r="S8" s="68" t="s">
        <v>32</v>
      </c>
      <c r="T8" s="68">
        <v>23</v>
      </c>
      <c r="U8" s="70" t="s">
        <v>36</v>
      </c>
      <c r="V8" s="69">
        <v>45712</v>
      </c>
      <c r="W8" s="374" t="s">
        <v>30</v>
      </c>
      <c r="Y8"/>
      <c r="Z8"/>
      <c r="AA8"/>
    </row>
    <row r="9" spans="1:30" ht="15.75" customHeight="1">
      <c r="A9" s="358" t="s">
        <v>24</v>
      </c>
      <c r="B9" s="369">
        <v>6</v>
      </c>
      <c r="C9" s="369" t="s">
        <v>42</v>
      </c>
      <c r="D9" s="369" t="s">
        <v>43</v>
      </c>
      <c r="E9" s="370">
        <v>45660</v>
      </c>
      <c r="F9" s="369" t="s">
        <v>27</v>
      </c>
      <c r="G9" s="369">
        <v>13</v>
      </c>
      <c r="H9" s="371" t="s">
        <v>22</v>
      </c>
      <c r="I9" s="369" t="s">
        <v>28</v>
      </c>
      <c r="J9" s="67" t="s">
        <v>29</v>
      </c>
      <c r="K9" s="67"/>
      <c r="L9" s="67"/>
      <c r="M9" s="68" t="s">
        <v>30</v>
      </c>
      <c r="N9" s="69">
        <v>45712</v>
      </c>
      <c r="O9" s="67"/>
      <c r="P9" s="68" t="s">
        <v>30</v>
      </c>
      <c r="Q9" s="69">
        <v>45712</v>
      </c>
      <c r="R9" s="83" t="s">
        <v>22</v>
      </c>
      <c r="S9" s="68" t="s">
        <v>32</v>
      </c>
      <c r="T9" s="68">
        <v>13</v>
      </c>
      <c r="U9" s="68" t="s">
        <v>22</v>
      </c>
      <c r="V9" s="69">
        <v>45712</v>
      </c>
      <c r="W9" s="84" t="s">
        <v>30</v>
      </c>
      <c r="Y9" s="412"/>
      <c r="Z9" s="412"/>
      <c r="AA9" s="412"/>
    </row>
    <row r="10" spans="1:30" ht="15.75" customHeight="1">
      <c r="A10" s="358" t="s">
        <v>24</v>
      </c>
      <c r="B10" s="369">
        <v>7</v>
      </c>
      <c r="C10" s="369" t="s">
        <v>44</v>
      </c>
      <c r="D10" s="369" t="s">
        <v>43</v>
      </c>
      <c r="E10" s="370">
        <v>45660</v>
      </c>
      <c r="F10" s="369" t="s">
        <v>45</v>
      </c>
      <c r="G10" s="369">
        <v>4</v>
      </c>
      <c r="H10" s="369" t="s">
        <v>46</v>
      </c>
      <c r="I10" s="369" t="s">
        <v>47</v>
      </c>
      <c r="J10" s="67" t="s">
        <v>29</v>
      </c>
      <c r="K10" s="67"/>
      <c r="L10" s="67"/>
      <c r="M10" s="68" t="s">
        <v>30</v>
      </c>
      <c r="N10" s="69">
        <v>45743</v>
      </c>
      <c r="O10" s="67"/>
      <c r="P10" s="68" t="s">
        <v>30</v>
      </c>
      <c r="Q10" s="69">
        <v>45743</v>
      </c>
      <c r="R10" s="83" t="s">
        <v>48</v>
      </c>
      <c r="S10" s="68" t="s">
        <v>32</v>
      </c>
      <c r="T10" s="68">
        <v>4</v>
      </c>
      <c r="U10" s="70" t="s">
        <v>48</v>
      </c>
      <c r="V10" s="69">
        <v>45743</v>
      </c>
      <c r="W10" s="374" t="s">
        <v>30</v>
      </c>
      <c r="Y10" s="412"/>
      <c r="Z10" s="412"/>
      <c r="AA10" s="412"/>
    </row>
    <row r="11" spans="1:30" ht="15.75" customHeight="1">
      <c r="A11" s="358" t="s">
        <v>24</v>
      </c>
      <c r="B11" s="369">
        <v>8</v>
      </c>
      <c r="C11" s="369" t="s">
        <v>49</v>
      </c>
      <c r="D11" s="369" t="s">
        <v>50</v>
      </c>
      <c r="E11" s="370">
        <v>45660</v>
      </c>
      <c r="F11" s="369" t="s">
        <v>45</v>
      </c>
      <c r="G11" s="369">
        <v>4</v>
      </c>
      <c r="H11" s="369" t="s">
        <v>46</v>
      </c>
      <c r="I11" s="369" t="s">
        <v>47</v>
      </c>
      <c r="J11" s="67" t="s">
        <v>29</v>
      </c>
      <c r="K11" s="67"/>
      <c r="L11" s="67"/>
      <c r="M11" s="68" t="s">
        <v>30</v>
      </c>
      <c r="N11" s="69">
        <v>45743</v>
      </c>
      <c r="O11" s="67"/>
      <c r="P11" s="68" t="s">
        <v>30</v>
      </c>
      <c r="Q11" s="69">
        <v>45743</v>
      </c>
      <c r="R11" s="83" t="s">
        <v>48</v>
      </c>
      <c r="S11" s="68" t="s">
        <v>32</v>
      </c>
      <c r="T11" s="68">
        <v>4</v>
      </c>
      <c r="U11" s="68" t="s">
        <v>48</v>
      </c>
      <c r="V11" s="69"/>
      <c r="W11" s="374" t="s">
        <v>30</v>
      </c>
      <c r="Y11" s="412"/>
      <c r="Z11" s="412"/>
      <c r="AA11" s="412"/>
    </row>
    <row r="12" spans="1:30" ht="15.75" customHeight="1">
      <c r="A12" s="358" t="s">
        <v>24</v>
      </c>
      <c r="B12" s="369">
        <v>9</v>
      </c>
      <c r="C12" s="369" t="s">
        <v>51</v>
      </c>
      <c r="D12" s="369" t="s">
        <v>26</v>
      </c>
      <c r="E12" s="370">
        <v>45660</v>
      </c>
      <c r="F12" s="369" t="s">
        <v>45</v>
      </c>
      <c r="G12" s="369">
        <v>4</v>
      </c>
      <c r="H12" s="369" t="s">
        <v>46</v>
      </c>
      <c r="I12" s="369" t="s">
        <v>47</v>
      </c>
      <c r="J12" s="67" t="s">
        <v>29</v>
      </c>
      <c r="K12" s="67"/>
      <c r="L12" s="67"/>
      <c r="M12" s="68" t="s">
        <v>30</v>
      </c>
      <c r="N12" s="69">
        <v>45743</v>
      </c>
      <c r="O12" s="67"/>
      <c r="P12" s="68" t="s">
        <v>30</v>
      </c>
      <c r="Q12" s="69">
        <v>45743</v>
      </c>
      <c r="R12" s="83" t="s">
        <v>48</v>
      </c>
      <c r="S12" s="68" t="s">
        <v>32</v>
      </c>
      <c r="T12" s="68">
        <v>4</v>
      </c>
      <c r="U12" s="70" t="s">
        <v>48</v>
      </c>
      <c r="V12" s="69"/>
      <c r="W12" s="374" t="s">
        <v>30</v>
      </c>
      <c r="Y12" s="412"/>
      <c r="Z12" s="412"/>
      <c r="AA12" s="412"/>
    </row>
    <row r="13" spans="1:30" ht="15.75" customHeight="1">
      <c r="A13" s="358" t="s">
        <v>24</v>
      </c>
      <c r="B13" s="369">
        <v>10</v>
      </c>
      <c r="C13" s="369" t="s">
        <v>52</v>
      </c>
      <c r="D13" s="369" t="s">
        <v>26</v>
      </c>
      <c r="E13" s="370">
        <v>45660</v>
      </c>
      <c r="F13" s="369" t="s">
        <v>39</v>
      </c>
      <c r="G13" s="369">
        <v>31</v>
      </c>
      <c r="H13" s="369" t="s">
        <v>21</v>
      </c>
      <c r="I13" s="369" t="s">
        <v>36</v>
      </c>
      <c r="J13" s="67" t="s">
        <v>29</v>
      </c>
      <c r="K13" s="67"/>
      <c r="L13" s="67"/>
      <c r="M13" s="68" t="s">
        <v>30</v>
      </c>
      <c r="N13" s="69">
        <v>45712</v>
      </c>
      <c r="O13" s="67" t="s">
        <v>31</v>
      </c>
      <c r="P13" s="68" t="s">
        <v>30</v>
      </c>
      <c r="Q13" s="69">
        <v>45712</v>
      </c>
      <c r="R13" s="83" t="s">
        <v>36</v>
      </c>
      <c r="S13" s="68" t="s">
        <v>32</v>
      </c>
      <c r="T13" s="68">
        <v>23</v>
      </c>
      <c r="U13" s="70" t="s">
        <v>36</v>
      </c>
      <c r="V13" s="69">
        <v>45712</v>
      </c>
      <c r="W13" s="374" t="s">
        <v>30</v>
      </c>
      <c r="Y13" s="412"/>
      <c r="Z13" s="412"/>
      <c r="AA13" s="412"/>
    </row>
    <row r="14" spans="1:30" ht="15.75" customHeight="1">
      <c r="A14" s="358" t="s">
        <v>24</v>
      </c>
      <c r="B14" s="369">
        <v>11</v>
      </c>
      <c r="C14" s="369" t="s">
        <v>53</v>
      </c>
      <c r="D14" s="369" t="s">
        <v>26</v>
      </c>
      <c r="E14" s="370">
        <v>45660</v>
      </c>
      <c r="F14" s="369" t="s">
        <v>39</v>
      </c>
      <c r="G14" s="369">
        <v>33</v>
      </c>
      <c r="H14" s="369" t="s">
        <v>21</v>
      </c>
      <c r="I14" s="369" t="s">
        <v>36</v>
      </c>
      <c r="J14" s="67" t="s">
        <v>29</v>
      </c>
      <c r="K14" s="67"/>
      <c r="L14" s="67"/>
      <c r="M14" s="68" t="s">
        <v>30</v>
      </c>
      <c r="N14" s="69">
        <v>45712</v>
      </c>
      <c r="O14" s="67" t="s">
        <v>31</v>
      </c>
      <c r="P14" s="68" t="s">
        <v>30</v>
      </c>
      <c r="Q14" s="69">
        <v>45712</v>
      </c>
      <c r="R14" s="83" t="s">
        <v>36</v>
      </c>
      <c r="S14" s="68" t="s">
        <v>32</v>
      </c>
      <c r="T14" s="68">
        <v>23</v>
      </c>
      <c r="U14" s="70" t="s">
        <v>36</v>
      </c>
      <c r="V14" s="69">
        <v>45712</v>
      </c>
      <c r="W14" s="374" t="s">
        <v>30</v>
      </c>
      <c r="Y14" s="412"/>
      <c r="Z14" s="412"/>
      <c r="AA14" s="412"/>
    </row>
    <row r="15" spans="1:30" ht="15.75" customHeight="1">
      <c r="A15" s="358" t="s">
        <v>24</v>
      </c>
      <c r="B15" s="369">
        <v>12</v>
      </c>
      <c r="C15" s="372" t="s">
        <v>54</v>
      </c>
      <c r="D15" s="372" t="s">
        <v>34</v>
      </c>
      <c r="E15" s="373">
        <v>45660</v>
      </c>
      <c r="F15" s="372" t="s">
        <v>55</v>
      </c>
      <c r="G15" s="372">
        <v>38</v>
      </c>
      <c r="H15" s="372" t="s">
        <v>21</v>
      </c>
      <c r="I15" s="372" t="s">
        <v>36</v>
      </c>
      <c r="J15" s="21" t="s">
        <v>29</v>
      </c>
      <c r="K15" s="21"/>
      <c r="L15" s="21"/>
      <c r="M15" s="22" t="s">
        <v>30</v>
      </c>
      <c r="N15" s="23">
        <v>45715</v>
      </c>
      <c r="O15" s="21" t="s">
        <v>31</v>
      </c>
      <c r="P15" s="22" t="s">
        <v>30</v>
      </c>
      <c r="Q15" s="23">
        <v>45715</v>
      </c>
      <c r="R15" s="81" t="s">
        <v>36</v>
      </c>
      <c r="S15" s="22" t="s">
        <v>32</v>
      </c>
      <c r="T15" s="22">
        <v>38</v>
      </c>
      <c r="U15" s="22" t="s">
        <v>36</v>
      </c>
      <c r="V15" s="23">
        <v>45715</v>
      </c>
      <c r="W15" s="360" t="s">
        <v>30</v>
      </c>
      <c r="Y15" s="412"/>
      <c r="Z15" s="412"/>
      <c r="AA15" s="412"/>
    </row>
    <row r="16" spans="1:30" ht="15.75" customHeight="1">
      <c r="A16" s="358" t="s">
        <v>24</v>
      </c>
      <c r="B16" s="369">
        <v>13</v>
      </c>
      <c r="C16" s="372" t="s">
        <v>56</v>
      </c>
      <c r="D16" s="372" t="s">
        <v>57</v>
      </c>
      <c r="E16" s="373">
        <v>45660</v>
      </c>
      <c r="F16" s="372" t="s">
        <v>58</v>
      </c>
      <c r="G16" s="372">
        <v>24</v>
      </c>
      <c r="H16" s="372" t="s">
        <v>21</v>
      </c>
      <c r="I16" s="372" t="s">
        <v>36</v>
      </c>
      <c r="J16" s="21" t="s">
        <v>29</v>
      </c>
      <c r="K16" s="21"/>
      <c r="L16" s="21"/>
      <c r="M16" s="22" t="s">
        <v>30</v>
      </c>
      <c r="N16" s="23">
        <v>45712</v>
      </c>
      <c r="O16" s="21" t="s">
        <v>31</v>
      </c>
      <c r="P16" s="22" t="s">
        <v>30</v>
      </c>
      <c r="Q16" s="23">
        <v>45712</v>
      </c>
      <c r="R16" s="81" t="s">
        <v>21</v>
      </c>
      <c r="S16" s="22" t="s">
        <v>32</v>
      </c>
      <c r="T16" s="22">
        <v>24</v>
      </c>
      <c r="U16" s="24" t="s">
        <v>21</v>
      </c>
      <c r="V16" s="23">
        <v>45712</v>
      </c>
      <c r="W16" s="82" t="s">
        <v>30</v>
      </c>
      <c r="Y16" s="412"/>
      <c r="Z16" s="412"/>
      <c r="AA16" s="412"/>
    </row>
    <row r="17" spans="1:27" ht="15.75" customHeight="1">
      <c r="A17" s="358" t="s">
        <v>24</v>
      </c>
      <c r="B17" s="369">
        <v>14</v>
      </c>
      <c r="C17" s="372" t="s">
        <v>59</v>
      </c>
      <c r="D17" s="372" t="s">
        <v>60</v>
      </c>
      <c r="E17" s="373">
        <v>45660</v>
      </c>
      <c r="F17" s="372" t="s">
        <v>58</v>
      </c>
      <c r="G17" s="372">
        <v>23</v>
      </c>
      <c r="H17" s="372" t="s">
        <v>21</v>
      </c>
      <c r="I17" s="372" t="s">
        <v>36</v>
      </c>
      <c r="J17" s="21" t="s">
        <v>29</v>
      </c>
      <c r="K17" s="21"/>
      <c r="L17" s="21"/>
      <c r="M17" s="22" t="s">
        <v>30</v>
      </c>
      <c r="N17" s="23">
        <v>45712</v>
      </c>
      <c r="O17" s="21" t="s">
        <v>31</v>
      </c>
      <c r="P17" s="22" t="s">
        <v>30</v>
      </c>
      <c r="Q17" s="23">
        <v>45712</v>
      </c>
      <c r="R17" s="81" t="s">
        <v>21</v>
      </c>
      <c r="S17" s="22" t="s">
        <v>32</v>
      </c>
      <c r="T17" s="22">
        <v>23</v>
      </c>
      <c r="U17" s="24" t="s">
        <v>21</v>
      </c>
      <c r="V17" s="23">
        <v>45712</v>
      </c>
      <c r="W17" s="82" t="s">
        <v>30</v>
      </c>
      <c r="Y17"/>
      <c r="Z17"/>
      <c r="AA17"/>
    </row>
    <row r="18" spans="1:27" ht="15.75" customHeight="1">
      <c r="A18" s="358" t="s">
        <v>24</v>
      </c>
      <c r="B18" s="369">
        <v>15</v>
      </c>
      <c r="C18" s="372" t="s">
        <v>61</v>
      </c>
      <c r="D18" s="372" t="s">
        <v>57</v>
      </c>
      <c r="E18" s="373">
        <v>45660</v>
      </c>
      <c r="F18" s="372" t="s">
        <v>62</v>
      </c>
      <c r="G18" s="372">
        <v>11</v>
      </c>
      <c r="H18" s="372" t="s">
        <v>21</v>
      </c>
      <c r="I18" s="372" t="s">
        <v>36</v>
      </c>
      <c r="J18" s="21" t="s">
        <v>29</v>
      </c>
      <c r="K18" s="21"/>
      <c r="L18" s="21"/>
      <c r="M18" s="22" t="s">
        <v>30</v>
      </c>
      <c r="N18" s="23">
        <v>45712</v>
      </c>
      <c r="O18" s="21"/>
      <c r="P18" s="22" t="s">
        <v>30</v>
      </c>
      <c r="Q18" s="23">
        <v>45712</v>
      </c>
      <c r="R18" s="81" t="s">
        <v>21</v>
      </c>
      <c r="S18" s="22" t="s">
        <v>32</v>
      </c>
      <c r="T18" s="22">
        <v>11</v>
      </c>
      <c r="U18" s="24" t="s">
        <v>21</v>
      </c>
      <c r="V18" s="23">
        <v>45712</v>
      </c>
      <c r="W18" s="82" t="s">
        <v>30</v>
      </c>
      <c r="Y18"/>
      <c r="Z18"/>
      <c r="AA18"/>
    </row>
    <row r="19" spans="1:27" ht="15.75" customHeight="1">
      <c r="A19" s="358" t="s">
        <v>24</v>
      </c>
      <c r="B19" s="369">
        <v>16</v>
      </c>
      <c r="C19" s="372" t="s">
        <v>63</v>
      </c>
      <c r="D19" s="372" t="s">
        <v>64</v>
      </c>
      <c r="E19" s="373">
        <v>45661</v>
      </c>
      <c r="F19" s="372" t="s">
        <v>65</v>
      </c>
      <c r="G19" s="372">
        <v>3</v>
      </c>
      <c r="H19" s="372" t="s">
        <v>46</v>
      </c>
      <c r="I19" s="372" t="s">
        <v>47</v>
      </c>
      <c r="J19" s="21" t="s">
        <v>29</v>
      </c>
      <c r="K19" s="21"/>
      <c r="L19" s="21"/>
      <c r="M19" s="22" t="s">
        <v>30</v>
      </c>
      <c r="N19" s="23">
        <v>45749</v>
      </c>
      <c r="O19" s="21" t="s">
        <v>66</v>
      </c>
      <c r="P19" s="22" t="s">
        <v>30</v>
      </c>
      <c r="Q19" s="23">
        <v>45749</v>
      </c>
      <c r="R19" s="81" t="s">
        <v>67</v>
      </c>
      <c r="S19" s="22" t="s">
        <v>32</v>
      </c>
      <c r="T19" s="22">
        <v>3</v>
      </c>
      <c r="U19" s="22" t="s">
        <v>67</v>
      </c>
      <c r="V19" s="23">
        <v>45749</v>
      </c>
      <c r="W19" s="360" t="s">
        <v>30</v>
      </c>
      <c r="Y19"/>
      <c r="Z19"/>
      <c r="AA19"/>
    </row>
    <row r="20" spans="1:27" ht="15.75" customHeight="1">
      <c r="A20" s="358" t="s">
        <v>24</v>
      </c>
      <c r="B20" s="369">
        <v>17</v>
      </c>
      <c r="C20" s="372" t="s">
        <v>68</v>
      </c>
      <c r="D20" s="372" t="s">
        <v>50</v>
      </c>
      <c r="E20" s="373">
        <v>45661</v>
      </c>
      <c r="F20" s="372" t="s">
        <v>65</v>
      </c>
      <c r="G20" s="372">
        <v>3</v>
      </c>
      <c r="H20" s="372" t="s">
        <v>46</v>
      </c>
      <c r="I20" s="372" t="s">
        <v>47</v>
      </c>
      <c r="J20" s="21" t="s">
        <v>29</v>
      </c>
      <c r="K20" s="21"/>
      <c r="L20" s="21"/>
      <c r="M20" s="22" t="s">
        <v>30</v>
      </c>
      <c r="N20" s="23">
        <v>45749</v>
      </c>
      <c r="O20" s="21"/>
      <c r="P20" s="22" t="s">
        <v>30</v>
      </c>
      <c r="Q20" s="23">
        <v>45749</v>
      </c>
      <c r="R20" s="81" t="s">
        <v>67</v>
      </c>
      <c r="S20" s="22" t="s">
        <v>32</v>
      </c>
      <c r="T20" s="22">
        <v>3</v>
      </c>
      <c r="U20" s="22" t="s">
        <v>67</v>
      </c>
      <c r="V20" s="23">
        <v>45749</v>
      </c>
      <c r="W20" s="360" t="s">
        <v>30</v>
      </c>
      <c r="Y20"/>
      <c r="Z20"/>
      <c r="AA20"/>
    </row>
    <row r="21" spans="1:27" ht="15.75" customHeight="1">
      <c r="A21" s="358" t="s">
        <v>24</v>
      </c>
      <c r="B21" s="369">
        <v>18</v>
      </c>
      <c r="C21" s="372" t="s">
        <v>69</v>
      </c>
      <c r="D21" s="372" t="s">
        <v>43</v>
      </c>
      <c r="E21" s="373">
        <v>45661</v>
      </c>
      <c r="F21" s="372" t="s">
        <v>65</v>
      </c>
      <c r="G21" s="372">
        <v>3</v>
      </c>
      <c r="H21" s="372" t="s">
        <v>46</v>
      </c>
      <c r="I21" s="372" t="s">
        <v>47</v>
      </c>
      <c r="J21" s="21" t="s">
        <v>29</v>
      </c>
      <c r="K21" s="21"/>
      <c r="L21" s="21"/>
      <c r="M21" s="22" t="s">
        <v>30</v>
      </c>
      <c r="N21" s="23">
        <v>45749</v>
      </c>
      <c r="O21" s="21"/>
      <c r="P21" s="22" t="s">
        <v>30</v>
      </c>
      <c r="Q21" s="23">
        <v>45749</v>
      </c>
      <c r="R21" s="81" t="s">
        <v>67</v>
      </c>
      <c r="S21" s="22" t="s">
        <v>32</v>
      </c>
      <c r="T21" s="22">
        <v>3</v>
      </c>
      <c r="U21" s="22" t="s">
        <v>67</v>
      </c>
      <c r="V21" s="23">
        <v>45749</v>
      </c>
      <c r="W21" s="360" t="s">
        <v>30</v>
      </c>
      <c r="Y21"/>
      <c r="Z21"/>
      <c r="AA21"/>
    </row>
    <row r="22" spans="1:27" ht="15.75" customHeight="1">
      <c r="A22" s="358" t="s">
        <v>24</v>
      </c>
      <c r="B22" s="369">
        <v>19</v>
      </c>
      <c r="C22" s="372" t="s">
        <v>70</v>
      </c>
      <c r="D22" s="372" t="s">
        <v>34</v>
      </c>
      <c r="E22" s="373">
        <v>45661</v>
      </c>
      <c r="F22" s="372" t="s">
        <v>65</v>
      </c>
      <c r="G22" s="372">
        <v>3</v>
      </c>
      <c r="H22" s="372" t="s">
        <v>46</v>
      </c>
      <c r="I22" s="372" t="s">
        <v>47</v>
      </c>
      <c r="J22" s="21" t="s">
        <v>29</v>
      </c>
      <c r="K22" s="21"/>
      <c r="L22" s="21"/>
      <c r="M22" s="22" t="s">
        <v>30</v>
      </c>
      <c r="N22" s="23">
        <v>45749</v>
      </c>
      <c r="O22" s="21"/>
      <c r="P22" s="22" t="s">
        <v>30</v>
      </c>
      <c r="Q22" s="23">
        <v>45749</v>
      </c>
      <c r="R22" s="81" t="s">
        <v>67</v>
      </c>
      <c r="S22" s="22" t="s">
        <v>32</v>
      </c>
      <c r="T22" s="22">
        <v>3</v>
      </c>
      <c r="U22" s="22" t="s">
        <v>67</v>
      </c>
      <c r="V22" s="23">
        <v>45749</v>
      </c>
      <c r="W22" s="360" t="s">
        <v>30</v>
      </c>
      <c r="Y22"/>
      <c r="Z22"/>
      <c r="AA22"/>
    </row>
    <row r="23" spans="1:27" ht="15.75" customHeight="1">
      <c r="A23" s="358" t="s">
        <v>24</v>
      </c>
      <c r="B23" s="369">
        <v>20</v>
      </c>
      <c r="C23" s="372" t="s">
        <v>71</v>
      </c>
      <c r="D23" s="372" t="s">
        <v>72</v>
      </c>
      <c r="E23" s="373">
        <v>45661</v>
      </c>
      <c r="F23" s="372" t="s">
        <v>65</v>
      </c>
      <c r="G23" s="372">
        <v>3</v>
      </c>
      <c r="H23" s="372" t="s">
        <v>46</v>
      </c>
      <c r="I23" s="372" t="s">
        <v>47</v>
      </c>
      <c r="J23" s="21" t="s">
        <v>29</v>
      </c>
      <c r="K23" s="21"/>
      <c r="L23" s="21"/>
      <c r="M23" s="22" t="s">
        <v>30</v>
      </c>
      <c r="N23" s="23">
        <v>45749</v>
      </c>
      <c r="O23" s="21"/>
      <c r="P23" s="22" t="s">
        <v>30</v>
      </c>
      <c r="Q23" s="23">
        <v>45749</v>
      </c>
      <c r="R23" s="81" t="s">
        <v>67</v>
      </c>
      <c r="S23" s="22" t="s">
        <v>32</v>
      </c>
      <c r="T23" s="22">
        <v>3</v>
      </c>
      <c r="U23" s="22" t="s">
        <v>67</v>
      </c>
      <c r="V23" s="23">
        <v>45749</v>
      </c>
      <c r="W23" s="360" t="s">
        <v>30</v>
      </c>
      <c r="Y23"/>
      <c r="Z23"/>
      <c r="AA23"/>
    </row>
    <row r="24" spans="1:27" ht="15.75" customHeight="1">
      <c r="A24" s="358" t="s">
        <v>24</v>
      </c>
      <c r="B24" s="369">
        <v>21</v>
      </c>
      <c r="C24" s="372" t="s">
        <v>73</v>
      </c>
      <c r="D24" s="372" t="s">
        <v>34</v>
      </c>
      <c r="E24" s="373">
        <v>45661</v>
      </c>
      <c r="F24" s="372" t="s">
        <v>74</v>
      </c>
      <c r="G24" s="372">
        <v>6</v>
      </c>
      <c r="H24" s="372" t="s">
        <v>21</v>
      </c>
      <c r="I24" s="372" t="s">
        <v>36</v>
      </c>
      <c r="J24" s="21" t="s">
        <v>29</v>
      </c>
      <c r="K24" s="21"/>
      <c r="L24" s="21"/>
      <c r="M24" s="22" t="s">
        <v>30</v>
      </c>
      <c r="N24" s="23">
        <v>45712</v>
      </c>
      <c r="O24" s="21"/>
      <c r="P24" s="22" t="s">
        <v>30</v>
      </c>
      <c r="Q24" s="23">
        <v>45712</v>
      </c>
      <c r="R24" s="81" t="s">
        <v>21</v>
      </c>
      <c r="S24" s="22" t="s">
        <v>32</v>
      </c>
      <c r="T24" s="22">
        <v>6</v>
      </c>
      <c r="U24" s="24" t="s">
        <v>21</v>
      </c>
      <c r="V24" s="23">
        <v>45749</v>
      </c>
      <c r="W24" s="82" t="s">
        <v>30</v>
      </c>
      <c r="Y24"/>
      <c r="Z24"/>
      <c r="AA24"/>
    </row>
    <row r="25" spans="1:27" ht="15.75" customHeight="1">
      <c r="A25" s="358" t="s">
        <v>24</v>
      </c>
      <c r="B25" s="369">
        <v>22</v>
      </c>
      <c r="C25" s="372" t="s">
        <v>75</v>
      </c>
      <c r="D25" s="372" t="s">
        <v>34</v>
      </c>
      <c r="E25" s="373">
        <v>45661</v>
      </c>
      <c r="F25" s="372" t="s">
        <v>74</v>
      </c>
      <c r="G25" s="372">
        <v>5</v>
      </c>
      <c r="H25" s="372" t="s">
        <v>21</v>
      </c>
      <c r="I25" s="372" t="s">
        <v>36</v>
      </c>
      <c r="J25" s="21" t="s">
        <v>29</v>
      </c>
      <c r="K25" s="21"/>
      <c r="L25" s="21"/>
      <c r="M25" s="22" t="s">
        <v>30</v>
      </c>
      <c r="N25" s="23">
        <v>45712</v>
      </c>
      <c r="O25" s="21"/>
      <c r="P25" s="22" t="s">
        <v>30</v>
      </c>
      <c r="Q25" s="23">
        <v>45712</v>
      </c>
      <c r="R25" s="81" t="s">
        <v>37</v>
      </c>
      <c r="S25" s="22" t="s">
        <v>32</v>
      </c>
      <c r="T25" s="22">
        <v>5</v>
      </c>
      <c r="U25" s="22" t="s">
        <v>37</v>
      </c>
      <c r="V25" s="23">
        <v>45749</v>
      </c>
      <c r="W25" s="360" t="s">
        <v>30</v>
      </c>
      <c r="Y25" s="412"/>
      <c r="Z25" s="412"/>
      <c r="AA25" s="412"/>
    </row>
    <row r="26" spans="1:27" ht="15.75" customHeight="1">
      <c r="A26" s="358" t="s">
        <v>24</v>
      </c>
      <c r="B26" s="369">
        <v>23</v>
      </c>
      <c r="C26" s="372" t="s">
        <v>76</v>
      </c>
      <c r="D26" s="372" t="s">
        <v>34</v>
      </c>
      <c r="E26" s="373">
        <v>45661</v>
      </c>
      <c r="F26" s="372" t="s">
        <v>77</v>
      </c>
      <c r="G26" s="372">
        <v>17</v>
      </c>
      <c r="H26" s="372" t="s">
        <v>78</v>
      </c>
      <c r="I26" s="372" t="s">
        <v>79</v>
      </c>
      <c r="J26" s="21" t="s">
        <v>29</v>
      </c>
      <c r="K26" s="21"/>
      <c r="L26" s="21"/>
      <c r="M26" s="22" t="s">
        <v>30</v>
      </c>
      <c r="N26" s="23">
        <v>45721</v>
      </c>
      <c r="O26" s="21" t="s">
        <v>31</v>
      </c>
      <c r="P26" s="22" t="s">
        <v>30</v>
      </c>
      <c r="Q26" s="23">
        <v>45721</v>
      </c>
      <c r="R26" s="81" t="s">
        <v>47</v>
      </c>
      <c r="S26" s="22" t="s">
        <v>32</v>
      </c>
      <c r="T26" s="22">
        <v>17</v>
      </c>
      <c r="U26" s="22" t="s">
        <v>47</v>
      </c>
      <c r="V26" s="23">
        <v>45721</v>
      </c>
      <c r="W26" s="360" t="s">
        <v>30</v>
      </c>
      <c r="Y26" s="412"/>
      <c r="Z26" s="412"/>
      <c r="AA26" s="412"/>
    </row>
    <row r="27" spans="1:27" ht="15.75" customHeight="1">
      <c r="A27" s="358" t="s">
        <v>24</v>
      </c>
      <c r="B27" s="369">
        <v>24</v>
      </c>
      <c r="C27" s="372" t="s">
        <v>80</v>
      </c>
      <c r="D27" s="372" t="s">
        <v>34</v>
      </c>
      <c r="E27" s="373">
        <v>45661</v>
      </c>
      <c r="F27" s="372" t="s">
        <v>77</v>
      </c>
      <c r="G27" s="372">
        <v>2</v>
      </c>
      <c r="H27" s="372" t="s">
        <v>21</v>
      </c>
      <c r="I27" s="372" t="s">
        <v>36</v>
      </c>
      <c r="J27" s="21" t="s">
        <v>29</v>
      </c>
      <c r="K27" s="21"/>
      <c r="L27" s="21"/>
      <c r="M27" s="22" t="s">
        <v>30</v>
      </c>
      <c r="N27" s="23">
        <v>45712</v>
      </c>
      <c r="O27" s="21"/>
      <c r="P27" s="22" t="s">
        <v>30</v>
      </c>
      <c r="Q27" s="23">
        <v>45712</v>
      </c>
      <c r="R27" s="81" t="s">
        <v>37</v>
      </c>
      <c r="S27" s="22" t="s">
        <v>32</v>
      </c>
      <c r="T27" s="22">
        <v>2</v>
      </c>
      <c r="U27" s="22" t="s">
        <v>37</v>
      </c>
      <c r="V27" s="23">
        <v>45712</v>
      </c>
      <c r="W27" s="360" t="s">
        <v>30</v>
      </c>
      <c r="Y27"/>
      <c r="Z27"/>
      <c r="AA27"/>
    </row>
    <row r="28" spans="1:27" ht="15.75" customHeight="1">
      <c r="A28" s="358" t="s">
        <v>24</v>
      </c>
      <c r="B28" s="369">
        <v>25</v>
      </c>
      <c r="C28" s="372" t="s">
        <v>81</v>
      </c>
      <c r="D28" s="372" t="s">
        <v>34</v>
      </c>
      <c r="E28" s="373">
        <v>45661</v>
      </c>
      <c r="F28" s="372" t="s">
        <v>77</v>
      </c>
      <c r="G28" s="372">
        <v>3</v>
      </c>
      <c r="H28" s="372" t="s">
        <v>21</v>
      </c>
      <c r="I28" s="372" t="s">
        <v>36</v>
      </c>
      <c r="J28" s="21" t="s">
        <v>29</v>
      </c>
      <c r="K28" s="21"/>
      <c r="L28" s="21"/>
      <c r="M28" s="22" t="s">
        <v>30</v>
      </c>
      <c r="N28" s="23">
        <v>45712</v>
      </c>
      <c r="O28" s="21"/>
      <c r="P28" s="22" t="s">
        <v>30</v>
      </c>
      <c r="Q28" s="23">
        <v>45712</v>
      </c>
      <c r="R28" s="81" t="s">
        <v>21</v>
      </c>
      <c r="S28" s="22" t="s">
        <v>32</v>
      </c>
      <c r="T28" s="22">
        <v>3</v>
      </c>
      <c r="U28" s="24" t="s">
        <v>21</v>
      </c>
      <c r="V28" s="23">
        <v>45712</v>
      </c>
      <c r="W28" s="82" t="s">
        <v>30</v>
      </c>
      <c r="Y28"/>
      <c r="Z28"/>
      <c r="AA28"/>
    </row>
    <row r="29" spans="1:27" ht="15.75" customHeight="1">
      <c r="A29" s="358" t="s">
        <v>24</v>
      </c>
      <c r="B29" s="369">
        <v>26</v>
      </c>
      <c r="C29" s="372" t="s">
        <v>82</v>
      </c>
      <c r="D29" s="372" t="s">
        <v>83</v>
      </c>
      <c r="E29" s="373">
        <v>45661</v>
      </c>
      <c r="F29" s="372" t="s">
        <v>77</v>
      </c>
      <c r="G29" s="372">
        <v>3</v>
      </c>
      <c r="H29" s="372" t="s">
        <v>21</v>
      </c>
      <c r="I29" s="372" t="s">
        <v>36</v>
      </c>
      <c r="J29" s="21" t="s">
        <v>29</v>
      </c>
      <c r="K29" s="21"/>
      <c r="L29" s="21"/>
      <c r="M29" s="22" t="s">
        <v>30</v>
      </c>
      <c r="N29" s="23">
        <v>45712</v>
      </c>
      <c r="O29" s="21"/>
      <c r="P29" s="22" t="s">
        <v>30</v>
      </c>
      <c r="Q29" s="23">
        <v>45712</v>
      </c>
      <c r="R29" s="81" t="s">
        <v>21</v>
      </c>
      <c r="S29" s="22" t="s">
        <v>32</v>
      </c>
      <c r="T29" s="22">
        <v>3</v>
      </c>
      <c r="U29" s="24" t="s">
        <v>21</v>
      </c>
      <c r="V29" s="23">
        <v>45712</v>
      </c>
      <c r="W29" s="82" t="s">
        <v>30</v>
      </c>
      <c r="Y29"/>
      <c r="Z29"/>
      <c r="AA29"/>
    </row>
    <row r="30" spans="1:27" ht="15.75" customHeight="1">
      <c r="A30" s="358" t="s">
        <v>24</v>
      </c>
      <c r="B30" s="369">
        <v>27</v>
      </c>
      <c r="C30" s="372" t="s">
        <v>84</v>
      </c>
      <c r="D30" s="372" t="s">
        <v>43</v>
      </c>
      <c r="E30" s="373">
        <v>45661</v>
      </c>
      <c r="F30" s="372" t="s">
        <v>77</v>
      </c>
      <c r="G30" s="372">
        <v>3</v>
      </c>
      <c r="H30" s="372" t="s">
        <v>21</v>
      </c>
      <c r="I30" s="372" t="s">
        <v>36</v>
      </c>
      <c r="J30" s="21" t="s">
        <v>29</v>
      </c>
      <c r="K30" s="21"/>
      <c r="L30" s="21"/>
      <c r="M30" s="22" t="s">
        <v>30</v>
      </c>
      <c r="N30" s="23">
        <v>45712</v>
      </c>
      <c r="O30" s="21"/>
      <c r="P30" s="22" t="s">
        <v>30</v>
      </c>
      <c r="Q30" s="23">
        <v>45712</v>
      </c>
      <c r="R30" s="81" t="s">
        <v>21</v>
      </c>
      <c r="S30" s="22" t="s">
        <v>32</v>
      </c>
      <c r="T30" s="22">
        <v>3</v>
      </c>
      <c r="U30" s="24" t="s">
        <v>21</v>
      </c>
      <c r="V30" s="23">
        <v>45712</v>
      </c>
      <c r="W30" s="82" t="s">
        <v>30</v>
      </c>
      <c r="Y30"/>
      <c r="Z30"/>
      <c r="AA30"/>
    </row>
    <row r="31" spans="1:27" ht="15.75" customHeight="1">
      <c r="A31" s="358" t="s">
        <v>24</v>
      </c>
      <c r="B31" s="369">
        <v>28</v>
      </c>
      <c r="C31" s="372" t="s">
        <v>85</v>
      </c>
      <c r="D31" s="372" t="s">
        <v>50</v>
      </c>
      <c r="E31" s="373">
        <v>45661</v>
      </c>
      <c r="F31" s="372" t="s">
        <v>77</v>
      </c>
      <c r="G31" s="372">
        <v>3</v>
      </c>
      <c r="H31" s="372" t="s">
        <v>21</v>
      </c>
      <c r="I31" s="372" t="s">
        <v>36</v>
      </c>
      <c r="J31" s="21" t="s">
        <v>29</v>
      </c>
      <c r="K31" s="21"/>
      <c r="L31" s="21"/>
      <c r="M31" s="22" t="s">
        <v>30</v>
      </c>
      <c r="N31" s="23">
        <v>45712</v>
      </c>
      <c r="O31" s="21"/>
      <c r="P31" s="22" t="s">
        <v>30</v>
      </c>
      <c r="Q31" s="23">
        <v>45712</v>
      </c>
      <c r="R31" s="81" t="s">
        <v>21</v>
      </c>
      <c r="S31" s="22" t="s">
        <v>32</v>
      </c>
      <c r="T31" s="22">
        <v>3</v>
      </c>
      <c r="U31" s="24" t="s">
        <v>21</v>
      </c>
      <c r="V31" s="23">
        <v>45712</v>
      </c>
      <c r="W31" s="82" t="s">
        <v>30</v>
      </c>
      <c r="Y31"/>
      <c r="Z31"/>
      <c r="AA31"/>
    </row>
    <row r="32" spans="1:27" ht="15.75" customHeight="1">
      <c r="A32" s="358" t="s">
        <v>24</v>
      </c>
      <c r="B32" s="369">
        <v>29</v>
      </c>
      <c r="C32" s="372" t="s">
        <v>86</v>
      </c>
      <c r="D32" s="372" t="s">
        <v>34</v>
      </c>
      <c r="E32" s="373">
        <v>45661</v>
      </c>
      <c r="F32" s="372" t="s">
        <v>87</v>
      </c>
      <c r="G32" s="372">
        <v>12</v>
      </c>
      <c r="H32" s="372" t="s">
        <v>21</v>
      </c>
      <c r="I32" s="372" t="s">
        <v>36</v>
      </c>
      <c r="J32" s="21" t="s">
        <v>29</v>
      </c>
      <c r="K32" s="21"/>
      <c r="L32" s="21"/>
      <c r="M32" s="22" t="s">
        <v>30</v>
      </c>
      <c r="N32" s="23">
        <v>45712</v>
      </c>
      <c r="O32" s="21"/>
      <c r="P32" s="22" t="s">
        <v>30</v>
      </c>
      <c r="Q32" s="23">
        <v>45712</v>
      </c>
      <c r="R32" s="81" t="s">
        <v>37</v>
      </c>
      <c r="S32" s="22" t="s">
        <v>32</v>
      </c>
      <c r="T32" s="22">
        <v>12</v>
      </c>
      <c r="U32" s="22" t="s">
        <v>37</v>
      </c>
      <c r="V32" s="23">
        <v>45712</v>
      </c>
      <c r="W32" s="360" t="s">
        <v>30</v>
      </c>
      <c r="Y32"/>
      <c r="Z32"/>
      <c r="AA32"/>
    </row>
    <row r="33" spans="1:27" ht="15.75" customHeight="1">
      <c r="A33" s="358" t="s">
        <v>24</v>
      </c>
      <c r="B33" s="369">
        <v>30</v>
      </c>
      <c r="C33" s="372" t="s">
        <v>88</v>
      </c>
      <c r="D33" s="372" t="s">
        <v>34</v>
      </c>
      <c r="E33" s="373">
        <v>45661</v>
      </c>
      <c r="F33" s="372" t="s">
        <v>89</v>
      </c>
      <c r="G33" s="372">
        <v>11</v>
      </c>
      <c r="H33" s="375" t="s">
        <v>22</v>
      </c>
      <c r="I33" s="372" t="s">
        <v>28</v>
      </c>
      <c r="J33" s="21" t="s">
        <v>29</v>
      </c>
      <c r="K33" s="21"/>
      <c r="L33" s="21"/>
      <c r="M33" s="22" t="s">
        <v>30</v>
      </c>
      <c r="N33" s="23">
        <v>45712</v>
      </c>
      <c r="O33" s="21"/>
      <c r="P33" s="22" t="s">
        <v>30</v>
      </c>
      <c r="Q33" s="23">
        <v>45712</v>
      </c>
      <c r="R33" s="81" t="s">
        <v>22</v>
      </c>
      <c r="S33" s="22" t="s">
        <v>32</v>
      </c>
      <c r="T33" s="22">
        <v>11</v>
      </c>
      <c r="U33" s="22" t="s">
        <v>22</v>
      </c>
      <c r="V33" s="23">
        <v>45712</v>
      </c>
      <c r="W33" s="82" t="s">
        <v>30</v>
      </c>
      <c r="Y33"/>
      <c r="Z33"/>
      <c r="AA33"/>
    </row>
    <row r="34" spans="1:27" ht="15.75" customHeight="1">
      <c r="A34" s="358" t="s">
        <v>24</v>
      </c>
      <c r="B34" s="369">
        <v>31</v>
      </c>
      <c r="C34" s="372" t="s">
        <v>90</v>
      </c>
      <c r="D34" s="372" t="s">
        <v>26</v>
      </c>
      <c r="E34" s="373">
        <v>45661</v>
      </c>
      <c r="F34" s="372" t="s">
        <v>91</v>
      </c>
      <c r="G34" s="372">
        <v>29</v>
      </c>
      <c r="H34" s="375" t="s">
        <v>22</v>
      </c>
      <c r="I34" s="372" t="s">
        <v>28</v>
      </c>
      <c r="J34" s="21" t="s">
        <v>29</v>
      </c>
      <c r="K34" s="21"/>
      <c r="L34" s="21"/>
      <c r="M34" s="22" t="s">
        <v>30</v>
      </c>
      <c r="N34" s="23">
        <v>45712</v>
      </c>
      <c r="O34" s="21" t="s">
        <v>31</v>
      </c>
      <c r="P34" s="22" t="s">
        <v>30</v>
      </c>
      <c r="Q34" s="23">
        <v>45712</v>
      </c>
      <c r="R34" s="81" t="s">
        <v>22</v>
      </c>
      <c r="S34" s="22" t="s">
        <v>32</v>
      </c>
      <c r="T34" s="22">
        <v>29</v>
      </c>
      <c r="U34" s="22" t="s">
        <v>22</v>
      </c>
      <c r="V34" s="23">
        <v>45712</v>
      </c>
      <c r="W34" s="82" t="s">
        <v>30</v>
      </c>
      <c r="Y34"/>
      <c r="Z34"/>
      <c r="AA34"/>
    </row>
    <row r="35" spans="1:27" ht="15.75" customHeight="1">
      <c r="A35" s="358" t="s">
        <v>24</v>
      </c>
      <c r="B35" s="369">
        <v>32</v>
      </c>
      <c r="C35" s="372" t="s">
        <v>92</v>
      </c>
      <c r="D35" s="372" t="s">
        <v>34</v>
      </c>
      <c r="E35" s="373">
        <v>45661</v>
      </c>
      <c r="F35" s="372" t="s">
        <v>93</v>
      </c>
      <c r="G35" s="372">
        <v>10</v>
      </c>
      <c r="H35" s="375" t="s">
        <v>22</v>
      </c>
      <c r="I35" s="372" t="s">
        <v>28</v>
      </c>
      <c r="J35" s="21" t="s">
        <v>29</v>
      </c>
      <c r="K35" s="21"/>
      <c r="L35" s="21"/>
      <c r="M35" s="22" t="s">
        <v>30</v>
      </c>
      <c r="N35" s="23">
        <v>45712</v>
      </c>
      <c r="O35" s="21"/>
      <c r="P35" s="22" t="s">
        <v>30</v>
      </c>
      <c r="Q35" s="23">
        <v>45712</v>
      </c>
      <c r="R35" s="81" t="s">
        <v>22</v>
      </c>
      <c r="S35" s="22" t="s">
        <v>32</v>
      </c>
      <c r="T35" s="22">
        <v>10</v>
      </c>
      <c r="U35" s="24" t="s">
        <v>22</v>
      </c>
      <c r="V35" s="23">
        <v>45712</v>
      </c>
      <c r="W35" s="82" t="s">
        <v>30</v>
      </c>
      <c r="Y35" s="412"/>
      <c r="Z35" s="412"/>
      <c r="AA35" s="412"/>
    </row>
    <row r="36" spans="1:27" ht="15.75" customHeight="1">
      <c r="A36" s="358" t="s">
        <v>24</v>
      </c>
      <c r="B36" s="369">
        <v>33</v>
      </c>
      <c r="C36" s="372" t="s">
        <v>94</v>
      </c>
      <c r="D36" s="372" t="s">
        <v>34</v>
      </c>
      <c r="E36" s="373">
        <v>45661</v>
      </c>
      <c r="F36" s="372" t="s">
        <v>95</v>
      </c>
      <c r="G36" s="372">
        <v>11</v>
      </c>
      <c r="H36" s="372" t="s">
        <v>21</v>
      </c>
      <c r="I36" s="372" t="s">
        <v>36</v>
      </c>
      <c r="J36" s="21" t="s">
        <v>29</v>
      </c>
      <c r="K36" s="21"/>
      <c r="L36" s="21"/>
      <c r="M36" s="22" t="s">
        <v>30</v>
      </c>
      <c r="N36" s="23">
        <v>45705</v>
      </c>
      <c r="O36" s="21"/>
      <c r="P36" s="22" t="s">
        <v>30</v>
      </c>
      <c r="Q36" s="23">
        <v>45705</v>
      </c>
      <c r="R36" s="81" t="s">
        <v>37</v>
      </c>
      <c r="S36" s="22" t="s">
        <v>32</v>
      </c>
      <c r="T36" s="22">
        <v>11</v>
      </c>
      <c r="U36" s="24" t="s">
        <v>37</v>
      </c>
      <c r="V36" s="23">
        <v>45705</v>
      </c>
      <c r="W36" s="360" t="s">
        <v>30</v>
      </c>
      <c r="Y36" s="412"/>
      <c r="Z36" s="412"/>
      <c r="AA36" s="412"/>
    </row>
    <row r="37" spans="1:27" ht="15.75" customHeight="1">
      <c r="A37" s="358" t="s">
        <v>24</v>
      </c>
      <c r="B37" s="369">
        <v>34</v>
      </c>
      <c r="C37" s="372" t="s">
        <v>96</v>
      </c>
      <c r="D37" s="372" t="s">
        <v>34</v>
      </c>
      <c r="E37" s="373">
        <v>45661</v>
      </c>
      <c r="F37" s="372" t="s">
        <v>97</v>
      </c>
      <c r="G37" s="372">
        <v>14</v>
      </c>
      <c r="H37" s="375" t="s">
        <v>22</v>
      </c>
      <c r="I37" s="372" t="s">
        <v>28</v>
      </c>
      <c r="J37" s="21" t="s">
        <v>29</v>
      </c>
      <c r="K37" s="21"/>
      <c r="L37" s="21"/>
      <c r="M37" s="22" t="s">
        <v>30</v>
      </c>
      <c r="N37" s="23">
        <v>45712</v>
      </c>
      <c r="O37" s="21"/>
      <c r="P37" s="22" t="s">
        <v>30</v>
      </c>
      <c r="Q37" s="23">
        <v>45712</v>
      </c>
      <c r="R37" s="81" t="s">
        <v>37</v>
      </c>
      <c r="S37" s="22" t="s">
        <v>32</v>
      </c>
      <c r="T37" s="22">
        <v>14</v>
      </c>
      <c r="U37" s="22" t="s">
        <v>37</v>
      </c>
      <c r="V37" s="23">
        <v>45712</v>
      </c>
      <c r="W37" s="360" t="s">
        <v>30</v>
      </c>
      <c r="Y37" s="412"/>
      <c r="Z37" s="412"/>
      <c r="AA37" s="412"/>
    </row>
    <row r="38" spans="1:27" ht="15.75" customHeight="1">
      <c r="A38" s="358" t="s">
        <v>24</v>
      </c>
      <c r="B38" s="369">
        <v>35</v>
      </c>
      <c r="C38" s="372" t="s">
        <v>98</v>
      </c>
      <c r="D38" s="372" t="s">
        <v>99</v>
      </c>
      <c r="E38" s="373">
        <v>45663</v>
      </c>
      <c r="F38" s="372" t="s">
        <v>100</v>
      </c>
      <c r="G38" s="372">
        <v>8</v>
      </c>
      <c r="H38" s="372" t="s">
        <v>46</v>
      </c>
      <c r="I38" s="372" t="s">
        <v>47</v>
      </c>
      <c r="J38" s="21" t="s">
        <v>29</v>
      </c>
      <c r="K38" s="21"/>
      <c r="L38" s="21"/>
      <c r="M38" s="22" t="s">
        <v>30</v>
      </c>
      <c r="N38" s="23">
        <v>45749</v>
      </c>
      <c r="O38" s="21" t="s">
        <v>66</v>
      </c>
      <c r="P38" s="22" t="s">
        <v>30</v>
      </c>
      <c r="Q38" s="23">
        <v>45749</v>
      </c>
      <c r="R38" s="81" t="s">
        <v>67</v>
      </c>
      <c r="S38" s="22" t="s">
        <v>32</v>
      </c>
      <c r="T38" s="22">
        <v>3</v>
      </c>
      <c r="U38" s="22" t="s">
        <v>67</v>
      </c>
      <c r="V38" s="23">
        <v>45749</v>
      </c>
      <c r="W38" s="360" t="s">
        <v>30</v>
      </c>
      <c r="Y38" s="412"/>
      <c r="Z38" s="412"/>
      <c r="AA38" s="412"/>
    </row>
    <row r="39" spans="1:27" ht="15.75" customHeight="1">
      <c r="A39" s="358" t="s">
        <v>24</v>
      </c>
      <c r="B39" s="369">
        <v>36</v>
      </c>
      <c r="C39" s="372" t="s">
        <v>101</v>
      </c>
      <c r="D39" s="372" t="s">
        <v>102</v>
      </c>
      <c r="E39" s="373">
        <v>45663</v>
      </c>
      <c r="F39" s="372" t="s">
        <v>100</v>
      </c>
      <c r="G39" s="372">
        <v>8</v>
      </c>
      <c r="H39" s="372" t="s">
        <v>46</v>
      </c>
      <c r="I39" s="372" t="s">
        <v>47</v>
      </c>
      <c r="J39" s="21" t="s">
        <v>29</v>
      </c>
      <c r="K39" s="21"/>
      <c r="L39" s="21"/>
      <c r="M39" s="22" t="s">
        <v>30</v>
      </c>
      <c r="N39" s="23">
        <v>45749</v>
      </c>
      <c r="O39" s="21"/>
      <c r="P39" s="22" t="s">
        <v>30</v>
      </c>
      <c r="Q39" s="23">
        <v>45749</v>
      </c>
      <c r="R39" s="81" t="s">
        <v>67</v>
      </c>
      <c r="S39" s="22" t="s">
        <v>32</v>
      </c>
      <c r="T39" s="22">
        <v>3</v>
      </c>
      <c r="U39" s="22" t="s">
        <v>67</v>
      </c>
      <c r="V39" s="23">
        <v>45749</v>
      </c>
      <c r="W39" s="360" t="s">
        <v>30</v>
      </c>
      <c r="Y39" s="412"/>
      <c r="Z39" s="412"/>
      <c r="AA39" s="412"/>
    </row>
    <row r="40" spans="1:27" ht="15.75" customHeight="1">
      <c r="A40" s="358" t="s">
        <v>24</v>
      </c>
      <c r="B40" s="369">
        <v>37</v>
      </c>
      <c r="C40" s="372" t="s">
        <v>103</v>
      </c>
      <c r="D40" s="372" t="s">
        <v>43</v>
      </c>
      <c r="E40" s="373">
        <v>45663</v>
      </c>
      <c r="F40" s="372" t="s">
        <v>104</v>
      </c>
      <c r="G40" s="372">
        <v>6</v>
      </c>
      <c r="H40" s="375" t="s">
        <v>22</v>
      </c>
      <c r="I40" s="372" t="s">
        <v>28</v>
      </c>
      <c r="J40" s="21" t="s">
        <v>29</v>
      </c>
      <c r="K40" s="21"/>
      <c r="L40" s="21"/>
      <c r="M40" s="22" t="s">
        <v>30</v>
      </c>
      <c r="N40" s="23">
        <v>45712</v>
      </c>
      <c r="O40" s="21"/>
      <c r="P40" s="22" t="s">
        <v>30</v>
      </c>
      <c r="Q40" s="23">
        <v>45712</v>
      </c>
      <c r="R40" s="81" t="s">
        <v>22</v>
      </c>
      <c r="S40" s="22" t="s">
        <v>32</v>
      </c>
      <c r="T40" s="22">
        <v>6</v>
      </c>
      <c r="U40" s="24" t="s">
        <v>22</v>
      </c>
      <c r="V40" s="23">
        <v>45712</v>
      </c>
      <c r="W40" s="82" t="s">
        <v>30</v>
      </c>
      <c r="Y40" s="412"/>
      <c r="Z40" s="412"/>
      <c r="AA40" s="412"/>
    </row>
    <row r="41" spans="1:27" ht="15.75" customHeight="1">
      <c r="A41" s="358" t="s">
        <v>24</v>
      </c>
      <c r="B41" s="369">
        <v>38</v>
      </c>
      <c r="C41" s="372" t="s">
        <v>105</v>
      </c>
      <c r="D41" s="372" t="s">
        <v>34</v>
      </c>
      <c r="E41" s="373">
        <v>45663</v>
      </c>
      <c r="F41" s="372" t="s">
        <v>106</v>
      </c>
      <c r="G41" s="372">
        <v>9</v>
      </c>
      <c r="H41" s="375" t="s">
        <v>22</v>
      </c>
      <c r="I41" s="372" t="s">
        <v>28</v>
      </c>
      <c r="J41" s="21" t="s">
        <v>29</v>
      </c>
      <c r="K41" s="21"/>
      <c r="L41" s="21"/>
      <c r="M41" s="22" t="s">
        <v>30</v>
      </c>
      <c r="N41" s="23">
        <v>45747</v>
      </c>
      <c r="O41" s="21" t="s">
        <v>66</v>
      </c>
      <c r="P41" s="22" t="s">
        <v>30</v>
      </c>
      <c r="Q41" s="23">
        <v>45747</v>
      </c>
      <c r="R41" s="81" t="s">
        <v>37</v>
      </c>
      <c r="S41" s="22" t="s">
        <v>32</v>
      </c>
      <c r="T41" s="358">
        <v>9</v>
      </c>
      <c r="U41" s="22" t="s">
        <v>37</v>
      </c>
      <c r="V41" s="23">
        <v>45747</v>
      </c>
      <c r="W41" s="360" t="s">
        <v>30</v>
      </c>
      <c r="Y41" s="412"/>
      <c r="Z41" s="412"/>
      <c r="AA41" s="412"/>
    </row>
    <row r="42" spans="1:27" ht="15.75" customHeight="1">
      <c r="A42" s="358" t="s">
        <v>24</v>
      </c>
      <c r="B42" s="369">
        <v>39</v>
      </c>
      <c r="C42" s="372" t="s">
        <v>107</v>
      </c>
      <c r="D42" s="372" t="s">
        <v>72</v>
      </c>
      <c r="E42" s="373">
        <v>45663</v>
      </c>
      <c r="F42" s="372" t="s">
        <v>106</v>
      </c>
      <c r="G42" s="372">
        <v>7</v>
      </c>
      <c r="H42" s="375" t="s">
        <v>22</v>
      </c>
      <c r="I42" s="372" t="s">
        <v>28</v>
      </c>
      <c r="J42" s="21" t="s">
        <v>29</v>
      </c>
      <c r="K42" s="21"/>
      <c r="L42" s="21"/>
      <c r="M42" s="22" t="s">
        <v>30</v>
      </c>
      <c r="N42" s="23">
        <v>45747</v>
      </c>
      <c r="O42" s="21"/>
      <c r="P42" s="22" t="s">
        <v>30</v>
      </c>
      <c r="Q42" s="23">
        <v>45747</v>
      </c>
      <c r="R42" s="81" t="s">
        <v>37</v>
      </c>
      <c r="S42" s="22" t="s">
        <v>32</v>
      </c>
      <c r="T42" s="358"/>
      <c r="U42" s="22" t="s">
        <v>37</v>
      </c>
      <c r="V42" s="23">
        <v>45747</v>
      </c>
      <c r="W42" s="360" t="s">
        <v>30</v>
      </c>
      <c r="Y42" s="412"/>
      <c r="Z42" s="412"/>
      <c r="AA42" s="412"/>
    </row>
    <row r="43" spans="1:27" ht="15.75" customHeight="1">
      <c r="A43" s="358" t="s">
        <v>24</v>
      </c>
      <c r="B43" s="369">
        <v>40</v>
      </c>
      <c r="C43" s="372" t="s">
        <v>108</v>
      </c>
      <c r="D43" s="372" t="s">
        <v>109</v>
      </c>
      <c r="E43" s="373">
        <v>45664</v>
      </c>
      <c r="F43" s="372" t="s">
        <v>110</v>
      </c>
      <c r="G43" s="372">
        <v>9</v>
      </c>
      <c r="H43" s="372" t="s">
        <v>111</v>
      </c>
      <c r="I43" s="372" t="s">
        <v>112</v>
      </c>
      <c r="J43" s="21" t="s">
        <v>29</v>
      </c>
      <c r="K43" s="21"/>
      <c r="L43" s="21"/>
      <c r="M43" s="22" t="s">
        <v>30</v>
      </c>
      <c r="N43" s="23">
        <v>45716</v>
      </c>
      <c r="O43" s="21"/>
      <c r="P43" s="22" t="s">
        <v>30</v>
      </c>
      <c r="Q43" s="23">
        <v>45716</v>
      </c>
      <c r="R43" s="81" t="s">
        <v>48</v>
      </c>
      <c r="S43" s="22" t="s">
        <v>32</v>
      </c>
      <c r="T43" s="358">
        <v>13</v>
      </c>
      <c r="U43" s="24" t="s">
        <v>48</v>
      </c>
      <c r="V43" s="23">
        <v>45716</v>
      </c>
      <c r="W43" s="360" t="s">
        <v>113</v>
      </c>
      <c r="Y43" s="412"/>
      <c r="Z43" s="412"/>
      <c r="AA43" s="412"/>
    </row>
    <row r="44" spans="1:27" ht="15.75" customHeight="1">
      <c r="A44" s="358" t="s">
        <v>24</v>
      </c>
      <c r="B44" s="369">
        <v>41</v>
      </c>
      <c r="C44" s="372" t="s">
        <v>114</v>
      </c>
      <c r="D44" s="372" t="s">
        <v>34</v>
      </c>
      <c r="E44" s="373">
        <v>45664</v>
      </c>
      <c r="F44" s="372" t="s">
        <v>106</v>
      </c>
      <c r="G44" s="372">
        <v>13</v>
      </c>
      <c r="H44" s="375" t="s">
        <v>22</v>
      </c>
      <c r="I44" s="372" t="s">
        <v>28</v>
      </c>
      <c r="J44" s="21" t="s">
        <v>29</v>
      </c>
      <c r="K44" s="21"/>
      <c r="L44" s="21"/>
      <c r="M44" s="22" t="s">
        <v>30</v>
      </c>
      <c r="N44" s="23">
        <v>45747</v>
      </c>
      <c r="O44" s="21" t="s">
        <v>66</v>
      </c>
      <c r="P44" s="22" t="s">
        <v>30</v>
      </c>
      <c r="Q44" s="23">
        <v>45747</v>
      </c>
      <c r="R44" s="81" t="s">
        <v>37</v>
      </c>
      <c r="S44" s="22" t="s">
        <v>32</v>
      </c>
      <c r="T44" s="358">
        <v>13</v>
      </c>
      <c r="U44" s="22" t="s">
        <v>37</v>
      </c>
      <c r="V44" s="23">
        <v>45747</v>
      </c>
      <c r="W44" s="360" t="s">
        <v>30</v>
      </c>
      <c r="Y44"/>
      <c r="Z44"/>
      <c r="AA44"/>
    </row>
    <row r="45" spans="1:27" ht="15.75" customHeight="1">
      <c r="A45" s="358" t="s">
        <v>24</v>
      </c>
      <c r="B45" s="369">
        <v>42</v>
      </c>
      <c r="C45" s="372" t="s">
        <v>115</v>
      </c>
      <c r="D45" s="372" t="s">
        <v>72</v>
      </c>
      <c r="E45" s="373">
        <v>45664</v>
      </c>
      <c r="F45" s="372" t="s">
        <v>106</v>
      </c>
      <c r="G45" s="372">
        <v>13</v>
      </c>
      <c r="H45" s="375" t="s">
        <v>22</v>
      </c>
      <c r="I45" s="372" t="s">
        <v>28</v>
      </c>
      <c r="J45" s="21" t="s">
        <v>29</v>
      </c>
      <c r="K45" s="21"/>
      <c r="L45" s="21"/>
      <c r="M45" s="22" t="s">
        <v>30</v>
      </c>
      <c r="N45" s="23">
        <v>45747</v>
      </c>
      <c r="O45" s="21"/>
      <c r="P45" s="22" t="s">
        <v>30</v>
      </c>
      <c r="Q45" s="23">
        <v>45747</v>
      </c>
      <c r="R45" s="81" t="s">
        <v>37</v>
      </c>
      <c r="S45" s="22" t="s">
        <v>32</v>
      </c>
      <c r="T45" s="358"/>
      <c r="U45" s="22" t="s">
        <v>37</v>
      </c>
      <c r="V45" s="23">
        <v>45747</v>
      </c>
      <c r="W45" s="360" t="s">
        <v>30</v>
      </c>
      <c r="Y45"/>
      <c r="Z45"/>
      <c r="AA45"/>
    </row>
    <row r="46" spans="1:27" ht="15.75" customHeight="1">
      <c r="A46" s="358" t="s">
        <v>24</v>
      </c>
      <c r="B46" s="369">
        <v>43</v>
      </c>
      <c r="C46" s="372" t="s">
        <v>116</v>
      </c>
      <c r="D46" s="372" t="s">
        <v>34</v>
      </c>
      <c r="E46" s="373">
        <v>45664</v>
      </c>
      <c r="F46" s="372" t="s">
        <v>117</v>
      </c>
      <c r="G46" s="372">
        <v>3</v>
      </c>
      <c r="H46" s="375" t="s">
        <v>22</v>
      </c>
      <c r="I46" s="372" t="s">
        <v>28</v>
      </c>
      <c r="J46" s="21" t="s">
        <v>29</v>
      </c>
      <c r="K46" s="21"/>
      <c r="L46" s="21"/>
      <c r="M46" s="22" t="s">
        <v>30</v>
      </c>
      <c r="N46" s="23">
        <v>45712</v>
      </c>
      <c r="O46" s="21" t="s">
        <v>66</v>
      </c>
      <c r="P46" s="22" t="s">
        <v>30</v>
      </c>
      <c r="Q46" s="23">
        <v>45712</v>
      </c>
      <c r="R46" s="81" t="s">
        <v>22</v>
      </c>
      <c r="S46" s="22" t="s">
        <v>32</v>
      </c>
      <c r="T46" s="358">
        <v>15</v>
      </c>
      <c r="U46" s="24" t="s">
        <v>22</v>
      </c>
      <c r="V46" s="23">
        <v>45712</v>
      </c>
      <c r="W46" s="82" t="s">
        <v>30</v>
      </c>
      <c r="Y46"/>
      <c r="Z46"/>
      <c r="AA46"/>
    </row>
    <row r="47" spans="1:27" ht="15.75" customHeight="1">
      <c r="A47" s="358" t="s">
        <v>24</v>
      </c>
      <c r="B47" s="369">
        <v>44</v>
      </c>
      <c r="C47" s="372" t="s">
        <v>118</v>
      </c>
      <c r="D47" s="372" t="s">
        <v>64</v>
      </c>
      <c r="E47" s="373">
        <v>45664</v>
      </c>
      <c r="F47" s="372" t="s">
        <v>117</v>
      </c>
      <c r="G47" s="372">
        <v>6</v>
      </c>
      <c r="H47" s="375" t="s">
        <v>22</v>
      </c>
      <c r="I47" s="372" t="s">
        <v>28</v>
      </c>
      <c r="J47" s="21" t="s">
        <v>29</v>
      </c>
      <c r="K47" s="21"/>
      <c r="L47" s="21"/>
      <c r="M47" s="22" t="s">
        <v>30</v>
      </c>
      <c r="N47" s="23">
        <v>45712</v>
      </c>
      <c r="O47" s="21"/>
      <c r="P47" s="22" t="s">
        <v>30</v>
      </c>
      <c r="Q47" s="23">
        <v>45712</v>
      </c>
      <c r="R47" s="81" t="s">
        <v>22</v>
      </c>
      <c r="S47" s="22" t="s">
        <v>32</v>
      </c>
      <c r="T47" s="358">
        <v>8</v>
      </c>
      <c r="U47" s="24" t="s">
        <v>22</v>
      </c>
      <c r="V47" s="23">
        <v>45712</v>
      </c>
      <c r="W47" s="82" t="s">
        <v>30</v>
      </c>
      <c r="Y47"/>
      <c r="Z47"/>
      <c r="AA47"/>
    </row>
    <row r="48" spans="1:27" ht="15.75" customHeight="1">
      <c r="A48" s="358" t="s">
        <v>24</v>
      </c>
      <c r="B48" s="369">
        <v>45</v>
      </c>
      <c r="C48" s="372" t="s">
        <v>119</v>
      </c>
      <c r="D48" s="372" t="s">
        <v>50</v>
      </c>
      <c r="E48" s="373">
        <v>45664</v>
      </c>
      <c r="F48" s="372" t="s">
        <v>117</v>
      </c>
      <c r="G48" s="372">
        <v>6</v>
      </c>
      <c r="H48" s="375" t="s">
        <v>22</v>
      </c>
      <c r="I48" s="372" t="s">
        <v>28</v>
      </c>
      <c r="J48" s="21" t="s">
        <v>29</v>
      </c>
      <c r="K48" s="21"/>
      <c r="L48" s="21"/>
      <c r="M48" s="22" t="s">
        <v>30</v>
      </c>
      <c r="N48" s="23">
        <v>45712</v>
      </c>
      <c r="O48" s="21"/>
      <c r="P48" s="22" t="s">
        <v>30</v>
      </c>
      <c r="Q48" s="23">
        <v>45712</v>
      </c>
      <c r="R48" s="81" t="s">
        <v>22</v>
      </c>
      <c r="S48" s="22" t="s">
        <v>32</v>
      </c>
      <c r="T48" s="22">
        <v>6</v>
      </c>
      <c r="U48" s="24" t="s">
        <v>22</v>
      </c>
      <c r="V48" s="23">
        <v>45712</v>
      </c>
      <c r="W48" s="82" t="s">
        <v>30</v>
      </c>
      <c r="Y48"/>
      <c r="Z48"/>
      <c r="AA48"/>
    </row>
    <row r="49" spans="1:27" ht="15.75" customHeight="1">
      <c r="A49" s="358" t="s">
        <v>24</v>
      </c>
      <c r="B49" s="369">
        <v>46</v>
      </c>
      <c r="C49" s="372" t="s">
        <v>120</v>
      </c>
      <c r="D49" s="372" t="s">
        <v>34</v>
      </c>
      <c r="E49" s="373">
        <v>45665</v>
      </c>
      <c r="F49" s="372" t="s">
        <v>106</v>
      </c>
      <c r="G49" s="372">
        <v>15</v>
      </c>
      <c r="H49" s="375" t="s">
        <v>22</v>
      </c>
      <c r="I49" s="372" t="s">
        <v>28</v>
      </c>
      <c r="J49" s="21" t="s">
        <v>29</v>
      </c>
      <c r="K49" s="21"/>
      <c r="L49" s="21"/>
      <c r="M49" s="22" t="s">
        <v>30</v>
      </c>
      <c r="N49" s="23">
        <v>45747</v>
      </c>
      <c r="O49" s="21" t="s">
        <v>31</v>
      </c>
      <c r="P49" s="22" t="s">
        <v>30</v>
      </c>
      <c r="Q49" s="23">
        <v>45747</v>
      </c>
      <c r="R49" s="81" t="s">
        <v>37</v>
      </c>
      <c r="S49" s="22" t="s">
        <v>32</v>
      </c>
      <c r="T49" s="22">
        <v>15</v>
      </c>
      <c r="U49" s="22" t="s">
        <v>37</v>
      </c>
      <c r="V49" s="23">
        <v>45747</v>
      </c>
      <c r="W49" s="360" t="s">
        <v>30</v>
      </c>
      <c r="Y49"/>
      <c r="Z49"/>
      <c r="AA49"/>
    </row>
    <row r="50" spans="1:27" ht="15.75" customHeight="1">
      <c r="A50" s="358" t="s">
        <v>24</v>
      </c>
      <c r="B50" s="369">
        <v>47</v>
      </c>
      <c r="C50" s="372" t="s">
        <v>121</v>
      </c>
      <c r="D50" s="372" t="s">
        <v>72</v>
      </c>
      <c r="E50" s="373">
        <v>45665</v>
      </c>
      <c r="F50" s="372" t="s">
        <v>106</v>
      </c>
      <c r="G50" s="372">
        <v>15</v>
      </c>
      <c r="H50" s="375" t="s">
        <v>22</v>
      </c>
      <c r="I50" s="372" t="s">
        <v>28</v>
      </c>
      <c r="J50" s="21" t="s">
        <v>29</v>
      </c>
      <c r="K50" s="21"/>
      <c r="L50" s="21"/>
      <c r="M50" s="22" t="s">
        <v>30</v>
      </c>
      <c r="N50" s="23">
        <v>45747</v>
      </c>
      <c r="O50" s="21" t="s">
        <v>31</v>
      </c>
      <c r="P50" s="22" t="s">
        <v>30</v>
      </c>
      <c r="Q50" s="23">
        <v>45747</v>
      </c>
      <c r="R50" s="81" t="s">
        <v>37</v>
      </c>
      <c r="S50" s="22" t="s">
        <v>32</v>
      </c>
      <c r="T50" s="22"/>
      <c r="U50" s="22" t="s">
        <v>37</v>
      </c>
      <c r="V50" s="23">
        <v>45747</v>
      </c>
      <c r="W50" s="360" t="s">
        <v>30</v>
      </c>
      <c r="Y50"/>
      <c r="Z50"/>
      <c r="AA50"/>
    </row>
    <row r="51" spans="1:27" ht="15.75" customHeight="1">
      <c r="A51" s="358" t="s">
        <v>24</v>
      </c>
      <c r="B51" s="369">
        <v>48</v>
      </c>
      <c r="C51" s="372" t="s">
        <v>122</v>
      </c>
      <c r="D51" s="372" t="s">
        <v>123</v>
      </c>
      <c r="E51" s="373">
        <v>45667</v>
      </c>
      <c r="F51" s="372" t="s">
        <v>106</v>
      </c>
      <c r="G51" s="372">
        <v>8</v>
      </c>
      <c r="H51" s="375" t="s">
        <v>22</v>
      </c>
      <c r="I51" s="372" t="s">
        <v>28</v>
      </c>
      <c r="J51" s="21" t="s">
        <v>29</v>
      </c>
      <c r="K51" s="21"/>
      <c r="L51" s="21"/>
      <c r="M51" s="22" t="s">
        <v>30</v>
      </c>
      <c r="N51" s="23">
        <v>45747</v>
      </c>
      <c r="O51" s="21"/>
      <c r="P51" s="22" t="s">
        <v>30</v>
      </c>
      <c r="Q51" s="23">
        <v>45747</v>
      </c>
      <c r="R51" s="81" t="s">
        <v>37</v>
      </c>
      <c r="S51" s="22" t="s">
        <v>32</v>
      </c>
      <c r="T51" s="22">
        <v>8</v>
      </c>
      <c r="U51" s="22" t="s">
        <v>37</v>
      </c>
      <c r="V51" s="23">
        <v>45747</v>
      </c>
      <c r="W51" s="360" t="s">
        <v>30</v>
      </c>
      <c r="Y51"/>
      <c r="Z51"/>
      <c r="AA51"/>
    </row>
    <row r="52" spans="1:27" ht="15.75" customHeight="1">
      <c r="A52" s="358" t="s">
        <v>24</v>
      </c>
      <c r="B52" s="369">
        <v>49</v>
      </c>
      <c r="C52" s="372" t="s">
        <v>124</v>
      </c>
      <c r="D52" s="372" t="s">
        <v>34</v>
      </c>
      <c r="E52" s="373">
        <v>45668</v>
      </c>
      <c r="F52" s="372" t="s">
        <v>89</v>
      </c>
      <c r="G52" s="372">
        <v>12</v>
      </c>
      <c r="H52" s="375" t="s">
        <v>22</v>
      </c>
      <c r="I52" s="372" t="s">
        <v>28</v>
      </c>
      <c r="J52" s="21" t="s">
        <v>29</v>
      </c>
      <c r="K52" s="21"/>
      <c r="L52" s="21"/>
      <c r="M52" s="22" t="s">
        <v>30</v>
      </c>
      <c r="N52" s="23">
        <v>45712</v>
      </c>
      <c r="O52" s="21"/>
      <c r="P52" s="22" t="s">
        <v>30</v>
      </c>
      <c r="Q52" s="23">
        <v>45712</v>
      </c>
      <c r="R52" s="81" t="s">
        <v>37</v>
      </c>
      <c r="S52" s="22" t="s">
        <v>32</v>
      </c>
      <c r="T52" s="22">
        <v>12</v>
      </c>
      <c r="U52" s="22" t="s">
        <v>37</v>
      </c>
      <c r="V52" s="23">
        <v>45712</v>
      </c>
      <c r="W52" s="360" t="s">
        <v>30</v>
      </c>
      <c r="Y52" s="412"/>
      <c r="Z52" s="412"/>
      <c r="AA52" s="412"/>
    </row>
    <row r="53" spans="1:27" ht="15.75" customHeight="1">
      <c r="A53" s="358" t="s">
        <v>24</v>
      </c>
      <c r="B53" s="369">
        <v>50</v>
      </c>
      <c r="C53" s="372" t="s">
        <v>125</v>
      </c>
      <c r="D53" s="372" t="s">
        <v>34</v>
      </c>
      <c r="E53" s="373">
        <v>45668</v>
      </c>
      <c r="F53" s="372" t="s">
        <v>126</v>
      </c>
      <c r="G53" s="372">
        <v>11</v>
      </c>
      <c r="H53" s="375" t="s">
        <v>22</v>
      </c>
      <c r="I53" s="372" t="s">
        <v>28</v>
      </c>
      <c r="J53" s="21" t="s">
        <v>29</v>
      </c>
      <c r="K53" s="21"/>
      <c r="L53" s="21"/>
      <c r="M53" s="22" t="s">
        <v>30</v>
      </c>
      <c r="N53" s="23">
        <v>45747</v>
      </c>
      <c r="O53" s="21" t="s">
        <v>66</v>
      </c>
      <c r="P53" s="22" t="s">
        <v>30</v>
      </c>
      <c r="Q53" s="23">
        <v>45747</v>
      </c>
      <c r="R53" s="81" t="s">
        <v>127</v>
      </c>
      <c r="S53" s="22" t="s">
        <v>32</v>
      </c>
      <c r="T53" s="22">
        <v>11</v>
      </c>
      <c r="U53" s="24" t="s">
        <v>127</v>
      </c>
      <c r="V53" s="23">
        <v>45747</v>
      </c>
      <c r="W53" s="360" t="s">
        <v>30</v>
      </c>
      <c r="Y53"/>
      <c r="Z53"/>
      <c r="AA53"/>
    </row>
    <row r="54" spans="1:27" ht="15.75" customHeight="1">
      <c r="A54" s="358" t="s">
        <v>24</v>
      </c>
      <c r="B54" s="369">
        <v>51</v>
      </c>
      <c r="C54" s="372" t="s">
        <v>128</v>
      </c>
      <c r="D54" s="372" t="s">
        <v>129</v>
      </c>
      <c r="E54" s="373">
        <v>45668</v>
      </c>
      <c r="F54" s="372" t="s">
        <v>126</v>
      </c>
      <c r="G54" s="372">
        <v>11</v>
      </c>
      <c r="H54" s="375" t="s">
        <v>22</v>
      </c>
      <c r="I54" s="372" t="s">
        <v>28</v>
      </c>
      <c r="J54" s="21" t="s">
        <v>29</v>
      </c>
      <c r="K54" s="21"/>
      <c r="L54" s="21"/>
      <c r="M54" s="22" t="s">
        <v>30</v>
      </c>
      <c r="N54" s="23">
        <v>45747</v>
      </c>
      <c r="O54" s="21"/>
      <c r="P54" s="22" t="s">
        <v>30</v>
      </c>
      <c r="Q54" s="23">
        <v>45747</v>
      </c>
      <c r="R54" s="81" t="s">
        <v>127</v>
      </c>
      <c r="S54" s="22" t="s">
        <v>32</v>
      </c>
      <c r="T54" s="22">
        <v>11</v>
      </c>
      <c r="U54" s="24" t="s">
        <v>127</v>
      </c>
      <c r="V54" s="23">
        <v>45747</v>
      </c>
      <c r="W54" s="360" t="s">
        <v>30</v>
      </c>
      <c r="Y54"/>
      <c r="Z54"/>
      <c r="AA54"/>
    </row>
    <row r="55" spans="1:27" ht="15.75" customHeight="1">
      <c r="A55" s="358" t="s">
        <v>24</v>
      </c>
      <c r="B55" s="369">
        <v>52</v>
      </c>
      <c r="C55" s="372" t="s">
        <v>130</v>
      </c>
      <c r="D55" s="372" t="s">
        <v>34</v>
      </c>
      <c r="E55" s="373">
        <v>45668</v>
      </c>
      <c r="F55" s="372" t="s">
        <v>131</v>
      </c>
      <c r="G55" s="372">
        <v>4</v>
      </c>
      <c r="H55" s="372" t="s">
        <v>21</v>
      </c>
      <c r="I55" s="372" t="s">
        <v>36</v>
      </c>
      <c r="J55" s="21" t="s">
        <v>29</v>
      </c>
      <c r="K55" s="21"/>
      <c r="L55" s="21"/>
      <c r="M55" s="22" t="s">
        <v>30</v>
      </c>
      <c r="N55" s="23">
        <v>45712</v>
      </c>
      <c r="O55" s="21" t="s">
        <v>66</v>
      </c>
      <c r="P55" s="22" t="s">
        <v>30</v>
      </c>
      <c r="Q55" s="23">
        <v>45712</v>
      </c>
      <c r="R55" s="81" t="s">
        <v>21</v>
      </c>
      <c r="S55" s="22" t="s">
        <v>32</v>
      </c>
      <c r="T55" s="22">
        <v>4</v>
      </c>
      <c r="U55" s="24" t="s">
        <v>21</v>
      </c>
      <c r="V55" s="23">
        <v>45712</v>
      </c>
      <c r="W55" s="82" t="s">
        <v>30</v>
      </c>
      <c r="Y55"/>
      <c r="Z55"/>
      <c r="AA55"/>
    </row>
    <row r="56" spans="1:27" ht="15.75" customHeight="1">
      <c r="A56" s="358" t="s">
        <v>24</v>
      </c>
      <c r="B56" s="369">
        <v>53</v>
      </c>
      <c r="C56" s="372" t="s">
        <v>132</v>
      </c>
      <c r="D56" s="372" t="s">
        <v>43</v>
      </c>
      <c r="E56" s="373">
        <v>45668</v>
      </c>
      <c r="F56" s="372" t="s">
        <v>131</v>
      </c>
      <c r="G56" s="372">
        <v>4</v>
      </c>
      <c r="H56" s="372" t="s">
        <v>21</v>
      </c>
      <c r="I56" s="372" t="s">
        <v>36</v>
      </c>
      <c r="J56" s="21" t="s">
        <v>29</v>
      </c>
      <c r="K56" s="21"/>
      <c r="L56" s="21"/>
      <c r="M56" s="22" t="s">
        <v>30</v>
      </c>
      <c r="N56" s="23">
        <v>45712</v>
      </c>
      <c r="O56" s="21"/>
      <c r="P56" s="22" t="s">
        <v>30</v>
      </c>
      <c r="Q56" s="23">
        <v>45712</v>
      </c>
      <c r="R56" s="81" t="s">
        <v>21</v>
      </c>
      <c r="S56" s="22" t="s">
        <v>32</v>
      </c>
      <c r="T56" s="22">
        <v>4</v>
      </c>
      <c r="U56" s="24" t="s">
        <v>21</v>
      </c>
      <c r="V56" s="23">
        <v>45712</v>
      </c>
      <c r="W56" s="82" t="s">
        <v>30</v>
      </c>
      <c r="Y56"/>
      <c r="Z56"/>
      <c r="AA56"/>
    </row>
    <row r="57" spans="1:27" ht="15.75" customHeight="1">
      <c r="A57" s="358" t="s">
        <v>24</v>
      </c>
      <c r="B57" s="369">
        <v>54</v>
      </c>
      <c r="C57" s="372" t="s">
        <v>133</v>
      </c>
      <c r="D57" s="372" t="s">
        <v>50</v>
      </c>
      <c r="E57" s="373">
        <v>45668</v>
      </c>
      <c r="F57" s="372" t="s">
        <v>131</v>
      </c>
      <c r="G57" s="372">
        <v>4</v>
      </c>
      <c r="H57" s="372" t="s">
        <v>21</v>
      </c>
      <c r="I57" s="372" t="s">
        <v>36</v>
      </c>
      <c r="J57" s="21" t="s">
        <v>29</v>
      </c>
      <c r="K57" s="21"/>
      <c r="L57" s="21"/>
      <c r="M57" s="22" t="s">
        <v>30</v>
      </c>
      <c r="N57" s="23">
        <v>45712</v>
      </c>
      <c r="O57" s="21"/>
      <c r="P57" s="22" t="s">
        <v>30</v>
      </c>
      <c r="Q57" s="23">
        <v>45712</v>
      </c>
      <c r="R57" s="81" t="s">
        <v>21</v>
      </c>
      <c r="S57" s="22" t="s">
        <v>32</v>
      </c>
      <c r="T57" s="22">
        <v>4</v>
      </c>
      <c r="U57" s="24" t="s">
        <v>21</v>
      </c>
      <c r="V57" s="23">
        <v>45712</v>
      </c>
      <c r="W57" s="82" t="s">
        <v>30</v>
      </c>
      <c r="Y57"/>
      <c r="Z57"/>
      <c r="AA57"/>
    </row>
    <row r="58" spans="1:27" ht="15.75" customHeight="1">
      <c r="A58" s="358" t="s">
        <v>24</v>
      </c>
      <c r="B58" s="369">
        <v>55</v>
      </c>
      <c r="C58" s="372" t="s">
        <v>134</v>
      </c>
      <c r="D58" s="372" t="s">
        <v>26</v>
      </c>
      <c r="E58" s="373">
        <v>45668</v>
      </c>
      <c r="F58" s="372" t="s">
        <v>131</v>
      </c>
      <c r="G58" s="372">
        <v>4</v>
      </c>
      <c r="H58" s="372" t="s">
        <v>21</v>
      </c>
      <c r="I58" s="372" t="s">
        <v>36</v>
      </c>
      <c r="J58" s="21" t="s">
        <v>29</v>
      </c>
      <c r="K58" s="21"/>
      <c r="L58" s="21"/>
      <c r="M58" s="22" t="s">
        <v>30</v>
      </c>
      <c r="N58" s="23">
        <v>45712</v>
      </c>
      <c r="O58" s="21"/>
      <c r="P58" s="22" t="s">
        <v>30</v>
      </c>
      <c r="Q58" s="23">
        <v>45712</v>
      </c>
      <c r="R58" s="81" t="s">
        <v>21</v>
      </c>
      <c r="S58" s="22" t="s">
        <v>32</v>
      </c>
      <c r="T58" s="22">
        <v>4</v>
      </c>
      <c r="U58" s="24" t="s">
        <v>21</v>
      </c>
      <c r="V58" s="23">
        <v>45712</v>
      </c>
      <c r="W58" s="82" t="s">
        <v>30</v>
      </c>
      <c r="Y58"/>
      <c r="Z58"/>
      <c r="AA58"/>
    </row>
    <row r="59" spans="1:27" ht="15.75" customHeight="1">
      <c r="A59" s="358" t="s">
        <v>24</v>
      </c>
      <c r="B59" s="369">
        <v>56</v>
      </c>
      <c r="C59" s="376" t="s">
        <v>135</v>
      </c>
      <c r="D59" s="376" t="s">
        <v>34</v>
      </c>
      <c r="E59" s="373">
        <v>45668</v>
      </c>
      <c r="F59" s="372" t="s">
        <v>136</v>
      </c>
      <c r="G59" s="372">
        <v>16</v>
      </c>
      <c r="H59" s="372" t="s">
        <v>46</v>
      </c>
      <c r="I59" s="372" t="s">
        <v>47</v>
      </c>
      <c r="J59" s="21" t="s">
        <v>29</v>
      </c>
      <c r="K59" s="21"/>
      <c r="L59" s="21"/>
      <c r="M59" s="22" t="s">
        <v>30</v>
      </c>
      <c r="N59" s="23">
        <v>45728</v>
      </c>
      <c r="O59" s="21" t="s">
        <v>31</v>
      </c>
      <c r="P59" s="22" t="s">
        <v>30</v>
      </c>
      <c r="Q59" s="23">
        <v>45728</v>
      </c>
      <c r="R59" s="81" t="s">
        <v>47</v>
      </c>
      <c r="S59" s="22" t="s">
        <v>32</v>
      </c>
      <c r="T59" s="22">
        <v>17</v>
      </c>
      <c r="U59" s="22" t="s">
        <v>47</v>
      </c>
      <c r="V59" s="23">
        <v>45728</v>
      </c>
      <c r="W59" s="360" t="s">
        <v>30</v>
      </c>
      <c r="Y59"/>
      <c r="Z59"/>
      <c r="AA59"/>
    </row>
    <row r="60" spans="1:27">
      <c r="A60" s="358" t="s">
        <v>137</v>
      </c>
      <c r="B60" s="369">
        <v>57</v>
      </c>
      <c r="C60" s="372" t="s">
        <v>138</v>
      </c>
      <c r="D60" s="358" t="s">
        <v>139</v>
      </c>
      <c r="E60" s="377">
        <v>45663</v>
      </c>
      <c r="F60" s="372" t="s">
        <v>140</v>
      </c>
      <c r="G60" s="372">
        <v>4</v>
      </c>
      <c r="H60" s="372" t="s">
        <v>141</v>
      </c>
      <c r="I60" s="372" t="s">
        <v>79</v>
      </c>
      <c r="J60" s="21" t="s">
        <v>29</v>
      </c>
      <c r="K60" s="21"/>
      <c r="L60" s="21"/>
      <c r="M60" s="22" t="s">
        <v>30</v>
      </c>
      <c r="N60" s="23">
        <v>45747</v>
      </c>
      <c r="O60" s="21"/>
      <c r="P60" s="22" t="s">
        <v>30</v>
      </c>
      <c r="Q60" s="23">
        <v>45747</v>
      </c>
      <c r="R60" s="24" t="s">
        <v>67</v>
      </c>
      <c r="S60" s="22" t="s">
        <v>32</v>
      </c>
      <c r="T60" s="358">
        <v>4</v>
      </c>
      <c r="U60" s="24" t="s">
        <v>48</v>
      </c>
      <c r="V60" s="23">
        <v>45747</v>
      </c>
      <c r="W60" s="360" t="s">
        <v>113</v>
      </c>
      <c r="Y60"/>
      <c r="Z60"/>
      <c r="AA60"/>
    </row>
    <row r="61" spans="1:27">
      <c r="A61" s="358" t="s">
        <v>137</v>
      </c>
      <c r="B61" s="369">
        <v>58</v>
      </c>
      <c r="C61" s="372" t="s">
        <v>142</v>
      </c>
      <c r="D61" s="358" t="s">
        <v>143</v>
      </c>
      <c r="E61" s="377">
        <v>45663</v>
      </c>
      <c r="F61" s="372" t="s">
        <v>140</v>
      </c>
      <c r="G61" s="372">
        <v>3</v>
      </c>
      <c r="H61" s="372" t="s">
        <v>21</v>
      </c>
      <c r="I61" s="372" t="s">
        <v>36</v>
      </c>
      <c r="J61" s="21" t="s">
        <v>29</v>
      </c>
      <c r="K61" s="21"/>
      <c r="L61" s="21"/>
      <c r="M61" s="22" t="s">
        <v>30</v>
      </c>
      <c r="N61" s="23">
        <v>45747</v>
      </c>
      <c r="O61" s="21"/>
      <c r="P61" s="22" t="s">
        <v>30</v>
      </c>
      <c r="Q61" s="23">
        <v>45747</v>
      </c>
      <c r="R61" s="24" t="s">
        <v>67</v>
      </c>
      <c r="S61" s="22" t="s">
        <v>32</v>
      </c>
      <c r="T61" s="358">
        <v>3</v>
      </c>
      <c r="U61" s="24" t="s">
        <v>48</v>
      </c>
      <c r="V61" s="23">
        <v>45747</v>
      </c>
      <c r="W61" s="360" t="s">
        <v>113</v>
      </c>
      <c r="Y61"/>
      <c r="Z61"/>
      <c r="AA61"/>
    </row>
    <row r="62" spans="1:27">
      <c r="A62" s="358" t="s">
        <v>137</v>
      </c>
      <c r="B62" s="369">
        <v>59</v>
      </c>
      <c r="C62" s="372" t="s">
        <v>144</v>
      </c>
      <c r="D62" s="358" t="s">
        <v>145</v>
      </c>
      <c r="E62" s="377">
        <v>45663</v>
      </c>
      <c r="F62" s="372" t="s">
        <v>140</v>
      </c>
      <c r="G62" s="372">
        <v>4</v>
      </c>
      <c r="H62" s="372" t="s">
        <v>141</v>
      </c>
      <c r="I62" s="372" t="s">
        <v>79</v>
      </c>
      <c r="J62" s="21" t="s">
        <v>29</v>
      </c>
      <c r="K62" s="21"/>
      <c r="L62" s="21"/>
      <c r="M62" s="22" t="s">
        <v>30</v>
      </c>
      <c r="N62" s="23">
        <v>45747</v>
      </c>
      <c r="O62" s="21"/>
      <c r="P62" s="22" t="s">
        <v>30</v>
      </c>
      <c r="Q62" s="23">
        <v>45747</v>
      </c>
      <c r="R62" s="24" t="s">
        <v>67</v>
      </c>
      <c r="S62" s="22" t="s">
        <v>32</v>
      </c>
      <c r="T62" s="358">
        <v>4</v>
      </c>
      <c r="U62" s="24" t="s">
        <v>48</v>
      </c>
      <c r="V62" s="23">
        <v>45747</v>
      </c>
      <c r="W62" s="360" t="s">
        <v>113</v>
      </c>
      <c r="Y62"/>
      <c r="Z62"/>
      <c r="AA62"/>
    </row>
    <row r="63" spans="1:27">
      <c r="A63" s="358" t="s">
        <v>137</v>
      </c>
      <c r="B63" s="369">
        <v>60</v>
      </c>
      <c r="C63" s="372" t="s">
        <v>146</v>
      </c>
      <c r="D63" s="358" t="s">
        <v>147</v>
      </c>
      <c r="E63" s="377">
        <v>45663</v>
      </c>
      <c r="F63" s="372" t="s">
        <v>140</v>
      </c>
      <c r="G63" s="372">
        <v>2</v>
      </c>
      <c r="H63" s="372" t="s">
        <v>21</v>
      </c>
      <c r="I63" s="372" t="s">
        <v>36</v>
      </c>
      <c r="J63" s="21" t="s">
        <v>29</v>
      </c>
      <c r="K63" s="21"/>
      <c r="L63" s="21"/>
      <c r="M63" s="22" t="s">
        <v>30</v>
      </c>
      <c r="N63" s="23">
        <v>45747</v>
      </c>
      <c r="O63" s="21"/>
      <c r="P63" s="22" t="s">
        <v>30</v>
      </c>
      <c r="Q63" s="23">
        <v>45747</v>
      </c>
      <c r="R63" s="24" t="s">
        <v>67</v>
      </c>
      <c r="S63" s="22" t="s">
        <v>32</v>
      </c>
      <c r="T63" s="358">
        <v>2</v>
      </c>
      <c r="U63" s="24" t="s">
        <v>48</v>
      </c>
      <c r="V63" s="23">
        <v>45747</v>
      </c>
      <c r="W63" s="360" t="s">
        <v>113</v>
      </c>
      <c r="Y63"/>
      <c r="Z63"/>
      <c r="AA63"/>
    </row>
    <row r="64" spans="1:27">
      <c r="A64" s="358" t="s">
        <v>137</v>
      </c>
      <c r="B64" s="369">
        <v>61</v>
      </c>
      <c r="C64" s="372" t="s">
        <v>148</v>
      </c>
      <c r="D64" s="358" t="s">
        <v>149</v>
      </c>
      <c r="E64" s="377">
        <v>45663</v>
      </c>
      <c r="F64" s="372" t="s">
        <v>140</v>
      </c>
      <c r="G64" s="372">
        <v>2</v>
      </c>
      <c r="H64" s="372" t="s">
        <v>21</v>
      </c>
      <c r="I64" s="372" t="s">
        <v>36</v>
      </c>
      <c r="J64" s="21" t="s">
        <v>29</v>
      </c>
      <c r="K64" s="21"/>
      <c r="L64" s="21"/>
      <c r="M64" s="22" t="s">
        <v>30</v>
      </c>
      <c r="N64" s="23">
        <v>45747</v>
      </c>
      <c r="O64" s="21"/>
      <c r="P64" s="22" t="s">
        <v>30</v>
      </c>
      <c r="Q64" s="23">
        <v>45747</v>
      </c>
      <c r="R64" s="24" t="s">
        <v>67</v>
      </c>
      <c r="S64" s="22" t="s">
        <v>32</v>
      </c>
      <c r="T64" s="358">
        <v>2</v>
      </c>
      <c r="U64" s="24" t="s">
        <v>48</v>
      </c>
      <c r="V64" s="23">
        <v>45747</v>
      </c>
      <c r="W64" s="360" t="s">
        <v>113</v>
      </c>
      <c r="Y64"/>
      <c r="Z64"/>
      <c r="AA64"/>
    </row>
    <row r="65" spans="1:27">
      <c r="A65" s="358" t="s">
        <v>137</v>
      </c>
      <c r="B65" s="369">
        <v>62</v>
      </c>
      <c r="C65" s="372" t="s">
        <v>150</v>
      </c>
      <c r="D65" s="358" t="s">
        <v>151</v>
      </c>
      <c r="E65" s="377">
        <v>45663</v>
      </c>
      <c r="F65" s="372" t="s">
        <v>140</v>
      </c>
      <c r="G65" s="372">
        <v>8</v>
      </c>
      <c r="H65" s="372" t="s">
        <v>141</v>
      </c>
      <c r="I65" s="372" t="s">
        <v>79</v>
      </c>
      <c r="J65" s="21" t="s">
        <v>29</v>
      </c>
      <c r="K65" s="21"/>
      <c r="L65" s="21"/>
      <c r="M65" s="22" t="s">
        <v>30</v>
      </c>
      <c r="N65" s="23">
        <v>45747</v>
      </c>
      <c r="O65" s="21"/>
      <c r="P65" s="22" t="s">
        <v>30</v>
      </c>
      <c r="Q65" s="23">
        <v>45747</v>
      </c>
      <c r="R65" s="24" t="s">
        <v>67</v>
      </c>
      <c r="S65" s="22" t="s">
        <v>32</v>
      </c>
      <c r="T65" s="358">
        <v>8</v>
      </c>
      <c r="U65" s="24" t="s">
        <v>48</v>
      </c>
      <c r="V65" s="23">
        <v>45747</v>
      </c>
      <c r="W65" s="360" t="s">
        <v>113</v>
      </c>
      <c r="Y65"/>
      <c r="Z65"/>
      <c r="AA65"/>
    </row>
    <row r="66" spans="1:27">
      <c r="A66" s="358" t="s">
        <v>137</v>
      </c>
      <c r="B66" s="369">
        <v>63</v>
      </c>
      <c r="C66" s="372" t="s">
        <v>152</v>
      </c>
      <c r="D66" s="358" t="s">
        <v>153</v>
      </c>
      <c r="E66" s="377">
        <v>45663</v>
      </c>
      <c r="F66" s="372" t="s">
        <v>140</v>
      </c>
      <c r="G66" s="372">
        <v>5</v>
      </c>
      <c r="H66" s="372" t="s">
        <v>22</v>
      </c>
      <c r="I66" s="372" t="s">
        <v>28</v>
      </c>
      <c r="J66" s="21" t="s">
        <v>29</v>
      </c>
      <c r="K66" s="21"/>
      <c r="L66" s="21"/>
      <c r="M66" s="22" t="s">
        <v>30</v>
      </c>
      <c r="N66" s="23">
        <v>45747</v>
      </c>
      <c r="O66" s="21"/>
      <c r="P66" s="22" t="s">
        <v>30</v>
      </c>
      <c r="Q66" s="23">
        <v>45747</v>
      </c>
      <c r="R66" s="24" t="s">
        <v>67</v>
      </c>
      <c r="S66" s="22" t="s">
        <v>32</v>
      </c>
      <c r="T66" s="358">
        <v>5</v>
      </c>
      <c r="U66" s="24" t="s">
        <v>48</v>
      </c>
      <c r="V66" s="23">
        <v>45747</v>
      </c>
      <c r="W66" s="360" t="s">
        <v>113</v>
      </c>
      <c r="Y66" s="412"/>
      <c r="Z66" s="412"/>
      <c r="AA66" s="412"/>
    </row>
    <row r="67" spans="1:27">
      <c r="A67" s="358" t="s">
        <v>137</v>
      </c>
      <c r="B67" s="369">
        <v>64</v>
      </c>
      <c r="C67" s="372" t="s">
        <v>154</v>
      </c>
      <c r="D67" s="358" t="s">
        <v>155</v>
      </c>
      <c r="E67" s="377">
        <v>45663</v>
      </c>
      <c r="F67" s="372" t="s">
        <v>140</v>
      </c>
      <c r="G67" s="372">
        <v>1</v>
      </c>
      <c r="H67" s="372" t="s">
        <v>21</v>
      </c>
      <c r="I67" s="372" t="s">
        <v>36</v>
      </c>
      <c r="J67" s="21" t="s">
        <v>29</v>
      </c>
      <c r="K67" s="21"/>
      <c r="L67" s="21"/>
      <c r="M67" s="22" t="s">
        <v>30</v>
      </c>
      <c r="N67" s="23">
        <v>45747</v>
      </c>
      <c r="O67" s="21"/>
      <c r="P67" s="22" t="s">
        <v>30</v>
      </c>
      <c r="Q67" s="23">
        <v>45747</v>
      </c>
      <c r="R67" s="24" t="s">
        <v>67</v>
      </c>
      <c r="S67" s="22" t="s">
        <v>32</v>
      </c>
      <c r="T67" s="358">
        <v>1</v>
      </c>
      <c r="U67" s="24" t="s">
        <v>48</v>
      </c>
      <c r="V67" s="23">
        <v>45747</v>
      </c>
      <c r="W67" s="360" t="s">
        <v>113</v>
      </c>
      <c r="Y67" s="412"/>
      <c r="Z67" s="412"/>
      <c r="AA67" s="412"/>
    </row>
    <row r="68" spans="1:27">
      <c r="A68" s="358" t="s">
        <v>137</v>
      </c>
      <c r="B68" s="369">
        <v>65</v>
      </c>
      <c r="C68" s="372" t="s">
        <v>156</v>
      </c>
      <c r="D68" s="358" t="s">
        <v>157</v>
      </c>
      <c r="E68" s="377">
        <v>45663</v>
      </c>
      <c r="F68" s="372" t="s">
        <v>140</v>
      </c>
      <c r="G68" s="372">
        <v>2</v>
      </c>
      <c r="H68" s="372" t="s">
        <v>21</v>
      </c>
      <c r="I68" s="372" t="s">
        <v>36</v>
      </c>
      <c r="J68" s="21" t="s">
        <v>29</v>
      </c>
      <c r="K68" s="21"/>
      <c r="L68" s="21"/>
      <c r="M68" s="22" t="s">
        <v>30</v>
      </c>
      <c r="N68" s="23">
        <v>45747</v>
      </c>
      <c r="O68" s="21"/>
      <c r="P68" s="22" t="s">
        <v>30</v>
      </c>
      <c r="Q68" s="23">
        <v>45747</v>
      </c>
      <c r="R68" s="24" t="s">
        <v>67</v>
      </c>
      <c r="S68" s="22" t="s">
        <v>32</v>
      </c>
      <c r="T68" s="358">
        <v>2</v>
      </c>
      <c r="U68" s="24" t="s">
        <v>48</v>
      </c>
      <c r="V68" s="23">
        <v>45747</v>
      </c>
      <c r="W68" s="360" t="s">
        <v>113</v>
      </c>
      <c r="Y68" s="412"/>
      <c r="Z68" s="412"/>
      <c r="AA68" s="412"/>
    </row>
    <row r="69" spans="1:27">
      <c r="A69" s="358" t="s">
        <v>137</v>
      </c>
      <c r="B69" s="369">
        <v>66</v>
      </c>
      <c r="C69" s="372" t="s">
        <v>158</v>
      </c>
      <c r="D69" s="358" t="s">
        <v>159</v>
      </c>
      <c r="E69" s="377">
        <v>45663</v>
      </c>
      <c r="F69" s="372" t="s">
        <v>140</v>
      </c>
      <c r="G69" s="372">
        <v>5</v>
      </c>
      <c r="H69" s="372" t="s">
        <v>21</v>
      </c>
      <c r="I69" s="372" t="s">
        <v>36</v>
      </c>
      <c r="J69" s="21" t="s">
        <v>29</v>
      </c>
      <c r="K69" s="21"/>
      <c r="L69" s="21"/>
      <c r="M69" s="22" t="s">
        <v>30</v>
      </c>
      <c r="N69" s="23">
        <v>45747</v>
      </c>
      <c r="O69" s="21"/>
      <c r="P69" s="22" t="s">
        <v>30</v>
      </c>
      <c r="Q69" s="23">
        <v>45747</v>
      </c>
      <c r="R69" s="24" t="s">
        <v>67</v>
      </c>
      <c r="S69" s="22" t="s">
        <v>32</v>
      </c>
      <c r="T69" s="358">
        <v>5</v>
      </c>
      <c r="U69" s="24" t="s">
        <v>48</v>
      </c>
      <c r="V69" s="23">
        <v>45747</v>
      </c>
      <c r="W69" s="360" t="s">
        <v>113</v>
      </c>
      <c r="Y69" s="412"/>
      <c r="Z69" s="412"/>
      <c r="AA69" s="412"/>
    </row>
    <row r="70" spans="1:27" ht="15.75" customHeight="1">
      <c r="A70" s="358" t="s">
        <v>24</v>
      </c>
      <c r="B70" s="369">
        <v>67</v>
      </c>
      <c r="C70" s="378" t="s">
        <v>160</v>
      </c>
      <c r="D70" s="378" t="s">
        <v>43</v>
      </c>
      <c r="E70" s="373">
        <v>45670</v>
      </c>
      <c r="F70" s="372" t="s">
        <v>161</v>
      </c>
      <c r="G70" s="372">
        <v>9</v>
      </c>
      <c r="H70" s="372" t="s">
        <v>21</v>
      </c>
      <c r="I70" s="372" t="s">
        <v>36</v>
      </c>
      <c r="J70" s="21" t="s">
        <v>29</v>
      </c>
      <c r="K70" s="21"/>
      <c r="L70" s="21"/>
      <c r="M70" s="22" t="s">
        <v>30</v>
      </c>
      <c r="N70" s="23">
        <v>45712</v>
      </c>
      <c r="O70" s="21" t="s">
        <v>66</v>
      </c>
      <c r="P70" s="22" t="s">
        <v>30</v>
      </c>
      <c r="Q70" s="23">
        <v>45712</v>
      </c>
      <c r="R70" s="81" t="s">
        <v>21</v>
      </c>
      <c r="S70" s="22" t="s">
        <v>32</v>
      </c>
      <c r="T70" s="22">
        <v>9</v>
      </c>
      <c r="U70" s="24" t="s">
        <v>21</v>
      </c>
      <c r="V70" s="23">
        <v>45712</v>
      </c>
      <c r="W70" s="82" t="s">
        <v>30</v>
      </c>
      <c r="Y70" s="412"/>
      <c r="Z70" s="412"/>
      <c r="AA70" s="412"/>
    </row>
    <row r="71" spans="1:27" ht="15.75" customHeight="1">
      <c r="A71" s="358" t="s">
        <v>24</v>
      </c>
      <c r="B71" s="369">
        <v>68</v>
      </c>
      <c r="C71" s="372" t="s">
        <v>162</v>
      </c>
      <c r="D71" s="372" t="s">
        <v>50</v>
      </c>
      <c r="E71" s="373">
        <v>45670</v>
      </c>
      <c r="F71" s="372" t="s">
        <v>161</v>
      </c>
      <c r="G71" s="372">
        <v>9</v>
      </c>
      <c r="H71" s="372" t="s">
        <v>21</v>
      </c>
      <c r="I71" s="372" t="s">
        <v>36</v>
      </c>
      <c r="J71" s="21" t="s">
        <v>29</v>
      </c>
      <c r="K71" s="21"/>
      <c r="L71" s="21"/>
      <c r="M71" s="22" t="s">
        <v>30</v>
      </c>
      <c r="N71" s="23">
        <v>45712</v>
      </c>
      <c r="O71" s="21"/>
      <c r="P71" s="22" t="s">
        <v>30</v>
      </c>
      <c r="Q71" s="23">
        <v>45712</v>
      </c>
      <c r="R71" s="81" t="s">
        <v>21</v>
      </c>
      <c r="S71" s="22" t="s">
        <v>32</v>
      </c>
      <c r="T71" s="22">
        <v>9</v>
      </c>
      <c r="U71" s="24" t="s">
        <v>21</v>
      </c>
      <c r="V71" s="23">
        <v>45712</v>
      </c>
      <c r="W71" s="82" t="s">
        <v>30</v>
      </c>
      <c r="Y71" s="412"/>
      <c r="Z71" s="412"/>
      <c r="AA71" s="412"/>
    </row>
    <row r="72" spans="1:27" ht="15.75" customHeight="1">
      <c r="A72" s="358" t="s">
        <v>24</v>
      </c>
      <c r="B72" s="369">
        <v>69</v>
      </c>
      <c r="C72" s="372" t="s">
        <v>163</v>
      </c>
      <c r="D72" s="372" t="s">
        <v>64</v>
      </c>
      <c r="E72" s="373">
        <v>45670</v>
      </c>
      <c r="F72" s="372" t="s">
        <v>161</v>
      </c>
      <c r="G72" s="372">
        <v>9</v>
      </c>
      <c r="H72" s="372" t="s">
        <v>21</v>
      </c>
      <c r="I72" s="372" t="s">
        <v>36</v>
      </c>
      <c r="J72" s="21" t="s">
        <v>29</v>
      </c>
      <c r="K72" s="21"/>
      <c r="L72" s="21"/>
      <c r="M72" s="22" t="s">
        <v>30</v>
      </c>
      <c r="N72" s="23">
        <v>45712</v>
      </c>
      <c r="O72" s="21"/>
      <c r="P72" s="22" t="s">
        <v>30</v>
      </c>
      <c r="Q72" s="23">
        <v>45712</v>
      </c>
      <c r="R72" s="81" t="s">
        <v>21</v>
      </c>
      <c r="S72" s="22" t="s">
        <v>32</v>
      </c>
      <c r="T72" s="22">
        <v>9</v>
      </c>
      <c r="U72" s="24" t="s">
        <v>21</v>
      </c>
      <c r="V72" s="23">
        <v>45712</v>
      </c>
      <c r="W72" s="82" t="s">
        <v>30</v>
      </c>
      <c r="Y72" s="412"/>
      <c r="Z72" s="412"/>
      <c r="AA72" s="412"/>
    </row>
    <row r="73" spans="1:27" ht="15.75" customHeight="1">
      <c r="A73" s="358" t="s">
        <v>24</v>
      </c>
      <c r="B73" s="369">
        <v>70</v>
      </c>
      <c r="C73" s="372" t="s">
        <v>164</v>
      </c>
      <c r="D73" s="372" t="s">
        <v>34</v>
      </c>
      <c r="E73" s="373">
        <v>45671</v>
      </c>
      <c r="F73" s="372" t="s">
        <v>165</v>
      </c>
      <c r="G73" s="372">
        <v>12</v>
      </c>
      <c r="H73" s="372" t="s">
        <v>46</v>
      </c>
      <c r="I73" s="372" t="s">
        <v>47</v>
      </c>
      <c r="J73" s="21" t="s">
        <v>29</v>
      </c>
      <c r="K73" s="21"/>
      <c r="L73" s="21"/>
      <c r="M73" s="22" t="s">
        <v>30</v>
      </c>
      <c r="N73" s="23">
        <v>45746</v>
      </c>
      <c r="O73" s="21"/>
      <c r="P73" s="22" t="s">
        <v>30</v>
      </c>
      <c r="Q73" s="23">
        <v>45746</v>
      </c>
      <c r="R73" s="81" t="s">
        <v>46</v>
      </c>
      <c r="S73" s="22" t="s">
        <v>32</v>
      </c>
      <c r="T73" s="22">
        <v>11</v>
      </c>
      <c r="U73" s="22" t="s">
        <v>46</v>
      </c>
      <c r="V73" s="23">
        <v>45746</v>
      </c>
      <c r="W73" s="360" t="s">
        <v>30</v>
      </c>
      <c r="Y73" s="412"/>
      <c r="Z73" s="412"/>
      <c r="AA73" s="412"/>
    </row>
    <row r="74" spans="1:27" ht="15.75" customHeight="1">
      <c r="A74" s="358" t="s">
        <v>24</v>
      </c>
      <c r="B74" s="369">
        <v>71</v>
      </c>
      <c r="C74" s="372" t="s">
        <v>166</v>
      </c>
      <c r="D74" s="372" t="s">
        <v>102</v>
      </c>
      <c r="E74" s="373">
        <v>45671</v>
      </c>
      <c r="F74" s="372" t="s">
        <v>167</v>
      </c>
      <c r="G74" s="372">
        <v>12</v>
      </c>
      <c r="H74" s="375" t="s">
        <v>22</v>
      </c>
      <c r="I74" s="372" t="s">
        <v>28</v>
      </c>
      <c r="J74" s="21" t="s">
        <v>29</v>
      </c>
      <c r="K74" s="21"/>
      <c r="L74" s="21"/>
      <c r="M74" s="22" t="s">
        <v>30</v>
      </c>
      <c r="N74" s="23">
        <v>45712</v>
      </c>
      <c r="O74" s="21"/>
      <c r="P74" s="22" t="s">
        <v>30</v>
      </c>
      <c r="Q74" s="23">
        <v>45712</v>
      </c>
      <c r="R74" s="81" t="s">
        <v>22</v>
      </c>
      <c r="S74" s="22" t="s">
        <v>32</v>
      </c>
      <c r="T74" s="22">
        <v>12</v>
      </c>
      <c r="U74" s="24" t="s">
        <v>22</v>
      </c>
      <c r="V74" s="23">
        <v>45712</v>
      </c>
      <c r="W74" s="82" t="s">
        <v>30</v>
      </c>
      <c r="Y74" s="412"/>
      <c r="Z74" s="412"/>
      <c r="AA74" s="412"/>
    </row>
    <row r="75" spans="1:27" ht="15.75" customHeight="1">
      <c r="A75" s="358" t="s">
        <v>24</v>
      </c>
      <c r="B75" s="369">
        <v>72</v>
      </c>
      <c r="C75" s="372" t="s">
        <v>168</v>
      </c>
      <c r="D75" s="372" t="s">
        <v>50</v>
      </c>
      <c r="E75" s="373">
        <v>45671</v>
      </c>
      <c r="F75" s="372" t="s">
        <v>167</v>
      </c>
      <c r="G75" s="372">
        <v>14</v>
      </c>
      <c r="H75" s="375" t="s">
        <v>22</v>
      </c>
      <c r="I75" s="372" t="s">
        <v>28</v>
      </c>
      <c r="J75" s="21" t="s">
        <v>29</v>
      </c>
      <c r="K75" s="21"/>
      <c r="L75" s="21"/>
      <c r="M75" s="22" t="s">
        <v>30</v>
      </c>
      <c r="N75" s="23">
        <v>45712</v>
      </c>
      <c r="O75" s="21" t="s">
        <v>66</v>
      </c>
      <c r="P75" s="22" t="s">
        <v>30</v>
      </c>
      <c r="Q75" s="23">
        <v>45712</v>
      </c>
      <c r="R75" s="81" t="s">
        <v>22</v>
      </c>
      <c r="S75" s="22" t="s">
        <v>32</v>
      </c>
      <c r="T75" s="22">
        <v>14</v>
      </c>
      <c r="U75" s="24" t="s">
        <v>22</v>
      </c>
      <c r="V75" s="23">
        <v>45712</v>
      </c>
      <c r="W75" s="82" t="s">
        <v>30</v>
      </c>
      <c r="Y75" s="412"/>
      <c r="Z75" s="412"/>
      <c r="AA75" s="412"/>
    </row>
    <row r="76" spans="1:27" ht="15.75" customHeight="1">
      <c r="A76" s="358" t="s">
        <v>24</v>
      </c>
      <c r="B76" s="369">
        <v>73</v>
      </c>
      <c r="C76" s="372" t="s">
        <v>169</v>
      </c>
      <c r="D76" s="372" t="s">
        <v>43</v>
      </c>
      <c r="E76" s="373">
        <v>45671</v>
      </c>
      <c r="F76" s="372" t="s">
        <v>167</v>
      </c>
      <c r="G76" s="372">
        <v>14</v>
      </c>
      <c r="H76" s="375" t="s">
        <v>22</v>
      </c>
      <c r="I76" s="372" t="s">
        <v>28</v>
      </c>
      <c r="J76" s="21" t="s">
        <v>29</v>
      </c>
      <c r="K76" s="21"/>
      <c r="L76" s="21"/>
      <c r="M76" s="22" t="s">
        <v>30</v>
      </c>
      <c r="N76" s="23">
        <v>45712</v>
      </c>
      <c r="O76" s="21"/>
      <c r="P76" s="22" t="s">
        <v>30</v>
      </c>
      <c r="Q76" s="23">
        <v>45712</v>
      </c>
      <c r="R76" s="81" t="s">
        <v>22</v>
      </c>
      <c r="S76" s="22" t="s">
        <v>32</v>
      </c>
      <c r="T76" s="22">
        <v>14</v>
      </c>
      <c r="U76" s="24" t="s">
        <v>22</v>
      </c>
      <c r="V76" s="23">
        <v>45712</v>
      </c>
      <c r="W76" s="82" t="s">
        <v>30</v>
      </c>
      <c r="Y76"/>
      <c r="Z76"/>
      <c r="AA76"/>
    </row>
    <row r="77" spans="1:27" ht="15.75" customHeight="1">
      <c r="A77" s="358" t="s">
        <v>24</v>
      </c>
      <c r="B77" s="369">
        <v>74</v>
      </c>
      <c r="C77" s="372" t="s">
        <v>170</v>
      </c>
      <c r="D77" s="372" t="s">
        <v>26</v>
      </c>
      <c r="E77" s="373">
        <v>45671</v>
      </c>
      <c r="F77" s="372" t="s">
        <v>167</v>
      </c>
      <c r="G77" s="372">
        <v>14</v>
      </c>
      <c r="H77" s="375" t="s">
        <v>22</v>
      </c>
      <c r="I77" s="372" t="s">
        <v>28</v>
      </c>
      <c r="J77" s="21" t="s">
        <v>29</v>
      </c>
      <c r="K77" s="21"/>
      <c r="L77" s="21"/>
      <c r="M77" s="22" t="s">
        <v>30</v>
      </c>
      <c r="N77" s="23">
        <v>45712</v>
      </c>
      <c r="O77" s="21"/>
      <c r="P77" s="22" t="s">
        <v>30</v>
      </c>
      <c r="Q77" s="23">
        <v>45712</v>
      </c>
      <c r="R77" s="81" t="s">
        <v>22</v>
      </c>
      <c r="S77" s="22" t="s">
        <v>32</v>
      </c>
      <c r="T77" s="22">
        <v>14</v>
      </c>
      <c r="U77" s="24" t="s">
        <v>22</v>
      </c>
      <c r="V77" s="23">
        <v>45712</v>
      </c>
      <c r="W77" s="82" t="s">
        <v>30</v>
      </c>
      <c r="Y77"/>
      <c r="Z77"/>
      <c r="AA77"/>
    </row>
    <row r="78" spans="1:27" ht="15.75" customHeight="1">
      <c r="A78" s="358" t="s">
        <v>24</v>
      </c>
      <c r="B78" s="369">
        <v>75</v>
      </c>
      <c r="C78" s="21" t="s">
        <v>108</v>
      </c>
      <c r="D78" s="372" t="s">
        <v>50</v>
      </c>
      <c r="E78" s="373">
        <v>45672</v>
      </c>
      <c r="F78" s="372" t="s">
        <v>171</v>
      </c>
      <c r="G78" s="372">
        <v>23</v>
      </c>
      <c r="H78" s="372" t="s">
        <v>21</v>
      </c>
      <c r="I78" s="372" t="s">
        <v>36</v>
      </c>
      <c r="J78" s="21" t="s">
        <v>29</v>
      </c>
      <c r="K78" s="21"/>
      <c r="L78" s="21"/>
      <c r="M78" s="22" t="s">
        <v>30</v>
      </c>
      <c r="N78" s="23">
        <v>45737</v>
      </c>
      <c r="O78" s="21" t="s">
        <v>31</v>
      </c>
      <c r="P78" s="22" t="s">
        <v>30</v>
      </c>
      <c r="Q78" s="23">
        <v>45737</v>
      </c>
      <c r="R78" s="81" t="s">
        <v>67</v>
      </c>
      <c r="S78" s="22" t="s">
        <v>32</v>
      </c>
      <c r="T78" s="22">
        <v>23</v>
      </c>
      <c r="U78" s="22" t="s">
        <v>67</v>
      </c>
      <c r="V78" s="23">
        <v>45737</v>
      </c>
      <c r="W78" s="360" t="s">
        <v>30</v>
      </c>
      <c r="Y78"/>
      <c r="Z78"/>
      <c r="AA78"/>
    </row>
    <row r="79" spans="1:27" ht="15.75" customHeight="1">
      <c r="A79" s="358" t="s">
        <v>24</v>
      </c>
      <c r="B79" s="369">
        <v>76</v>
      </c>
      <c r="C79" s="372" t="s">
        <v>172</v>
      </c>
      <c r="D79" s="372" t="s">
        <v>64</v>
      </c>
      <c r="E79" s="373">
        <v>45673</v>
      </c>
      <c r="F79" s="372" t="s">
        <v>173</v>
      </c>
      <c r="G79" s="372">
        <v>18</v>
      </c>
      <c r="H79" s="372" t="s">
        <v>46</v>
      </c>
      <c r="I79" s="372" t="s">
        <v>47</v>
      </c>
      <c r="J79" s="21" t="s">
        <v>29</v>
      </c>
      <c r="K79" s="21"/>
      <c r="L79" s="21"/>
      <c r="M79" s="22" t="s">
        <v>30</v>
      </c>
      <c r="N79" s="23">
        <v>45743</v>
      </c>
      <c r="O79" s="21" t="s">
        <v>31</v>
      </c>
      <c r="P79" s="22" t="s">
        <v>30</v>
      </c>
      <c r="Q79" s="23">
        <v>45743</v>
      </c>
      <c r="R79" s="81" t="s">
        <v>48</v>
      </c>
      <c r="S79" s="22" t="s">
        <v>32</v>
      </c>
      <c r="T79" s="22">
        <v>18</v>
      </c>
      <c r="U79" s="24" t="s">
        <v>48</v>
      </c>
      <c r="V79" s="23">
        <v>45743</v>
      </c>
      <c r="W79" s="360" t="s">
        <v>30</v>
      </c>
      <c r="Y79"/>
      <c r="Z79"/>
      <c r="AA79"/>
    </row>
    <row r="80" spans="1:27" ht="15.75" customHeight="1">
      <c r="A80" s="358" t="s">
        <v>24</v>
      </c>
      <c r="B80" s="369">
        <v>77</v>
      </c>
      <c r="C80" s="372" t="s">
        <v>174</v>
      </c>
      <c r="D80" s="372" t="s">
        <v>175</v>
      </c>
      <c r="E80" s="373">
        <v>45673</v>
      </c>
      <c r="F80" s="372" t="s">
        <v>106</v>
      </c>
      <c r="G80" s="372">
        <v>7</v>
      </c>
      <c r="H80" s="375" t="s">
        <v>22</v>
      </c>
      <c r="I80" s="372" t="s">
        <v>28</v>
      </c>
      <c r="J80" s="21" t="s">
        <v>29</v>
      </c>
      <c r="K80" s="21"/>
      <c r="L80" s="21"/>
      <c r="M80" s="22" t="s">
        <v>30</v>
      </c>
      <c r="N80" s="23">
        <v>45714</v>
      </c>
      <c r="O80" s="21"/>
      <c r="P80" s="22" t="s">
        <v>30</v>
      </c>
      <c r="Q80" s="23">
        <v>45714</v>
      </c>
      <c r="R80" s="81" t="s">
        <v>28</v>
      </c>
      <c r="S80" s="22" t="s">
        <v>32</v>
      </c>
      <c r="T80" s="22">
        <v>7</v>
      </c>
      <c r="U80" s="24" t="s">
        <v>28</v>
      </c>
      <c r="V80" s="23">
        <v>45714</v>
      </c>
      <c r="W80" s="82" t="s">
        <v>30</v>
      </c>
      <c r="Y80"/>
      <c r="Z80"/>
      <c r="AA80"/>
    </row>
    <row r="81" spans="1:27" ht="15.75" customHeight="1">
      <c r="A81" s="358" t="s">
        <v>24</v>
      </c>
      <c r="B81" s="369">
        <v>78</v>
      </c>
      <c r="C81" s="372" t="s">
        <v>176</v>
      </c>
      <c r="D81" s="372" t="s">
        <v>175</v>
      </c>
      <c r="E81" s="373">
        <v>45674</v>
      </c>
      <c r="F81" s="372" t="s">
        <v>106</v>
      </c>
      <c r="G81" s="372">
        <v>9</v>
      </c>
      <c r="H81" s="375" t="s">
        <v>22</v>
      </c>
      <c r="I81" s="372" t="s">
        <v>28</v>
      </c>
      <c r="J81" s="21" t="s">
        <v>29</v>
      </c>
      <c r="K81" s="21"/>
      <c r="L81" s="21"/>
      <c r="M81" s="22" t="s">
        <v>30</v>
      </c>
      <c r="N81" s="23">
        <v>45714</v>
      </c>
      <c r="O81" s="21"/>
      <c r="P81" s="22" t="s">
        <v>30</v>
      </c>
      <c r="Q81" s="23">
        <v>45714</v>
      </c>
      <c r="R81" s="81" t="s">
        <v>28</v>
      </c>
      <c r="S81" s="22" t="s">
        <v>32</v>
      </c>
      <c r="T81" s="22">
        <v>9</v>
      </c>
      <c r="U81" s="24" t="s">
        <v>28</v>
      </c>
      <c r="V81" s="23">
        <v>45714</v>
      </c>
      <c r="W81" s="82" t="s">
        <v>30</v>
      </c>
      <c r="Y81"/>
      <c r="Z81"/>
      <c r="AA81"/>
    </row>
    <row r="82" spans="1:27" ht="15.75" customHeight="1">
      <c r="A82" s="358" t="s">
        <v>24</v>
      </c>
      <c r="B82" s="369">
        <v>79</v>
      </c>
      <c r="C82" s="372" t="s">
        <v>177</v>
      </c>
      <c r="D82" s="372" t="s">
        <v>178</v>
      </c>
      <c r="E82" s="373">
        <v>45675</v>
      </c>
      <c r="F82" s="372" t="s">
        <v>179</v>
      </c>
      <c r="G82" s="372">
        <v>12</v>
      </c>
      <c r="H82" s="372" t="s">
        <v>46</v>
      </c>
      <c r="I82" s="372" t="s">
        <v>47</v>
      </c>
      <c r="J82" s="21" t="s">
        <v>29</v>
      </c>
      <c r="K82" s="21"/>
      <c r="L82" s="21"/>
      <c r="M82" s="22"/>
      <c r="N82" s="23">
        <v>45746</v>
      </c>
      <c r="O82" s="21"/>
      <c r="P82" s="22"/>
      <c r="Q82" s="23">
        <v>45746</v>
      </c>
      <c r="R82" s="81" t="s">
        <v>48</v>
      </c>
      <c r="S82" s="22"/>
      <c r="T82" s="22"/>
      <c r="U82" s="24"/>
      <c r="V82" s="23"/>
      <c r="W82" s="360" t="s">
        <v>30</v>
      </c>
      <c r="Y82"/>
      <c r="Z82"/>
      <c r="AA82"/>
    </row>
    <row r="83" spans="1:27" ht="15.75" customHeight="1">
      <c r="A83" s="358" t="s">
        <v>24</v>
      </c>
      <c r="B83" s="369">
        <v>80</v>
      </c>
      <c r="C83" s="372" t="s">
        <v>180</v>
      </c>
      <c r="D83" s="372" t="s">
        <v>34</v>
      </c>
      <c r="E83" s="373">
        <v>45675</v>
      </c>
      <c r="F83" s="372" t="s">
        <v>181</v>
      </c>
      <c r="G83" s="372">
        <v>33</v>
      </c>
      <c r="H83" s="372" t="s">
        <v>46</v>
      </c>
      <c r="I83" s="372" t="s">
        <v>47</v>
      </c>
      <c r="J83" s="21" t="s">
        <v>29</v>
      </c>
      <c r="K83" s="21"/>
      <c r="L83" s="21"/>
      <c r="M83" s="22" t="s">
        <v>30</v>
      </c>
      <c r="N83" s="23">
        <v>45777</v>
      </c>
      <c r="O83" s="21" t="s">
        <v>31</v>
      </c>
      <c r="P83" s="22" t="s">
        <v>30</v>
      </c>
      <c r="Q83" s="23">
        <v>45777</v>
      </c>
      <c r="R83" s="81" t="s">
        <v>47</v>
      </c>
      <c r="S83" s="22" t="s">
        <v>32</v>
      </c>
      <c r="T83" s="22">
        <v>33</v>
      </c>
      <c r="U83" s="22" t="s">
        <v>47</v>
      </c>
      <c r="V83" s="23">
        <v>45777</v>
      </c>
      <c r="W83" s="360" t="s">
        <v>30</v>
      </c>
      <c r="Y83"/>
      <c r="Z83"/>
      <c r="AA83"/>
    </row>
    <row r="84" spans="1:27" ht="15.75" customHeight="1">
      <c r="A84" s="358" t="s">
        <v>24</v>
      </c>
      <c r="B84" s="369">
        <v>81</v>
      </c>
      <c r="C84" s="372" t="s">
        <v>182</v>
      </c>
      <c r="D84" s="372" t="s">
        <v>34</v>
      </c>
      <c r="E84" s="373">
        <v>45675</v>
      </c>
      <c r="F84" s="372" t="s">
        <v>183</v>
      </c>
      <c r="G84" s="372">
        <v>7</v>
      </c>
      <c r="H84" s="372" t="s">
        <v>46</v>
      </c>
      <c r="I84" s="372" t="s">
        <v>47</v>
      </c>
      <c r="J84" s="21" t="s">
        <v>29</v>
      </c>
      <c r="K84" s="21"/>
      <c r="L84" s="21"/>
      <c r="M84" s="22" t="s">
        <v>30</v>
      </c>
      <c r="N84" s="23">
        <v>45716</v>
      </c>
      <c r="O84" s="21"/>
      <c r="P84" s="22" t="s">
        <v>30</v>
      </c>
      <c r="Q84" s="23">
        <v>45716</v>
      </c>
      <c r="R84" s="81" t="s">
        <v>46</v>
      </c>
      <c r="S84" s="22" t="s">
        <v>32</v>
      </c>
      <c r="T84" s="22">
        <v>7</v>
      </c>
      <c r="U84" s="22" t="s">
        <v>46</v>
      </c>
      <c r="V84" s="23">
        <v>45716</v>
      </c>
      <c r="W84" s="82" t="s">
        <v>30</v>
      </c>
      <c r="Y84"/>
      <c r="Z84"/>
      <c r="AA84"/>
    </row>
    <row r="85" spans="1:27" ht="15.75" customHeight="1">
      <c r="A85" s="358" t="s">
        <v>24</v>
      </c>
      <c r="B85" s="369">
        <v>82</v>
      </c>
      <c r="C85" s="372" t="s">
        <v>184</v>
      </c>
      <c r="D85" s="372" t="s">
        <v>178</v>
      </c>
      <c r="E85" s="373">
        <v>45675</v>
      </c>
      <c r="F85" s="372" t="s">
        <v>183</v>
      </c>
      <c r="G85" s="372">
        <v>4</v>
      </c>
      <c r="H85" s="372" t="s">
        <v>46</v>
      </c>
      <c r="I85" s="372" t="s">
        <v>47</v>
      </c>
      <c r="J85" s="21" t="s">
        <v>29</v>
      </c>
      <c r="K85" s="21"/>
      <c r="L85" s="21"/>
      <c r="M85" s="22" t="s">
        <v>30</v>
      </c>
      <c r="N85" s="23">
        <v>45716</v>
      </c>
      <c r="O85" s="21"/>
      <c r="P85" s="22" t="s">
        <v>30</v>
      </c>
      <c r="Q85" s="23">
        <v>45716</v>
      </c>
      <c r="R85" s="81" t="s">
        <v>46</v>
      </c>
      <c r="S85" s="22" t="s">
        <v>32</v>
      </c>
      <c r="T85" s="22">
        <v>4</v>
      </c>
      <c r="U85" s="22" t="s">
        <v>46</v>
      </c>
      <c r="V85" s="23">
        <v>45716</v>
      </c>
      <c r="W85" s="82" t="s">
        <v>30</v>
      </c>
      <c r="Y85" s="412"/>
      <c r="Z85" s="412"/>
      <c r="AA85" s="412"/>
    </row>
    <row r="86" spans="1:27" ht="15.75" customHeight="1">
      <c r="A86" s="358" t="s">
        <v>24</v>
      </c>
      <c r="B86" s="369">
        <v>83</v>
      </c>
      <c r="C86" s="21" t="s">
        <v>185</v>
      </c>
      <c r="D86" s="372" t="s">
        <v>34</v>
      </c>
      <c r="E86" s="373">
        <v>45675</v>
      </c>
      <c r="F86" s="372" t="s">
        <v>183</v>
      </c>
      <c r="G86" s="372">
        <v>2</v>
      </c>
      <c r="H86" s="372" t="s">
        <v>46</v>
      </c>
      <c r="I86" s="372" t="s">
        <v>47</v>
      </c>
      <c r="J86" s="21" t="s">
        <v>29</v>
      </c>
      <c r="K86" s="21"/>
      <c r="L86" s="21"/>
      <c r="M86" s="22" t="s">
        <v>30</v>
      </c>
      <c r="N86" s="23">
        <v>45737</v>
      </c>
      <c r="O86" s="21"/>
      <c r="P86" s="22" t="s">
        <v>30</v>
      </c>
      <c r="Q86" s="23">
        <v>45737</v>
      </c>
      <c r="R86" s="81" t="s">
        <v>67</v>
      </c>
      <c r="S86" s="22" t="s">
        <v>32</v>
      </c>
      <c r="T86" s="22">
        <v>2</v>
      </c>
      <c r="U86" s="22" t="s">
        <v>67</v>
      </c>
      <c r="V86" s="23">
        <v>45737</v>
      </c>
      <c r="W86" s="360" t="s">
        <v>30</v>
      </c>
      <c r="Y86" s="412"/>
      <c r="Z86" s="412"/>
      <c r="AA86" s="412"/>
    </row>
    <row r="87" spans="1:27" ht="15.75" customHeight="1">
      <c r="A87" s="358" t="s">
        <v>24</v>
      </c>
      <c r="B87" s="369">
        <v>84</v>
      </c>
      <c r="C87" s="372" t="s">
        <v>186</v>
      </c>
      <c r="D87" s="372" t="s">
        <v>43</v>
      </c>
      <c r="E87" s="373">
        <v>45675</v>
      </c>
      <c r="F87" s="372" t="s">
        <v>187</v>
      </c>
      <c r="G87" s="372">
        <v>7</v>
      </c>
      <c r="H87" s="372" t="s">
        <v>21</v>
      </c>
      <c r="I87" s="372" t="s">
        <v>36</v>
      </c>
      <c r="J87" s="21" t="s">
        <v>29</v>
      </c>
      <c r="K87" s="21"/>
      <c r="L87" s="21"/>
      <c r="M87" s="22" t="s">
        <v>30</v>
      </c>
      <c r="N87" s="23">
        <v>45692</v>
      </c>
      <c r="O87" s="21" t="s">
        <v>66</v>
      </c>
      <c r="P87" s="22" t="s">
        <v>30</v>
      </c>
      <c r="Q87" s="23">
        <v>45692</v>
      </c>
      <c r="R87" s="81" t="s">
        <v>46</v>
      </c>
      <c r="S87" s="22" t="s">
        <v>32</v>
      </c>
      <c r="T87" s="22">
        <v>7</v>
      </c>
      <c r="U87" s="22" t="s">
        <v>46</v>
      </c>
      <c r="V87" s="23">
        <v>45692</v>
      </c>
      <c r="W87" s="82" t="s">
        <v>30</v>
      </c>
      <c r="Y87"/>
      <c r="Z87"/>
      <c r="AA87"/>
    </row>
    <row r="88" spans="1:27" ht="15.75" customHeight="1">
      <c r="A88" s="358" t="s">
        <v>24</v>
      </c>
      <c r="B88" s="369">
        <v>85</v>
      </c>
      <c r="C88" s="372" t="s">
        <v>188</v>
      </c>
      <c r="D88" s="372" t="s">
        <v>50</v>
      </c>
      <c r="E88" s="373">
        <v>45675</v>
      </c>
      <c r="F88" s="372" t="s">
        <v>187</v>
      </c>
      <c r="G88" s="372">
        <v>7</v>
      </c>
      <c r="H88" s="372" t="s">
        <v>21</v>
      </c>
      <c r="I88" s="372" t="s">
        <v>36</v>
      </c>
      <c r="J88" s="21" t="s">
        <v>29</v>
      </c>
      <c r="K88" s="21"/>
      <c r="L88" s="21"/>
      <c r="M88" s="22" t="s">
        <v>30</v>
      </c>
      <c r="N88" s="23">
        <v>45692</v>
      </c>
      <c r="O88" s="21"/>
      <c r="P88" s="22" t="s">
        <v>30</v>
      </c>
      <c r="Q88" s="23">
        <v>45692</v>
      </c>
      <c r="R88" s="81" t="s">
        <v>46</v>
      </c>
      <c r="S88" s="22" t="s">
        <v>32</v>
      </c>
      <c r="T88" s="22">
        <v>7</v>
      </c>
      <c r="U88" s="22" t="s">
        <v>46</v>
      </c>
      <c r="V88" s="23">
        <v>45692</v>
      </c>
      <c r="W88" s="82" t="s">
        <v>30</v>
      </c>
      <c r="Y88"/>
      <c r="Z88"/>
      <c r="AA88"/>
    </row>
    <row r="89" spans="1:27" ht="15.75" customHeight="1">
      <c r="A89" s="358" t="s">
        <v>24</v>
      </c>
      <c r="B89" s="369">
        <v>86</v>
      </c>
      <c r="C89" s="372" t="s">
        <v>189</v>
      </c>
      <c r="D89" s="372" t="s">
        <v>64</v>
      </c>
      <c r="E89" s="373">
        <v>45675</v>
      </c>
      <c r="F89" s="372" t="s">
        <v>187</v>
      </c>
      <c r="G89" s="372">
        <v>7</v>
      </c>
      <c r="H89" s="372" t="s">
        <v>21</v>
      </c>
      <c r="I89" s="372" t="s">
        <v>36</v>
      </c>
      <c r="J89" s="21" t="s">
        <v>29</v>
      </c>
      <c r="K89" s="21"/>
      <c r="L89" s="21"/>
      <c r="M89" s="22" t="s">
        <v>30</v>
      </c>
      <c r="N89" s="23">
        <v>45692</v>
      </c>
      <c r="O89" s="21"/>
      <c r="P89" s="22" t="s">
        <v>30</v>
      </c>
      <c r="Q89" s="23">
        <v>45692</v>
      </c>
      <c r="R89" s="81" t="s">
        <v>46</v>
      </c>
      <c r="S89" s="22" t="s">
        <v>32</v>
      </c>
      <c r="T89" s="22">
        <v>7</v>
      </c>
      <c r="U89" s="22" t="s">
        <v>46</v>
      </c>
      <c r="V89" s="23">
        <v>45692</v>
      </c>
      <c r="W89" s="82" t="s">
        <v>30</v>
      </c>
      <c r="Y89"/>
      <c r="Z89"/>
      <c r="AA89"/>
    </row>
    <row r="90" spans="1:27" ht="15.75" customHeight="1">
      <c r="A90" s="358" t="s">
        <v>24</v>
      </c>
      <c r="B90" s="369">
        <v>87</v>
      </c>
      <c r="C90" s="372" t="s">
        <v>190</v>
      </c>
      <c r="D90" s="372" t="s">
        <v>34</v>
      </c>
      <c r="E90" s="373">
        <v>45675</v>
      </c>
      <c r="F90" s="372" t="s">
        <v>87</v>
      </c>
      <c r="G90" s="372">
        <v>11</v>
      </c>
      <c r="H90" s="372" t="s">
        <v>21</v>
      </c>
      <c r="I90" s="372" t="s">
        <v>36</v>
      </c>
      <c r="J90" s="21" t="s">
        <v>29</v>
      </c>
      <c r="K90" s="21"/>
      <c r="L90" s="21"/>
      <c r="M90" s="22" t="s">
        <v>30</v>
      </c>
      <c r="N90" s="23">
        <v>45712</v>
      </c>
      <c r="O90" s="21"/>
      <c r="P90" s="22" t="s">
        <v>30</v>
      </c>
      <c r="Q90" s="23">
        <v>45712</v>
      </c>
      <c r="R90" s="81" t="s">
        <v>21</v>
      </c>
      <c r="S90" s="22" t="s">
        <v>32</v>
      </c>
      <c r="T90" s="22">
        <v>11</v>
      </c>
      <c r="U90" s="24" t="s">
        <v>21</v>
      </c>
      <c r="V90" s="23">
        <v>45712</v>
      </c>
      <c r="W90" s="82" t="s">
        <v>30</v>
      </c>
      <c r="Y90"/>
      <c r="Z90"/>
      <c r="AA90"/>
    </row>
    <row r="91" spans="1:27" ht="15.75" customHeight="1">
      <c r="A91" s="358" t="s">
        <v>24</v>
      </c>
      <c r="B91" s="369">
        <v>88</v>
      </c>
      <c r="C91" s="372" t="s">
        <v>191</v>
      </c>
      <c r="D91" s="372" t="s">
        <v>34</v>
      </c>
      <c r="E91" s="373">
        <v>45675</v>
      </c>
      <c r="F91" s="372" t="s">
        <v>87</v>
      </c>
      <c r="G91" s="372">
        <v>1</v>
      </c>
      <c r="H91" s="372" t="s">
        <v>21</v>
      </c>
      <c r="I91" s="372" t="s">
        <v>36</v>
      </c>
      <c r="J91" s="21" t="s">
        <v>29</v>
      </c>
      <c r="K91" s="21"/>
      <c r="L91" s="21"/>
      <c r="M91" s="22" t="s">
        <v>30</v>
      </c>
      <c r="N91" s="23">
        <v>45747</v>
      </c>
      <c r="O91" s="21"/>
      <c r="P91" s="22" t="s">
        <v>30</v>
      </c>
      <c r="Q91" s="23">
        <v>45747</v>
      </c>
      <c r="R91" s="81" t="s">
        <v>48</v>
      </c>
      <c r="S91" s="22" t="s">
        <v>32</v>
      </c>
      <c r="T91" s="22">
        <v>1</v>
      </c>
      <c r="U91" s="22" t="s">
        <v>48</v>
      </c>
      <c r="V91" s="23">
        <v>45747</v>
      </c>
      <c r="W91" s="360" t="s">
        <v>30</v>
      </c>
      <c r="Y91"/>
      <c r="Z91"/>
      <c r="AA91"/>
    </row>
    <row r="92" spans="1:27" ht="15.75" customHeight="1">
      <c r="A92" s="358" t="s">
        <v>24</v>
      </c>
      <c r="B92" s="369">
        <v>89</v>
      </c>
      <c r="C92" s="372" t="s">
        <v>192</v>
      </c>
      <c r="D92" s="372" t="s">
        <v>193</v>
      </c>
      <c r="E92" s="373">
        <v>45675</v>
      </c>
      <c r="F92" s="372" t="s">
        <v>194</v>
      </c>
      <c r="G92" s="372">
        <v>8</v>
      </c>
      <c r="H92" s="372" t="s">
        <v>21</v>
      </c>
      <c r="I92" s="372" t="s">
        <v>36</v>
      </c>
      <c r="J92" s="21" t="s">
        <v>29</v>
      </c>
      <c r="K92" s="21"/>
      <c r="L92" s="21"/>
      <c r="M92" s="22" t="s">
        <v>30</v>
      </c>
      <c r="N92" s="23">
        <v>45712</v>
      </c>
      <c r="O92" s="21"/>
      <c r="P92" s="22" t="s">
        <v>30</v>
      </c>
      <c r="Q92" s="23">
        <v>45712</v>
      </c>
      <c r="R92" s="81" t="s">
        <v>21</v>
      </c>
      <c r="S92" s="22" t="s">
        <v>32</v>
      </c>
      <c r="T92" s="22">
        <v>8</v>
      </c>
      <c r="U92" s="24" t="s">
        <v>21</v>
      </c>
      <c r="V92" s="23">
        <v>45712</v>
      </c>
      <c r="W92" s="82" t="s">
        <v>30</v>
      </c>
      <c r="Y92"/>
      <c r="Z92"/>
      <c r="AA92"/>
    </row>
    <row r="93" spans="1:27" ht="15.75" customHeight="1">
      <c r="A93" s="358" t="s">
        <v>24</v>
      </c>
      <c r="B93" s="369">
        <v>90</v>
      </c>
      <c r="C93" s="21" t="s">
        <v>195</v>
      </c>
      <c r="D93" s="372" t="s">
        <v>34</v>
      </c>
      <c r="E93" s="373">
        <v>45675</v>
      </c>
      <c r="F93" s="372" t="s">
        <v>161</v>
      </c>
      <c r="G93" s="372">
        <v>12</v>
      </c>
      <c r="H93" s="372" t="s">
        <v>21</v>
      </c>
      <c r="I93" s="372" t="s">
        <v>36</v>
      </c>
      <c r="J93" s="21" t="s">
        <v>29</v>
      </c>
      <c r="K93" s="21"/>
      <c r="L93" s="21"/>
      <c r="M93" s="22" t="s">
        <v>30</v>
      </c>
      <c r="N93" s="23">
        <v>45737</v>
      </c>
      <c r="O93" s="21"/>
      <c r="P93" s="22" t="s">
        <v>30</v>
      </c>
      <c r="Q93" s="23">
        <v>45737</v>
      </c>
      <c r="R93" s="81" t="s">
        <v>67</v>
      </c>
      <c r="S93" s="22" t="s">
        <v>32</v>
      </c>
      <c r="T93" s="22">
        <v>12</v>
      </c>
      <c r="U93" s="22" t="s">
        <v>67</v>
      </c>
      <c r="V93" s="23">
        <v>45737</v>
      </c>
      <c r="W93" s="360" t="s">
        <v>30</v>
      </c>
      <c r="Y93"/>
      <c r="Z93"/>
      <c r="AA93"/>
    </row>
    <row r="94" spans="1:27" ht="15.75" customHeight="1">
      <c r="A94" s="358" t="s">
        <v>24</v>
      </c>
      <c r="B94" s="369">
        <v>91</v>
      </c>
      <c r="C94" s="372" t="s">
        <v>196</v>
      </c>
      <c r="D94" s="372" t="s">
        <v>34</v>
      </c>
      <c r="E94" s="373">
        <v>45675</v>
      </c>
      <c r="F94" s="372" t="s">
        <v>197</v>
      </c>
      <c r="G94" s="372">
        <v>14</v>
      </c>
      <c r="H94" s="372" t="s">
        <v>21</v>
      </c>
      <c r="I94" s="372" t="s">
        <v>36</v>
      </c>
      <c r="J94" s="21" t="s">
        <v>29</v>
      </c>
      <c r="K94" s="21"/>
      <c r="L94" s="21"/>
      <c r="M94" s="22" t="s">
        <v>30</v>
      </c>
      <c r="N94" s="23">
        <v>45712</v>
      </c>
      <c r="O94" s="21"/>
      <c r="P94" s="22" t="s">
        <v>30</v>
      </c>
      <c r="Q94" s="23">
        <v>45712</v>
      </c>
      <c r="R94" s="81" t="s">
        <v>21</v>
      </c>
      <c r="S94" s="22" t="s">
        <v>32</v>
      </c>
      <c r="T94" s="22">
        <v>14</v>
      </c>
      <c r="U94" s="24" t="s">
        <v>21</v>
      </c>
      <c r="V94" s="23">
        <v>45712</v>
      </c>
      <c r="W94" s="82" t="s">
        <v>30</v>
      </c>
      <c r="Y94" s="412"/>
      <c r="Z94" s="412"/>
      <c r="AA94" s="412"/>
    </row>
    <row r="95" spans="1:27" ht="15.75" customHeight="1">
      <c r="A95" s="358" t="s">
        <v>24</v>
      </c>
      <c r="B95" s="369">
        <v>92</v>
      </c>
      <c r="C95" s="372" t="s">
        <v>198</v>
      </c>
      <c r="D95" s="372" t="s">
        <v>43</v>
      </c>
      <c r="E95" s="373">
        <v>45675</v>
      </c>
      <c r="F95" s="372" t="s">
        <v>199</v>
      </c>
      <c r="G95" s="372">
        <v>8</v>
      </c>
      <c r="H95" s="375" t="s">
        <v>22</v>
      </c>
      <c r="I95" s="372" t="s">
        <v>28</v>
      </c>
      <c r="J95" s="21" t="s">
        <v>29</v>
      </c>
      <c r="K95" s="21"/>
      <c r="L95" s="21"/>
      <c r="M95" s="22" t="s">
        <v>30</v>
      </c>
      <c r="N95" s="23">
        <v>45704</v>
      </c>
      <c r="O95" s="21" t="s">
        <v>66</v>
      </c>
      <c r="P95" s="22" t="s">
        <v>30</v>
      </c>
      <c r="Q95" s="23">
        <v>45704</v>
      </c>
      <c r="R95" s="81" t="s">
        <v>28</v>
      </c>
      <c r="S95" s="22" t="s">
        <v>32</v>
      </c>
      <c r="T95" s="22">
        <v>8</v>
      </c>
      <c r="U95" s="24" t="s">
        <v>28</v>
      </c>
      <c r="V95" s="23">
        <v>45704</v>
      </c>
      <c r="W95" s="82" t="s">
        <v>30</v>
      </c>
      <c r="Y95" s="412"/>
      <c r="Z95" s="412"/>
      <c r="AA95" s="412"/>
    </row>
    <row r="96" spans="1:27" ht="15.75" customHeight="1">
      <c r="A96" s="358" t="s">
        <v>24</v>
      </c>
      <c r="B96" s="369">
        <v>93</v>
      </c>
      <c r="C96" s="378" t="s">
        <v>200</v>
      </c>
      <c r="D96" s="378" t="s">
        <v>50</v>
      </c>
      <c r="E96" s="373">
        <v>45675</v>
      </c>
      <c r="F96" s="372" t="s">
        <v>199</v>
      </c>
      <c r="G96" s="372">
        <v>8</v>
      </c>
      <c r="H96" s="375" t="s">
        <v>22</v>
      </c>
      <c r="I96" s="372" t="s">
        <v>28</v>
      </c>
      <c r="J96" s="21" t="s">
        <v>29</v>
      </c>
      <c r="K96" s="21"/>
      <c r="L96" s="21"/>
      <c r="M96" s="22" t="s">
        <v>30</v>
      </c>
      <c r="N96" s="23">
        <v>45704</v>
      </c>
      <c r="O96" s="21"/>
      <c r="P96" s="22" t="s">
        <v>30</v>
      </c>
      <c r="Q96" s="23">
        <v>45704</v>
      </c>
      <c r="R96" s="81" t="s">
        <v>28</v>
      </c>
      <c r="S96" s="22" t="s">
        <v>32</v>
      </c>
      <c r="T96" s="22">
        <v>8</v>
      </c>
      <c r="U96" s="24" t="s">
        <v>28</v>
      </c>
      <c r="V96" s="23">
        <v>45704</v>
      </c>
      <c r="W96" s="82" t="s">
        <v>30</v>
      </c>
      <c r="Y96" s="412"/>
      <c r="Z96" s="412"/>
      <c r="AA96" s="412"/>
    </row>
    <row r="97" spans="1:30" ht="15.75" customHeight="1">
      <c r="A97" s="358" t="s">
        <v>24</v>
      </c>
      <c r="B97" s="369">
        <v>94</v>
      </c>
      <c r="C97" s="372" t="s">
        <v>201</v>
      </c>
      <c r="D97" s="372" t="s">
        <v>50</v>
      </c>
      <c r="E97" s="373">
        <v>45675</v>
      </c>
      <c r="F97" s="372" t="s">
        <v>202</v>
      </c>
      <c r="G97" s="372">
        <v>13</v>
      </c>
      <c r="H97" s="375" t="s">
        <v>22</v>
      </c>
      <c r="I97" s="372" t="s">
        <v>28</v>
      </c>
      <c r="J97" s="21" t="s">
        <v>29</v>
      </c>
      <c r="K97" s="21"/>
      <c r="L97" s="21"/>
      <c r="M97" s="22" t="s">
        <v>30</v>
      </c>
      <c r="N97" s="23">
        <v>45707</v>
      </c>
      <c r="O97" s="21" t="s">
        <v>66</v>
      </c>
      <c r="P97" s="22" t="s">
        <v>30</v>
      </c>
      <c r="Q97" s="23">
        <v>45707</v>
      </c>
      <c r="R97" s="81" t="s">
        <v>28</v>
      </c>
      <c r="S97" s="22" t="s">
        <v>32</v>
      </c>
      <c r="T97" s="22">
        <v>8</v>
      </c>
      <c r="U97" s="24" t="s">
        <v>28</v>
      </c>
      <c r="V97" s="23">
        <v>45707</v>
      </c>
      <c r="W97" s="82" t="s">
        <v>30</v>
      </c>
      <c r="Y97" s="412"/>
      <c r="Z97" s="412"/>
      <c r="AA97" s="412"/>
    </row>
    <row r="98" spans="1:30" ht="15.75" customHeight="1">
      <c r="A98" s="358" t="s">
        <v>24</v>
      </c>
      <c r="B98" s="369">
        <v>95</v>
      </c>
      <c r="C98" s="372" t="s">
        <v>203</v>
      </c>
      <c r="D98" s="372" t="s">
        <v>43</v>
      </c>
      <c r="E98" s="373">
        <v>45675</v>
      </c>
      <c r="F98" s="372" t="s">
        <v>202</v>
      </c>
      <c r="G98" s="372">
        <v>13</v>
      </c>
      <c r="H98" s="375" t="s">
        <v>22</v>
      </c>
      <c r="I98" s="372" t="s">
        <v>28</v>
      </c>
      <c r="J98" s="21" t="s">
        <v>29</v>
      </c>
      <c r="K98" s="21"/>
      <c r="L98" s="21"/>
      <c r="M98" s="22" t="s">
        <v>30</v>
      </c>
      <c r="N98" s="23">
        <v>45707</v>
      </c>
      <c r="O98" s="21"/>
      <c r="P98" s="22" t="s">
        <v>30</v>
      </c>
      <c r="Q98" s="23">
        <v>45707</v>
      </c>
      <c r="R98" s="81" t="s">
        <v>28</v>
      </c>
      <c r="S98" s="22" t="s">
        <v>32</v>
      </c>
      <c r="T98" s="22">
        <v>8</v>
      </c>
      <c r="U98" s="24" t="s">
        <v>28</v>
      </c>
      <c r="V98" s="23">
        <v>45707</v>
      </c>
      <c r="W98" s="82" t="s">
        <v>30</v>
      </c>
      <c r="Y98" s="412"/>
      <c r="Z98" s="412"/>
      <c r="AA98" s="412"/>
    </row>
    <row r="99" spans="1:30" ht="15.75" customHeight="1">
      <c r="A99" s="358" t="s">
        <v>24</v>
      </c>
      <c r="B99" s="369">
        <v>96</v>
      </c>
      <c r="C99" s="372" t="s">
        <v>204</v>
      </c>
      <c r="D99" s="372" t="s">
        <v>64</v>
      </c>
      <c r="E99" s="373">
        <v>45675</v>
      </c>
      <c r="F99" s="372" t="s">
        <v>202</v>
      </c>
      <c r="G99" s="372">
        <v>13</v>
      </c>
      <c r="H99" s="375" t="s">
        <v>22</v>
      </c>
      <c r="I99" s="372" t="s">
        <v>28</v>
      </c>
      <c r="J99" s="21" t="s">
        <v>29</v>
      </c>
      <c r="K99" s="21"/>
      <c r="L99" s="21"/>
      <c r="M99" s="22" t="s">
        <v>30</v>
      </c>
      <c r="N99" s="23">
        <v>45707</v>
      </c>
      <c r="O99" s="21"/>
      <c r="P99" s="22" t="s">
        <v>30</v>
      </c>
      <c r="Q99" s="23">
        <v>45707</v>
      </c>
      <c r="R99" s="81" t="s">
        <v>28</v>
      </c>
      <c r="S99" s="22" t="s">
        <v>32</v>
      </c>
      <c r="T99" s="22">
        <v>8</v>
      </c>
      <c r="U99" s="24" t="s">
        <v>28</v>
      </c>
      <c r="V99" s="23">
        <v>45707</v>
      </c>
      <c r="W99" s="82" t="s">
        <v>30</v>
      </c>
      <c r="Y99" s="412"/>
      <c r="Z99" s="412"/>
      <c r="AA99" s="412"/>
    </row>
    <row r="100" spans="1:30" ht="15.75" customHeight="1">
      <c r="A100" s="358" t="s">
        <v>24</v>
      </c>
      <c r="B100" s="369">
        <v>97</v>
      </c>
      <c r="C100" s="372" t="s">
        <v>205</v>
      </c>
      <c r="D100" s="372" t="s">
        <v>26</v>
      </c>
      <c r="E100" s="373">
        <v>45675</v>
      </c>
      <c r="F100" s="372" t="s">
        <v>206</v>
      </c>
      <c r="G100" s="372">
        <v>4</v>
      </c>
      <c r="H100" s="375" t="s">
        <v>22</v>
      </c>
      <c r="I100" s="372" t="s">
        <v>28</v>
      </c>
      <c r="J100" s="21" t="s">
        <v>29</v>
      </c>
      <c r="K100" s="21"/>
      <c r="L100" s="21"/>
      <c r="M100" s="22" t="s">
        <v>30</v>
      </c>
      <c r="N100" s="23">
        <v>45706</v>
      </c>
      <c r="O100" s="21"/>
      <c r="P100" s="22" t="s">
        <v>30</v>
      </c>
      <c r="Q100" s="23">
        <v>45706</v>
      </c>
      <c r="R100" s="81" t="s">
        <v>28</v>
      </c>
      <c r="S100" s="22" t="s">
        <v>32</v>
      </c>
      <c r="T100" s="22">
        <v>4</v>
      </c>
      <c r="U100" s="24" t="s">
        <v>28</v>
      </c>
      <c r="V100" s="23">
        <v>45706</v>
      </c>
      <c r="W100" s="82" t="s">
        <v>30</v>
      </c>
      <c r="Y100" s="412"/>
      <c r="Z100" s="412"/>
      <c r="AA100" s="412"/>
    </row>
    <row r="101" spans="1:30" ht="15.75" customHeight="1">
      <c r="A101" s="358" t="s">
        <v>24</v>
      </c>
      <c r="B101" s="369">
        <v>98</v>
      </c>
      <c r="C101" s="372" t="s">
        <v>207</v>
      </c>
      <c r="D101" s="372" t="s">
        <v>43</v>
      </c>
      <c r="E101" s="373">
        <v>45675</v>
      </c>
      <c r="F101" s="372" t="s">
        <v>206</v>
      </c>
      <c r="G101" s="372">
        <v>4</v>
      </c>
      <c r="H101" s="375" t="s">
        <v>22</v>
      </c>
      <c r="I101" s="372" t="s">
        <v>28</v>
      </c>
      <c r="J101" s="21" t="s">
        <v>29</v>
      </c>
      <c r="K101" s="21"/>
      <c r="L101" s="21"/>
      <c r="M101" s="22" t="s">
        <v>30</v>
      </c>
      <c r="N101" s="23">
        <v>45706</v>
      </c>
      <c r="O101" s="21"/>
      <c r="P101" s="22" t="s">
        <v>30</v>
      </c>
      <c r="Q101" s="23">
        <v>45706</v>
      </c>
      <c r="R101" s="81" t="s">
        <v>28</v>
      </c>
      <c r="S101" s="22" t="s">
        <v>32</v>
      </c>
      <c r="T101" s="22">
        <v>4</v>
      </c>
      <c r="U101" s="24" t="s">
        <v>28</v>
      </c>
      <c r="V101" s="23">
        <v>45706</v>
      </c>
      <c r="W101" s="82" t="s">
        <v>30</v>
      </c>
      <c r="Y101" s="412"/>
      <c r="Z101" s="412"/>
      <c r="AA101" s="412"/>
    </row>
    <row r="102" spans="1:30" ht="15.75" customHeight="1">
      <c r="A102" s="358" t="s">
        <v>24</v>
      </c>
      <c r="B102" s="369">
        <v>99</v>
      </c>
      <c r="C102" s="372" t="s">
        <v>208</v>
      </c>
      <c r="D102" s="372" t="s">
        <v>50</v>
      </c>
      <c r="E102" s="373">
        <v>45675</v>
      </c>
      <c r="F102" s="372" t="s">
        <v>206</v>
      </c>
      <c r="G102" s="372">
        <v>4</v>
      </c>
      <c r="H102" s="375" t="s">
        <v>22</v>
      </c>
      <c r="I102" s="372" t="s">
        <v>28</v>
      </c>
      <c r="J102" s="21" t="s">
        <v>29</v>
      </c>
      <c r="K102" s="21"/>
      <c r="L102" s="21"/>
      <c r="M102" s="22" t="s">
        <v>30</v>
      </c>
      <c r="N102" s="23">
        <v>45706</v>
      </c>
      <c r="O102" s="21"/>
      <c r="P102" s="22" t="s">
        <v>30</v>
      </c>
      <c r="Q102" s="23">
        <v>45706</v>
      </c>
      <c r="R102" s="81" t="s">
        <v>28</v>
      </c>
      <c r="S102" s="22" t="s">
        <v>32</v>
      </c>
      <c r="T102" s="22">
        <v>4</v>
      </c>
      <c r="U102" s="24" t="s">
        <v>28</v>
      </c>
      <c r="V102" s="23">
        <v>45706</v>
      </c>
      <c r="W102" s="82" t="s">
        <v>30</v>
      </c>
      <c r="Y102"/>
      <c r="Z102"/>
      <c r="AA102"/>
    </row>
    <row r="103" spans="1:30">
      <c r="A103" s="358" t="s">
        <v>137</v>
      </c>
      <c r="B103" s="369">
        <v>100</v>
      </c>
      <c r="C103" s="372" t="s">
        <v>209</v>
      </c>
      <c r="D103" s="358" t="s">
        <v>145</v>
      </c>
      <c r="E103" s="373">
        <v>45670</v>
      </c>
      <c r="F103" s="372" t="s">
        <v>140</v>
      </c>
      <c r="G103" s="372">
        <v>9</v>
      </c>
      <c r="H103" s="372" t="s">
        <v>210</v>
      </c>
      <c r="I103" s="372" t="s">
        <v>211</v>
      </c>
      <c r="J103" s="21" t="s">
        <v>29</v>
      </c>
      <c r="K103" s="21"/>
      <c r="L103" s="21"/>
      <c r="M103" s="22" t="s">
        <v>30</v>
      </c>
      <c r="N103" s="23">
        <v>45747</v>
      </c>
      <c r="O103" s="21"/>
      <c r="P103" s="22" t="s">
        <v>30</v>
      </c>
      <c r="Q103" s="23">
        <v>45747</v>
      </c>
      <c r="R103" s="24" t="s">
        <v>67</v>
      </c>
      <c r="S103" s="22" t="s">
        <v>32</v>
      </c>
      <c r="T103" s="358">
        <v>9</v>
      </c>
      <c r="U103" s="24" t="s">
        <v>48</v>
      </c>
      <c r="V103" s="23">
        <v>45747</v>
      </c>
      <c r="W103" s="360" t="s">
        <v>113</v>
      </c>
      <c r="Y103"/>
      <c r="Z103"/>
      <c r="AA103"/>
    </row>
    <row r="104" spans="1:30">
      <c r="A104" s="358" t="s">
        <v>137</v>
      </c>
      <c r="B104" s="369">
        <v>101</v>
      </c>
      <c r="C104" s="372" t="s">
        <v>212</v>
      </c>
      <c r="D104" s="358" t="s">
        <v>213</v>
      </c>
      <c r="E104" s="373">
        <v>45670</v>
      </c>
      <c r="F104" s="372" t="s">
        <v>140</v>
      </c>
      <c r="G104" s="372">
        <v>6</v>
      </c>
      <c r="H104" s="372" t="s">
        <v>210</v>
      </c>
      <c r="I104" s="372" t="s">
        <v>211</v>
      </c>
      <c r="J104" s="21" t="s">
        <v>29</v>
      </c>
      <c r="K104" s="21"/>
      <c r="L104" s="21"/>
      <c r="M104" s="22" t="s">
        <v>30</v>
      </c>
      <c r="N104" s="23">
        <v>45747</v>
      </c>
      <c r="O104" s="21"/>
      <c r="P104" s="22" t="s">
        <v>30</v>
      </c>
      <c r="Q104" s="23">
        <v>45747</v>
      </c>
      <c r="R104" s="24" t="s">
        <v>67</v>
      </c>
      <c r="S104" s="22" t="s">
        <v>32</v>
      </c>
      <c r="T104" s="358">
        <v>6</v>
      </c>
      <c r="U104" s="24" t="s">
        <v>48</v>
      </c>
      <c r="V104" s="23">
        <v>45747</v>
      </c>
      <c r="W104" s="360" t="s">
        <v>113</v>
      </c>
      <c r="Y104"/>
      <c r="Z104"/>
      <c r="AA104"/>
    </row>
    <row r="105" spans="1:30">
      <c r="A105" s="358" t="s">
        <v>137</v>
      </c>
      <c r="B105" s="369">
        <v>102</v>
      </c>
      <c r="C105" s="372" t="s">
        <v>214</v>
      </c>
      <c r="D105" s="358" t="s">
        <v>215</v>
      </c>
      <c r="E105" s="373">
        <v>45670</v>
      </c>
      <c r="F105" s="372" t="s">
        <v>140</v>
      </c>
      <c r="G105" s="372">
        <v>63</v>
      </c>
      <c r="H105" s="372" t="s">
        <v>216</v>
      </c>
      <c r="I105" s="372" t="s">
        <v>217</v>
      </c>
      <c r="J105" s="21" t="s">
        <v>29</v>
      </c>
      <c r="K105" s="21"/>
      <c r="L105" s="21"/>
      <c r="M105" s="22" t="s">
        <v>30</v>
      </c>
      <c r="N105" s="23">
        <v>45747</v>
      </c>
      <c r="O105" s="21" t="s">
        <v>31</v>
      </c>
      <c r="P105" s="22" t="s">
        <v>30</v>
      </c>
      <c r="Q105" s="23">
        <v>45747</v>
      </c>
      <c r="R105" s="24" t="s">
        <v>67</v>
      </c>
      <c r="S105" s="22" t="s">
        <v>32</v>
      </c>
      <c r="T105" s="358">
        <v>63</v>
      </c>
      <c r="U105" s="24" t="s">
        <v>48</v>
      </c>
      <c r="V105" s="23">
        <v>45747</v>
      </c>
      <c r="W105" s="360" t="s">
        <v>113</v>
      </c>
      <c r="X105">
        <v>20</v>
      </c>
      <c r="Y105">
        <v>42</v>
      </c>
      <c r="Z105">
        <v>1</v>
      </c>
      <c r="AA105">
        <f>SUBTOTAL(9,X105:Z105)</f>
        <v>63</v>
      </c>
      <c r="AB105" s="75">
        <f>+X105/$AA105*AB$1</f>
        <v>2.8571428571428568</v>
      </c>
      <c r="AC105" s="75">
        <f>+Y105/$AA105*AC$1</f>
        <v>4</v>
      </c>
      <c r="AD105" s="75">
        <f>+Z105/$AA105*AD$1</f>
        <v>4.7619047619047616E-2</v>
      </c>
    </row>
    <row r="106" spans="1:30">
      <c r="A106" s="358" t="s">
        <v>137</v>
      </c>
      <c r="B106" s="369">
        <v>103</v>
      </c>
      <c r="C106" s="372" t="s">
        <v>218</v>
      </c>
      <c r="D106" s="358" t="s">
        <v>219</v>
      </c>
      <c r="E106" s="373">
        <v>45670</v>
      </c>
      <c r="F106" s="372" t="s">
        <v>140</v>
      </c>
      <c r="G106" s="372">
        <v>1</v>
      </c>
      <c r="H106" s="372" t="s">
        <v>22</v>
      </c>
      <c r="I106" s="372" t="s">
        <v>28</v>
      </c>
      <c r="J106" s="21" t="s">
        <v>29</v>
      </c>
      <c r="K106" s="21"/>
      <c r="L106" s="21"/>
      <c r="M106" s="22" t="s">
        <v>30</v>
      </c>
      <c r="N106" s="23">
        <v>45747</v>
      </c>
      <c r="O106" s="21"/>
      <c r="P106" s="22" t="s">
        <v>30</v>
      </c>
      <c r="Q106" s="23">
        <v>45747</v>
      </c>
      <c r="R106" s="24" t="s">
        <v>67</v>
      </c>
      <c r="S106" s="22" t="s">
        <v>32</v>
      </c>
      <c r="T106" s="358">
        <v>1</v>
      </c>
      <c r="U106" s="24" t="s">
        <v>48</v>
      </c>
      <c r="V106" s="23">
        <v>45747</v>
      </c>
      <c r="W106" s="360" t="s">
        <v>113</v>
      </c>
      <c r="Y106"/>
      <c r="Z106"/>
      <c r="AA106"/>
    </row>
    <row r="107" spans="1:30">
      <c r="A107" s="358" t="s">
        <v>137</v>
      </c>
      <c r="B107" s="369">
        <v>104</v>
      </c>
      <c r="C107" s="372" t="s">
        <v>220</v>
      </c>
      <c r="D107" s="358" t="s">
        <v>221</v>
      </c>
      <c r="E107" s="373">
        <v>45670</v>
      </c>
      <c r="F107" s="372" t="s">
        <v>140</v>
      </c>
      <c r="G107" s="372">
        <v>14</v>
      </c>
      <c r="H107" s="372" t="s">
        <v>210</v>
      </c>
      <c r="I107" s="372" t="s">
        <v>211</v>
      </c>
      <c r="J107" s="21" t="s">
        <v>29</v>
      </c>
      <c r="K107" s="21"/>
      <c r="L107" s="21"/>
      <c r="M107" s="22" t="s">
        <v>30</v>
      </c>
      <c r="N107" s="23">
        <v>45747</v>
      </c>
      <c r="O107" s="21"/>
      <c r="P107" s="22" t="s">
        <v>30</v>
      </c>
      <c r="Q107" s="23">
        <v>45747</v>
      </c>
      <c r="R107" s="24" t="s">
        <v>67</v>
      </c>
      <c r="S107" s="22" t="s">
        <v>32</v>
      </c>
      <c r="T107" s="358">
        <v>14</v>
      </c>
      <c r="U107" s="24" t="s">
        <v>48</v>
      </c>
      <c r="V107" s="23">
        <v>45747</v>
      </c>
      <c r="W107" s="360" t="s">
        <v>113</v>
      </c>
      <c r="Y107"/>
      <c r="Z107"/>
      <c r="AA107"/>
    </row>
    <row r="108" spans="1:30">
      <c r="A108" s="358" t="s">
        <v>137</v>
      </c>
      <c r="B108" s="369">
        <v>105</v>
      </c>
      <c r="C108" s="372" t="s">
        <v>222</v>
      </c>
      <c r="D108" s="358" t="s">
        <v>223</v>
      </c>
      <c r="E108" s="373">
        <v>45670</v>
      </c>
      <c r="F108" s="372" t="s">
        <v>140</v>
      </c>
      <c r="G108" s="372">
        <v>4</v>
      </c>
      <c r="H108" s="372" t="s">
        <v>22</v>
      </c>
      <c r="I108" s="372" t="s">
        <v>28</v>
      </c>
      <c r="J108" s="21" t="s">
        <v>29</v>
      </c>
      <c r="K108" s="21"/>
      <c r="L108" s="21"/>
      <c r="M108" s="22" t="s">
        <v>30</v>
      </c>
      <c r="N108" s="23">
        <v>45747</v>
      </c>
      <c r="O108" s="21"/>
      <c r="P108" s="22" t="s">
        <v>30</v>
      </c>
      <c r="Q108" s="23">
        <v>45747</v>
      </c>
      <c r="R108" s="24" t="s">
        <v>67</v>
      </c>
      <c r="S108" s="22" t="s">
        <v>32</v>
      </c>
      <c r="T108" s="358">
        <v>4</v>
      </c>
      <c r="U108" s="24" t="s">
        <v>48</v>
      </c>
      <c r="V108" s="23">
        <v>45747</v>
      </c>
      <c r="W108" s="360" t="s">
        <v>113</v>
      </c>
      <c r="Y108"/>
      <c r="Z108"/>
      <c r="AA108"/>
    </row>
    <row r="109" spans="1:30">
      <c r="A109" s="358" t="s">
        <v>137</v>
      </c>
      <c r="B109" s="369">
        <v>106</v>
      </c>
      <c r="C109" s="372" t="s">
        <v>224</v>
      </c>
      <c r="D109" s="358" t="s">
        <v>225</v>
      </c>
      <c r="E109" s="373">
        <v>45670</v>
      </c>
      <c r="F109" s="372" t="s">
        <v>140</v>
      </c>
      <c r="G109" s="372">
        <v>5</v>
      </c>
      <c r="H109" s="372" t="s">
        <v>21</v>
      </c>
      <c r="I109" s="372" t="s">
        <v>36</v>
      </c>
      <c r="J109" s="21" t="s">
        <v>29</v>
      </c>
      <c r="K109" s="21"/>
      <c r="L109" s="21"/>
      <c r="M109" s="22" t="s">
        <v>30</v>
      </c>
      <c r="N109" s="23">
        <v>45747</v>
      </c>
      <c r="O109" s="21"/>
      <c r="P109" s="22" t="s">
        <v>30</v>
      </c>
      <c r="Q109" s="23">
        <v>45747</v>
      </c>
      <c r="R109" s="24" t="s">
        <v>67</v>
      </c>
      <c r="S109" s="22" t="s">
        <v>32</v>
      </c>
      <c r="T109" s="358">
        <v>5</v>
      </c>
      <c r="U109" s="24" t="s">
        <v>48</v>
      </c>
      <c r="V109" s="23">
        <v>45747</v>
      </c>
      <c r="W109" s="360" t="s">
        <v>113</v>
      </c>
      <c r="Y109"/>
      <c r="Z109"/>
      <c r="AA109"/>
    </row>
    <row r="110" spans="1:30">
      <c r="A110" s="358" t="s">
        <v>137</v>
      </c>
      <c r="B110" s="369">
        <v>107</v>
      </c>
      <c r="C110" s="372" t="s">
        <v>226</v>
      </c>
      <c r="D110" s="358" t="s">
        <v>227</v>
      </c>
      <c r="E110" s="373">
        <v>45670</v>
      </c>
      <c r="F110" s="372" t="s">
        <v>140</v>
      </c>
      <c r="G110" s="372">
        <v>35</v>
      </c>
      <c r="H110" s="372" t="s">
        <v>141</v>
      </c>
      <c r="I110" s="372" t="s">
        <v>228</v>
      </c>
      <c r="J110" s="21" t="s">
        <v>29</v>
      </c>
      <c r="K110" s="21"/>
      <c r="L110" s="21"/>
      <c r="M110" s="22" t="s">
        <v>30</v>
      </c>
      <c r="N110" s="23">
        <v>45747</v>
      </c>
      <c r="O110" s="21" t="s">
        <v>31</v>
      </c>
      <c r="P110" s="22" t="s">
        <v>30</v>
      </c>
      <c r="Q110" s="23">
        <v>45747</v>
      </c>
      <c r="R110" s="24" t="s">
        <v>67</v>
      </c>
      <c r="S110" s="22" t="s">
        <v>32</v>
      </c>
      <c r="T110" s="358">
        <v>35</v>
      </c>
      <c r="U110" s="24" t="s">
        <v>48</v>
      </c>
      <c r="V110" s="23">
        <v>45747</v>
      </c>
      <c r="W110" s="360" t="s">
        <v>113</v>
      </c>
      <c r="X110">
        <v>34</v>
      </c>
      <c r="Y110">
        <v>1</v>
      </c>
      <c r="Z110"/>
      <c r="AA110">
        <f>SUBTOTAL(9,X110:Z110)</f>
        <v>35</v>
      </c>
      <c r="AB110" s="75">
        <f>+X110/$AA110*AB$1</f>
        <v>8.742857142857142</v>
      </c>
      <c r="AC110" s="75">
        <f>+Y110/$AA110*AC$1</f>
        <v>0.17142857142857143</v>
      </c>
      <c r="AD110" s="75">
        <f>+Z110/$AA110*AD$1</f>
        <v>0</v>
      </c>
    </row>
    <row r="111" spans="1:30">
      <c r="A111" s="358" t="s">
        <v>137</v>
      </c>
      <c r="B111" s="369">
        <v>108</v>
      </c>
      <c r="C111" s="372" t="s">
        <v>229</v>
      </c>
      <c r="D111" s="358" t="s">
        <v>230</v>
      </c>
      <c r="E111" s="373">
        <v>45670</v>
      </c>
      <c r="F111" s="372" t="s">
        <v>140</v>
      </c>
      <c r="G111" s="372">
        <v>9</v>
      </c>
      <c r="H111" s="372" t="s">
        <v>21</v>
      </c>
      <c r="I111" s="372" t="s">
        <v>36</v>
      </c>
      <c r="J111" s="21" t="s">
        <v>29</v>
      </c>
      <c r="K111" s="21"/>
      <c r="L111" s="21"/>
      <c r="M111" s="22" t="s">
        <v>30</v>
      </c>
      <c r="N111" s="23">
        <v>45747</v>
      </c>
      <c r="O111" s="21"/>
      <c r="P111" s="22" t="s">
        <v>30</v>
      </c>
      <c r="Q111" s="23">
        <v>45747</v>
      </c>
      <c r="R111" s="24" t="s">
        <v>67</v>
      </c>
      <c r="S111" s="22" t="s">
        <v>32</v>
      </c>
      <c r="T111" s="358">
        <v>9</v>
      </c>
      <c r="U111" s="24" t="s">
        <v>48</v>
      </c>
      <c r="V111" s="23">
        <v>45747</v>
      </c>
      <c r="W111" s="360" t="s">
        <v>113</v>
      </c>
      <c r="Y111" s="412"/>
      <c r="Z111" s="412"/>
      <c r="AA111" s="412"/>
    </row>
    <row r="112" spans="1:30" ht="15.75" customHeight="1">
      <c r="A112" s="358" t="s">
        <v>24</v>
      </c>
      <c r="B112" s="369">
        <v>109</v>
      </c>
      <c r="C112" s="372" t="s">
        <v>231</v>
      </c>
      <c r="D112" s="372" t="s">
        <v>34</v>
      </c>
      <c r="E112" s="373">
        <v>45677</v>
      </c>
      <c r="F112" s="372" t="s">
        <v>232</v>
      </c>
      <c r="G112" s="372">
        <v>22</v>
      </c>
      <c r="H112" s="372" t="s">
        <v>46</v>
      </c>
      <c r="I112" s="372" t="s">
        <v>47</v>
      </c>
      <c r="J112" s="21" t="s">
        <v>29</v>
      </c>
      <c r="K112" s="21"/>
      <c r="L112" s="21"/>
      <c r="M112" s="22" t="s">
        <v>30</v>
      </c>
      <c r="N112" s="23">
        <v>45747</v>
      </c>
      <c r="O112" s="21" t="s">
        <v>31</v>
      </c>
      <c r="P112" s="22" t="s">
        <v>30</v>
      </c>
      <c r="Q112" s="23">
        <v>45747</v>
      </c>
      <c r="R112" s="81" t="s">
        <v>47</v>
      </c>
      <c r="S112" s="22" t="s">
        <v>32</v>
      </c>
      <c r="T112" s="22">
        <v>22</v>
      </c>
      <c r="U112" s="22" t="s">
        <v>47</v>
      </c>
      <c r="V112" s="23">
        <v>45747</v>
      </c>
      <c r="W112" s="360" t="s">
        <v>30</v>
      </c>
      <c r="Y112" s="412"/>
      <c r="Z112" s="412"/>
      <c r="AA112" s="412"/>
    </row>
    <row r="113" spans="1:27" ht="15.75" customHeight="1">
      <c r="A113" s="358" t="s">
        <v>24</v>
      </c>
      <c r="B113" s="369">
        <v>110</v>
      </c>
      <c r="C113" s="372" t="s">
        <v>233</v>
      </c>
      <c r="D113" s="372" t="s">
        <v>234</v>
      </c>
      <c r="E113" s="373">
        <v>45678</v>
      </c>
      <c r="F113" s="372" t="s">
        <v>232</v>
      </c>
      <c r="G113" s="372">
        <v>20</v>
      </c>
      <c r="H113" s="372" t="s">
        <v>46</v>
      </c>
      <c r="I113" s="372" t="s">
        <v>47</v>
      </c>
      <c r="J113" s="21" t="s">
        <v>29</v>
      </c>
      <c r="K113" s="21"/>
      <c r="L113" s="21"/>
      <c r="M113" s="22" t="s">
        <v>30</v>
      </c>
      <c r="N113" s="23">
        <v>45747</v>
      </c>
      <c r="O113" s="21" t="s">
        <v>31</v>
      </c>
      <c r="P113" s="22" t="s">
        <v>30</v>
      </c>
      <c r="Q113" s="23">
        <v>45747</v>
      </c>
      <c r="R113" s="81" t="s">
        <v>47</v>
      </c>
      <c r="S113" s="22" t="s">
        <v>32</v>
      </c>
      <c r="T113" s="22">
        <v>20</v>
      </c>
      <c r="U113" s="24" t="s">
        <v>47</v>
      </c>
      <c r="V113" s="23">
        <v>45747</v>
      </c>
      <c r="W113" s="360" t="s">
        <v>30</v>
      </c>
      <c r="Y113"/>
      <c r="Z113"/>
      <c r="AA113"/>
    </row>
    <row r="114" spans="1:27" ht="15.75" customHeight="1">
      <c r="A114" s="358" t="s">
        <v>24</v>
      </c>
      <c r="B114" s="369">
        <v>111</v>
      </c>
      <c r="C114" s="372" t="s">
        <v>235</v>
      </c>
      <c r="D114" s="372" t="s">
        <v>64</v>
      </c>
      <c r="E114" s="373">
        <v>45678</v>
      </c>
      <c r="F114" s="372" t="s">
        <v>236</v>
      </c>
      <c r="G114" s="372">
        <v>12</v>
      </c>
      <c r="H114" s="372" t="s">
        <v>21</v>
      </c>
      <c r="I114" s="372" t="s">
        <v>36</v>
      </c>
      <c r="J114" s="21" t="s">
        <v>237</v>
      </c>
      <c r="K114" s="21" t="s">
        <v>238</v>
      </c>
      <c r="L114" s="21"/>
      <c r="M114" s="22" t="s">
        <v>30</v>
      </c>
      <c r="N114" s="23">
        <v>45712</v>
      </c>
      <c r="O114" s="21" t="s">
        <v>66</v>
      </c>
      <c r="P114" s="22" t="s">
        <v>30</v>
      </c>
      <c r="Q114" s="23">
        <v>45712</v>
      </c>
      <c r="R114" s="81" t="s">
        <v>21</v>
      </c>
      <c r="S114" s="22" t="s">
        <v>32</v>
      </c>
      <c r="T114" s="22">
        <v>12</v>
      </c>
      <c r="U114" s="24" t="s">
        <v>21</v>
      </c>
      <c r="V114" s="23">
        <v>45712</v>
      </c>
      <c r="W114" s="82" t="s">
        <v>30</v>
      </c>
      <c r="Y114"/>
      <c r="Z114"/>
      <c r="AA114"/>
    </row>
    <row r="115" spans="1:27" ht="15.75" customHeight="1">
      <c r="A115" s="358" t="s">
        <v>24</v>
      </c>
      <c r="B115" s="369">
        <v>112</v>
      </c>
      <c r="C115" s="372" t="s">
        <v>239</v>
      </c>
      <c r="D115" s="372" t="s">
        <v>43</v>
      </c>
      <c r="E115" s="373">
        <v>45678</v>
      </c>
      <c r="F115" s="372" t="s">
        <v>236</v>
      </c>
      <c r="G115" s="372">
        <v>12</v>
      </c>
      <c r="H115" s="372" t="s">
        <v>21</v>
      </c>
      <c r="I115" s="372" t="s">
        <v>36</v>
      </c>
      <c r="J115" s="21" t="s">
        <v>237</v>
      </c>
      <c r="K115" s="21" t="s">
        <v>238</v>
      </c>
      <c r="L115" s="21"/>
      <c r="M115" s="22" t="s">
        <v>30</v>
      </c>
      <c r="N115" s="23">
        <v>45712</v>
      </c>
      <c r="O115" s="21"/>
      <c r="P115" s="22" t="s">
        <v>30</v>
      </c>
      <c r="Q115" s="23">
        <v>45712</v>
      </c>
      <c r="R115" s="81" t="s">
        <v>21</v>
      </c>
      <c r="S115" s="22" t="s">
        <v>32</v>
      </c>
      <c r="T115" s="22">
        <v>12</v>
      </c>
      <c r="U115" s="24" t="s">
        <v>21</v>
      </c>
      <c r="V115" s="23">
        <v>45712</v>
      </c>
      <c r="W115" s="360" t="s">
        <v>30</v>
      </c>
      <c r="Y115"/>
      <c r="Z115"/>
      <c r="AA115"/>
    </row>
    <row r="116" spans="1:27" ht="15.75" customHeight="1">
      <c r="A116" s="358" t="s">
        <v>24</v>
      </c>
      <c r="B116" s="369">
        <v>113</v>
      </c>
      <c r="C116" s="372" t="s">
        <v>240</v>
      </c>
      <c r="D116" s="372" t="s">
        <v>50</v>
      </c>
      <c r="E116" s="373">
        <v>45678</v>
      </c>
      <c r="F116" s="372" t="s">
        <v>236</v>
      </c>
      <c r="G116" s="372">
        <v>12</v>
      </c>
      <c r="H116" s="372" t="s">
        <v>21</v>
      </c>
      <c r="I116" s="372" t="s">
        <v>36</v>
      </c>
      <c r="J116" s="21" t="s">
        <v>237</v>
      </c>
      <c r="K116" s="21" t="s">
        <v>238</v>
      </c>
      <c r="L116" s="21"/>
      <c r="M116" s="22" t="s">
        <v>30</v>
      </c>
      <c r="N116" s="23">
        <v>45712</v>
      </c>
      <c r="O116" s="21"/>
      <c r="P116" s="22" t="s">
        <v>30</v>
      </c>
      <c r="Q116" s="23">
        <v>45712</v>
      </c>
      <c r="R116" s="81" t="s">
        <v>21</v>
      </c>
      <c r="S116" s="22" t="s">
        <v>32</v>
      </c>
      <c r="T116" s="22">
        <v>12</v>
      </c>
      <c r="U116" s="24" t="s">
        <v>21</v>
      </c>
      <c r="V116" s="23">
        <v>45712</v>
      </c>
      <c r="W116" s="360" t="s">
        <v>30</v>
      </c>
      <c r="Y116"/>
      <c r="Z116"/>
      <c r="AA116"/>
    </row>
    <row r="117" spans="1:27" ht="15.75" customHeight="1">
      <c r="A117" s="358" t="s">
        <v>24</v>
      </c>
      <c r="B117" s="369">
        <v>114</v>
      </c>
      <c r="C117" s="372" t="s">
        <v>241</v>
      </c>
      <c r="D117" s="372" t="s">
        <v>34</v>
      </c>
      <c r="E117" s="373">
        <v>45678</v>
      </c>
      <c r="F117" s="372" t="s">
        <v>242</v>
      </c>
      <c r="G117" s="372">
        <v>8</v>
      </c>
      <c r="H117" s="372" t="s">
        <v>46</v>
      </c>
      <c r="I117" s="372" t="s">
        <v>47</v>
      </c>
      <c r="J117" s="21" t="s">
        <v>29</v>
      </c>
      <c r="K117" s="21" t="s">
        <v>243</v>
      </c>
      <c r="L117" s="21"/>
      <c r="M117" s="22" t="s">
        <v>30</v>
      </c>
      <c r="N117" s="23">
        <v>45692</v>
      </c>
      <c r="O117" s="21"/>
      <c r="P117" s="22" t="s">
        <v>30</v>
      </c>
      <c r="Q117" s="23">
        <v>45692</v>
      </c>
      <c r="R117" s="81" t="s">
        <v>46</v>
      </c>
      <c r="S117" s="22" t="s">
        <v>32</v>
      </c>
      <c r="T117" s="22">
        <v>8</v>
      </c>
      <c r="U117" s="22" t="s">
        <v>46</v>
      </c>
      <c r="V117" s="23">
        <v>45692</v>
      </c>
      <c r="W117" s="82" t="s">
        <v>30</v>
      </c>
      <c r="Y117"/>
      <c r="Z117"/>
      <c r="AA117"/>
    </row>
    <row r="118" spans="1:27" ht="15.75" customHeight="1">
      <c r="A118" s="358" t="s">
        <v>24</v>
      </c>
      <c r="B118" s="369">
        <v>115</v>
      </c>
      <c r="C118" s="372" t="s">
        <v>244</v>
      </c>
      <c r="D118" s="372" t="s">
        <v>34</v>
      </c>
      <c r="E118" s="373">
        <v>45679</v>
      </c>
      <c r="F118" s="372" t="s">
        <v>245</v>
      </c>
      <c r="G118" s="372">
        <v>15</v>
      </c>
      <c r="H118" s="372" t="s">
        <v>46</v>
      </c>
      <c r="I118" s="372" t="s">
        <v>47</v>
      </c>
      <c r="J118" s="21" t="s">
        <v>29</v>
      </c>
      <c r="K118" s="21"/>
      <c r="L118" s="21"/>
      <c r="M118" s="22" t="s">
        <v>30</v>
      </c>
      <c r="N118" s="23">
        <v>45692</v>
      </c>
      <c r="O118" s="21" t="s">
        <v>31</v>
      </c>
      <c r="P118" s="22" t="s">
        <v>30</v>
      </c>
      <c r="Q118" s="23">
        <v>45692</v>
      </c>
      <c r="R118" s="81" t="s">
        <v>46</v>
      </c>
      <c r="S118" s="22" t="s">
        <v>32</v>
      </c>
      <c r="T118" s="22">
        <v>15</v>
      </c>
      <c r="U118" s="22" t="s">
        <v>46</v>
      </c>
      <c r="V118" s="23">
        <v>45692</v>
      </c>
      <c r="W118" s="82" t="s">
        <v>30</v>
      </c>
      <c r="Y118"/>
      <c r="Z118"/>
      <c r="AA118"/>
    </row>
    <row r="119" spans="1:27" ht="15.75" customHeight="1">
      <c r="A119" s="358" t="s">
        <v>24</v>
      </c>
      <c r="B119" s="369">
        <v>116</v>
      </c>
      <c r="C119" s="372" t="s">
        <v>246</v>
      </c>
      <c r="D119" s="372" t="s">
        <v>64</v>
      </c>
      <c r="E119" s="373">
        <v>45679</v>
      </c>
      <c r="F119" s="372" t="s">
        <v>247</v>
      </c>
      <c r="G119" s="372">
        <v>5</v>
      </c>
      <c r="H119" s="372" t="s">
        <v>46</v>
      </c>
      <c r="I119" s="372" t="s">
        <v>47</v>
      </c>
      <c r="J119" s="21" t="s">
        <v>29</v>
      </c>
      <c r="K119" s="21" t="s">
        <v>248</v>
      </c>
      <c r="L119" s="21"/>
      <c r="M119" s="22" t="s">
        <v>30</v>
      </c>
      <c r="N119" s="23">
        <v>45699</v>
      </c>
      <c r="O119" s="21" t="s">
        <v>66</v>
      </c>
      <c r="P119" s="22" t="s">
        <v>30</v>
      </c>
      <c r="Q119" s="23">
        <v>45699</v>
      </c>
      <c r="R119" s="81" t="s">
        <v>46</v>
      </c>
      <c r="S119" s="22" t="s">
        <v>32</v>
      </c>
      <c r="T119" s="22">
        <v>5</v>
      </c>
      <c r="U119" s="22" t="s">
        <v>46</v>
      </c>
      <c r="V119" s="23">
        <v>45699</v>
      </c>
      <c r="W119" s="82" t="s">
        <v>30</v>
      </c>
      <c r="Y119"/>
      <c r="Z119"/>
      <c r="AA119"/>
    </row>
    <row r="120" spans="1:27" ht="15.75" customHeight="1">
      <c r="A120" s="358" t="s">
        <v>24</v>
      </c>
      <c r="B120" s="369">
        <v>117</v>
      </c>
      <c r="C120" s="372" t="s">
        <v>249</v>
      </c>
      <c r="D120" s="372" t="s">
        <v>50</v>
      </c>
      <c r="E120" s="373">
        <v>45679</v>
      </c>
      <c r="F120" s="372" t="s">
        <v>247</v>
      </c>
      <c r="G120" s="372">
        <v>5</v>
      </c>
      <c r="H120" s="372" t="s">
        <v>46</v>
      </c>
      <c r="I120" s="372" t="s">
        <v>47</v>
      </c>
      <c r="J120" s="21" t="s">
        <v>29</v>
      </c>
      <c r="K120" s="21" t="s">
        <v>248</v>
      </c>
      <c r="L120" s="21"/>
      <c r="M120" s="22" t="s">
        <v>30</v>
      </c>
      <c r="N120" s="23">
        <v>45699</v>
      </c>
      <c r="O120" s="21"/>
      <c r="P120" s="22" t="s">
        <v>30</v>
      </c>
      <c r="Q120" s="23">
        <v>45699</v>
      </c>
      <c r="R120" s="81" t="s">
        <v>46</v>
      </c>
      <c r="S120" s="22" t="s">
        <v>32</v>
      </c>
      <c r="T120" s="22">
        <v>5</v>
      </c>
      <c r="U120" s="22" t="s">
        <v>46</v>
      </c>
      <c r="V120" s="23">
        <v>45699</v>
      </c>
      <c r="W120" s="82" t="s">
        <v>30</v>
      </c>
      <c r="Y120" s="412"/>
      <c r="Z120" s="412"/>
      <c r="AA120" s="412"/>
    </row>
    <row r="121" spans="1:27" ht="15.75" customHeight="1">
      <c r="A121" s="358" t="s">
        <v>24</v>
      </c>
      <c r="B121" s="369">
        <v>118</v>
      </c>
      <c r="C121" s="372" t="s">
        <v>250</v>
      </c>
      <c r="D121" s="372" t="s">
        <v>43</v>
      </c>
      <c r="E121" s="373">
        <v>45679</v>
      </c>
      <c r="F121" s="372" t="s">
        <v>247</v>
      </c>
      <c r="G121" s="372">
        <v>5</v>
      </c>
      <c r="H121" s="372" t="s">
        <v>46</v>
      </c>
      <c r="I121" s="372" t="s">
        <v>47</v>
      </c>
      <c r="J121" s="21" t="s">
        <v>29</v>
      </c>
      <c r="K121" s="21" t="s">
        <v>248</v>
      </c>
      <c r="L121" s="21"/>
      <c r="M121" s="22" t="s">
        <v>30</v>
      </c>
      <c r="N121" s="23">
        <v>45699</v>
      </c>
      <c r="O121" s="21"/>
      <c r="P121" s="22" t="s">
        <v>30</v>
      </c>
      <c r="Q121" s="23">
        <v>45699</v>
      </c>
      <c r="R121" s="81" t="s">
        <v>46</v>
      </c>
      <c r="S121" s="22" t="s">
        <v>32</v>
      </c>
      <c r="T121" s="22">
        <v>5</v>
      </c>
      <c r="U121" s="22" t="s">
        <v>46</v>
      </c>
      <c r="V121" s="23">
        <v>45699</v>
      </c>
      <c r="W121" s="82" t="s">
        <v>30</v>
      </c>
      <c r="Y121" s="412"/>
      <c r="Z121" s="412"/>
      <c r="AA121" s="412"/>
    </row>
    <row r="122" spans="1:27" ht="15.75" customHeight="1">
      <c r="A122" s="358" t="s">
        <v>24</v>
      </c>
      <c r="B122" s="369">
        <v>119</v>
      </c>
      <c r="C122" s="21" t="s">
        <v>251</v>
      </c>
      <c r="D122" s="372" t="s">
        <v>34</v>
      </c>
      <c r="E122" s="373">
        <v>45679</v>
      </c>
      <c r="F122" s="372" t="s">
        <v>87</v>
      </c>
      <c r="G122" s="372">
        <v>23</v>
      </c>
      <c r="H122" s="372" t="s">
        <v>21</v>
      </c>
      <c r="I122" s="372" t="s">
        <v>36</v>
      </c>
      <c r="J122" s="21" t="s">
        <v>29</v>
      </c>
      <c r="K122" s="21"/>
      <c r="L122" s="21"/>
      <c r="M122" s="22" t="s">
        <v>30</v>
      </c>
      <c r="N122" s="23">
        <v>45737</v>
      </c>
      <c r="O122" s="21" t="s">
        <v>31</v>
      </c>
      <c r="P122" s="22" t="s">
        <v>30</v>
      </c>
      <c r="Q122" s="23">
        <v>45737</v>
      </c>
      <c r="R122" s="81" t="s">
        <v>67</v>
      </c>
      <c r="S122" s="22" t="s">
        <v>32</v>
      </c>
      <c r="T122" s="22">
        <v>22</v>
      </c>
      <c r="U122" s="22" t="s">
        <v>67</v>
      </c>
      <c r="V122" s="23">
        <v>45737</v>
      </c>
      <c r="W122" s="360" t="s">
        <v>30</v>
      </c>
      <c r="Y122" s="412"/>
      <c r="Z122" s="412"/>
      <c r="AA122" s="412"/>
    </row>
    <row r="123" spans="1:27" ht="15.75" customHeight="1">
      <c r="A123" s="358" t="s">
        <v>24</v>
      </c>
      <c r="B123" s="369">
        <v>120</v>
      </c>
      <c r="C123" s="372" t="s">
        <v>252</v>
      </c>
      <c r="D123" s="372" t="s">
        <v>43</v>
      </c>
      <c r="E123" s="373">
        <v>45680</v>
      </c>
      <c r="F123" s="372" t="s">
        <v>173</v>
      </c>
      <c r="G123" s="372">
        <v>18</v>
      </c>
      <c r="H123" s="372" t="s">
        <v>46</v>
      </c>
      <c r="I123" s="372" t="s">
        <v>47</v>
      </c>
      <c r="J123" s="21" t="s">
        <v>29</v>
      </c>
      <c r="K123" s="21" t="s">
        <v>253</v>
      </c>
      <c r="L123" s="21"/>
      <c r="M123" s="24" t="s">
        <v>30</v>
      </c>
      <c r="N123" s="23">
        <v>45740</v>
      </c>
      <c r="O123" s="21" t="s">
        <v>31</v>
      </c>
      <c r="P123" s="24" t="s">
        <v>30</v>
      </c>
      <c r="Q123" s="23">
        <v>45740</v>
      </c>
      <c r="R123" s="81" t="s">
        <v>46</v>
      </c>
      <c r="S123" s="22" t="s">
        <v>32</v>
      </c>
      <c r="T123" s="22">
        <v>18</v>
      </c>
      <c r="U123" s="24" t="s">
        <v>46</v>
      </c>
      <c r="V123" s="23">
        <v>45740</v>
      </c>
      <c r="W123" s="82" t="s">
        <v>30</v>
      </c>
      <c r="Y123"/>
      <c r="Z123"/>
      <c r="AA123"/>
    </row>
    <row r="124" spans="1:27" ht="15.75" customHeight="1">
      <c r="A124" s="358" t="s">
        <v>24</v>
      </c>
      <c r="B124" s="369">
        <v>121</v>
      </c>
      <c r="C124" s="372" t="s">
        <v>254</v>
      </c>
      <c r="D124" s="372" t="s">
        <v>175</v>
      </c>
      <c r="E124" s="373">
        <v>45680</v>
      </c>
      <c r="F124" s="372" t="s">
        <v>183</v>
      </c>
      <c r="G124" s="372">
        <v>5</v>
      </c>
      <c r="H124" s="372" t="s">
        <v>22</v>
      </c>
      <c r="I124" s="372" t="s">
        <v>28</v>
      </c>
      <c r="J124" s="21" t="s">
        <v>29</v>
      </c>
      <c r="K124" s="21" t="s">
        <v>255</v>
      </c>
      <c r="L124" s="21"/>
      <c r="M124" s="22" t="s">
        <v>30</v>
      </c>
      <c r="N124" s="23">
        <v>45715</v>
      </c>
      <c r="O124" s="21"/>
      <c r="P124" s="22" t="s">
        <v>30</v>
      </c>
      <c r="Q124" s="23">
        <v>45715</v>
      </c>
      <c r="R124" s="81" t="s">
        <v>28</v>
      </c>
      <c r="S124" s="22" t="s">
        <v>32</v>
      </c>
      <c r="T124" s="22">
        <v>5</v>
      </c>
      <c r="U124" s="24" t="s">
        <v>28</v>
      </c>
      <c r="V124" s="23">
        <v>45715</v>
      </c>
      <c r="W124" s="82" t="s">
        <v>30</v>
      </c>
      <c r="Y124"/>
      <c r="Z124"/>
      <c r="AA124"/>
    </row>
    <row r="125" spans="1:27" ht="15.75" customHeight="1">
      <c r="A125" s="358" t="s">
        <v>24</v>
      </c>
      <c r="B125" s="369">
        <v>122</v>
      </c>
      <c r="C125" s="372" t="s">
        <v>256</v>
      </c>
      <c r="D125" s="372" t="s">
        <v>175</v>
      </c>
      <c r="E125" s="373">
        <v>45681</v>
      </c>
      <c r="F125" s="372" t="s">
        <v>183</v>
      </c>
      <c r="G125" s="372">
        <v>7</v>
      </c>
      <c r="H125" s="372" t="s">
        <v>22</v>
      </c>
      <c r="I125" s="372" t="s">
        <v>28</v>
      </c>
      <c r="J125" s="21" t="s">
        <v>29</v>
      </c>
      <c r="K125" s="21" t="s">
        <v>22</v>
      </c>
      <c r="L125" s="21"/>
      <c r="M125" s="22" t="s">
        <v>32</v>
      </c>
      <c r="N125" s="228" t="s">
        <v>257</v>
      </c>
      <c r="O125" s="21"/>
      <c r="P125" s="22" t="s">
        <v>32</v>
      </c>
      <c r="Q125" s="228" t="s">
        <v>257</v>
      </c>
      <c r="R125" s="81" t="s">
        <v>28</v>
      </c>
      <c r="S125" s="22"/>
      <c r="T125" s="22"/>
      <c r="U125" s="24"/>
      <c r="V125" s="23"/>
      <c r="W125" s="82" t="s">
        <v>32</v>
      </c>
      <c r="Y125"/>
      <c r="Z125"/>
      <c r="AA125"/>
    </row>
    <row r="126" spans="1:27" ht="15.75" customHeight="1">
      <c r="A126" s="358" t="s">
        <v>24</v>
      </c>
      <c r="B126" s="369">
        <v>123</v>
      </c>
      <c r="C126" s="372" t="s">
        <v>258</v>
      </c>
      <c r="D126" s="372" t="s">
        <v>259</v>
      </c>
      <c r="E126" s="373">
        <v>45681</v>
      </c>
      <c r="F126" s="372" t="s">
        <v>167</v>
      </c>
      <c r="G126" s="372">
        <v>15</v>
      </c>
      <c r="H126" s="372" t="s">
        <v>22</v>
      </c>
      <c r="I126" s="372" t="s">
        <v>28</v>
      </c>
      <c r="J126" s="21" t="s">
        <v>237</v>
      </c>
      <c r="K126" s="21"/>
      <c r="L126" s="21"/>
      <c r="M126" s="22" t="s">
        <v>30</v>
      </c>
      <c r="N126" s="23">
        <v>45705</v>
      </c>
      <c r="O126" s="21" t="s">
        <v>31</v>
      </c>
      <c r="P126" s="22" t="s">
        <v>30</v>
      </c>
      <c r="Q126" s="23">
        <v>45705</v>
      </c>
      <c r="R126" s="81" t="s">
        <v>28</v>
      </c>
      <c r="S126" s="22" t="s">
        <v>32</v>
      </c>
      <c r="T126" s="22">
        <v>13</v>
      </c>
      <c r="U126" s="24" t="s">
        <v>28</v>
      </c>
      <c r="V126" s="23">
        <v>45705</v>
      </c>
      <c r="W126" s="82" t="s">
        <v>30</v>
      </c>
      <c r="Y126"/>
      <c r="Z126"/>
      <c r="AA126"/>
    </row>
    <row r="127" spans="1:27" ht="15.75" customHeight="1">
      <c r="A127" s="358" t="s">
        <v>24</v>
      </c>
      <c r="B127" s="369">
        <v>124</v>
      </c>
      <c r="C127" s="21" t="s">
        <v>260</v>
      </c>
      <c r="D127" s="372" t="s">
        <v>50</v>
      </c>
      <c r="E127" s="373">
        <v>45681</v>
      </c>
      <c r="F127" s="372" t="s">
        <v>261</v>
      </c>
      <c r="G127" s="372">
        <v>10</v>
      </c>
      <c r="H127" s="372" t="s">
        <v>21</v>
      </c>
      <c r="I127" s="372" t="s">
        <v>36</v>
      </c>
      <c r="J127" s="21" t="s">
        <v>29</v>
      </c>
      <c r="K127" s="21"/>
      <c r="L127" s="21"/>
      <c r="M127" s="22" t="s">
        <v>30</v>
      </c>
      <c r="N127" s="23">
        <v>45737</v>
      </c>
      <c r="O127" s="21"/>
      <c r="P127" s="22" t="s">
        <v>30</v>
      </c>
      <c r="Q127" s="23">
        <v>45737</v>
      </c>
      <c r="R127" s="81" t="s">
        <v>67</v>
      </c>
      <c r="S127" s="22" t="s">
        <v>32</v>
      </c>
      <c r="T127" s="22">
        <v>10</v>
      </c>
      <c r="U127" s="22" t="s">
        <v>67</v>
      </c>
      <c r="V127" s="23">
        <v>45737</v>
      </c>
      <c r="W127" s="360" t="s">
        <v>30</v>
      </c>
      <c r="Y127"/>
      <c r="Z127"/>
      <c r="AA127"/>
    </row>
    <row r="128" spans="1:27" ht="15.75" customHeight="1">
      <c r="A128" s="358" t="s">
        <v>24</v>
      </c>
      <c r="B128" s="369">
        <v>125</v>
      </c>
      <c r="C128" s="372" t="s">
        <v>262</v>
      </c>
      <c r="D128" s="372" t="s">
        <v>43</v>
      </c>
      <c r="E128" s="373">
        <v>45681</v>
      </c>
      <c r="F128" s="372" t="s">
        <v>187</v>
      </c>
      <c r="G128" s="372">
        <v>12</v>
      </c>
      <c r="H128" s="372" t="s">
        <v>21</v>
      </c>
      <c r="I128" s="372" t="s">
        <v>36</v>
      </c>
      <c r="J128" s="21" t="s">
        <v>237</v>
      </c>
      <c r="K128" s="21" t="s">
        <v>238</v>
      </c>
      <c r="L128" s="21"/>
      <c r="M128" s="22" t="s">
        <v>30</v>
      </c>
      <c r="N128" s="23">
        <v>45748</v>
      </c>
      <c r="O128" s="21" t="s">
        <v>66</v>
      </c>
      <c r="P128" s="22" t="s">
        <v>30</v>
      </c>
      <c r="Q128" s="23">
        <v>45748</v>
      </c>
      <c r="R128" s="81" t="s">
        <v>67</v>
      </c>
      <c r="S128" s="22" t="s">
        <v>32</v>
      </c>
      <c r="T128" s="22">
        <v>12</v>
      </c>
      <c r="U128" s="22" t="s">
        <v>67</v>
      </c>
      <c r="V128" s="23">
        <v>45748</v>
      </c>
      <c r="W128" s="360" t="s">
        <v>30</v>
      </c>
      <c r="Y128"/>
      <c r="Z128"/>
      <c r="AA128"/>
    </row>
    <row r="129" spans="1:27" ht="15.75" customHeight="1">
      <c r="A129" s="358" t="s">
        <v>24</v>
      </c>
      <c r="B129" s="369">
        <v>126</v>
      </c>
      <c r="C129" s="372" t="s">
        <v>263</v>
      </c>
      <c r="D129" s="372" t="s">
        <v>50</v>
      </c>
      <c r="E129" s="373">
        <v>45681</v>
      </c>
      <c r="F129" s="372" t="s">
        <v>187</v>
      </c>
      <c r="G129" s="372">
        <v>12</v>
      </c>
      <c r="H129" s="372" t="s">
        <v>21</v>
      </c>
      <c r="I129" s="372" t="s">
        <v>36</v>
      </c>
      <c r="J129" s="21" t="s">
        <v>237</v>
      </c>
      <c r="K129" s="21" t="s">
        <v>238</v>
      </c>
      <c r="L129" s="21"/>
      <c r="M129" s="22" t="s">
        <v>30</v>
      </c>
      <c r="N129" s="23">
        <v>45748</v>
      </c>
      <c r="O129" s="21"/>
      <c r="P129" s="22" t="s">
        <v>30</v>
      </c>
      <c r="Q129" s="23">
        <v>45748</v>
      </c>
      <c r="R129" s="81" t="s">
        <v>67</v>
      </c>
      <c r="S129" s="22" t="s">
        <v>32</v>
      </c>
      <c r="T129" s="22">
        <v>12</v>
      </c>
      <c r="U129" s="22" t="s">
        <v>67</v>
      </c>
      <c r="V129" s="23">
        <v>45759</v>
      </c>
      <c r="W129" s="360" t="s">
        <v>30</v>
      </c>
      <c r="Y129"/>
      <c r="Z129"/>
      <c r="AA129"/>
    </row>
    <row r="130" spans="1:27" ht="15.75" customHeight="1">
      <c r="A130" s="358" t="s">
        <v>24</v>
      </c>
      <c r="B130" s="369">
        <v>127</v>
      </c>
      <c r="C130" s="372" t="s">
        <v>264</v>
      </c>
      <c r="D130" s="372" t="s">
        <v>64</v>
      </c>
      <c r="E130" s="373">
        <v>45681</v>
      </c>
      <c r="F130" s="372" t="s">
        <v>187</v>
      </c>
      <c r="G130" s="372">
        <v>12</v>
      </c>
      <c r="H130" s="372" t="s">
        <v>21</v>
      </c>
      <c r="I130" s="372" t="s">
        <v>36</v>
      </c>
      <c r="J130" s="21" t="s">
        <v>237</v>
      </c>
      <c r="K130" s="21" t="s">
        <v>238</v>
      </c>
      <c r="L130" s="21"/>
      <c r="M130" s="22" t="s">
        <v>30</v>
      </c>
      <c r="N130" s="23">
        <v>45748</v>
      </c>
      <c r="O130" s="21"/>
      <c r="P130" s="22" t="s">
        <v>30</v>
      </c>
      <c r="Q130" s="23">
        <v>45748</v>
      </c>
      <c r="R130" s="81" t="s">
        <v>67</v>
      </c>
      <c r="S130" s="22" t="s">
        <v>32</v>
      </c>
      <c r="T130" s="22">
        <v>12</v>
      </c>
      <c r="U130" s="22" t="s">
        <v>67</v>
      </c>
      <c r="V130" s="23">
        <v>45748</v>
      </c>
      <c r="W130" s="360" t="s">
        <v>30</v>
      </c>
      <c r="Y130" s="412"/>
      <c r="Z130" s="412"/>
      <c r="AA130" s="412"/>
    </row>
    <row r="131" spans="1:27" ht="15.75" customHeight="1">
      <c r="A131" s="358" t="s">
        <v>24</v>
      </c>
      <c r="B131" s="369">
        <v>128</v>
      </c>
      <c r="C131" s="372" t="s">
        <v>265</v>
      </c>
      <c r="D131" s="372" t="s">
        <v>64</v>
      </c>
      <c r="E131" s="373">
        <v>45681</v>
      </c>
      <c r="F131" s="372" t="s">
        <v>266</v>
      </c>
      <c r="G131" s="372">
        <v>11</v>
      </c>
      <c r="H131" s="372" t="s">
        <v>46</v>
      </c>
      <c r="I131" s="372" t="s">
        <v>47</v>
      </c>
      <c r="J131" s="21" t="s">
        <v>237</v>
      </c>
      <c r="K131" s="21" t="s">
        <v>248</v>
      </c>
      <c r="L131" s="21"/>
      <c r="M131" s="22" t="s">
        <v>32</v>
      </c>
      <c r="N131" s="23">
        <v>45698</v>
      </c>
      <c r="O131" s="21" t="s">
        <v>66</v>
      </c>
      <c r="P131" s="22" t="s">
        <v>32</v>
      </c>
      <c r="Q131" s="23">
        <v>45698</v>
      </c>
      <c r="R131" s="81" t="s">
        <v>46</v>
      </c>
      <c r="S131" s="22" t="s">
        <v>32</v>
      </c>
      <c r="T131" s="22">
        <v>11</v>
      </c>
      <c r="U131" s="24" t="s">
        <v>46</v>
      </c>
      <c r="V131" s="23">
        <v>45698</v>
      </c>
      <c r="W131" s="82" t="s">
        <v>30</v>
      </c>
      <c r="Y131" s="412"/>
      <c r="Z131" s="412"/>
      <c r="AA131" s="412"/>
    </row>
    <row r="132" spans="1:27" ht="15.75" customHeight="1">
      <c r="A132" s="358" t="s">
        <v>24</v>
      </c>
      <c r="B132" s="369">
        <v>129</v>
      </c>
      <c r="C132" s="372" t="s">
        <v>267</v>
      </c>
      <c r="D132" s="372" t="s">
        <v>50</v>
      </c>
      <c r="E132" s="373">
        <v>45681</v>
      </c>
      <c r="F132" s="372" t="s">
        <v>266</v>
      </c>
      <c r="G132" s="372">
        <v>11</v>
      </c>
      <c r="H132" s="372" t="s">
        <v>46</v>
      </c>
      <c r="I132" s="372" t="s">
        <v>47</v>
      </c>
      <c r="J132" s="21" t="s">
        <v>237</v>
      </c>
      <c r="K132" s="21" t="s">
        <v>248</v>
      </c>
      <c r="L132" s="21"/>
      <c r="M132" s="22" t="s">
        <v>32</v>
      </c>
      <c r="N132" s="23">
        <v>45698</v>
      </c>
      <c r="O132" s="21"/>
      <c r="P132" s="22" t="s">
        <v>32</v>
      </c>
      <c r="Q132" s="23">
        <v>45698</v>
      </c>
      <c r="R132" s="81" t="s">
        <v>46</v>
      </c>
      <c r="S132" s="22" t="s">
        <v>32</v>
      </c>
      <c r="T132" s="22">
        <v>11</v>
      </c>
      <c r="U132" s="24" t="s">
        <v>46</v>
      </c>
      <c r="V132" s="23">
        <v>45698</v>
      </c>
      <c r="W132" s="82" t="s">
        <v>30</v>
      </c>
      <c r="Y132" s="412"/>
      <c r="Z132" s="412"/>
      <c r="AA132" s="412"/>
    </row>
    <row r="133" spans="1:27" ht="15.75" customHeight="1">
      <c r="A133" s="358" t="s">
        <v>24</v>
      </c>
      <c r="B133" s="369">
        <v>130</v>
      </c>
      <c r="C133" s="372" t="s">
        <v>268</v>
      </c>
      <c r="D133" s="372" t="s">
        <v>43</v>
      </c>
      <c r="E133" s="373">
        <v>45681</v>
      </c>
      <c r="F133" s="372" t="s">
        <v>266</v>
      </c>
      <c r="G133" s="372">
        <v>11</v>
      </c>
      <c r="H133" s="372" t="s">
        <v>46</v>
      </c>
      <c r="I133" s="372" t="s">
        <v>47</v>
      </c>
      <c r="J133" s="21" t="s">
        <v>237</v>
      </c>
      <c r="K133" s="21" t="s">
        <v>248</v>
      </c>
      <c r="L133" s="21"/>
      <c r="M133" s="22" t="s">
        <v>32</v>
      </c>
      <c r="N133" s="23">
        <v>45698</v>
      </c>
      <c r="O133" s="21"/>
      <c r="P133" s="22" t="s">
        <v>32</v>
      </c>
      <c r="Q133" s="23">
        <v>45698</v>
      </c>
      <c r="R133" s="81" t="s">
        <v>46</v>
      </c>
      <c r="S133" s="22" t="s">
        <v>32</v>
      </c>
      <c r="T133" s="22">
        <v>11</v>
      </c>
      <c r="U133" s="24" t="s">
        <v>46</v>
      </c>
      <c r="V133" s="23">
        <v>45698</v>
      </c>
      <c r="W133" s="82" t="s">
        <v>30</v>
      </c>
      <c r="Y133"/>
      <c r="Z133"/>
      <c r="AA133"/>
    </row>
    <row r="134" spans="1:27" ht="15.75" customHeight="1">
      <c r="A134" s="358" t="s">
        <v>24</v>
      </c>
      <c r="B134" s="369">
        <v>131</v>
      </c>
      <c r="C134" s="372" t="s">
        <v>269</v>
      </c>
      <c r="D134" s="372" t="s">
        <v>270</v>
      </c>
      <c r="E134" s="373">
        <v>45681</v>
      </c>
      <c r="F134" s="372" t="s">
        <v>266</v>
      </c>
      <c r="G134" s="372">
        <v>11</v>
      </c>
      <c r="H134" s="372" t="s">
        <v>46</v>
      </c>
      <c r="I134" s="372" t="s">
        <v>47</v>
      </c>
      <c r="J134" s="21" t="s">
        <v>237</v>
      </c>
      <c r="K134" s="21" t="s">
        <v>248</v>
      </c>
      <c r="L134" s="21"/>
      <c r="M134" s="22" t="s">
        <v>32</v>
      </c>
      <c r="N134" s="23">
        <v>45698</v>
      </c>
      <c r="O134" s="21"/>
      <c r="P134" s="22" t="s">
        <v>32</v>
      </c>
      <c r="Q134" s="23">
        <v>45698</v>
      </c>
      <c r="R134" s="81" t="s">
        <v>46</v>
      </c>
      <c r="S134" s="22" t="s">
        <v>32</v>
      </c>
      <c r="T134" s="22">
        <v>11</v>
      </c>
      <c r="U134" s="24" t="s">
        <v>46</v>
      </c>
      <c r="V134" s="23">
        <v>45698</v>
      </c>
      <c r="W134" s="82" t="s">
        <v>30</v>
      </c>
      <c r="Y134"/>
      <c r="Z134"/>
      <c r="AA134"/>
    </row>
    <row r="135" spans="1:27" ht="15.75" customHeight="1">
      <c r="A135" s="358" t="s">
        <v>24</v>
      </c>
      <c r="B135" s="369">
        <v>132</v>
      </c>
      <c r="C135" s="21" t="s">
        <v>271</v>
      </c>
      <c r="D135" s="372" t="s">
        <v>34</v>
      </c>
      <c r="E135" s="373">
        <v>45682</v>
      </c>
      <c r="F135" s="372" t="s">
        <v>272</v>
      </c>
      <c r="G135" s="372">
        <v>12</v>
      </c>
      <c r="H135" s="372" t="s">
        <v>21</v>
      </c>
      <c r="I135" s="372" t="s">
        <v>36</v>
      </c>
      <c r="J135" s="21" t="s">
        <v>29</v>
      </c>
      <c r="K135" s="21" t="s">
        <v>273</v>
      </c>
      <c r="L135" s="21"/>
      <c r="M135" s="22" t="s">
        <v>30</v>
      </c>
      <c r="N135" s="23">
        <v>45743</v>
      </c>
      <c r="O135" s="21"/>
      <c r="P135" s="22" t="s">
        <v>30</v>
      </c>
      <c r="Q135" s="23">
        <v>45743</v>
      </c>
      <c r="R135" s="81" t="s">
        <v>67</v>
      </c>
      <c r="S135" s="22" t="s">
        <v>32</v>
      </c>
      <c r="T135" s="22">
        <v>12</v>
      </c>
      <c r="U135" s="22" t="s">
        <v>67</v>
      </c>
      <c r="V135" s="23">
        <v>45743</v>
      </c>
      <c r="W135" s="360" t="s">
        <v>30</v>
      </c>
      <c r="Y135"/>
      <c r="Z135"/>
      <c r="AA135"/>
    </row>
    <row r="136" spans="1:27" ht="15.75" customHeight="1">
      <c r="A136" s="358" t="s">
        <v>24</v>
      </c>
      <c r="B136" s="369">
        <v>133</v>
      </c>
      <c r="C136" s="21" t="s">
        <v>274</v>
      </c>
      <c r="D136" s="372" t="s">
        <v>43</v>
      </c>
      <c r="E136" s="373">
        <v>45682</v>
      </c>
      <c r="F136" s="372" t="s">
        <v>272</v>
      </c>
      <c r="G136" s="372">
        <v>10</v>
      </c>
      <c r="H136" s="372" t="s">
        <v>21</v>
      </c>
      <c r="I136" s="372" t="s">
        <v>36</v>
      </c>
      <c r="J136" s="21" t="s">
        <v>29</v>
      </c>
      <c r="K136" s="21"/>
      <c r="L136" s="21"/>
      <c r="M136" s="22" t="s">
        <v>30</v>
      </c>
      <c r="N136" s="228">
        <v>45737</v>
      </c>
      <c r="O136" s="21" t="s">
        <v>66</v>
      </c>
      <c r="P136" s="22" t="s">
        <v>30</v>
      </c>
      <c r="Q136" s="228">
        <v>45737</v>
      </c>
      <c r="R136" s="81" t="s">
        <v>67</v>
      </c>
      <c r="S136" s="22" t="s">
        <v>32</v>
      </c>
      <c r="T136" s="22">
        <v>10</v>
      </c>
      <c r="U136" s="22" t="s">
        <v>67</v>
      </c>
      <c r="V136" s="23">
        <v>45737</v>
      </c>
      <c r="W136" s="360" t="s">
        <v>30</v>
      </c>
      <c r="Y136"/>
      <c r="Z136"/>
      <c r="AA136"/>
    </row>
    <row r="137" spans="1:27" ht="15.75" customHeight="1">
      <c r="A137" s="358" t="s">
        <v>24</v>
      </c>
      <c r="B137" s="369">
        <v>134</v>
      </c>
      <c r="C137" s="21" t="s">
        <v>275</v>
      </c>
      <c r="D137" s="372" t="s">
        <v>50</v>
      </c>
      <c r="E137" s="373">
        <v>45682</v>
      </c>
      <c r="F137" s="372" t="s">
        <v>272</v>
      </c>
      <c r="G137" s="372">
        <v>10</v>
      </c>
      <c r="H137" s="372" t="s">
        <v>21</v>
      </c>
      <c r="I137" s="372" t="s">
        <v>36</v>
      </c>
      <c r="J137" s="21" t="s">
        <v>29</v>
      </c>
      <c r="K137" s="21"/>
      <c r="L137" s="21"/>
      <c r="M137" s="22" t="s">
        <v>30</v>
      </c>
      <c r="N137" s="23">
        <v>45737</v>
      </c>
      <c r="O137" s="21"/>
      <c r="P137" s="22" t="s">
        <v>30</v>
      </c>
      <c r="Q137" s="23">
        <v>45737</v>
      </c>
      <c r="R137" s="81" t="s">
        <v>67</v>
      </c>
      <c r="S137" s="22" t="s">
        <v>32</v>
      </c>
      <c r="T137" s="22">
        <v>10</v>
      </c>
      <c r="U137" s="22" t="s">
        <v>67</v>
      </c>
      <c r="V137" s="23">
        <v>45737</v>
      </c>
      <c r="W137" s="360" t="s">
        <v>30</v>
      </c>
      <c r="Y137"/>
      <c r="Z137"/>
      <c r="AA137"/>
    </row>
    <row r="138" spans="1:27" ht="15.75" customHeight="1">
      <c r="A138" s="358" t="s">
        <v>24</v>
      </c>
      <c r="B138" s="369">
        <v>135</v>
      </c>
      <c r="C138" s="21" t="s">
        <v>276</v>
      </c>
      <c r="D138" s="372" t="s">
        <v>64</v>
      </c>
      <c r="E138" s="373">
        <v>45682</v>
      </c>
      <c r="F138" s="372" t="s">
        <v>272</v>
      </c>
      <c r="G138" s="372">
        <v>10</v>
      </c>
      <c r="H138" s="372" t="s">
        <v>21</v>
      </c>
      <c r="I138" s="372" t="s">
        <v>36</v>
      </c>
      <c r="J138" s="21" t="s">
        <v>29</v>
      </c>
      <c r="K138" s="21"/>
      <c r="L138" s="21"/>
      <c r="M138" s="22" t="s">
        <v>30</v>
      </c>
      <c r="N138" s="23">
        <v>45737</v>
      </c>
      <c r="O138" s="21"/>
      <c r="P138" s="22" t="s">
        <v>30</v>
      </c>
      <c r="Q138" s="23">
        <v>45737</v>
      </c>
      <c r="R138" s="81" t="s">
        <v>67</v>
      </c>
      <c r="S138" s="22" t="s">
        <v>32</v>
      </c>
      <c r="T138" s="22">
        <v>10</v>
      </c>
      <c r="U138" s="22" t="s">
        <v>67</v>
      </c>
      <c r="V138" s="23">
        <v>45737</v>
      </c>
      <c r="W138" s="360" t="s">
        <v>30</v>
      </c>
      <c r="Y138"/>
      <c r="Z138"/>
      <c r="AA138"/>
    </row>
    <row r="139" spans="1:27" ht="15.75" customHeight="1">
      <c r="A139" s="358" t="s">
        <v>24</v>
      </c>
      <c r="B139" s="369">
        <v>136</v>
      </c>
      <c r="C139" s="21" t="s">
        <v>277</v>
      </c>
      <c r="D139" s="372" t="s">
        <v>83</v>
      </c>
      <c r="E139" s="373">
        <v>45682</v>
      </c>
      <c r="F139" s="372" t="s">
        <v>272</v>
      </c>
      <c r="G139" s="372">
        <v>10</v>
      </c>
      <c r="H139" s="372" t="s">
        <v>21</v>
      </c>
      <c r="I139" s="372" t="s">
        <v>36</v>
      </c>
      <c r="J139" s="21" t="s">
        <v>29</v>
      </c>
      <c r="K139" s="21"/>
      <c r="L139" s="21"/>
      <c r="M139" s="22" t="s">
        <v>30</v>
      </c>
      <c r="N139" s="23">
        <v>45737</v>
      </c>
      <c r="O139" s="21"/>
      <c r="P139" s="22" t="s">
        <v>30</v>
      </c>
      <c r="Q139" s="23">
        <v>45737</v>
      </c>
      <c r="R139" s="81" t="s">
        <v>67</v>
      </c>
      <c r="S139" s="22" t="s">
        <v>32</v>
      </c>
      <c r="T139" s="22">
        <v>10</v>
      </c>
      <c r="U139" s="22" t="s">
        <v>67</v>
      </c>
      <c r="V139" s="23">
        <v>45737</v>
      </c>
      <c r="W139" s="360" t="s">
        <v>30</v>
      </c>
      <c r="Y139"/>
      <c r="Z139"/>
      <c r="AA139"/>
    </row>
    <row r="140" spans="1:27" ht="15.75" customHeight="1">
      <c r="A140" s="358" t="s">
        <v>24</v>
      </c>
      <c r="B140" s="369">
        <v>137</v>
      </c>
      <c r="C140" s="21" t="s">
        <v>278</v>
      </c>
      <c r="D140" s="372" t="s">
        <v>34</v>
      </c>
      <c r="E140" s="373">
        <v>45682</v>
      </c>
      <c r="F140" s="372" t="s">
        <v>35</v>
      </c>
      <c r="G140" s="372">
        <v>10</v>
      </c>
      <c r="H140" s="372" t="s">
        <v>21</v>
      </c>
      <c r="I140" s="372" t="s">
        <v>36</v>
      </c>
      <c r="J140" s="21" t="s">
        <v>29</v>
      </c>
      <c r="K140" s="21"/>
      <c r="L140" s="21"/>
      <c r="M140" s="22" t="s">
        <v>30</v>
      </c>
      <c r="N140" s="23">
        <v>45737</v>
      </c>
      <c r="O140" s="21"/>
      <c r="P140" s="22" t="s">
        <v>30</v>
      </c>
      <c r="Q140" s="23">
        <v>45737</v>
      </c>
      <c r="R140" s="81" t="s">
        <v>67</v>
      </c>
      <c r="S140" s="22" t="s">
        <v>32</v>
      </c>
      <c r="T140" s="22">
        <v>10</v>
      </c>
      <c r="U140" s="22" t="s">
        <v>67</v>
      </c>
      <c r="V140" s="23">
        <v>45737</v>
      </c>
      <c r="W140" s="360" t="s">
        <v>30</v>
      </c>
      <c r="Y140" s="412"/>
      <c r="Z140" s="412"/>
      <c r="AA140" s="412"/>
    </row>
    <row r="141" spans="1:27" ht="15.75" customHeight="1">
      <c r="A141" s="358" t="s">
        <v>24</v>
      </c>
      <c r="B141" s="369">
        <v>138</v>
      </c>
      <c r="C141" s="21" t="s">
        <v>279</v>
      </c>
      <c r="D141" s="372" t="s">
        <v>34</v>
      </c>
      <c r="E141" s="373">
        <v>45682</v>
      </c>
      <c r="F141" s="372" t="s">
        <v>35</v>
      </c>
      <c r="G141" s="372">
        <v>2</v>
      </c>
      <c r="H141" s="372" t="s">
        <v>22</v>
      </c>
      <c r="I141" s="372" t="s">
        <v>28</v>
      </c>
      <c r="J141" s="21" t="s">
        <v>29</v>
      </c>
      <c r="K141" s="21"/>
      <c r="L141" s="21"/>
      <c r="M141" s="22" t="s">
        <v>30</v>
      </c>
      <c r="N141" s="23">
        <v>45737</v>
      </c>
      <c r="O141" s="21"/>
      <c r="P141" s="22" t="s">
        <v>30</v>
      </c>
      <c r="Q141" s="23">
        <v>45737</v>
      </c>
      <c r="R141" s="81" t="s">
        <v>67</v>
      </c>
      <c r="S141" s="22" t="s">
        <v>32</v>
      </c>
      <c r="T141" s="22">
        <v>2</v>
      </c>
      <c r="U141" s="22" t="s">
        <v>67</v>
      </c>
      <c r="V141" s="23">
        <v>45737</v>
      </c>
      <c r="W141" s="360" t="s">
        <v>30</v>
      </c>
      <c r="Y141" s="412"/>
      <c r="Z141" s="412"/>
      <c r="AA141" s="412"/>
    </row>
    <row r="142" spans="1:27" ht="15.75" customHeight="1">
      <c r="A142" s="358" t="s">
        <v>24</v>
      </c>
      <c r="B142" s="369">
        <v>139</v>
      </c>
      <c r="C142" s="21" t="s">
        <v>280</v>
      </c>
      <c r="D142" s="372" t="s">
        <v>34</v>
      </c>
      <c r="E142" s="373">
        <v>45682</v>
      </c>
      <c r="F142" s="372" t="s">
        <v>87</v>
      </c>
      <c r="G142" s="372">
        <v>16</v>
      </c>
      <c r="H142" s="372" t="s">
        <v>21</v>
      </c>
      <c r="I142" s="372" t="s">
        <v>36</v>
      </c>
      <c r="J142" s="21" t="s">
        <v>29</v>
      </c>
      <c r="K142" s="21"/>
      <c r="L142" s="21"/>
      <c r="M142" s="22" t="s">
        <v>30</v>
      </c>
      <c r="N142" s="23">
        <v>45733</v>
      </c>
      <c r="O142" s="21" t="s">
        <v>31</v>
      </c>
      <c r="P142" s="22" t="s">
        <v>30</v>
      </c>
      <c r="Q142" s="23">
        <v>45733</v>
      </c>
      <c r="R142" s="81" t="s">
        <v>67</v>
      </c>
      <c r="S142" s="22" t="s">
        <v>32</v>
      </c>
      <c r="T142" s="22">
        <v>2</v>
      </c>
      <c r="U142" s="22" t="s">
        <v>67</v>
      </c>
      <c r="V142" s="23">
        <v>45737</v>
      </c>
      <c r="W142" s="360" t="s">
        <v>30</v>
      </c>
      <c r="Y142" s="412"/>
      <c r="Z142" s="412"/>
      <c r="AA142" s="412"/>
    </row>
    <row r="143" spans="1:27" ht="15.75" customHeight="1">
      <c r="A143" s="358" t="s">
        <v>24</v>
      </c>
      <c r="B143" s="369">
        <v>140</v>
      </c>
      <c r="C143" s="372" t="s">
        <v>281</v>
      </c>
      <c r="D143" s="372" t="s">
        <v>34</v>
      </c>
      <c r="E143" s="373">
        <v>45682</v>
      </c>
      <c r="F143" s="372" t="s">
        <v>282</v>
      </c>
      <c r="G143" s="372">
        <v>15</v>
      </c>
      <c r="H143" s="372" t="s">
        <v>22</v>
      </c>
      <c r="I143" s="372" t="s">
        <v>28</v>
      </c>
      <c r="J143" s="21" t="s">
        <v>29</v>
      </c>
      <c r="K143" s="21" t="s">
        <v>283</v>
      </c>
      <c r="L143" s="21"/>
      <c r="M143" s="22" t="s">
        <v>30</v>
      </c>
      <c r="N143" s="23">
        <v>45716</v>
      </c>
      <c r="O143" s="21" t="s">
        <v>31</v>
      </c>
      <c r="P143" s="22" t="s">
        <v>30</v>
      </c>
      <c r="Q143" s="23">
        <v>45716</v>
      </c>
      <c r="R143" s="81" t="s">
        <v>28</v>
      </c>
      <c r="S143" s="22" t="s">
        <v>32</v>
      </c>
      <c r="T143" s="22">
        <v>15</v>
      </c>
      <c r="U143" s="24" t="s">
        <v>28</v>
      </c>
      <c r="V143" s="23">
        <v>45716</v>
      </c>
      <c r="W143" s="82" t="s">
        <v>30</v>
      </c>
      <c r="Y143"/>
      <c r="Z143"/>
      <c r="AA143"/>
    </row>
    <row r="144" spans="1:27" ht="15.75" customHeight="1">
      <c r="A144" s="358" t="s">
        <v>24</v>
      </c>
      <c r="B144" s="369">
        <v>141</v>
      </c>
      <c r="C144" s="372" t="s">
        <v>284</v>
      </c>
      <c r="D144" s="372" t="s">
        <v>34</v>
      </c>
      <c r="E144" s="373">
        <v>45682</v>
      </c>
      <c r="F144" s="372" t="s">
        <v>282</v>
      </c>
      <c r="G144" s="372">
        <v>3</v>
      </c>
      <c r="H144" s="372" t="s">
        <v>22</v>
      </c>
      <c r="I144" s="372" t="s">
        <v>28</v>
      </c>
      <c r="J144" s="21" t="s">
        <v>29</v>
      </c>
      <c r="K144" s="21" t="s">
        <v>283</v>
      </c>
      <c r="L144" s="21"/>
      <c r="M144" s="22" t="s">
        <v>30</v>
      </c>
      <c r="N144" s="23">
        <v>45746</v>
      </c>
      <c r="O144" s="21"/>
      <c r="P144" s="22" t="s">
        <v>30</v>
      </c>
      <c r="Q144" s="23">
        <v>45746</v>
      </c>
      <c r="R144" s="81" t="s">
        <v>48</v>
      </c>
      <c r="S144" s="22" t="s">
        <v>32</v>
      </c>
      <c r="T144" s="22">
        <v>3</v>
      </c>
      <c r="U144" s="24" t="s">
        <v>28</v>
      </c>
      <c r="V144" s="23">
        <v>45746</v>
      </c>
      <c r="W144" s="360" t="s">
        <v>32</v>
      </c>
      <c r="Y144"/>
      <c r="Z144"/>
      <c r="AA144"/>
    </row>
    <row r="145" spans="1:27" ht="15.75" customHeight="1">
      <c r="A145" s="358" t="s">
        <v>24</v>
      </c>
      <c r="B145" s="369">
        <v>142</v>
      </c>
      <c r="C145" s="372" t="s">
        <v>285</v>
      </c>
      <c r="D145" s="372" t="s">
        <v>34</v>
      </c>
      <c r="E145" s="373">
        <v>45682</v>
      </c>
      <c r="F145" s="372" t="s">
        <v>286</v>
      </c>
      <c r="G145" s="372">
        <v>12</v>
      </c>
      <c r="H145" s="372" t="s">
        <v>22</v>
      </c>
      <c r="I145" s="372" t="s">
        <v>28</v>
      </c>
      <c r="J145" s="21" t="s">
        <v>29</v>
      </c>
      <c r="K145" s="21"/>
      <c r="L145" s="21"/>
      <c r="M145" s="22" t="s">
        <v>30</v>
      </c>
      <c r="N145" s="23">
        <v>45704</v>
      </c>
      <c r="O145" s="21"/>
      <c r="P145" s="22" t="s">
        <v>30</v>
      </c>
      <c r="Q145" s="23">
        <v>45704</v>
      </c>
      <c r="R145" s="81" t="s">
        <v>28</v>
      </c>
      <c r="S145" s="22" t="s">
        <v>32</v>
      </c>
      <c r="T145" s="22">
        <v>12</v>
      </c>
      <c r="U145" s="24" t="s">
        <v>28</v>
      </c>
      <c r="V145" s="23">
        <v>45704</v>
      </c>
      <c r="W145" s="82" t="s">
        <v>30</v>
      </c>
      <c r="Y145"/>
      <c r="Z145"/>
      <c r="AA145"/>
    </row>
    <row r="146" spans="1:27" ht="15.75" customHeight="1">
      <c r="A146" s="358" t="s">
        <v>24</v>
      </c>
      <c r="B146" s="369">
        <v>143</v>
      </c>
      <c r="C146" s="372" t="s">
        <v>287</v>
      </c>
      <c r="D146" s="372" t="s">
        <v>34</v>
      </c>
      <c r="E146" s="373">
        <v>45682</v>
      </c>
      <c r="F146" s="372" t="s">
        <v>97</v>
      </c>
      <c r="G146" s="372">
        <v>21</v>
      </c>
      <c r="H146" s="372" t="s">
        <v>22</v>
      </c>
      <c r="I146" s="372" t="s">
        <v>28</v>
      </c>
      <c r="J146" s="21" t="s">
        <v>29</v>
      </c>
      <c r="K146" s="21" t="s">
        <v>288</v>
      </c>
      <c r="L146" s="21"/>
      <c r="M146" s="22" t="s">
        <v>30</v>
      </c>
      <c r="N146" s="23">
        <v>45704</v>
      </c>
      <c r="O146" s="21" t="s">
        <v>31</v>
      </c>
      <c r="P146" s="22" t="s">
        <v>30</v>
      </c>
      <c r="Q146" s="23">
        <v>45704</v>
      </c>
      <c r="R146" s="81" t="s">
        <v>28</v>
      </c>
      <c r="S146" s="22" t="s">
        <v>32</v>
      </c>
      <c r="T146" s="22">
        <v>21</v>
      </c>
      <c r="U146" s="24" t="s">
        <v>28</v>
      </c>
      <c r="V146" s="23">
        <v>45704</v>
      </c>
      <c r="W146" s="82" t="s">
        <v>30</v>
      </c>
      <c r="Y146"/>
      <c r="Z146"/>
      <c r="AA146"/>
    </row>
    <row r="147" spans="1:27" ht="15.75" customHeight="1">
      <c r="A147" s="358" t="s">
        <v>24</v>
      </c>
      <c r="B147" s="369">
        <v>144</v>
      </c>
      <c r="C147" s="372" t="s">
        <v>289</v>
      </c>
      <c r="D147" s="372" t="s">
        <v>234</v>
      </c>
      <c r="E147" s="373">
        <v>45682</v>
      </c>
      <c r="F147" s="372" t="s">
        <v>97</v>
      </c>
      <c r="G147" s="372">
        <v>6</v>
      </c>
      <c r="H147" s="372" t="s">
        <v>22</v>
      </c>
      <c r="I147" s="372" t="s">
        <v>28</v>
      </c>
      <c r="J147" s="21" t="s">
        <v>29</v>
      </c>
      <c r="K147" s="21" t="s">
        <v>288</v>
      </c>
      <c r="L147" s="21"/>
      <c r="M147" s="22" t="s">
        <v>30</v>
      </c>
      <c r="N147" s="23">
        <v>45704</v>
      </c>
      <c r="O147" s="21"/>
      <c r="P147" s="22" t="s">
        <v>30</v>
      </c>
      <c r="Q147" s="23">
        <v>45704</v>
      </c>
      <c r="R147" s="81" t="s">
        <v>28</v>
      </c>
      <c r="S147" s="22" t="s">
        <v>32</v>
      </c>
      <c r="T147" s="22">
        <v>6</v>
      </c>
      <c r="U147" s="24" t="s">
        <v>28</v>
      </c>
      <c r="V147" s="23">
        <v>45704</v>
      </c>
      <c r="W147" s="82" t="s">
        <v>30</v>
      </c>
      <c r="Y147"/>
      <c r="Z147"/>
      <c r="AA147"/>
    </row>
    <row r="148" spans="1:27" ht="15.75" customHeight="1">
      <c r="A148" s="358" t="s">
        <v>24</v>
      </c>
      <c r="B148" s="369">
        <v>145</v>
      </c>
      <c r="C148" s="372" t="s">
        <v>290</v>
      </c>
      <c r="D148" s="372" t="s">
        <v>34</v>
      </c>
      <c r="E148" s="373">
        <v>45682</v>
      </c>
      <c r="F148" s="372" t="s">
        <v>65</v>
      </c>
      <c r="G148" s="372">
        <v>7</v>
      </c>
      <c r="H148" s="372" t="s">
        <v>291</v>
      </c>
      <c r="I148" s="372" t="s">
        <v>292</v>
      </c>
      <c r="J148" s="21" t="s">
        <v>29</v>
      </c>
      <c r="K148" s="21"/>
      <c r="L148" s="21"/>
      <c r="M148" s="22" t="s">
        <v>30</v>
      </c>
      <c r="N148" s="23">
        <v>45707</v>
      </c>
      <c r="O148" s="21" t="s">
        <v>66</v>
      </c>
      <c r="P148" s="22" t="s">
        <v>30</v>
      </c>
      <c r="Q148" s="23">
        <v>45707</v>
      </c>
      <c r="R148" s="81" t="s">
        <v>46</v>
      </c>
      <c r="S148" s="22" t="s">
        <v>32</v>
      </c>
      <c r="T148" s="22">
        <v>7</v>
      </c>
      <c r="U148" s="24" t="s">
        <v>46</v>
      </c>
      <c r="V148" s="23">
        <v>45707</v>
      </c>
      <c r="W148" s="82" t="s">
        <v>30</v>
      </c>
      <c r="Y148"/>
      <c r="Z148"/>
      <c r="AA148"/>
    </row>
    <row r="149" spans="1:27" ht="15.75" customHeight="1">
      <c r="A149" s="358" t="s">
        <v>24</v>
      </c>
      <c r="B149" s="369">
        <v>146</v>
      </c>
      <c r="C149" s="21" t="s">
        <v>293</v>
      </c>
      <c r="D149" s="372" t="s">
        <v>234</v>
      </c>
      <c r="E149" s="373">
        <v>45682</v>
      </c>
      <c r="F149" s="372" t="s">
        <v>65</v>
      </c>
      <c r="G149" s="372">
        <v>4</v>
      </c>
      <c r="H149" s="372" t="s">
        <v>46</v>
      </c>
      <c r="I149" s="372" t="s">
        <v>47</v>
      </c>
      <c r="J149" s="21" t="s">
        <v>29</v>
      </c>
      <c r="K149" s="21"/>
      <c r="L149" s="21"/>
      <c r="M149" s="22" t="s">
        <v>30</v>
      </c>
      <c r="N149" s="23">
        <v>45737</v>
      </c>
      <c r="O149" s="21"/>
      <c r="P149" s="22" t="s">
        <v>30</v>
      </c>
      <c r="Q149" s="23">
        <v>45737</v>
      </c>
      <c r="R149" s="81" t="s">
        <v>67</v>
      </c>
      <c r="S149" s="22" t="s">
        <v>32</v>
      </c>
      <c r="T149" s="22">
        <v>4</v>
      </c>
      <c r="U149" s="22" t="s">
        <v>67</v>
      </c>
      <c r="V149" s="23">
        <v>45737</v>
      </c>
      <c r="W149" s="360" t="s">
        <v>30</v>
      </c>
      <c r="Y149"/>
      <c r="Z149"/>
      <c r="AA149"/>
    </row>
    <row r="150" spans="1:27" ht="15.75" customHeight="1">
      <c r="A150" s="358" t="s">
        <v>24</v>
      </c>
      <c r="B150" s="369">
        <v>147</v>
      </c>
      <c r="C150" s="372" t="s">
        <v>294</v>
      </c>
      <c r="D150" s="372" t="s">
        <v>34</v>
      </c>
      <c r="E150" s="373">
        <v>45682</v>
      </c>
      <c r="F150" s="372" t="s">
        <v>65</v>
      </c>
      <c r="G150" s="372">
        <v>6</v>
      </c>
      <c r="H150" s="372" t="s">
        <v>291</v>
      </c>
      <c r="I150" s="372" t="s">
        <v>292</v>
      </c>
      <c r="J150" s="21" t="s">
        <v>29</v>
      </c>
      <c r="K150" s="21"/>
      <c r="L150" s="21"/>
      <c r="M150" s="22" t="s">
        <v>30</v>
      </c>
      <c r="N150" s="23">
        <v>45739</v>
      </c>
      <c r="O150" s="21"/>
      <c r="P150" s="22" t="s">
        <v>30</v>
      </c>
      <c r="Q150" s="23">
        <v>45739</v>
      </c>
      <c r="R150" s="81" t="s">
        <v>67</v>
      </c>
      <c r="S150" s="22" t="s">
        <v>32</v>
      </c>
      <c r="T150" s="22">
        <v>6</v>
      </c>
      <c r="U150" s="22"/>
      <c r="V150" s="23">
        <v>45739</v>
      </c>
      <c r="W150" s="360" t="s">
        <v>30</v>
      </c>
      <c r="Y150" s="412"/>
      <c r="Z150" s="412"/>
      <c r="AA150" s="412"/>
    </row>
    <row r="151" spans="1:27" ht="15.75" customHeight="1">
      <c r="A151" s="358" t="s">
        <v>24</v>
      </c>
      <c r="B151" s="369">
        <v>148</v>
      </c>
      <c r="C151" s="372" t="s">
        <v>295</v>
      </c>
      <c r="D151" s="372" t="s">
        <v>34</v>
      </c>
      <c r="E151" s="373">
        <v>45682</v>
      </c>
      <c r="F151" s="372" t="s">
        <v>296</v>
      </c>
      <c r="G151" s="372">
        <v>10</v>
      </c>
      <c r="H151" s="372" t="s">
        <v>46</v>
      </c>
      <c r="I151" s="372" t="s">
        <v>47</v>
      </c>
      <c r="J151" s="21" t="s">
        <v>29</v>
      </c>
      <c r="K151" s="21"/>
      <c r="L151" s="21"/>
      <c r="M151" s="22" t="s">
        <v>30</v>
      </c>
      <c r="N151" s="23">
        <v>45737</v>
      </c>
      <c r="O151" s="21"/>
      <c r="P151" s="22" t="s">
        <v>30</v>
      </c>
      <c r="Q151" s="23">
        <v>45737</v>
      </c>
      <c r="R151" s="81" t="s">
        <v>67</v>
      </c>
      <c r="S151" s="22" t="s">
        <v>32</v>
      </c>
      <c r="T151" s="22">
        <v>10</v>
      </c>
      <c r="U151" s="24" t="s">
        <v>67</v>
      </c>
      <c r="V151" s="23">
        <v>45737</v>
      </c>
      <c r="W151" s="360" t="s">
        <v>30</v>
      </c>
      <c r="Y151" s="412"/>
      <c r="Z151" s="412"/>
      <c r="AA151" s="412"/>
    </row>
    <row r="152" spans="1:27">
      <c r="A152" s="358" t="s">
        <v>137</v>
      </c>
      <c r="B152" s="369">
        <v>149</v>
      </c>
      <c r="C152" s="372" t="s">
        <v>297</v>
      </c>
      <c r="D152" s="358" t="s">
        <v>298</v>
      </c>
      <c r="E152" s="373">
        <v>45677</v>
      </c>
      <c r="F152" s="372" t="s">
        <v>140</v>
      </c>
      <c r="G152" s="372">
        <v>4</v>
      </c>
      <c r="H152" s="372" t="s">
        <v>21</v>
      </c>
      <c r="I152" s="372" t="s">
        <v>36</v>
      </c>
      <c r="J152" s="21" t="s">
        <v>29</v>
      </c>
      <c r="K152" s="21"/>
      <c r="L152" s="21"/>
      <c r="M152" s="22" t="s">
        <v>30</v>
      </c>
      <c r="N152" s="23">
        <v>45747</v>
      </c>
      <c r="O152" s="21"/>
      <c r="P152" s="22" t="s">
        <v>30</v>
      </c>
      <c r="Q152" s="23">
        <v>45747</v>
      </c>
      <c r="R152" s="24" t="s">
        <v>67</v>
      </c>
      <c r="S152" s="22" t="s">
        <v>32</v>
      </c>
      <c r="T152" s="358">
        <v>4</v>
      </c>
      <c r="U152" s="24" t="s">
        <v>48</v>
      </c>
      <c r="V152" s="23">
        <v>45747</v>
      </c>
      <c r="W152" s="360" t="s">
        <v>113</v>
      </c>
      <c r="Y152" s="412"/>
      <c r="Z152" s="412"/>
      <c r="AA152" s="412"/>
    </row>
    <row r="153" spans="1:27">
      <c r="A153" s="358" t="s">
        <v>137</v>
      </c>
      <c r="B153" s="369">
        <v>150</v>
      </c>
      <c r="C153" s="372" t="s">
        <v>299</v>
      </c>
      <c r="D153" s="358" t="s">
        <v>300</v>
      </c>
      <c r="E153" s="373">
        <v>45677</v>
      </c>
      <c r="F153" s="372" t="s">
        <v>140</v>
      </c>
      <c r="G153" s="372">
        <v>3</v>
      </c>
      <c r="H153" s="372" t="s">
        <v>301</v>
      </c>
      <c r="I153" s="372" t="s">
        <v>302</v>
      </c>
      <c r="J153" s="21" t="s">
        <v>29</v>
      </c>
      <c r="K153" s="21"/>
      <c r="L153" s="21"/>
      <c r="M153" s="22" t="s">
        <v>30</v>
      </c>
      <c r="N153" s="23">
        <v>45747</v>
      </c>
      <c r="O153" s="21"/>
      <c r="P153" s="22" t="s">
        <v>30</v>
      </c>
      <c r="Q153" s="23">
        <v>45747</v>
      </c>
      <c r="R153" s="24" t="s">
        <v>67</v>
      </c>
      <c r="S153" s="22" t="s">
        <v>32</v>
      </c>
      <c r="T153" s="358">
        <v>3</v>
      </c>
      <c r="U153" s="24" t="s">
        <v>48</v>
      </c>
      <c r="V153" s="23">
        <v>45747</v>
      </c>
      <c r="W153" s="360" t="s">
        <v>113</v>
      </c>
      <c r="Y153"/>
      <c r="Z153"/>
      <c r="AA153"/>
    </row>
    <row r="154" spans="1:27">
      <c r="A154" s="358" t="s">
        <v>137</v>
      </c>
      <c r="B154" s="369">
        <v>151</v>
      </c>
      <c r="C154" s="372" t="s">
        <v>303</v>
      </c>
      <c r="D154" s="358" t="s">
        <v>304</v>
      </c>
      <c r="E154" s="373">
        <v>45677</v>
      </c>
      <c r="F154" s="372" t="s">
        <v>140</v>
      </c>
      <c r="G154" s="372">
        <v>1</v>
      </c>
      <c r="H154" s="372" t="s">
        <v>21</v>
      </c>
      <c r="I154" s="372" t="s">
        <v>36</v>
      </c>
      <c r="J154" s="21" t="s">
        <v>29</v>
      </c>
      <c r="K154" s="21"/>
      <c r="L154" s="21"/>
      <c r="M154" s="22" t="s">
        <v>30</v>
      </c>
      <c r="N154" s="23">
        <v>45747</v>
      </c>
      <c r="O154" s="21"/>
      <c r="P154" s="22" t="s">
        <v>30</v>
      </c>
      <c r="Q154" s="23">
        <v>45747</v>
      </c>
      <c r="R154" s="24" t="s">
        <v>67</v>
      </c>
      <c r="S154" s="22" t="s">
        <v>32</v>
      </c>
      <c r="T154" s="358">
        <v>1</v>
      </c>
      <c r="U154" s="24" t="s">
        <v>48</v>
      </c>
      <c r="V154" s="23">
        <v>45747</v>
      </c>
      <c r="W154" s="360" t="s">
        <v>113</v>
      </c>
      <c r="Y154"/>
      <c r="Z154"/>
      <c r="AA154"/>
    </row>
    <row r="155" spans="1:27">
      <c r="A155" s="358" t="s">
        <v>137</v>
      </c>
      <c r="B155" s="369">
        <v>152</v>
      </c>
      <c r="C155" s="372" t="s">
        <v>305</v>
      </c>
      <c r="D155" s="358" t="s">
        <v>306</v>
      </c>
      <c r="E155" s="373">
        <v>45677</v>
      </c>
      <c r="F155" s="372" t="s">
        <v>140</v>
      </c>
      <c r="G155" s="372">
        <v>3</v>
      </c>
      <c r="H155" s="372" t="s">
        <v>291</v>
      </c>
      <c r="I155" s="372" t="s">
        <v>292</v>
      </c>
      <c r="J155" s="21" t="s">
        <v>29</v>
      </c>
      <c r="K155" s="21"/>
      <c r="L155" s="21"/>
      <c r="M155" s="22" t="s">
        <v>30</v>
      </c>
      <c r="N155" s="23">
        <v>45747</v>
      </c>
      <c r="O155" s="21"/>
      <c r="P155" s="22" t="s">
        <v>30</v>
      </c>
      <c r="Q155" s="23">
        <v>45747</v>
      </c>
      <c r="R155" s="24" t="s">
        <v>67</v>
      </c>
      <c r="S155" s="22" t="s">
        <v>32</v>
      </c>
      <c r="T155" s="358">
        <v>3</v>
      </c>
      <c r="U155" s="24" t="s">
        <v>48</v>
      </c>
      <c r="V155" s="23">
        <v>45747</v>
      </c>
      <c r="W155" s="360" t="s">
        <v>113</v>
      </c>
      <c r="Y155"/>
      <c r="Z155"/>
      <c r="AA155"/>
    </row>
    <row r="156" spans="1:27">
      <c r="A156" s="358" t="s">
        <v>137</v>
      </c>
      <c r="B156" s="369">
        <v>153</v>
      </c>
      <c r="C156" s="372" t="s">
        <v>307</v>
      </c>
      <c r="D156" s="358" t="s">
        <v>308</v>
      </c>
      <c r="E156" s="373">
        <v>45677</v>
      </c>
      <c r="F156" s="372" t="s">
        <v>140</v>
      </c>
      <c r="G156" s="372">
        <v>2</v>
      </c>
      <c r="H156" s="372" t="s">
        <v>22</v>
      </c>
      <c r="I156" s="372" t="s">
        <v>28</v>
      </c>
      <c r="J156" s="21" t="s">
        <v>29</v>
      </c>
      <c r="K156" s="21"/>
      <c r="L156" s="21"/>
      <c r="M156" s="22" t="s">
        <v>30</v>
      </c>
      <c r="N156" s="23">
        <v>45679</v>
      </c>
      <c r="O156" s="21"/>
      <c r="P156" s="22" t="s">
        <v>30</v>
      </c>
      <c r="Q156" s="23">
        <v>45679</v>
      </c>
      <c r="R156" s="24" t="s">
        <v>28</v>
      </c>
      <c r="S156" s="22" t="s">
        <v>32</v>
      </c>
      <c r="T156" s="358">
        <v>2</v>
      </c>
      <c r="U156" s="22" t="s">
        <v>28</v>
      </c>
      <c r="V156" s="23">
        <v>45679</v>
      </c>
      <c r="W156" s="360" t="s">
        <v>113</v>
      </c>
      <c r="Y156"/>
      <c r="Z156"/>
      <c r="AA156"/>
    </row>
    <row r="157" spans="1:27">
      <c r="A157" s="358" t="s">
        <v>137</v>
      </c>
      <c r="B157" s="369">
        <v>154</v>
      </c>
      <c r="C157" s="372" t="s">
        <v>309</v>
      </c>
      <c r="D157" s="358" t="s">
        <v>221</v>
      </c>
      <c r="E157" s="373">
        <v>45677</v>
      </c>
      <c r="F157" s="372" t="s">
        <v>140</v>
      </c>
      <c r="G157" s="372">
        <v>9</v>
      </c>
      <c r="H157" s="372" t="s">
        <v>310</v>
      </c>
      <c r="I157" s="372" t="s">
        <v>311</v>
      </c>
      <c r="J157" s="21" t="s">
        <v>29</v>
      </c>
      <c r="K157" s="21"/>
      <c r="L157" s="21"/>
      <c r="M157" s="22" t="s">
        <v>30</v>
      </c>
      <c r="N157" s="23">
        <v>45747</v>
      </c>
      <c r="O157" s="21"/>
      <c r="P157" s="22" t="s">
        <v>30</v>
      </c>
      <c r="Q157" s="23">
        <v>45747</v>
      </c>
      <c r="R157" s="24" t="s">
        <v>67</v>
      </c>
      <c r="S157" s="22" t="s">
        <v>32</v>
      </c>
      <c r="T157" s="358">
        <v>9</v>
      </c>
      <c r="U157" s="24" t="s">
        <v>48</v>
      </c>
      <c r="V157" s="23">
        <v>45747</v>
      </c>
      <c r="W157" s="360" t="s">
        <v>113</v>
      </c>
      <c r="Y157"/>
      <c r="Z157"/>
      <c r="AA157"/>
    </row>
    <row r="158" spans="1:27">
      <c r="A158" s="358" t="s">
        <v>137</v>
      </c>
      <c r="B158" s="369">
        <v>155</v>
      </c>
      <c r="C158" s="372" t="s">
        <v>312</v>
      </c>
      <c r="D158" s="358" t="s">
        <v>313</v>
      </c>
      <c r="E158" s="373">
        <v>45677</v>
      </c>
      <c r="F158" s="372" t="s">
        <v>140</v>
      </c>
      <c r="G158" s="372">
        <v>3</v>
      </c>
      <c r="H158" s="372" t="s">
        <v>78</v>
      </c>
      <c r="I158" s="372" t="s">
        <v>79</v>
      </c>
      <c r="J158" s="21" t="s">
        <v>29</v>
      </c>
      <c r="K158" s="21"/>
      <c r="L158" s="21"/>
      <c r="M158" s="22" t="s">
        <v>30</v>
      </c>
      <c r="N158" s="23">
        <v>45747</v>
      </c>
      <c r="O158" s="21"/>
      <c r="P158" s="22" t="s">
        <v>30</v>
      </c>
      <c r="Q158" s="23">
        <v>45747</v>
      </c>
      <c r="R158" s="24" t="s">
        <v>67</v>
      </c>
      <c r="S158" s="22" t="s">
        <v>32</v>
      </c>
      <c r="T158" s="358">
        <v>3</v>
      </c>
      <c r="U158" s="24" t="s">
        <v>48</v>
      </c>
      <c r="V158" s="23">
        <v>45747</v>
      </c>
      <c r="W158" s="360" t="s">
        <v>113</v>
      </c>
      <c r="Y158"/>
      <c r="Z158"/>
      <c r="AA158"/>
    </row>
    <row r="159" spans="1:27">
      <c r="A159" s="358" t="s">
        <v>137</v>
      </c>
      <c r="B159" s="369">
        <v>156</v>
      </c>
      <c r="C159" s="372" t="s">
        <v>314</v>
      </c>
      <c r="D159" s="358" t="s">
        <v>315</v>
      </c>
      <c r="E159" s="373">
        <v>45677</v>
      </c>
      <c r="F159" s="372" t="s">
        <v>140</v>
      </c>
      <c r="G159" s="372">
        <v>1</v>
      </c>
      <c r="H159" s="372" t="s">
        <v>21</v>
      </c>
      <c r="I159" s="372" t="s">
        <v>36</v>
      </c>
      <c r="J159" s="21" t="s">
        <v>29</v>
      </c>
      <c r="K159" s="21"/>
      <c r="L159" s="21"/>
      <c r="M159" s="22" t="s">
        <v>30</v>
      </c>
      <c r="N159" s="23">
        <v>45747</v>
      </c>
      <c r="O159" s="21"/>
      <c r="P159" s="22" t="s">
        <v>30</v>
      </c>
      <c r="Q159" s="23">
        <v>45747</v>
      </c>
      <c r="R159" s="24" t="s">
        <v>67</v>
      </c>
      <c r="S159" s="22" t="s">
        <v>32</v>
      </c>
      <c r="T159" s="358">
        <v>1</v>
      </c>
      <c r="U159" s="24" t="s">
        <v>48</v>
      </c>
      <c r="V159" s="23">
        <v>45747</v>
      </c>
      <c r="W159" s="360" t="s">
        <v>113</v>
      </c>
      <c r="Y159" s="412"/>
      <c r="Z159" s="412"/>
      <c r="AA159" s="412"/>
    </row>
    <row r="160" spans="1:27">
      <c r="A160" s="358" t="s">
        <v>137</v>
      </c>
      <c r="B160" s="369">
        <v>157</v>
      </c>
      <c r="C160" s="372" t="s">
        <v>316</v>
      </c>
      <c r="D160" s="358" t="s">
        <v>317</v>
      </c>
      <c r="E160" s="373">
        <v>45677</v>
      </c>
      <c r="F160" s="372" t="s">
        <v>140</v>
      </c>
      <c r="G160" s="372">
        <v>5</v>
      </c>
      <c r="H160" s="372" t="s">
        <v>46</v>
      </c>
      <c r="I160" s="372" t="s">
        <v>47</v>
      </c>
      <c r="J160" s="21" t="s">
        <v>29</v>
      </c>
      <c r="K160" s="21"/>
      <c r="L160" s="21"/>
      <c r="M160" s="22" t="s">
        <v>30</v>
      </c>
      <c r="N160" s="23">
        <v>45747</v>
      </c>
      <c r="O160" s="21"/>
      <c r="P160" s="22" t="s">
        <v>30</v>
      </c>
      <c r="Q160" s="23">
        <v>45747</v>
      </c>
      <c r="R160" s="24" t="s">
        <v>67</v>
      </c>
      <c r="S160" s="22" t="s">
        <v>32</v>
      </c>
      <c r="T160" s="358">
        <v>5</v>
      </c>
      <c r="U160" s="24" t="s">
        <v>48</v>
      </c>
      <c r="V160" s="23">
        <v>45747</v>
      </c>
      <c r="W160" s="360" t="s">
        <v>113</v>
      </c>
      <c r="Y160" s="412"/>
      <c r="Z160" s="412"/>
      <c r="AA160" s="412"/>
    </row>
    <row r="161" spans="1:30">
      <c r="A161" s="358" t="s">
        <v>137</v>
      </c>
      <c r="B161" s="369">
        <v>158</v>
      </c>
      <c r="C161" s="372" t="s">
        <v>318</v>
      </c>
      <c r="D161" s="358" t="s">
        <v>225</v>
      </c>
      <c r="E161" s="373">
        <v>45677</v>
      </c>
      <c r="F161" s="372" t="s">
        <v>140</v>
      </c>
      <c r="G161" s="372">
        <v>1</v>
      </c>
      <c r="H161" s="372" t="s">
        <v>21</v>
      </c>
      <c r="I161" s="372" t="s">
        <v>36</v>
      </c>
      <c r="J161" s="21" t="s">
        <v>29</v>
      </c>
      <c r="K161" s="21"/>
      <c r="L161" s="21"/>
      <c r="M161" s="22" t="s">
        <v>30</v>
      </c>
      <c r="N161" s="23">
        <v>45747</v>
      </c>
      <c r="O161" s="21"/>
      <c r="P161" s="22" t="s">
        <v>30</v>
      </c>
      <c r="Q161" s="23">
        <v>45747</v>
      </c>
      <c r="R161" s="24" t="s">
        <v>67</v>
      </c>
      <c r="S161" s="22" t="s">
        <v>32</v>
      </c>
      <c r="T161" s="358">
        <v>1</v>
      </c>
      <c r="U161" s="24" t="s">
        <v>48</v>
      </c>
      <c r="V161" s="23">
        <v>45747</v>
      </c>
      <c r="W161" s="360" t="s">
        <v>113</v>
      </c>
      <c r="Y161" s="412"/>
      <c r="Z161" s="412"/>
      <c r="AA161" s="412"/>
    </row>
    <row r="162" spans="1:30">
      <c r="A162" s="358" t="s">
        <v>137</v>
      </c>
      <c r="B162" s="369">
        <v>159</v>
      </c>
      <c r="C162" s="372" t="s">
        <v>319</v>
      </c>
      <c r="D162" s="358" t="s">
        <v>320</v>
      </c>
      <c r="E162" s="373">
        <v>45677</v>
      </c>
      <c r="F162" s="372" t="s">
        <v>140</v>
      </c>
      <c r="G162" s="372">
        <v>1</v>
      </c>
      <c r="H162" s="372" t="s">
        <v>21</v>
      </c>
      <c r="I162" s="372" t="s">
        <v>36</v>
      </c>
      <c r="J162" s="21" t="s">
        <v>29</v>
      </c>
      <c r="K162" s="21"/>
      <c r="L162" s="21"/>
      <c r="M162" s="22" t="s">
        <v>30</v>
      </c>
      <c r="N162" s="23">
        <v>45747</v>
      </c>
      <c r="O162" s="21"/>
      <c r="P162" s="22" t="s">
        <v>30</v>
      </c>
      <c r="Q162" s="23">
        <v>45747</v>
      </c>
      <c r="R162" s="24" t="s">
        <v>67</v>
      </c>
      <c r="S162" s="22" t="s">
        <v>32</v>
      </c>
      <c r="T162" s="358">
        <v>1</v>
      </c>
      <c r="U162" s="24" t="s">
        <v>48</v>
      </c>
      <c r="V162" s="23">
        <v>45747</v>
      </c>
      <c r="W162" s="360" t="s">
        <v>113</v>
      </c>
      <c r="Y162"/>
      <c r="Z162"/>
      <c r="AA162"/>
    </row>
    <row r="163" spans="1:30">
      <c r="A163" s="358" t="s">
        <v>137</v>
      </c>
      <c r="B163" s="369">
        <v>160</v>
      </c>
      <c r="C163" s="372" t="s">
        <v>321</v>
      </c>
      <c r="D163" s="358" t="s">
        <v>322</v>
      </c>
      <c r="E163" s="373">
        <v>45677</v>
      </c>
      <c r="F163" s="372" t="s">
        <v>140</v>
      </c>
      <c r="G163" s="372">
        <v>10</v>
      </c>
      <c r="H163" s="372" t="s">
        <v>21</v>
      </c>
      <c r="I163" s="372" t="s">
        <v>36</v>
      </c>
      <c r="J163" s="21" t="s">
        <v>29</v>
      </c>
      <c r="K163" s="21"/>
      <c r="L163" s="21"/>
      <c r="M163" s="22" t="s">
        <v>30</v>
      </c>
      <c r="N163" s="23">
        <v>45747</v>
      </c>
      <c r="O163" s="21"/>
      <c r="P163" s="22" t="s">
        <v>30</v>
      </c>
      <c r="Q163" s="23">
        <v>45747</v>
      </c>
      <c r="R163" s="24" t="s">
        <v>67</v>
      </c>
      <c r="S163" s="22" t="s">
        <v>32</v>
      </c>
      <c r="T163" s="358">
        <v>10</v>
      </c>
      <c r="U163" s="24" t="s">
        <v>48</v>
      </c>
      <c r="V163" s="23">
        <v>45747</v>
      </c>
      <c r="W163" s="360" t="s">
        <v>113</v>
      </c>
      <c r="Y163"/>
      <c r="Z163"/>
      <c r="AA163"/>
    </row>
    <row r="164" spans="1:30" ht="15.75" customHeight="1">
      <c r="A164" s="358" t="s">
        <v>24</v>
      </c>
      <c r="B164" s="369">
        <v>161</v>
      </c>
      <c r="C164" s="372" t="s">
        <v>323</v>
      </c>
      <c r="D164" s="372" t="s">
        <v>178</v>
      </c>
      <c r="E164" s="373">
        <v>45684</v>
      </c>
      <c r="F164" s="372" t="s">
        <v>324</v>
      </c>
      <c r="G164" s="372">
        <v>6</v>
      </c>
      <c r="H164" s="372" t="s">
        <v>21</v>
      </c>
      <c r="I164" s="372" t="s">
        <v>36</v>
      </c>
      <c r="J164" s="21" t="s">
        <v>29</v>
      </c>
      <c r="K164" s="21" t="s">
        <v>325</v>
      </c>
      <c r="L164" s="21"/>
      <c r="M164" s="22"/>
      <c r="N164" s="23">
        <v>45746</v>
      </c>
      <c r="O164" s="21"/>
      <c r="P164" s="22"/>
      <c r="Q164" s="23">
        <v>45746</v>
      </c>
      <c r="R164" s="81" t="s">
        <v>48</v>
      </c>
      <c r="S164" s="22"/>
      <c r="T164" s="22"/>
      <c r="U164" s="22"/>
      <c r="V164" s="23"/>
      <c r="W164" s="360" t="s">
        <v>32</v>
      </c>
      <c r="Y164"/>
      <c r="Z164"/>
      <c r="AA164"/>
    </row>
    <row r="165" spans="1:30" ht="15.75" customHeight="1">
      <c r="A165" s="358" t="s">
        <v>24</v>
      </c>
      <c r="B165" s="369">
        <v>162</v>
      </c>
      <c r="C165" s="372" t="s">
        <v>326</v>
      </c>
      <c r="D165" s="372" t="s">
        <v>64</v>
      </c>
      <c r="E165" s="373">
        <v>45686</v>
      </c>
      <c r="F165" s="372" t="s">
        <v>247</v>
      </c>
      <c r="G165" s="372">
        <v>5</v>
      </c>
      <c r="H165" s="372" t="s">
        <v>46</v>
      </c>
      <c r="I165" s="372" t="s">
        <v>47</v>
      </c>
      <c r="J165" s="21" t="s">
        <v>29</v>
      </c>
      <c r="K165" s="21" t="s">
        <v>248</v>
      </c>
      <c r="L165" s="21"/>
      <c r="M165" s="22" t="s">
        <v>32</v>
      </c>
      <c r="N165" s="23">
        <v>45698</v>
      </c>
      <c r="O165" s="21" t="s">
        <v>66</v>
      </c>
      <c r="P165" s="22" t="s">
        <v>32</v>
      </c>
      <c r="Q165" s="23">
        <v>45698</v>
      </c>
      <c r="R165" s="81" t="s">
        <v>46</v>
      </c>
      <c r="S165" s="22" t="s">
        <v>32</v>
      </c>
      <c r="T165" s="22">
        <v>5</v>
      </c>
      <c r="U165" s="24" t="s">
        <v>46</v>
      </c>
      <c r="V165" s="23">
        <v>45698</v>
      </c>
      <c r="W165" s="82" t="s">
        <v>30</v>
      </c>
      <c r="Y165"/>
      <c r="Z165"/>
      <c r="AA165"/>
    </row>
    <row r="166" spans="1:30" ht="15.75" customHeight="1">
      <c r="A166" s="358" t="s">
        <v>24</v>
      </c>
      <c r="B166" s="369">
        <v>163</v>
      </c>
      <c r="C166" s="372" t="s">
        <v>327</v>
      </c>
      <c r="D166" s="372" t="s">
        <v>50</v>
      </c>
      <c r="E166" s="373">
        <v>45686</v>
      </c>
      <c r="F166" s="372" t="s">
        <v>247</v>
      </c>
      <c r="G166" s="372">
        <v>5</v>
      </c>
      <c r="H166" s="372" t="s">
        <v>46</v>
      </c>
      <c r="I166" s="372" t="s">
        <v>47</v>
      </c>
      <c r="J166" s="21" t="s">
        <v>29</v>
      </c>
      <c r="K166" s="21" t="s">
        <v>248</v>
      </c>
      <c r="L166" s="21"/>
      <c r="M166" s="22" t="s">
        <v>32</v>
      </c>
      <c r="N166" s="23">
        <v>45698</v>
      </c>
      <c r="O166" s="21"/>
      <c r="P166" s="22" t="s">
        <v>32</v>
      </c>
      <c r="Q166" s="23">
        <v>45698</v>
      </c>
      <c r="R166" s="81" t="s">
        <v>46</v>
      </c>
      <c r="S166" s="22" t="s">
        <v>32</v>
      </c>
      <c r="T166" s="22">
        <v>5</v>
      </c>
      <c r="U166" s="24" t="s">
        <v>46</v>
      </c>
      <c r="V166" s="23">
        <v>45698</v>
      </c>
      <c r="W166" s="82" t="s">
        <v>30</v>
      </c>
      <c r="Y166"/>
      <c r="Z166"/>
      <c r="AA166"/>
    </row>
    <row r="167" spans="1:30" ht="15.75" customHeight="1">
      <c r="A167" s="358" t="s">
        <v>24</v>
      </c>
      <c r="B167" s="369">
        <v>164</v>
      </c>
      <c r="C167" s="372" t="s">
        <v>328</v>
      </c>
      <c r="D167" s="372" t="s">
        <v>43</v>
      </c>
      <c r="E167" s="373">
        <v>45686</v>
      </c>
      <c r="F167" s="372" t="s">
        <v>247</v>
      </c>
      <c r="G167" s="372">
        <v>5</v>
      </c>
      <c r="H167" s="372" t="s">
        <v>46</v>
      </c>
      <c r="I167" s="372" t="s">
        <v>47</v>
      </c>
      <c r="J167" s="21" t="s">
        <v>29</v>
      </c>
      <c r="K167" s="21" t="s">
        <v>248</v>
      </c>
      <c r="L167" s="21"/>
      <c r="M167" s="22" t="s">
        <v>32</v>
      </c>
      <c r="N167" s="23">
        <v>45698</v>
      </c>
      <c r="O167" s="21"/>
      <c r="P167" s="22" t="s">
        <v>32</v>
      </c>
      <c r="Q167" s="23">
        <v>45698</v>
      </c>
      <c r="R167" s="81" t="s">
        <v>46</v>
      </c>
      <c r="S167" s="22" t="s">
        <v>32</v>
      </c>
      <c r="T167" s="22">
        <v>5</v>
      </c>
      <c r="U167" s="24" t="s">
        <v>46</v>
      </c>
      <c r="V167" s="23">
        <v>45698</v>
      </c>
      <c r="W167" s="82" t="s">
        <v>30</v>
      </c>
      <c r="Y167"/>
      <c r="Z167"/>
      <c r="AA167"/>
    </row>
    <row r="168" spans="1:30" ht="15.75" customHeight="1">
      <c r="A168" s="358" t="s">
        <v>24</v>
      </c>
      <c r="B168" s="369">
        <v>165</v>
      </c>
      <c r="C168" s="372" t="s">
        <v>329</v>
      </c>
      <c r="D168" s="372" t="s">
        <v>43</v>
      </c>
      <c r="E168" s="373">
        <v>45688</v>
      </c>
      <c r="F168" s="372" t="s">
        <v>104</v>
      </c>
      <c r="G168" s="372">
        <v>13</v>
      </c>
      <c r="H168" s="372" t="s">
        <v>22</v>
      </c>
      <c r="I168" s="372" t="s">
        <v>28</v>
      </c>
      <c r="J168" s="21" t="s">
        <v>29</v>
      </c>
      <c r="K168" s="21" t="s">
        <v>330</v>
      </c>
      <c r="L168" s="21"/>
      <c r="M168" s="22" t="s">
        <v>30</v>
      </c>
      <c r="N168" s="23">
        <v>45716</v>
      </c>
      <c r="O168" s="21"/>
      <c r="P168" s="22" t="s">
        <v>30</v>
      </c>
      <c r="Q168" s="23">
        <v>45716</v>
      </c>
      <c r="R168" s="81" t="s">
        <v>28</v>
      </c>
      <c r="S168" s="22" t="s">
        <v>32</v>
      </c>
      <c r="T168" s="22">
        <v>13</v>
      </c>
      <c r="U168" s="24" t="s">
        <v>28</v>
      </c>
      <c r="V168" s="23">
        <v>45716</v>
      </c>
      <c r="W168" s="82" t="s">
        <v>30</v>
      </c>
      <c r="Y168"/>
      <c r="Z168"/>
      <c r="AA168"/>
    </row>
    <row r="169" spans="1:30">
      <c r="A169" s="358" t="s">
        <v>137</v>
      </c>
      <c r="B169" s="369">
        <v>166</v>
      </c>
      <c r="C169" s="372" t="s">
        <v>331</v>
      </c>
      <c r="D169" s="358" t="s">
        <v>332</v>
      </c>
      <c r="E169" s="373">
        <v>45684</v>
      </c>
      <c r="F169" s="372" t="s">
        <v>140</v>
      </c>
      <c r="G169" s="372">
        <v>5</v>
      </c>
      <c r="H169" s="372" t="s">
        <v>22</v>
      </c>
      <c r="I169" s="372" t="s">
        <v>28</v>
      </c>
      <c r="J169" s="21" t="s">
        <v>29</v>
      </c>
      <c r="K169" s="21"/>
      <c r="L169" s="21"/>
      <c r="M169" s="22" t="s">
        <v>30</v>
      </c>
      <c r="N169" s="23">
        <v>45747</v>
      </c>
      <c r="O169" s="21"/>
      <c r="P169" s="22" t="s">
        <v>30</v>
      </c>
      <c r="Q169" s="23">
        <v>45747</v>
      </c>
      <c r="R169" s="24" t="s">
        <v>67</v>
      </c>
      <c r="S169" s="22" t="s">
        <v>32</v>
      </c>
      <c r="T169" s="22"/>
      <c r="U169" s="24" t="s">
        <v>48</v>
      </c>
      <c r="V169" s="23">
        <v>45748</v>
      </c>
      <c r="W169" s="360" t="s">
        <v>113</v>
      </c>
      <c r="Y169" s="412"/>
      <c r="Z169" s="412"/>
      <c r="AA169" s="412"/>
    </row>
    <row r="170" spans="1:30">
      <c r="A170" s="358" t="s">
        <v>137</v>
      </c>
      <c r="B170" s="369">
        <v>167</v>
      </c>
      <c r="C170" s="372" t="s">
        <v>333</v>
      </c>
      <c r="D170" s="358" t="s">
        <v>334</v>
      </c>
      <c r="E170" s="373">
        <v>45684</v>
      </c>
      <c r="F170" s="372" t="s">
        <v>140</v>
      </c>
      <c r="G170" s="372">
        <v>6</v>
      </c>
      <c r="H170" s="372" t="s">
        <v>22</v>
      </c>
      <c r="I170" s="372" t="s">
        <v>28</v>
      </c>
      <c r="J170" s="21" t="s">
        <v>29</v>
      </c>
      <c r="K170" s="21"/>
      <c r="L170" s="21"/>
      <c r="M170" s="22" t="s">
        <v>30</v>
      </c>
      <c r="N170" s="23">
        <v>45747</v>
      </c>
      <c r="O170" s="21"/>
      <c r="P170" s="22" t="s">
        <v>30</v>
      </c>
      <c r="Q170" s="23">
        <v>45747</v>
      </c>
      <c r="R170" s="24" t="s">
        <v>67</v>
      </c>
      <c r="S170" s="22" t="s">
        <v>32</v>
      </c>
      <c r="T170" s="22"/>
      <c r="U170" s="24" t="s">
        <v>48</v>
      </c>
      <c r="V170" s="23">
        <v>45748</v>
      </c>
      <c r="W170" s="360" t="s">
        <v>113</v>
      </c>
      <c r="Y170" s="412"/>
      <c r="Z170" s="412"/>
      <c r="AA170" s="412"/>
    </row>
    <row r="171" spans="1:30">
      <c r="A171" s="358" t="s">
        <v>137</v>
      </c>
      <c r="B171" s="369">
        <v>168</v>
      </c>
      <c r="C171" s="372" t="s">
        <v>335</v>
      </c>
      <c r="D171" s="358" t="s">
        <v>336</v>
      </c>
      <c r="E171" s="373">
        <v>45684</v>
      </c>
      <c r="F171" s="372" t="s">
        <v>140</v>
      </c>
      <c r="G171" s="372">
        <v>1</v>
      </c>
      <c r="H171" s="372" t="s">
        <v>21</v>
      </c>
      <c r="I171" s="372" t="s">
        <v>36</v>
      </c>
      <c r="J171" s="21" t="s">
        <v>29</v>
      </c>
      <c r="K171" s="21"/>
      <c r="L171" s="21"/>
      <c r="M171" s="22" t="s">
        <v>30</v>
      </c>
      <c r="N171" s="23">
        <v>45747</v>
      </c>
      <c r="O171" s="21"/>
      <c r="P171" s="22" t="s">
        <v>30</v>
      </c>
      <c r="Q171" s="23">
        <v>45747</v>
      </c>
      <c r="R171" s="24" t="s">
        <v>67</v>
      </c>
      <c r="S171" s="22" t="s">
        <v>32</v>
      </c>
      <c r="T171" s="22"/>
      <c r="U171" s="24" t="s">
        <v>48</v>
      </c>
      <c r="V171" s="23">
        <v>45748</v>
      </c>
      <c r="W171" s="360" t="s">
        <v>113</v>
      </c>
      <c r="Y171" s="412"/>
      <c r="Z171" s="412"/>
      <c r="AA171" s="412"/>
    </row>
    <row r="172" spans="1:30">
      <c r="A172" s="358" t="s">
        <v>137</v>
      </c>
      <c r="B172" s="369">
        <v>169</v>
      </c>
      <c r="C172" s="372" t="s">
        <v>337</v>
      </c>
      <c r="D172" s="358" t="s">
        <v>338</v>
      </c>
      <c r="E172" s="373">
        <v>45684</v>
      </c>
      <c r="F172" s="372" t="s">
        <v>140</v>
      </c>
      <c r="G172" s="372">
        <v>1</v>
      </c>
      <c r="H172" s="372" t="s">
        <v>22</v>
      </c>
      <c r="I172" s="372" t="s">
        <v>28</v>
      </c>
      <c r="J172" s="21" t="s">
        <v>29</v>
      </c>
      <c r="K172" s="21"/>
      <c r="L172" s="21"/>
      <c r="M172" s="22" t="s">
        <v>30</v>
      </c>
      <c r="N172" s="23">
        <v>45747</v>
      </c>
      <c r="O172" s="21"/>
      <c r="P172" s="22" t="s">
        <v>30</v>
      </c>
      <c r="Q172" s="23">
        <v>45747</v>
      </c>
      <c r="R172" s="24" t="s">
        <v>67</v>
      </c>
      <c r="S172" s="22" t="s">
        <v>32</v>
      </c>
      <c r="T172" s="22"/>
      <c r="U172" s="24" t="s">
        <v>48</v>
      </c>
      <c r="V172" s="23">
        <v>45748</v>
      </c>
      <c r="W172" s="360" t="s">
        <v>113</v>
      </c>
      <c r="Y172" s="412"/>
      <c r="Z172" s="412"/>
      <c r="AA172"/>
    </row>
    <row r="173" spans="1:30">
      <c r="A173" s="358" t="s">
        <v>137</v>
      </c>
      <c r="B173" s="369">
        <v>170</v>
      </c>
      <c r="C173" s="372" t="s">
        <v>339</v>
      </c>
      <c r="D173" s="358" t="s">
        <v>149</v>
      </c>
      <c r="E173" s="373">
        <v>45684</v>
      </c>
      <c r="F173" s="372" t="s">
        <v>140</v>
      </c>
      <c r="G173" s="372">
        <v>30</v>
      </c>
      <c r="H173" s="372" t="s">
        <v>310</v>
      </c>
      <c r="I173" s="372" t="s">
        <v>311</v>
      </c>
      <c r="J173" s="21" t="s">
        <v>29</v>
      </c>
      <c r="K173" s="21"/>
      <c r="L173" s="21"/>
      <c r="M173" s="22" t="s">
        <v>30</v>
      </c>
      <c r="N173" s="23">
        <v>45747</v>
      </c>
      <c r="O173" s="21" t="s">
        <v>31</v>
      </c>
      <c r="P173" s="22" t="s">
        <v>30</v>
      </c>
      <c r="Q173" s="23">
        <v>45747</v>
      </c>
      <c r="R173" s="24" t="s">
        <v>67</v>
      </c>
      <c r="S173" s="22" t="s">
        <v>32</v>
      </c>
      <c r="T173" s="22"/>
      <c r="U173" s="24" t="s">
        <v>48</v>
      </c>
      <c r="V173" s="23">
        <v>45748</v>
      </c>
      <c r="W173" s="360" t="s">
        <v>113</v>
      </c>
      <c r="X173">
        <v>9</v>
      </c>
      <c r="Y173">
        <v>2</v>
      </c>
      <c r="Z173">
        <v>19</v>
      </c>
      <c r="AA173">
        <f>SUBTOTAL(9,X173:Z173)</f>
        <v>30</v>
      </c>
      <c r="AB173" s="75">
        <f t="shared" ref="AB173:AD174" si="0">+X173/$AA173*AB$1</f>
        <v>2.6999999999999997</v>
      </c>
      <c r="AC173" s="75">
        <f t="shared" si="0"/>
        <v>0.4</v>
      </c>
      <c r="AD173" s="75">
        <f t="shared" si="0"/>
        <v>1.9</v>
      </c>
    </row>
    <row r="174" spans="1:30">
      <c r="A174" s="358" t="s">
        <v>137</v>
      </c>
      <c r="B174" s="369">
        <v>171</v>
      </c>
      <c r="C174" s="372" t="s">
        <v>340</v>
      </c>
      <c r="D174" s="358" t="s">
        <v>147</v>
      </c>
      <c r="E174" s="373">
        <v>45684</v>
      </c>
      <c r="F174" s="372" t="s">
        <v>140</v>
      </c>
      <c r="G174" s="372">
        <v>27</v>
      </c>
      <c r="H174" s="372" t="s">
        <v>78</v>
      </c>
      <c r="I174" s="372" t="s">
        <v>79</v>
      </c>
      <c r="J174" s="21" t="s">
        <v>29</v>
      </c>
      <c r="K174" s="21"/>
      <c r="L174" s="21"/>
      <c r="M174" s="22" t="s">
        <v>30</v>
      </c>
      <c r="N174" s="23">
        <v>45747</v>
      </c>
      <c r="O174" s="21" t="s">
        <v>31</v>
      </c>
      <c r="P174" s="22" t="s">
        <v>30</v>
      </c>
      <c r="Q174" s="23">
        <v>45747</v>
      </c>
      <c r="R174" s="24" t="s">
        <v>67</v>
      </c>
      <c r="S174" s="22" t="s">
        <v>32</v>
      </c>
      <c r="T174" s="22"/>
      <c r="U174" s="24" t="s">
        <v>48</v>
      </c>
      <c r="V174" s="23">
        <v>45748</v>
      </c>
      <c r="W174" s="360" t="s">
        <v>113</v>
      </c>
      <c r="X174">
        <v>9</v>
      </c>
      <c r="Y174"/>
      <c r="Z174">
        <v>18</v>
      </c>
      <c r="AA174">
        <f>SUBTOTAL(9,X174:Z174)</f>
        <v>27</v>
      </c>
      <c r="AB174" s="75">
        <f t="shared" si="0"/>
        <v>3</v>
      </c>
      <c r="AC174" s="75">
        <f t="shared" si="0"/>
        <v>0</v>
      </c>
      <c r="AD174" s="75">
        <f t="shared" si="0"/>
        <v>2</v>
      </c>
    </row>
    <row r="175" spans="1:30">
      <c r="A175" s="358" t="s">
        <v>137</v>
      </c>
      <c r="B175" s="369">
        <v>172</v>
      </c>
      <c r="C175" s="372" t="s">
        <v>341</v>
      </c>
      <c r="D175" s="358" t="s">
        <v>342</v>
      </c>
      <c r="E175" s="373">
        <v>45684</v>
      </c>
      <c r="F175" s="372" t="s">
        <v>140</v>
      </c>
      <c r="G175" s="372">
        <v>12</v>
      </c>
      <c r="H175" s="372" t="s">
        <v>21</v>
      </c>
      <c r="I175" s="372" t="s">
        <v>36</v>
      </c>
      <c r="J175" s="21" t="s">
        <v>29</v>
      </c>
      <c r="K175" s="21"/>
      <c r="L175" s="21"/>
      <c r="M175" s="22" t="s">
        <v>30</v>
      </c>
      <c r="N175" s="23">
        <v>45747</v>
      </c>
      <c r="O175" s="21"/>
      <c r="P175" s="22" t="s">
        <v>30</v>
      </c>
      <c r="Q175" s="23">
        <v>45747</v>
      </c>
      <c r="R175" s="24" t="s">
        <v>67</v>
      </c>
      <c r="S175" s="22" t="s">
        <v>32</v>
      </c>
      <c r="T175" s="22"/>
      <c r="U175" s="24" t="s">
        <v>48</v>
      </c>
      <c r="V175" s="23">
        <v>45748</v>
      </c>
      <c r="W175" s="360" t="s">
        <v>113</v>
      </c>
      <c r="Y175"/>
      <c r="Z175"/>
      <c r="AA175"/>
    </row>
    <row r="176" spans="1:30">
      <c r="A176" s="358" t="s">
        <v>137</v>
      </c>
      <c r="B176" s="369">
        <v>173</v>
      </c>
      <c r="C176" s="372" t="s">
        <v>343</v>
      </c>
      <c r="D176" s="358" t="s">
        <v>344</v>
      </c>
      <c r="E176" s="373">
        <v>45684</v>
      </c>
      <c r="F176" s="372" t="s">
        <v>140</v>
      </c>
      <c r="G176" s="372">
        <v>19</v>
      </c>
      <c r="H176" s="372" t="s">
        <v>345</v>
      </c>
      <c r="I176" s="372" t="s">
        <v>79</v>
      </c>
      <c r="J176" s="21" t="s">
        <v>29</v>
      </c>
      <c r="K176" s="21"/>
      <c r="L176" s="21"/>
      <c r="M176" s="22" t="s">
        <v>30</v>
      </c>
      <c r="N176" s="23">
        <v>45747</v>
      </c>
      <c r="O176" s="21" t="s">
        <v>31</v>
      </c>
      <c r="P176" s="22" t="s">
        <v>30</v>
      </c>
      <c r="Q176" s="23">
        <v>45747</v>
      </c>
      <c r="R176" s="24" t="s">
        <v>67</v>
      </c>
      <c r="S176" s="22" t="s">
        <v>32</v>
      </c>
      <c r="T176" s="22"/>
      <c r="U176" s="24" t="s">
        <v>48</v>
      </c>
      <c r="V176" s="23">
        <v>45748</v>
      </c>
      <c r="W176" s="360" t="s">
        <v>113</v>
      </c>
      <c r="Y176">
        <v>1</v>
      </c>
      <c r="Z176">
        <v>18</v>
      </c>
      <c r="AA176">
        <f>SUBTOTAL(9,X176:Z176)</f>
        <v>19</v>
      </c>
      <c r="AB176" s="75">
        <f>+X176/$AA176*AB$1</f>
        <v>0</v>
      </c>
      <c r="AC176" s="75">
        <f>+Y176/$AA176*AC$1</f>
        <v>0.31578947368421051</v>
      </c>
      <c r="AD176" s="75">
        <f>+Z176/$AA176*AD$1</f>
        <v>2.8421052631578947</v>
      </c>
    </row>
    <row r="177" spans="1:30">
      <c r="A177" s="358" t="s">
        <v>137</v>
      </c>
      <c r="B177" s="369">
        <v>174</v>
      </c>
      <c r="C177" s="372" t="s">
        <v>346</v>
      </c>
      <c r="D177" s="358" t="s">
        <v>347</v>
      </c>
      <c r="E177" s="373">
        <v>45684</v>
      </c>
      <c r="F177" s="372" t="s">
        <v>140</v>
      </c>
      <c r="G177" s="372">
        <v>8</v>
      </c>
      <c r="H177" s="372" t="s">
        <v>22</v>
      </c>
      <c r="I177" s="372" t="s">
        <v>28</v>
      </c>
      <c r="J177" s="21" t="s">
        <v>29</v>
      </c>
      <c r="K177" s="21"/>
      <c r="L177" s="21"/>
      <c r="M177" s="22" t="s">
        <v>30</v>
      </c>
      <c r="N177" s="23">
        <v>45747</v>
      </c>
      <c r="O177" s="21"/>
      <c r="P177" s="22" t="s">
        <v>30</v>
      </c>
      <c r="Q177" s="23">
        <v>45747</v>
      </c>
      <c r="R177" s="24" t="s">
        <v>67</v>
      </c>
      <c r="S177" s="22" t="s">
        <v>32</v>
      </c>
      <c r="T177" s="22"/>
      <c r="U177" s="24" t="s">
        <v>48</v>
      </c>
      <c r="V177" s="23">
        <v>45748</v>
      </c>
      <c r="W177" s="360" t="s">
        <v>113</v>
      </c>
      <c r="Y177"/>
      <c r="Z177"/>
      <c r="AA177"/>
    </row>
    <row r="178" spans="1:30">
      <c r="A178" s="358" t="s">
        <v>137</v>
      </c>
      <c r="B178" s="369">
        <v>175</v>
      </c>
      <c r="C178" s="372" t="s">
        <v>348</v>
      </c>
      <c r="D178" s="358" t="s">
        <v>225</v>
      </c>
      <c r="E178" s="373">
        <v>45684</v>
      </c>
      <c r="F178" s="372" t="s">
        <v>140</v>
      </c>
      <c r="G178" s="372">
        <v>1</v>
      </c>
      <c r="H178" s="372" t="s">
        <v>21</v>
      </c>
      <c r="I178" s="372" t="s">
        <v>36</v>
      </c>
      <c r="J178" s="21" t="s">
        <v>29</v>
      </c>
      <c r="K178" s="21"/>
      <c r="L178" s="21"/>
      <c r="M178" s="22" t="s">
        <v>30</v>
      </c>
      <c r="N178" s="23">
        <v>45747</v>
      </c>
      <c r="O178" s="21"/>
      <c r="P178" s="22" t="s">
        <v>30</v>
      </c>
      <c r="Q178" s="23">
        <v>45747</v>
      </c>
      <c r="R178" s="24" t="s">
        <v>67</v>
      </c>
      <c r="S178" s="22" t="s">
        <v>32</v>
      </c>
      <c r="T178" s="22"/>
      <c r="U178" s="24" t="s">
        <v>48</v>
      </c>
      <c r="V178" s="23">
        <v>45748</v>
      </c>
      <c r="W178" s="360" t="s">
        <v>113</v>
      </c>
      <c r="Y178"/>
      <c r="Z178"/>
      <c r="AA178"/>
    </row>
    <row r="179" spans="1:30">
      <c r="A179" s="358" t="s">
        <v>137</v>
      </c>
      <c r="B179" s="369">
        <v>176</v>
      </c>
      <c r="C179" s="372" t="s">
        <v>349</v>
      </c>
      <c r="D179" s="358" t="s">
        <v>350</v>
      </c>
      <c r="E179" s="373">
        <v>45684</v>
      </c>
      <c r="F179" s="372" t="s">
        <v>140</v>
      </c>
      <c r="G179" s="372">
        <v>2</v>
      </c>
      <c r="H179" s="372" t="s">
        <v>22</v>
      </c>
      <c r="I179" s="372" t="s">
        <v>28</v>
      </c>
      <c r="J179" s="21" t="s">
        <v>29</v>
      </c>
      <c r="K179" s="21"/>
      <c r="L179" s="21"/>
      <c r="M179" s="22" t="s">
        <v>30</v>
      </c>
      <c r="N179" s="23">
        <v>45747</v>
      </c>
      <c r="O179" s="21"/>
      <c r="P179" s="22" t="s">
        <v>30</v>
      </c>
      <c r="Q179" s="23">
        <v>45747</v>
      </c>
      <c r="R179" s="24" t="s">
        <v>67</v>
      </c>
      <c r="S179" s="22" t="s">
        <v>32</v>
      </c>
      <c r="T179" s="22"/>
      <c r="U179" s="24" t="s">
        <v>48</v>
      </c>
      <c r="V179" s="23">
        <v>45748</v>
      </c>
      <c r="W179" s="360" t="s">
        <v>113</v>
      </c>
      <c r="Y179" s="412"/>
      <c r="Z179" s="412"/>
      <c r="AA179" s="412"/>
    </row>
    <row r="180" spans="1:30">
      <c r="A180" s="358" t="s">
        <v>137</v>
      </c>
      <c r="B180" s="369">
        <v>177</v>
      </c>
      <c r="C180" s="372" t="s">
        <v>351</v>
      </c>
      <c r="D180" s="358" t="s">
        <v>352</v>
      </c>
      <c r="E180" s="373">
        <v>45684</v>
      </c>
      <c r="F180" s="372" t="s">
        <v>140</v>
      </c>
      <c r="G180" s="372">
        <v>1</v>
      </c>
      <c r="H180" s="372" t="s">
        <v>22</v>
      </c>
      <c r="I180" s="372" t="s">
        <v>28</v>
      </c>
      <c r="J180" s="21" t="s">
        <v>29</v>
      </c>
      <c r="K180" s="21"/>
      <c r="L180" s="21"/>
      <c r="M180" s="22" t="s">
        <v>30</v>
      </c>
      <c r="N180" s="23">
        <v>45747</v>
      </c>
      <c r="O180" s="21"/>
      <c r="P180" s="22" t="s">
        <v>30</v>
      </c>
      <c r="Q180" s="23">
        <v>45747</v>
      </c>
      <c r="R180" s="24" t="s">
        <v>67</v>
      </c>
      <c r="S180" s="22" t="s">
        <v>32</v>
      </c>
      <c r="T180" s="22"/>
      <c r="U180" s="24" t="s">
        <v>48</v>
      </c>
      <c r="V180" s="23">
        <v>45748</v>
      </c>
      <c r="W180" s="360" t="s">
        <v>113</v>
      </c>
      <c r="Y180" s="412"/>
      <c r="Z180" s="412"/>
      <c r="AA180" s="412"/>
    </row>
    <row r="181" spans="1:30">
      <c r="A181" s="358" t="s">
        <v>137</v>
      </c>
      <c r="B181" s="369">
        <v>178</v>
      </c>
      <c r="C181" s="372" t="s">
        <v>353</v>
      </c>
      <c r="D181" s="358" t="s">
        <v>354</v>
      </c>
      <c r="E181" s="373">
        <v>45684</v>
      </c>
      <c r="F181" s="372" t="s">
        <v>140</v>
      </c>
      <c r="G181" s="372">
        <v>2</v>
      </c>
      <c r="H181" s="372" t="s">
        <v>291</v>
      </c>
      <c r="I181" s="372" t="s">
        <v>292</v>
      </c>
      <c r="J181" s="21" t="s">
        <v>29</v>
      </c>
      <c r="K181" s="21"/>
      <c r="L181" s="21"/>
      <c r="M181" s="22" t="s">
        <v>30</v>
      </c>
      <c r="N181" s="23">
        <v>45747</v>
      </c>
      <c r="O181" s="21"/>
      <c r="P181" s="22" t="s">
        <v>30</v>
      </c>
      <c r="Q181" s="23">
        <v>45747</v>
      </c>
      <c r="R181" s="24" t="s">
        <v>67</v>
      </c>
      <c r="S181" s="22" t="s">
        <v>32</v>
      </c>
      <c r="T181" s="22"/>
      <c r="U181" s="24" t="s">
        <v>48</v>
      </c>
      <c r="V181" s="23">
        <v>45748</v>
      </c>
      <c r="W181" s="360" t="s">
        <v>113</v>
      </c>
      <c r="Y181" s="412"/>
      <c r="Z181" s="412"/>
      <c r="AA181" s="412"/>
    </row>
    <row r="182" spans="1:30">
      <c r="A182" s="358" t="s">
        <v>137</v>
      </c>
      <c r="B182" s="369">
        <v>179</v>
      </c>
      <c r="C182" s="372" t="s">
        <v>355</v>
      </c>
      <c r="D182" s="358" t="s">
        <v>356</v>
      </c>
      <c r="E182" s="373">
        <v>45684</v>
      </c>
      <c r="F182" s="372" t="s">
        <v>140</v>
      </c>
      <c r="G182" s="372">
        <v>4</v>
      </c>
      <c r="H182" s="372" t="s">
        <v>291</v>
      </c>
      <c r="I182" s="372" t="s">
        <v>292</v>
      </c>
      <c r="J182" s="21" t="s">
        <v>29</v>
      </c>
      <c r="K182" s="21"/>
      <c r="L182" s="21"/>
      <c r="M182" s="22" t="s">
        <v>30</v>
      </c>
      <c r="N182" s="23">
        <v>45747</v>
      </c>
      <c r="O182" s="21"/>
      <c r="P182" s="22" t="s">
        <v>30</v>
      </c>
      <c r="Q182" s="23">
        <v>45747</v>
      </c>
      <c r="R182" s="24" t="s">
        <v>67</v>
      </c>
      <c r="S182" s="22" t="s">
        <v>32</v>
      </c>
      <c r="T182" s="22"/>
      <c r="U182" s="24" t="s">
        <v>48</v>
      </c>
      <c r="V182" s="23">
        <v>45748</v>
      </c>
      <c r="W182" s="360" t="s">
        <v>113</v>
      </c>
      <c r="Y182"/>
      <c r="Z182"/>
      <c r="AA182"/>
    </row>
    <row r="183" spans="1:30">
      <c r="A183" s="358" t="s">
        <v>137</v>
      </c>
      <c r="B183" s="369">
        <v>180</v>
      </c>
      <c r="C183" s="372" t="s">
        <v>357</v>
      </c>
      <c r="D183" s="358" t="s">
        <v>358</v>
      </c>
      <c r="E183" s="373">
        <v>45684</v>
      </c>
      <c r="F183" s="372" t="s">
        <v>140</v>
      </c>
      <c r="G183" s="372">
        <v>1</v>
      </c>
      <c r="H183" s="372" t="s">
        <v>22</v>
      </c>
      <c r="I183" s="379" t="s">
        <v>28</v>
      </c>
      <c r="J183" s="21" t="s">
        <v>29</v>
      </c>
      <c r="K183" s="21"/>
      <c r="L183" s="21"/>
      <c r="M183" s="22" t="s">
        <v>30</v>
      </c>
      <c r="N183" s="23">
        <v>45747</v>
      </c>
      <c r="O183" s="21"/>
      <c r="P183" s="22" t="s">
        <v>30</v>
      </c>
      <c r="Q183" s="23">
        <v>45747</v>
      </c>
      <c r="R183" s="24" t="s">
        <v>67</v>
      </c>
      <c r="S183" s="22" t="s">
        <v>32</v>
      </c>
      <c r="T183" s="22"/>
      <c r="U183" s="24" t="s">
        <v>48</v>
      </c>
      <c r="V183" s="23">
        <v>45748</v>
      </c>
      <c r="W183" s="360" t="s">
        <v>113</v>
      </c>
      <c r="Y183"/>
      <c r="Z183"/>
      <c r="AA183"/>
    </row>
    <row r="184" spans="1:30">
      <c r="A184" s="358" t="s">
        <v>137</v>
      </c>
      <c r="B184" s="369">
        <v>181</v>
      </c>
      <c r="C184" s="372" t="s">
        <v>359</v>
      </c>
      <c r="D184" s="358" t="s">
        <v>360</v>
      </c>
      <c r="E184" s="373">
        <v>45684</v>
      </c>
      <c r="F184" s="372" t="s">
        <v>140</v>
      </c>
      <c r="G184" s="372">
        <v>120</v>
      </c>
      <c r="H184" s="372" t="s">
        <v>21</v>
      </c>
      <c r="I184" s="379" t="s">
        <v>36</v>
      </c>
      <c r="J184" s="21" t="s">
        <v>29</v>
      </c>
      <c r="K184" s="21"/>
      <c r="L184" s="21"/>
      <c r="M184" s="22" t="s">
        <v>30</v>
      </c>
      <c r="N184" s="23">
        <v>45747</v>
      </c>
      <c r="O184" s="21" t="s">
        <v>31</v>
      </c>
      <c r="P184" s="22" t="s">
        <v>30</v>
      </c>
      <c r="Q184" s="23">
        <v>45747</v>
      </c>
      <c r="R184" s="24" t="s">
        <v>37</v>
      </c>
      <c r="S184" s="22" t="s">
        <v>32</v>
      </c>
      <c r="T184" s="22">
        <v>120</v>
      </c>
      <c r="U184" s="24" t="s">
        <v>48</v>
      </c>
      <c r="V184" s="23">
        <v>45748</v>
      </c>
      <c r="W184" s="360" t="s">
        <v>113</v>
      </c>
      <c r="X184">
        <v>120</v>
      </c>
      <c r="Y184"/>
      <c r="Z184"/>
      <c r="AA184">
        <f>SUBTOTAL(9,X184:Z184)</f>
        <v>120</v>
      </c>
      <c r="AB184" s="75">
        <f>+X184/$AA184*AB$1</f>
        <v>9</v>
      </c>
      <c r="AC184" s="75">
        <f>+Y184/$AA184*AC$1</f>
        <v>0</v>
      </c>
      <c r="AD184" s="75">
        <f>+Z184/$AA184*AD$1</f>
        <v>0</v>
      </c>
    </row>
    <row r="185" spans="1:30">
      <c r="A185" s="358" t="s">
        <v>137</v>
      </c>
      <c r="B185" s="369">
        <v>182</v>
      </c>
      <c r="C185" s="372" t="s">
        <v>361</v>
      </c>
      <c r="D185" s="358" t="s">
        <v>362</v>
      </c>
      <c r="E185" s="373">
        <v>45684</v>
      </c>
      <c r="F185" s="372" t="s">
        <v>140</v>
      </c>
      <c r="G185" s="372">
        <v>1</v>
      </c>
      <c r="H185" s="372" t="s">
        <v>22</v>
      </c>
      <c r="I185" s="379" t="s">
        <v>28</v>
      </c>
      <c r="J185" s="21" t="s">
        <v>29</v>
      </c>
      <c r="K185" s="21"/>
      <c r="L185" s="21"/>
      <c r="M185" s="22" t="s">
        <v>30</v>
      </c>
      <c r="N185" s="23">
        <v>45747</v>
      </c>
      <c r="O185" s="21"/>
      <c r="P185" s="22" t="s">
        <v>30</v>
      </c>
      <c r="Q185" s="23">
        <v>45747</v>
      </c>
      <c r="R185" s="24" t="s">
        <v>67</v>
      </c>
      <c r="S185" s="22" t="s">
        <v>32</v>
      </c>
      <c r="T185" s="22"/>
      <c r="U185" s="24" t="s">
        <v>48</v>
      </c>
      <c r="V185" s="23">
        <v>45748</v>
      </c>
      <c r="W185" s="360" t="s">
        <v>113</v>
      </c>
      <c r="Y185"/>
      <c r="Z185"/>
      <c r="AA185"/>
    </row>
    <row r="186" spans="1:30" ht="15.75" customHeight="1">
      <c r="A186" s="358" t="s">
        <v>24</v>
      </c>
      <c r="B186" s="369">
        <v>183</v>
      </c>
      <c r="C186" s="372" t="s">
        <v>363</v>
      </c>
      <c r="D186" s="372" t="s">
        <v>34</v>
      </c>
      <c r="E186" s="373">
        <v>45689</v>
      </c>
      <c r="F186" s="372" t="s">
        <v>364</v>
      </c>
      <c r="G186" s="372">
        <v>10</v>
      </c>
      <c r="H186" s="375" t="s">
        <v>21</v>
      </c>
      <c r="I186" s="372" t="s">
        <v>36</v>
      </c>
      <c r="J186" s="21" t="s">
        <v>29</v>
      </c>
      <c r="K186" s="21"/>
      <c r="L186" s="21"/>
      <c r="M186" s="22" t="s">
        <v>30</v>
      </c>
      <c r="N186" s="23">
        <v>45740</v>
      </c>
      <c r="O186" s="21"/>
      <c r="P186" s="22" t="s">
        <v>30</v>
      </c>
      <c r="Q186" s="23">
        <v>45740</v>
      </c>
      <c r="R186" s="81" t="s">
        <v>21</v>
      </c>
      <c r="S186" s="22" t="s">
        <v>32</v>
      </c>
      <c r="T186" s="22">
        <v>10</v>
      </c>
      <c r="U186" s="24" t="s">
        <v>21</v>
      </c>
      <c r="V186" s="23">
        <v>45740</v>
      </c>
      <c r="W186" s="82" t="s">
        <v>30</v>
      </c>
      <c r="Y186" s="412"/>
      <c r="Z186" s="412"/>
      <c r="AA186" s="412"/>
    </row>
    <row r="187" spans="1:30">
      <c r="A187" s="358" t="s">
        <v>24</v>
      </c>
      <c r="B187" s="369">
        <v>184</v>
      </c>
      <c r="C187" s="372" t="s">
        <v>365</v>
      </c>
      <c r="D187" s="372" t="s">
        <v>34</v>
      </c>
      <c r="E187" s="373">
        <v>45689</v>
      </c>
      <c r="F187" s="372" t="s">
        <v>74</v>
      </c>
      <c r="G187" s="372">
        <v>10</v>
      </c>
      <c r="H187" s="372" t="s">
        <v>141</v>
      </c>
      <c r="I187" s="372" t="s">
        <v>228</v>
      </c>
      <c r="J187" s="21" t="s">
        <v>29</v>
      </c>
      <c r="K187" s="21"/>
      <c r="L187" s="21"/>
      <c r="M187" s="22" t="s">
        <v>30</v>
      </c>
      <c r="N187" s="23">
        <v>45740</v>
      </c>
      <c r="O187" s="21"/>
      <c r="P187" s="22" t="s">
        <v>30</v>
      </c>
      <c r="Q187" s="23">
        <v>45740</v>
      </c>
      <c r="R187" s="81" t="s">
        <v>22</v>
      </c>
      <c r="S187" s="22" t="s">
        <v>32</v>
      </c>
      <c r="T187" s="22">
        <v>10</v>
      </c>
      <c r="U187" s="24" t="s">
        <v>22</v>
      </c>
      <c r="V187" s="23">
        <v>45740</v>
      </c>
      <c r="W187" s="82" t="s">
        <v>30</v>
      </c>
      <c r="Y187" s="412"/>
      <c r="Z187" s="412"/>
      <c r="AA187" s="412"/>
    </row>
    <row r="188" spans="1:30">
      <c r="A188" s="358" t="s">
        <v>24</v>
      </c>
      <c r="B188" s="369">
        <v>185</v>
      </c>
      <c r="C188" s="372" t="s">
        <v>366</v>
      </c>
      <c r="D188" s="372" t="s">
        <v>34</v>
      </c>
      <c r="E188" s="373">
        <v>45689</v>
      </c>
      <c r="F188" s="372" t="s">
        <v>74</v>
      </c>
      <c r="G188" s="372">
        <v>1</v>
      </c>
      <c r="H188" s="372" t="s">
        <v>21</v>
      </c>
      <c r="I188" s="372" t="s">
        <v>36</v>
      </c>
      <c r="J188" s="21" t="s">
        <v>29</v>
      </c>
      <c r="K188" s="221"/>
      <c r="L188" s="21"/>
      <c r="M188" s="22" t="s">
        <v>30</v>
      </c>
      <c r="N188" s="23">
        <v>45747</v>
      </c>
      <c r="O188" s="21"/>
      <c r="P188" s="22" t="s">
        <v>30</v>
      </c>
      <c r="Q188" s="23">
        <v>45747</v>
      </c>
      <c r="R188" s="81" t="s">
        <v>21</v>
      </c>
      <c r="S188" s="22" t="s">
        <v>32</v>
      </c>
      <c r="T188" s="22">
        <v>1</v>
      </c>
      <c r="U188" s="24" t="s">
        <v>21</v>
      </c>
      <c r="V188" s="23">
        <v>45747</v>
      </c>
      <c r="W188" s="82" t="s">
        <v>30</v>
      </c>
      <c r="Y188" s="412"/>
      <c r="Z188" s="412"/>
      <c r="AA188" s="412"/>
    </row>
    <row r="189" spans="1:30">
      <c r="A189" s="358" t="s">
        <v>24</v>
      </c>
      <c r="B189" s="369">
        <v>186</v>
      </c>
      <c r="C189" s="372" t="s">
        <v>367</v>
      </c>
      <c r="D189" s="372" t="s">
        <v>43</v>
      </c>
      <c r="E189" s="373">
        <v>45689</v>
      </c>
      <c r="F189" s="372" t="s">
        <v>368</v>
      </c>
      <c r="G189" s="372">
        <v>7</v>
      </c>
      <c r="H189" s="372" t="s">
        <v>21</v>
      </c>
      <c r="I189" s="372" t="s">
        <v>36</v>
      </c>
      <c r="J189" s="21" t="s">
        <v>29</v>
      </c>
      <c r="K189" s="21"/>
      <c r="L189" s="21"/>
      <c r="M189" s="22" t="s">
        <v>30</v>
      </c>
      <c r="N189" s="23">
        <v>45737</v>
      </c>
      <c r="O189" s="21" t="s">
        <v>66</v>
      </c>
      <c r="P189" s="22" t="s">
        <v>30</v>
      </c>
      <c r="Q189" s="23">
        <v>45737</v>
      </c>
      <c r="R189" s="81" t="s">
        <v>21</v>
      </c>
      <c r="S189" s="22" t="s">
        <v>32</v>
      </c>
      <c r="T189" s="22">
        <v>7</v>
      </c>
      <c r="U189" s="24" t="s">
        <v>21</v>
      </c>
      <c r="V189" s="23">
        <v>45737</v>
      </c>
      <c r="W189" s="82" t="s">
        <v>30</v>
      </c>
      <c r="Y189" s="412"/>
      <c r="Z189" s="412"/>
      <c r="AA189" s="412"/>
    </row>
    <row r="190" spans="1:30">
      <c r="A190" s="358" t="s">
        <v>24</v>
      </c>
      <c r="B190" s="369">
        <v>187</v>
      </c>
      <c r="C190" s="372" t="s">
        <v>369</v>
      </c>
      <c r="D190" s="372" t="s">
        <v>50</v>
      </c>
      <c r="E190" s="373">
        <v>45689</v>
      </c>
      <c r="F190" s="372" t="s">
        <v>368</v>
      </c>
      <c r="G190" s="372">
        <v>7</v>
      </c>
      <c r="H190" s="372" t="s">
        <v>21</v>
      </c>
      <c r="I190" s="372" t="s">
        <v>36</v>
      </c>
      <c r="J190" s="21" t="s">
        <v>29</v>
      </c>
      <c r="K190" s="21"/>
      <c r="L190" s="21"/>
      <c r="M190" s="22" t="s">
        <v>30</v>
      </c>
      <c r="N190" s="23">
        <v>45737</v>
      </c>
      <c r="O190" s="21"/>
      <c r="P190" s="22" t="s">
        <v>30</v>
      </c>
      <c r="Q190" s="23">
        <v>45737</v>
      </c>
      <c r="R190" s="81" t="s">
        <v>21</v>
      </c>
      <c r="S190" s="22" t="s">
        <v>32</v>
      </c>
      <c r="T190" s="22">
        <v>7</v>
      </c>
      <c r="U190" s="24" t="s">
        <v>21</v>
      </c>
      <c r="V190" s="23">
        <v>45737</v>
      </c>
      <c r="W190" s="82" t="s">
        <v>30</v>
      </c>
      <c r="Y190" s="412"/>
      <c r="Z190" s="412"/>
      <c r="AA190" s="412"/>
    </row>
    <row r="191" spans="1:30">
      <c r="A191" s="358" t="s">
        <v>24</v>
      </c>
      <c r="B191" s="369">
        <v>188</v>
      </c>
      <c r="C191" s="372" t="s">
        <v>370</v>
      </c>
      <c r="D191" s="372" t="s">
        <v>64</v>
      </c>
      <c r="E191" s="373">
        <v>45689</v>
      </c>
      <c r="F191" s="372" t="s">
        <v>368</v>
      </c>
      <c r="G191" s="372">
        <v>7</v>
      </c>
      <c r="H191" s="375" t="s">
        <v>21</v>
      </c>
      <c r="I191" s="372" t="s">
        <v>36</v>
      </c>
      <c r="J191" s="21" t="s">
        <v>29</v>
      </c>
      <c r="K191" s="21"/>
      <c r="L191" s="21"/>
      <c r="M191" s="22" t="s">
        <v>30</v>
      </c>
      <c r="N191" s="23">
        <v>45737</v>
      </c>
      <c r="O191" s="21"/>
      <c r="P191" s="22" t="s">
        <v>30</v>
      </c>
      <c r="Q191" s="23">
        <v>45737</v>
      </c>
      <c r="R191" s="81" t="s">
        <v>21</v>
      </c>
      <c r="S191" s="22" t="s">
        <v>32</v>
      </c>
      <c r="T191" s="22">
        <v>7</v>
      </c>
      <c r="U191" s="24" t="s">
        <v>21</v>
      </c>
      <c r="V191" s="23">
        <v>45737</v>
      </c>
      <c r="W191" s="82" t="s">
        <v>30</v>
      </c>
      <c r="Y191" s="412"/>
      <c r="Z191" s="412"/>
      <c r="AA191" s="412"/>
    </row>
    <row r="192" spans="1:30">
      <c r="A192" s="358" t="s">
        <v>24</v>
      </c>
      <c r="B192" s="369">
        <v>189</v>
      </c>
      <c r="C192" s="372" t="s">
        <v>371</v>
      </c>
      <c r="D192" s="372" t="s">
        <v>34</v>
      </c>
      <c r="E192" s="373">
        <v>45689</v>
      </c>
      <c r="F192" s="372" t="s">
        <v>324</v>
      </c>
      <c r="G192" s="372">
        <v>8</v>
      </c>
      <c r="H192" s="372" t="s">
        <v>21</v>
      </c>
      <c r="I192" s="372" t="s">
        <v>36</v>
      </c>
      <c r="J192" s="21" t="s">
        <v>29</v>
      </c>
      <c r="K192" s="221"/>
      <c r="L192" s="21"/>
      <c r="M192" s="22" t="s">
        <v>30</v>
      </c>
      <c r="N192" s="23">
        <v>45743</v>
      </c>
      <c r="O192" s="21"/>
      <c r="P192" s="22" t="s">
        <v>30</v>
      </c>
      <c r="Q192" s="23">
        <v>45743</v>
      </c>
      <c r="R192" s="81" t="s">
        <v>21</v>
      </c>
      <c r="S192" s="22" t="s">
        <v>32</v>
      </c>
      <c r="T192" s="22">
        <v>8</v>
      </c>
      <c r="U192" s="24" t="s">
        <v>21</v>
      </c>
      <c r="V192" s="23">
        <v>45743</v>
      </c>
      <c r="W192" s="82" t="s">
        <v>30</v>
      </c>
      <c r="Y192" s="412"/>
      <c r="Z192" s="412"/>
      <c r="AA192" s="412"/>
    </row>
    <row r="193" spans="1:23">
      <c r="A193" s="358" t="s">
        <v>24</v>
      </c>
      <c r="B193" s="369">
        <v>190</v>
      </c>
      <c r="C193" s="372" t="s">
        <v>372</v>
      </c>
      <c r="D193" s="372" t="s">
        <v>34</v>
      </c>
      <c r="E193" s="373">
        <v>45689</v>
      </c>
      <c r="F193" s="372" t="s">
        <v>324</v>
      </c>
      <c r="G193" s="372">
        <v>5</v>
      </c>
      <c r="H193" s="372" t="s">
        <v>21</v>
      </c>
      <c r="I193" s="372" t="s">
        <v>36</v>
      </c>
      <c r="J193" s="21" t="s">
        <v>29</v>
      </c>
      <c r="K193" s="21"/>
      <c r="L193" s="21"/>
      <c r="M193" s="22" t="s">
        <v>30</v>
      </c>
      <c r="N193" s="23">
        <v>45740</v>
      </c>
      <c r="O193" s="21"/>
      <c r="P193" s="22" t="s">
        <v>30</v>
      </c>
      <c r="Q193" s="23">
        <v>45740</v>
      </c>
      <c r="R193" s="81" t="s">
        <v>21</v>
      </c>
      <c r="S193" s="22" t="s">
        <v>32</v>
      </c>
      <c r="T193" s="22">
        <v>5</v>
      </c>
      <c r="U193" s="22" t="s">
        <v>21</v>
      </c>
      <c r="V193" s="23">
        <v>45740</v>
      </c>
      <c r="W193" s="82" t="s">
        <v>30</v>
      </c>
    </row>
    <row r="194" spans="1:23">
      <c r="A194" s="358" t="s">
        <v>24</v>
      </c>
      <c r="B194" s="369">
        <v>191</v>
      </c>
      <c r="C194" s="372" t="s">
        <v>373</v>
      </c>
      <c r="D194" s="372" t="s">
        <v>374</v>
      </c>
      <c r="E194" s="373">
        <v>45689</v>
      </c>
      <c r="F194" s="372" t="s">
        <v>117</v>
      </c>
      <c r="G194" s="372">
        <v>16</v>
      </c>
      <c r="H194" s="372" t="s">
        <v>22</v>
      </c>
      <c r="I194" s="372" t="s">
        <v>28</v>
      </c>
      <c r="J194" s="21" t="s">
        <v>29</v>
      </c>
      <c r="K194" s="21"/>
      <c r="L194" s="21"/>
      <c r="M194" s="22" t="s">
        <v>30</v>
      </c>
      <c r="N194" s="23">
        <v>45747</v>
      </c>
      <c r="O194" s="21" t="s">
        <v>31</v>
      </c>
      <c r="P194" s="22" t="s">
        <v>30</v>
      </c>
      <c r="Q194" s="23">
        <v>45747</v>
      </c>
      <c r="R194" s="81" t="s">
        <v>22</v>
      </c>
      <c r="S194" s="22" t="s">
        <v>32</v>
      </c>
      <c r="T194" s="22">
        <v>16</v>
      </c>
      <c r="U194" s="24" t="s">
        <v>22</v>
      </c>
      <c r="V194" s="23">
        <v>45747</v>
      </c>
      <c r="W194" s="82" t="s">
        <v>30</v>
      </c>
    </row>
    <row r="195" spans="1:23">
      <c r="A195" s="358" t="s">
        <v>24</v>
      </c>
      <c r="B195" s="369">
        <v>192</v>
      </c>
      <c r="C195" s="372" t="s">
        <v>375</v>
      </c>
      <c r="D195" s="372" t="s">
        <v>43</v>
      </c>
      <c r="E195" s="373">
        <v>45689</v>
      </c>
      <c r="F195" s="372" t="s">
        <v>117</v>
      </c>
      <c r="G195" s="372">
        <v>16</v>
      </c>
      <c r="H195" s="372" t="s">
        <v>22</v>
      </c>
      <c r="I195" s="372" t="s">
        <v>28</v>
      </c>
      <c r="J195" s="21" t="s">
        <v>29</v>
      </c>
      <c r="K195" s="21"/>
      <c r="L195" s="21"/>
      <c r="M195" s="22" t="s">
        <v>30</v>
      </c>
      <c r="N195" s="23">
        <v>45743</v>
      </c>
      <c r="O195" s="21" t="s">
        <v>31</v>
      </c>
      <c r="P195" s="22" t="s">
        <v>30</v>
      </c>
      <c r="Q195" s="23">
        <v>45743</v>
      </c>
      <c r="R195" s="81" t="s">
        <v>22</v>
      </c>
      <c r="S195" s="22" t="s">
        <v>32</v>
      </c>
      <c r="T195" s="22">
        <v>11</v>
      </c>
      <c r="U195" s="22" t="s">
        <v>22</v>
      </c>
      <c r="V195" s="23">
        <v>45743</v>
      </c>
      <c r="W195" s="82" t="s">
        <v>30</v>
      </c>
    </row>
    <row r="196" spans="1:23">
      <c r="A196" s="358" t="s">
        <v>24</v>
      </c>
      <c r="B196" s="369">
        <v>193</v>
      </c>
      <c r="C196" s="372" t="s">
        <v>376</v>
      </c>
      <c r="D196" s="372" t="s">
        <v>34</v>
      </c>
      <c r="E196" s="373">
        <v>45689</v>
      </c>
      <c r="F196" s="372" t="s">
        <v>117</v>
      </c>
      <c r="G196" s="372">
        <v>11</v>
      </c>
      <c r="H196" s="372" t="s">
        <v>22</v>
      </c>
      <c r="I196" s="372" t="s">
        <v>28</v>
      </c>
      <c r="J196" s="21" t="s">
        <v>29</v>
      </c>
      <c r="K196" s="21"/>
      <c r="L196" s="21"/>
      <c r="M196" s="22" t="s">
        <v>30</v>
      </c>
      <c r="N196" s="23">
        <v>45742</v>
      </c>
      <c r="O196" s="21"/>
      <c r="P196" s="22" t="s">
        <v>30</v>
      </c>
      <c r="Q196" s="23">
        <v>45742</v>
      </c>
      <c r="R196" s="81" t="s">
        <v>22</v>
      </c>
      <c r="S196" s="22" t="s">
        <v>32</v>
      </c>
      <c r="T196" s="22">
        <v>16</v>
      </c>
      <c r="U196" s="24" t="s">
        <v>22</v>
      </c>
      <c r="V196" s="23">
        <v>45742</v>
      </c>
      <c r="W196" s="82" t="s">
        <v>30</v>
      </c>
    </row>
    <row r="197" spans="1:23">
      <c r="A197" s="358" t="s">
        <v>24</v>
      </c>
      <c r="B197" s="369">
        <v>194</v>
      </c>
      <c r="C197" s="372" t="s">
        <v>377</v>
      </c>
      <c r="D197" s="372" t="s">
        <v>34</v>
      </c>
      <c r="E197" s="373">
        <v>45689</v>
      </c>
      <c r="F197" s="372" t="s">
        <v>165</v>
      </c>
      <c r="G197" s="372">
        <v>14</v>
      </c>
      <c r="H197" s="372" t="s">
        <v>46</v>
      </c>
      <c r="I197" s="372" t="s">
        <v>47</v>
      </c>
      <c r="J197" s="21" t="s">
        <v>29</v>
      </c>
      <c r="K197" s="21"/>
      <c r="L197" s="21"/>
      <c r="M197" s="22" t="s">
        <v>30</v>
      </c>
      <c r="N197" s="23">
        <v>45769</v>
      </c>
      <c r="O197" s="21"/>
      <c r="P197" s="22" t="s">
        <v>30</v>
      </c>
      <c r="Q197" s="23">
        <v>45769</v>
      </c>
      <c r="R197" s="81" t="s">
        <v>47</v>
      </c>
      <c r="S197" s="22" t="s">
        <v>32</v>
      </c>
      <c r="T197" s="22">
        <v>14</v>
      </c>
      <c r="U197" s="22" t="s">
        <v>47</v>
      </c>
      <c r="V197" s="23">
        <v>45769</v>
      </c>
      <c r="W197" s="82" t="s">
        <v>30</v>
      </c>
    </row>
    <row r="198" spans="1:23">
      <c r="A198" s="358" t="s">
        <v>24</v>
      </c>
      <c r="B198" s="369">
        <v>195</v>
      </c>
      <c r="C198" s="372" t="s">
        <v>378</v>
      </c>
      <c r="D198" s="372" t="s">
        <v>34</v>
      </c>
      <c r="E198" s="373">
        <v>45689</v>
      </c>
      <c r="F198" s="372" t="s">
        <v>296</v>
      </c>
      <c r="G198" s="372">
        <v>14</v>
      </c>
      <c r="H198" s="372" t="s">
        <v>46</v>
      </c>
      <c r="I198" s="372" t="s">
        <v>47</v>
      </c>
      <c r="J198" s="21" t="s">
        <v>29</v>
      </c>
      <c r="K198" s="21"/>
      <c r="L198" s="21"/>
      <c r="M198" s="22" t="s">
        <v>30</v>
      </c>
      <c r="N198" s="23">
        <v>45774</v>
      </c>
      <c r="O198" s="21"/>
      <c r="P198" s="22" t="s">
        <v>30</v>
      </c>
      <c r="Q198" s="23">
        <v>45774</v>
      </c>
      <c r="R198" s="81" t="s">
        <v>47</v>
      </c>
      <c r="S198" s="22" t="s">
        <v>32</v>
      </c>
      <c r="T198" s="22">
        <v>14</v>
      </c>
      <c r="U198" s="24" t="s">
        <v>47</v>
      </c>
      <c r="V198" s="23">
        <v>45774</v>
      </c>
      <c r="W198" s="82" t="s">
        <v>30</v>
      </c>
    </row>
    <row r="199" spans="1:23">
      <c r="A199" s="358" t="s">
        <v>24</v>
      </c>
      <c r="B199" s="369">
        <v>196</v>
      </c>
      <c r="C199" s="372" t="s">
        <v>379</v>
      </c>
      <c r="D199" s="372" t="s">
        <v>43</v>
      </c>
      <c r="E199" s="373">
        <v>45691</v>
      </c>
      <c r="F199" s="372" t="s">
        <v>380</v>
      </c>
      <c r="G199" s="372">
        <v>8</v>
      </c>
      <c r="H199" s="372" t="s">
        <v>21</v>
      </c>
      <c r="I199" s="372" t="s">
        <v>36</v>
      </c>
      <c r="J199" s="21" t="s">
        <v>29</v>
      </c>
      <c r="K199" s="21"/>
      <c r="L199" s="21"/>
      <c r="M199" s="22" t="s">
        <v>30</v>
      </c>
      <c r="N199" s="23">
        <v>45730</v>
      </c>
      <c r="O199" s="21" t="s">
        <v>66</v>
      </c>
      <c r="P199" s="22" t="s">
        <v>30</v>
      </c>
      <c r="Q199" s="23">
        <v>45730</v>
      </c>
      <c r="R199" s="81" t="s">
        <v>21</v>
      </c>
      <c r="S199" s="22" t="s">
        <v>32</v>
      </c>
      <c r="T199" s="22">
        <v>8</v>
      </c>
      <c r="U199" s="24" t="s">
        <v>21</v>
      </c>
      <c r="V199" s="23">
        <v>45730</v>
      </c>
      <c r="W199" s="82" t="s">
        <v>30</v>
      </c>
    </row>
    <row r="200" spans="1:23">
      <c r="A200" s="358" t="s">
        <v>24</v>
      </c>
      <c r="B200" s="369">
        <v>197</v>
      </c>
      <c r="C200" s="372" t="s">
        <v>381</v>
      </c>
      <c r="D200" s="372" t="s">
        <v>50</v>
      </c>
      <c r="E200" s="373">
        <v>45691</v>
      </c>
      <c r="F200" s="372" t="s">
        <v>380</v>
      </c>
      <c r="G200" s="372">
        <v>8</v>
      </c>
      <c r="H200" s="372" t="s">
        <v>21</v>
      </c>
      <c r="I200" s="372" t="s">
        <v>36</v>
      </c>
      <c r="J200" s="21" t="s">
        <v>29</v>
      </c>
      <c r="K200" s="21"/>
      <c r="L200" s="21"/>
      <c r="M200" s="22" t="s">
        <v>30</v>
      </c>
      <c r="N200" s="23">
        <v>45730</v>
      </c>
      <c r="O200" s="21"/>
      <c r="P200" s="22" t="s">
        <v>30</v>
      </c>
      <c r="Q200" s="23">
        <v>45730</v>
      </c>
      <c r="R200" s="81" t="s">
        <v>21</v>
      </c>
      <c r="S200" s="22" t="s">
        <v>32</v>
      </c>
      <c r="T200" s="22">
        <v>8</v>
      </c>
      <c r="U200" s="24" t="s">
        <v>21</v>
      </c>
      <c r="V200" s="23">
        <v>45730</v>
      </c>
      <c r="W200" s="82" t="s">
        <v>30</v>
      </c>
    </row>
    <row r="201" spans="1:23">
      <c r="A201" s="358" t="s">
        <v>24</v>
      </c>
      <c r="B201" s="369">
        <v>198</v>
      </c>
      <c r="C201" s="372" t="s">
        <v>382</v>
      </c>
      <c r="D201" s="372" t="s">
        <v>26</v>
      </c>
      <c r="E201" s="373">
        <v>45691</v>
      </c>
      <c r="F201" s="372" t="s">
        <v>380</v>
      </c>
      <c r="G201" s="372">
        <v>8</v>
      </c>
      <c r="H201" s="372" t="s">
        <v>21</v>
      </c>
      <c r="I201" s="372" t="s">
        <v>36</v>
      </c>
      <c r="J201" s="21" t="s">
        <v>29</v>
      </c>
      <c r="K201" s="21"/>
      <c r="L201" s="21"/>
      <c r="M201" s="22" t="s">
        <v>30</v>
      </c>
      <c r="N201" s="23">
        <v>45730</v>
      </c>
      <c r="O201" s="21"/>
      <c r="P201" s="22" t="s">
        <v>30</v>
      </c>
      <c r="Q201" s="23">
        <v>45730</v>
      </c>
      <c r="R201" s="81" t="s">
        <v>21</v>
      </c>
      <c r="S201" s="22" t="s">
        <v>32</v>
      </c>
      <c r="T201" s="22">
        <v>8</v>
      </c>
      <c r="U201" s="24" t="s">
        <v>21</v>
      </c>
      <c r="V201" s="23">
        <v>45730</v>
      </c>
      <c r="W201" s="82" t="s">
        <v>30</v>
      </c>
    </row>
    <row r="202" spans="1:23">
      <c r="A202" s="358" t="s">
        <v>24</v>
      </c>
      <c r="B202" s="369">
        <v>199</v>
      </c>
      <c r="C202" s="372" t="s">
        <v>383</v>
      </c>
      <c r="D202" s="372" t="s">
        <v>384</v>
      </c>
      <c r="E202" s="373">
        <v>45691</v>
      </c>
      <c r="F202" s="372" t="s">
        <v>385</v>
      </c>
      <c r="G202" s="372">
        <v>35</v>
      </c>
      <c r="H202" s="372" t="s">
        <v>46</v>
      </c>
      <c r="I202" s="372" t="s">
        <v>47</v>
      </c>
      <c r="J202" s="21" t="s">
        <v>29</v>
      </c>
      <c r="K202" s="21"/>
      <c r="L202" s="21"/>
      <c r="M202" s="22" t="s">
        <v>30</v>
      </c>
      <c r="N202" s="23">
        <v>45746</v>
      </c>
      <c r="O202" s="21" t="s">
        <v>31</v>
      </c>
      <c r="P202" s="22" t="s">
        <v>30</v>
      </c>
      <c r="Q202" s="23">
        <v>45746</v>
      </c>
      <c r="R202" s="81" t="s">
        <v>47</v>
      </c>
      <c r="S202" s="22" t="s">
        <v>32</v>
      </c>
      <c r="T202" s="22">
        <v>35</v>
      </c>
      <c r="U202" s="24" t="s">
        <v>47</v>
      </c>
      <c r="V202" s="23">
        <v>45746</v>
      </c>
      <c r="W202" s="82" t="s">
        <v>30</v>
      </c>
    </row>
    <row r="203" spans="1:23">
      <c r="A203" s="358" t="s">
        <v>24</v>
      </c>
      <c r="B203" s="369">
        <v>200</v>
      </c>
      <c r="C203" s="372" t="s">
        <v>386</v>
      </c>
      <c r="D203" s="372" t="s">
        <v>387</v>
      </c>
      <c r="E203" s="373">
        <v>45691</v>
      </c>
      <c r="F203" s="372" t="s">
        <v>385</v>
      </c>
      <c r="G203" s="372">
        <v>35</v>
      </c>
      <c r="H203" s="372" t="s">
        <v>46</v>
      </c>
      <c r="I203" s="372" t="s">
        <v>47</v>
      </c>
      <c r="J203" s="21" t="s">
        <v>29</v>
      </c>
      <c r="K203" s="21"/>
      <c r="L203" s="21"/>
      <c r="M203" s="22" t="s">
        <v>30</v>
      </c>
      <c r="N203" s="23">
        <v>45746</v>
      </c>
      <c r="O203" s="21" t="s">
        <v>31</v>
      </c>
      <c r="P203" s="22" t="s">
        <v>30</v>
      </c>
      <c r="Q203" s="23">
        <v>45746</v>
      </c>
      <c r="R203" s="81" t="s">
        <v>47</v>
      </c>
      <c r="S203" s="22" t="s">
        <v>32</v>
      </c>
      <c r="T203" s="22">
        <v>35</v>
      </c>
      <c r="U203" s="24" t="s">
        <v>47</v>
      </c>
      <c r="V203" s="23">
        <v>45746</v>
      </c>
      <c r="W203" s="82" t="s">
        <v>30</v>
      </c>
    </row>
    <row r="204" spans="1:23">
      <c r="A204" s="358" t="s">
        <v>24</v>
      </c>
      <c r="B204" s="369">
        <v>201</v>
      </c>
      <c r="C204" s="372" t="s">
        <v>388</v>
      </c>
      <c r="D204" s="372" t="s">
        <v>64</v>
      </c>
      <c r="E204" s="373">
        <v>45692</v>
      </c>
      <c r="F204" s="372" t="s">
        <v>389</v>
      </c>
      <c r="G204" s="372">
        <v>14</v>
      </c>
      <c r="H204" s="372" t="s">
        <v>22</v>
      </c>
      <c r="I204" s="372" t="s">
        <v>28</v>
      </c>
      <c r="J204" s="21" t="s">
        <v>29</v>
      </c>
      <c r="K204" s="21"/>
      <c r="L204" s="21"/>
      <c r="M204" s="22" t="s">
        <v>30</v>
      </c>
      <c r="N204" s="23">
        <v>45735</v>
      </c>
      <c r="O204" s="21"/>
      <c r="P204" s="22" t="s">
        <v>30</v>
      </c>
      <c r="Q204" s="23">
        <v>45735</v>
      </c>
      <c r="R204" s="81" t="s">
        <v>22</v>
      </c>
      <c r="S204" s="22" t="s">
        <v>32</v>
      </c>
      <c r="T204" s="22">
        <v>14</v>
      </c>
      <c r="U204" s="24" t="s">
        <v>22</v>
      </c>
      <c r="V204" s="23">
        <v>45735</v>
      </c>
      <c r="W204" s="82" t="s">
        <v>30</v>
      </c>
    </row>
    <row r="205" spans="1:23">
      <c r="A205" s="358" t="s">
        <v>24</v>
      </c>
      <c r="B205" s="369">
        <v>202</v>
      </c>
      <c r="C205" s="372" t="s">
        <v>390</v>
      </c>
      <c r="D205" s="372" t="s">
        <v>102</v>
      </c>
      <c r="E205" s="373">
        <v>45693</v>
      </c>
      <c r="F205" s="372" t="s">
        <v>242</v>
      </c>
      <c r="G205" s="372">
        <v>15</v>
      </c>
      <c r="H205" s="372" t="s">
        <v>46</v>
      </c>
      <c r="I205" s="372" t="s">
        <v>47</v>
      </c>
      <c r="J205" s="21" t="s">
        <v>29</v>
      </c>
      <c r="K205" s="21"/>
      <c r="L205" s="21"/>
      <c r="M205" s="22" t="s">
        <v>30</v>
      </c>
      <c r="N205" s="23">
        <v>45769</v>
      </c>
      <c r="O205" s="21" t="s">
        <v>31</v>
      </c>
      <c r="P205" s="22" t="s">
        <v>30</v>
      </c>
      <c r="Q205" s="23">
        <v>45769</v>
      </c>
      <c r="R205" s="81" t="s">
        <v>47</v>
      </c>
      <c r="S205" s="22" t="s">
        <v>32</v>
      </c>
      <c r="T205" s="22">
        <v>15</v>
      </c>
      <c r="U205" s="24" t="s">
        <v>47</v>
      </c>
      <c r="V205" s="23">
        <v>45769</v>
      </c>
      <c r="W205" s="82" t="s">
        <v>30</v>
      </c>
    </row>
    <row r="206" spans="1:23">
      <c r="A206" s="358" t="s">
        <v>24</v>
      </c>
      <c r="B206" s="369">
        <v>203</v>
      </c>
      <c r="C206" s="372" t="s">
        <v>391</v>
      </c>
      <c r="D206" s="372" t="s">
        <v>234</v>
      </c>
      <c r="E206" s="373">
        <v>45693</v>
      </c>
      <c r="F206" s="372" t="s">
        <v>324</v>
      </c>
      <c r="G206" s="372">
        <v>8</v>
      </c>
      <c r="H206" s="372" t="s">
        <v>21</v>
      </c>
      <c r="I206" s="372" t="s">
        <v>36</v>
      </c>
      <c r="J206" s="21" t="s">
        <v>29</v>
      </c>
      <c r="K206" s="221"/>
      <c r="L206" s="21"/>
      <c r="M206" s="22" t="s">
        <v>30</v>
      </c>
      <c r="N206" s="23">
        <v>45743</v>
      </c>
      <c r="O206" s="21"/>
      <c r="P206" s="22" t="s">
        <v>30</v>
      </c>
      <c r="Q206" s="23">
        <v>45743</v>
      </c>
      <c r="R206" s="81" t="s">
        <v>21</v>
      </c>
      <c r="S206" s="22" t="s">
        <v>32</v>
      </c>
      <c r="T206" s="22">
        <v>8</v>
      </c>
      <c r="U206" s="22" t="s">
        <v>21</v>
      </c>
      <c r="V206" s="23">
        <v>45743</v>
      </c>
      <c r="W206" s="82" t="s">
        <v>30</v>
      </c>
    </row>
    <row r="207" spans="1:23">
      <c r="A207" s="358" t="s">
        <v>24</v>
      </c>
      <c r="B207" s="369">
        <v>204</v>
      </c>
      <c r="C207" s="372" t="s">
        <v>392</v>
      </c>
      <c r="D207" s="372" t="s">
        <v>50</v>
      </c>
      <c r="E207" s="373">
        <v>45694</v>
      </c>
      <c r="F207" s="372" t="s">
        <v>173</v>
      </c>
      <c r="G207" s="372">
        <v>20</v>
      </c>
      <c r="H207" s="372" t="s">
        <v>46</v>
      </c>
      <c r="I207" s="372" t="s">
        <v>47</v>
      </c>
      <c r="J207" s="21" t="s">
        <v>29</v>
      </c>
      <c r="K207" s="21"/>
      <c r="L207" s="21"/>
      <c r="M207" s="22" t="s">
        <v>30</v>
      </c>
      <c r="N207" s="23">
        <v>45742</v>
      </c>
      <c r="O207" s="21" t="s">
        <v>31</v>
      </c>
      <c r="P207" s="22" t="s">
        <v>30</v>
      </c>
      <c r="Q207" s="23">
        <v>45742</v>
      </c>
      <c r="R207" s="81" t="s">
        <v>46</v>
      </c>
      <c r="S207" s="22" t="s">
        <v>32</v>
      </c>
      <c r="T207" s="22">
        <v>20</v>
      </c>
      <c r="U207" s="22" t="s">
        <v>46</v>
      </c>
      <c r="V207" s="23">
        <v>45742</v>
      </c>
      <c r="W207" s="82" t="s">
        <v>30</v>
      </c>
    </row>
    <row r="208" spans="1:23">
      <c r="A208" s="358" t="s">
        <v>24</v>
      </c>
      <c r="B208" s="369">
        <v>205</v>
      </c>
      <c r="C208" s="372" t="s">
        <v>393</v>
      </c>
      <c r="D208" s="372" t="s">
        <v>57</v>
      </c>
      <c r="E208" s="373">
        <v>45694</v>
      </c>
      <c r="F208" s="372" t="s">
        <v>202</v>
      </c>
      <c r="G208" s="372">
        <v>10</v>
      </c>
      <c r="H208" s="372" t="s">
        <v>22</v>
      </c>
      <c r="I208" s="372" t="s">
        <v>28</v>
      </c>
      <c r="J208" s="21" t="s">
        <v>29</v>
      </c>
      <c r="K208" s="21"/>
      <c r="L208" s="21"/>
      <c r="M208" s="22" t="s">
        <v>30</v>
      </c>
      <c r="N208" s="23">
        <v>45736</v>
      </c>
      <c r="O208" s="21"/>
      <c r="P208" s="22" t="s">
        <v>30</v>
      </c>
      <c r="Q208" s="23">
        <v>45736</v>
      </c>
      <c r="R208" s="81" t="s">
        <v>22</v>
      </c>
      <c r="S208" s="22" t="s">
        <v>32</v>
      </c>
      <c r="T208" s="22">
        <v>14</v>
      </c>
      <c r="U208" s="24" t="s">
        <v>22</v>
      </c>
      <c r="V208" s="23">
        <v>45736</v>
      </c>
      <c r="W208" s="82" t="s">
        <v>30</v>
      </c>
    </row>
    <row r="209" spans="1:24">
      <c r="A209" s="358" t="s">
        <v>24</v>
      </c>
      <c r="B209" s="369">
        <v>206</v>
      </c>
      <c r="C209" s="372" t="s">
        <v>394</v>
      </c>
      <c r="D209" s="372" t="s">
        <v>102</v>
      </c>
      <c r="E209" s="373">
        <v>45695</v>
      </c>
      <c r="F209" s="372" t="s">
        <v>395</v>
      </c>
      <c r="G209" s="372">
        <v>13</v>
      </c>
      <c r="H209" s="372" t="s">
        <v>22</v>
      </c>
      <c r="I209" s="372" t="s">
        <v>28</v>
      </c>
      <c r="J209" s="21" t="s">
        <v>29</v>
      </c>
      <c r="K209" s="21"/>
      <c r="L209" s="21"/>
      <c r="M209" s="22" t="s">
        <v>30</v>
      </c>
      <c r="N209" s="23">
        <v>45728</v>
      </c>
      <c r="O209" s="21"/>
      <c r="P209" s="22" t="s">
        <v>30</v>
      </c>
      <c r="Q209" s="23">
        <v>45728</v>
      </c>
      <c r="R209" s="81" t="s">
        <v>22</v>
      </c>
      <c r="S209" s="22" t="s">
        <v>32</v>
      </c>
      <c r="T209" s="22">
        <v>14</v>
      </c>
      <c r="U209" s="24" t="s">
        <v>22</v>
      </c>
      <c r="V209" s="23">
        <v>45728</v>
      </c>
      <c r="W209" s="82" t="s">
        <v>30</v>
      </c>
    </row>
    <row r="210" spans="1:24">
      <c r="A210" s="358" t="s">
        <v>24</v>
      </c>
      <c r="B210" s="369">
        <v>207</v>
      </c>
      <c r="C210" s="372" t="s">
        <v>396</v>
      </c>
      <c r="D210" s="372" t="s">
        <v>397</v>
      </c>
      <c r="E210" s="373">
        <v>45695</v>
      </c>
      <c r="F210" s="372" t="s">
        <v>398</v>
      </c>
      <c r="G210" s="372">
        <v>8</v>
      </c>
      <c r="H210" s="372" t="s">
        <v>21</v>
      </c>
      <c r="I210" s="372" t="s">
        <v>36</v>
      </c>
      <c r="J210" s="21" t="s">
        <v>29</v>
      </c>
      <c r="K210" s="93" t="s">
        <v>399</v>
      </c>
      <c r="L210" s="21"/>
      <c r="M210" s="22"/>
      <c r="N210" s="23"/>
      <c r="O210" s="21"/>
      <c r="P210" s="22"/>
      <c r="Q210" s="23"/>
      <c r="R210" s="81" t="s">
        <v>21</v>
      </c>
      <c r="S210" s="22"/>
      <c r="T210" s="22"/>
      <c r="U210" s="24"/>
      <c r="V210" s="23"/>
      <c r="W210" s="82" t="s">
        <v>32</v>
      </c>
    </row>
    <row r="211" spans="1:24">
      <c r="A211" s="358" t="s">
        <v>24</v>
      </c>
      <c r="B211" s="369">
        <v>208</v>
      </c>
      <c r="C211" s="372" t="s">
        <v>400</v>
      </c>
      <c r="D211" s="372" t="s">
        <v>178</v>
      </c>
      <c r="E211" s="373">
        <v>45695</v>
      </c>
      <c r="F211" s="372" t="s">
        <v>398</v>
      </c>
      <c r="G211" s="372">
        <v>8</v>
      </c>
      <c r="H211" s="372" t="s">
        <v>21</v>
      </c>
      <c r="I211" s="372" t="s">
        <v>36</v>
      </c>
      <c r="J211" s="21" t="s">
        <v>29</v>
      </c>
      <c r="K211" s="21" t="s">
        <v>401</v>
      </c>
      <c r="L211" s="21"/>
      <c r="M211" s="22"/>
      <c r="N211" s="23"/>
      <c r="O211" s="21" t="s">
        <v>66</v>
      </c>
      <c r="P211" s="22"/>
      <c r="Q211" s="23"/>
      <c r="R211" s="81" t="s">
        <v>21</v>
      </c>
      <c r="S211" s="22"/>
      <c r="T211" s="22"/>
      <c r="U211" s="22"/>
      <c r="V211" s="23"/>
      <c r="W211" s="82" t="s">
        <v>32</v>
      </c>
    </row>
    <row r="212" spans="1:24">
      <c r="A212" s="358" t="s">
        <v>24</v>
      </c>
      <c r="B212" s="369">
        <v>209</v>
      </c>
      <c r="C212" s="372" t="s">
        <v>402</v>
      </c>
      <c r="D212" s="372" t="s">
        <v>403</v>
      </c>
      <c r="E212" s="373">
        <v>45695</v>
      </c>
      <c r="F212" s="372" t="s">
        <v>404</v>
      </c>
      <c r="G212" s="372">
        <v>22</v>
      </c>
      <c r="H212" s="372" t="s">
        <v>21</v>
      </c>
      <c r="I212" s="372" t="s">
        <v>36</v>
      </c>
      <c r="J212" s="21" t="s">
        <v>29</v>
      </c>
      <c r="K212" s="229"/>
      <c r="L212" s="21"/>
      <c r="M212" s="22" t="s">
        <v>30</v>
      </c>
      <c r="N212" s="23">
        <v>45742</v>
      </c>
      <c r="O212" s="21" t="s">
        <v>31</v>
      </c>
      <c r="P212" s="22" t="s">
        <v>30</v>
      </c>
      <c r="Q212" s="23">
        <v>45742</v>
      </c>
      <c r="R212" s="81" t="s">
        <v>21</v>
      </c>
      <c r="S212" s="22" t="s">
        <v>32</v>
      </c>
      <c r="T212" s="22">
        <v>22</v>
      </c>
      <c r="U212" s="24" t="s">
        <v>21</v>
      </c>
      <c r="V212" s="23">
        <v>45742</v>
      </c>
      <c r="W212" s="82" t="s">
        <v>30</v>
      </c>
    </row>
    <row r="213" spans="1:24">
      <c r="A213" s="358" t="s">
        <v>24</v>
      </c>
      <c r="B213" s="369">
        <v>210</v>
      </c>
      <c r="C213" s="372" t="s">
        <v>405</v>
      </c>
      <c r="D213" s="372" t="s">
        <v>406</v>
      </c>
      <c r="E213" s="373">
        <v>45695</v>
      </c>
      <c r="F213" s="372" t="s">
        <v>404</v>
      </c>
      <c r="G213" s="372">
        <v>22</v>
      </c>
      <c r="H213" s="372" t="s">
        <v>21</v>
      </c>
      <c r="I213" s="372" t="s">
        <v>36</v>
      </c>
      <c r="J213" s="21" t="s">
        <v>29</v>
      </c>
      <c r="K213" s="21"/>
      <c r="L213" s="21"/>
      <c r="M213" s="22" t="s">
        <v>30</v>
      </c>
      <c r="N213" s="23">
        <v>45722</v>
      </c>
      <c r="O213" s="21" t="s">
        <v>31</v>
      </c>
      <c r="P213" s="22" t="s">
        <v>30</v>
      </c>
      <c r="Q213" s="23">
        <v>45722</v>
      </c>
      <c r="R213" s="81" t="s">
        <v>21</v>
      </c>
      <c r="S213" s="22" t="s">
        <v>32</v>
      </c>
      <c r="T213" s="22">
        <v>22</v>
      </c>
      <c r="U213" s="22" t="s">
        <v>21</v>
      </c>
      <c r="V213" s="23">
        <v>45722</v>
      </c>
      <c r="W213" s="82" t="s">
        <v>30</v>
      </c>
    </row>
    <row r="214" spans="1:24">
      <c r="A214" s="358" t="s">
        <v>24</v>
      </c>
      <c r="B214" s="369">
        <v>211</v>
      </c>
      <c r="C214" s="372" t="s">
        <v>407</v>
      </c>
      <c r="D214" s="372" t="s">
        <v>178</v>
      </c>
      <c r="E214" s="373">
        <v>45695</v>
      </c>
      <c r="F214" s="372" t="s">
        <v>324</v>
      </c>
      <c r="G214" s="372">
        <v>15</v>
      </c>
      <c r="H214" s="372" t="s">
        <v>21</v>
      </c>
      <c r="I214" s="372" t="s">
        <v>36</v>
      </c>
      <c r="J214" s="21" t="s">
        <v>29</v>
      </c>
      <c r="K214" s="221"/>
      <c r="L214" s="21"/>
      <c r="M214" s="22" t="s">
        <v>30</v>
      </c>
      <c r="N214" s="23">
        <v>45742</v>
      </c>
      <c r="O214" s="21" t="s">
        <v>31</v>
      </c>
      <c r="P214" s="22" t="s">
        <v>30</v>
      </c>
      <c r="Q214" s="23">
        <v>45742</v>
      </c>
      <c r="R214" s="81" t="s">
        <v>21</v>
      </c>
      <c r="S214" s="22" t="s">
        <v>32</v>
      </c>
      <c r="T214" s="22">
        <v>15</v>
      </c>
      <c r="U214" s="24" t="s">
        <v>21</v>
      </c>
      <c r="V214" s="23">
        <v>45742</v>
      </c>
      <c r="W214" s="82" t="s">
        <v>30</v>
      </c>
    </row>
    <row r="215" spans="1:24">
      <c r="A215" s="358" t="s">
        <v>24</v>
      </c>
      <c r="B215" s="369">
        <v>212</v>
      </c>
      <c r="C215" s="372" t="s">
        <v>408</v>
      </c>
      <c r="D215" s="372" t="s">
        <v>34</v>
      </c>
      <c r="E215" s="373">
        <v>45695</v>
      </c>
      <c r="F215" s="372" t="s">
        <v>409</v>
      </c>
      <c r="G215" s="372">
        <v>11</v>
      </c>
      <c r="H215" s="375" t="s">
        <v>22</v>
      </c>
      <c r="I215" s="372" t="s">
        <v>28</v>
      </c>
      <c r="J215" s="21" t="s">
        <v>29</v>
      </c>
      <c r="K215" s="21"/>
      <c r="L215" s="21"/>
      <c r="M215" s="22" t="s">
        <v>30</v>
      </c>
      <c r="N215" s="23">
        <v>45726</v>
      </c>
      <c r="O215" s="21"/>
      <c r="P215" s="22" t="s">
        <v>30</v>
      </c>
      <c r="Q215" s="23">
        <v>45726</v>
      </c>
      <c r="R215" s="81" t="s">
        <v>22</v>
      </c>
      <c r="S215" s="22" t="s">
        <v>32</v>
      </c>
      <c r="T215" s="22">
        <v>10</v>
      </c>
      <c r="U215" s="24" t="s">
        <v>22</v>
      </c>
      <c r="V215" s="23">
        <v>45726</v>
      </c>
      <c r="W215" s="82" t="s">
        <v>30</v>
      </c>
    </row>
    <row r="216" spans="1:24">
      <c r="A216" s="358" t="s">
        <v>24</v>
      </c>
      <c r="B216" s="369">
        <v>213</v>
      </c>
      <c r="C216" s="372" t="s">
        <v>410</v>
      </c>
      <c r="D216" s="372" t="s">
        <v>411</v>
      </c>
      <c r="E216" s="373">
        <v>45696</v>
      </c>
      <c r="F216" s="372" t="s">
        <v>412</v>
      </c>
      <c r="G216" s="372">
        <v>8</v>
      </c>
      <c r="H216" s="375" t="s">
        <v>46</v>
      </c>
      <c r="I216" s="372" t="s">
        <v>47</v>
      </c>
      <c r="J216" s="21" t="s">
        <v>29</v>
      </c>
      <c r="K216" s="21"/>
      <c r="L216" s="21"/>
      <c r="M216" s="22" t="s">
        <v>30</v>
      </c>
      <c r="N216" s="23">
        <v>45757</v>
      </c>
      <c r="O216" s="21" t="s">
        <v>66</v>
      </c>
      <c r="P216" s="22" t="s">
        <v>30</v>
      </c>
      <c r="Q216" s="23">
        <v>45757</v>
      </c>
      <c r="R216" s="81" t="s">
        <v>47</v>
      </c>
      <c r="S216" s="22" t="s">
        <v>32</v>
      </c>
      <c r="T216" s="22">
        <v>8</v>
      </c>
      <c r="U216" s="22" t="s">
        <v>47</v>
      </c>
      <c r="V216" s="23">
        <v>45757</v>
      </c>
      <c r="W216" s="82" t="s">
        <v>30</v>
      </c>
      <c r="X216" s="283" t="s">
        <v>30</v>
      </c>
    </row>
    <row r="217" spans="1:24">
      <c r="A217" s="358" t="s">
        <v>24</v>
      </c>
      <c r="B217" s="369">
        <v>214</v>
      </c>
      <c r="C217" s="372" t="s">
        <v>413</v>
      </c>
      <c r="D217" s="372" t="s">
        <v>102</v>
      </c>
      <c r="E217" s="373">
        <v>45696</v>
      </c>
      <c r="F217" s="372" t="s">
        <v>412</v>
      </c>
      <c r="G217" s="372">
        <v>8</v>
      </c>
      <c r="H217" s="375" t="s">
        <v>46</v>
      </c>
      <c r="I217" s="372" t="s">
        <v>47</v>
      </c>
      <c r="J217" s="21" t="s">
        <v>29</v>
      </c>
      <c r="K217" s="21"/>
      <c r="L217" s="21"/>
      <c r="M217" s="22" t="s">
        <v>30</v>
      </c>
      <c r="N217" s="23">
        <v>45756</v>
      </c>
      <c r="O217" s="21"/>
      <c r="P217" s="22" t="s">
        <v>30</v>
      </c>
      <c r="Q217" s="23">
        <v>45756</v>
      </c>
      <c r="R217" s="81" t="s">
        <v>47</v>
      </c>
      <c r="S217" s="22" t="s">
        <v>32</v>
      </c>
      <c r="T217" s="22">
        <v>8</v>
      </c>
      <c r="U217" s="24" t="s">
        <v>47</v>
      </c>
      <c r="V217" s="23">
        <v>45756</v>
      </c>
      <c r="W217" s="82" t="s">
        <v>30</v>
      </c>
    </row>
    <row r="218" spans="1:24">
      <c r="A218" s="358" t="s">
        <v>24</v>
      </c>
      <c r="B218" s="369">
        <v>215</v>
      </c>
      <c r="C218" s="372" t="s">
        <v>414</v>
      </c>
      <c r="D218" s="372" t="s">
        <v>64</v>
      </c>
      <c r="E218" s="373">
        <v>45696</v>
      </c>
      <c r="F218" s="372" t="s">
        <v>65</v>
      </c>
      <c r="G218" s="372">
        <v>8</v>
      </c>
      <c r="H218" s="372" t="s">
        <v>46</v>
      </c>
      <c r="I218" s="372" t="s">
        <v>47</v>
      </c>
      <c r="J218" s="21" t="s">
        <v>29</v>
      </c>
      <c r="K218" s="21" t="s">
        <v>415</v>
      </c>
      <c r="L218" s="21"/>
      <c r="M218" s="22"/>
      <c r="N218" s="23"/>
      <c r="O218" s="21" t="s">
        <v>66</v>
      </c>
      <c r="P218" s="22"/>
      <c r="Q218" s="23"/>
      <c r="R218" s="81" t="s">
        <v>47</v>
      </c>
      <c r="S218" s="22"/>
      <c r="T218" s="22"/>
      <c r="U218" s="24"/>
      <c r="V218" s="23"/>
      <c r="W218" s="82" t="s">
        <v>30</v>
      </c>
    </row>
    <row r="219" spans="1:24">
      <c r="A219" s="358" t="s">
        <v>24</v>
      </c>
      <c r="B219" s="369">
        <v>216</v>
      </c>
      <c r="C219" s="372" t="s">
        <v>416</v>
      </c>
      <c r="D219" s="372" t="s">
        <v>43</v>
      </c>
      <c r="E219" s="373">
        <v>45696</v>
      </c>
      <c r="F219" s="372" t="s">
        <v>65</v>
      </c>
      <c r="G219" s="372">
        <v>8</v>
      </c>
      <c r="H219" s="375" t="s">
        <v>46</v>
      </c>
      <c r="I219" s="372" t="s">
        <v>47</v>
      </c>
      <c r="J219" s="21" t="s">
        <v>29</v>
      </c>
      <c r="K219" s="21" t="s">
        <v>415</v>
      </c>
      <c r="L219" s="21"/>
      <c r="M219" s="22"/>
      <c r="N219" s="23"/>
      <c r="O219" s="21"/>
      <c r="P219" s="22"/>
      <c r="Q219" s="23"/>
      <c r="R219" s="81" t="s">
        <v>47</v>
      </c>
      <c r="S219" s="22"/>
      <c r="T219" s="22"/>
      <c r="U219" s="24"/>
      <c r="V219" s="23"/>
      <c r="W219" s="82" t="s">
        <v>30</v>
      </c>
    </row>
    <row r="220" spans="1:24">
      <c r="A220" s="358" t="s">
        <v>24</v>
      </c>
      <c r="B220" s="369">
        <v>217</v>
      </c>
      <c r="C220" s="372" t="s">
        <v>417</v>
      </c>
      <c r="D220" s="372" t="s">
        <v>50</v>
      </c>
      <c r="E220" s="373">
        <v>45696</v>
      </c>
      <c r="F220" s="372" t="s">
        <v>65</v>
      </c>
      <c r="G220" s="372">
        <v>8</v>
      </c>
      <c r="H220" s="372" t="s">
        <v>46</v>
      </c>
      <c r="I220" s="372" t="s">
        <v>47</v>
      </c>
      <c r="J220" s="21" t="s">
        <v>29</v>
      </c>
      <c r="K220" s="21" t="s">
        <v>415</v>
      </c>
      <c r="L220" s="21"/>
      <c r="M220" s="22"/>
      <c r="N220" s="23"/>
      <c r="O220" s="21"/>
      <c r="P220" s="22"/>
      <c r="Q220" s="23"/>
      <c r="R220" s="81" t="s">
        <v>47</v>
      </c>
      <c r="S220" s="22"/>
      <c r="T220" s="22"/>
      <c r="U220" s="24"/>
      <c r="V220" s="23"/>
      <c r="W220" s="82" t="s">
        <v>30</v>
      </c>
    </row>
    <row r="221" spans="1:24">
      <c r="A221" s="358" t="s">
        <v>24</v>
      </c>
      <c r="B221" s="369">
        <v>218</v>
      </c>
      <c r="C221" s="372" t="s">
        <v>418</v>
      </c>
      <c r="D221" s="372" t="s">
        <v>102</v>
      </c>
      <c r="E221" s="373">
        <v>45696</v>
      </c>
      <c r="F221" s="372" t="s">
        <v>65</v>
      </c>
      <c r="G221" s="372">
        <v>2</v>
      </c>
      <c r="H221" s="372" t="s">
        <v>46</v>
      </c>
      <c r="I221" s="372" t="s">
        <v>47</v>
      </c>
      <c r="J221" s="21" t="s">
        <v>29</v>
      </c>
      <c r="K221" s="21" t="s">
        <v>415</v>
      </c>
      <c r="L221" s="21"/>
      <c r="M221" s="22"/>
      <c r="N221" s="23"/>
      <c r="O221" s="21"/>
      <c r="P221" s="22"/>
      <c r="Q221" s="23"/>
      <c r="R221" s="81" t="s">
        <v>47</v>
      </c>
      <c r="S221" s="22"/>
      <c r="T221" s="22"/>
      <c r="U221" s="22"/>
      <c r="V221" s="23"/>
      <c r="W221" s="82" t="s">
        <v>30</v>
      </c>
    </row>
    <row r="222" spans="1:24">
      <c r="A222" s="358" t="s">
        <v>24</v>
      </c>
      <c r="B222" s="369">
        <v>219</v>
      </c>
      <c r="C222" s="372" t="s">
        <v>419</v>
      </c>
      <c r="D222" s="372" t="s">
        <v>34</v>
      </c>
      <c r="E222" s="373">
        <v>45696</v>
      </c>
      <c r="F222" s="372" t="s">
        <v>187</v>
      </c>
      <c r="G222" s="372">
        <v>24</v>
      </c>
      <c r="H222" s="375" t="s">
        <v>21</v>
      </c>
      <c r="I222" s="372" t="s">
        <v>36</v>
      </c>
      <c r="J222" s="21" t="s">
        <v>29</v>
      </c>
      <c r="K222" s="21"/>
      <c r="L222" s="21"/>
      <c r="M222" s="22" t="s">
        <v>30</v>
      </c>
      <c r="N222" s="23">
        <v>45734</v>
      </c>
      <c r="O222" s="21" t="s">
        <v>31</v>
      </c>
      <c r="P222" s="22" t="s">
        <v>30</v>
      </c>
      <c r="Q222" s="23">
        <v>45734</v>
      </c>
      <c r="R222" s="81" t="s">
        <v>21</v>
      </c>
      <c r="S222" s="22" t="s">
        <v>32</v>
      </c>
      <c r="T222" s="22">
        <v>24</v>
      </c>
      <c r="U222" s="24" t="s">
        <v>21</v>
      </c>
      <c r="V222" s="23">
        <v>45734</v>
      </c>
      <c r="W222" s="82" t="s">
        <v>30</v>
      </c>
    </row>
    <row r="223" spans="1:24">
      <c r="A223" s="358" t="s">
        <v>24</v>
      </c>
      <c r="B223" s="369">
        <v>220</v>
      </c>
      <c r="C223" s="372" t="s">
        <v>420</v>
      </c>
      <c r="D223" s="372" t="s">
        <v>34</v>
      </c>
      <c r="E223" s="373">
        <v>45696</v>
      </c>
      <c r="F223" s="372" t="s">
        <v>421</v>
      </c>
      <c r="G223" s="372">
        <v>14</v>
      </c>
      <c r="H223" s="375" t="s">
        <v>21</v>
      </c>
      <c r="I223" s="372" t="s">
        <v>36</v>
      </c>
      <c r="J223" s="21" t="s">
        <v>29</v>
      </c>
      <c r="K223" s="21"/>
      <c r="L223" s="21"/>
      <c r="M223" s="22" t="s">
        <v>30</v>
      </c>
      <c r="N223" s="23">
        <v>45736</v>
      </c>
      <c r="O223" s="21"/>
      <c r="P223" s="22" t="s">
        <v>30</v>
      </c>
      <c r="Q223" s="23">
        <v>45736</v>
      </c>
      <c r="R223" s="81" t="s">
        <v>21</v>
      </c>
      <c r="S223" s="22" t="s">
        <v>32</v>
      </c>
      <c r="T223" s="22">
        <v>13</v>
      </c>
      <c r="U223" s="22" t="s">
        <v>21</v>
      </c>
      <c r="V223" s="23">
        <v>45736</v>
      </c>
      <c r="W223" s="82" t="s">
        <v>30</v>
      </c>
    </row>
    <row r="224" spans="1:24">
      <c r="A224" s="358" t="s">
        <v>24</v>
      </c>
      <c r="B224" s="369">
        <v>221</v>
      </c>
      <c r="C224" s="372" t="s">
        <v>96</v>
      </c>
      <c r="D224" s="372" t="s">
        <v>34</v>
      </c>
      <c r="E224" s="373">
        <v>45696</v>
      </c>
      <c r="F224" s="372" t="s">
        <v>422</v>
      </c>
      <c r="G224" s="372">
        <v>15</v>
      </c>
      <c r="H224" s="375" t="s">
        <v>21</v>
      </c>
      <c r="I224" s="372" t="s">
        <v>36</v>
      </c>
      <c r="J224" s="21" t="s">
        <v>29</v>
      </c>
      <c r="K224" s="21"/>
      <c r="L224" s="21"/>
      <c r="M224" s="22" t="s">
        <v>30</v>
      </c>
      <c r="N224" s="23">
        <v>45740</v>
      </c>
      <c r="O224" s="21" t="s">
        <v>31</v>
      </c>
      <c r="P224" s="22" t="s">
        <v>30</v>
      </c>
      <c r="Q224" s="23">
        <v>45740</v>
      </c>
      <c r="R224" s="81" t="s">
        <v>21</v>
      </c>
      <c r="S224" s="22" t="s">
        <v>32</v>
      </c>
      <c r="T224" s="22">
        <v>15</v>
      </c>
      <c r="U224" s="22" t="s">
        <v>21</v>
      </c>
      <c r="V224" s="23">
        <v>45740</v>
      </c>
      <c r="W224" s="82" t="s">
        <v>30</v>
      </c>
    </row>
    <row r="225" spans="1:23">
      <c r="A225" s="358" t="s">
        <v>24</v>
      </c>
      <c r="B225" s="369">
        <v>222</v>
      </c>
      <c r="C225" s="372" t="s">
        <v>423</v>
      </c>
      <c r="D225" s="372" t="s">
        <v>34</v>
      </c>
      <c r="E225" s="373">
        <v>45696</v>
      </c>
      <c r="F225" s="372" t="s">
        <v>272</v>
      </c>
      <c r="G225" s="372">
        <v>6</v>
      </c>
      <c r="H225" s="372" t="s">
        <v>21</v>
      </c>
      <c r="I225" s="372" t="s">
        <v>36</v>
      </c>
      <c r="J225" s="21" t="s">
        <v>29</v>
      </c>
      <c r="K225" s="21"/>
      <c r="L225" s="21"/>
      <c r="M225" s="22" t="s">
        <v>30</v>
      </c>
      <c r="N225" s="23">
        <v>45730</v>
      </c>
      <c r="O225" s="21"/>
      <c r="P225" s="22" t="s">
        <v>30</v>
      </c>
      <c r="Q225" s="23">
        <v>45730</v>
      </c>
      <c r="R225" s="81" t="s">
        <v>21</v>
      </c>
      <c r="S225" s="22" t="s">
        <v>32</v>
      </c>
      <c r="T225" s="22">
        <v>6</v>
      </c>
      <c r="U225" s="24" t="s">
        <v>21</v>
      </c>
      <c r="V225" s="23">
        <v>45730</v>
      </c>
      <c r="W225" s="82" t="s">
        <v>30</v>
      </c>
    </row>
    <row r="226" spans="1:23">
      <c r="A226" s="358" t="s">
        <v>24</v>
      </c>
      <c r="B226" s="369">
        <v>223</v>
      </c>
      <c r="C226" s="372" t="s">
        <v>424</v>
      </c>
      <c r="D226" s="372" t="s">
        <v>425</v>
      </c>
      <c r="E226" s="373">
        <v>45696</v>
      </c>
      <c r="F226" s="372" t="s">
        <v>272</v>
      </c>
      <c r="G226" s="372">
        <v>6</v>
      </c>
      <c r="H226" s="375" t="s">
        <v>21</v>
      </c>
      <c r="I226" s="372" t="s">
        <v>36</v>
      </c>
      <c r="J226" s="21" t="s">
        <v>29</v>
      </c>
      <c r="K226" s="21"/>
      <c r="L226" s="21"/>
      <c r="M226" s="22" t="s">
        <v>30</v>
      </c>
      <c r="N226" s="23">
        <v>45730</v>
      </c>
      <c r="O226" s="21"/>
      <c r="P226" s="22" t="s">
        <v>30</v>
      </c>
      <c r="Q226" s="23">
        <v>45730</v>
      </c>
      <c r="R226" s="81" t="s">
        <v>21</v>
      </c>
      <c r="S226" s="22" t="s">
        <v>32</v>
      </c>
      <c r="T226" s="22">
        <v>6</v>
      </c>
      <c r="U226" s="24" t="s">
        <v>21</v>
      </c>
      <c r="V226" s="23">
        <v>45730</v>
      </c>
      <c r="W226" s="82" t="s">
        <v>30</v>
      </c>
    </row>
    <row r="227" spans="1:23">
      <c r="A227" s="358" t="s">
        <v>24</v>
      </c>
      <c r="B227" s="369">
        <v>224</v>
      </c>
      <c r="C227" s="372" t="s">
        <v>426</v>
      </c>
      <c r="D227" s="372" t="s">
        <v>34</v>
      </c>
      <c r="E227" s="373">
        <v>45696</v>
      </c>
      <c r="F227" s="372" t="s">
        <v>272</v>
      </c>
      <c r="G227" s="372">
        <v>8</v>
      </c>
      <c r="H227" s="375" t="s">
        <v>21</v>
      </c>
      <c r="I227" s="372" t="s">
        <v>36</v>
      </c>
      <c r="J227" s="21" t="s">
        <v>29</v>
      </c>
      <c r="K227" s="21"/>
      <c r="L227" s="21"/>
      <c r="M227" s="22" t="s">
        <v>30</v>
      </c>
      <c r="N227" s="23">
        <v>45737</v>
      </c>
      <c r="O227" s="21"/>
      <c r="P227" s="22" t="s">
        <v>30</v>
      </c>
      <c r="Q227" s="23">
        <v>45737</v>
      </c>
      <c r="R227" s="81" t="s">
        <v>21</v>
      </c>
      <c r="S227" s="22" t="s">
        <v>32</v>
      </c>
      <c r="T227" s="22">
        <v>8</v>
      </c>
      <c r="U227" s="24" t="s">
        <v>21</v>
      </c>
      <c r="V227" s="23">
        <v>45737</v>
      </c>
      <c r="W227" s="82" t="s">
        <v>30</v>
      </c>
    </row>
    <row r="228" spans="1:23">
      <c r="A228" s="358" t="s">
        <v>24</v>
      </c>
      <c r="B228" s="369">
        <v>225</v>
      </c>
      <c r="C228" s="372" t="s">
        <v>427</v>
      </c>
      <c r="D228" s="372" t="s">
        <v>43</v>
      </c>
      <c r="E228" s="373">
        <v>45696</v>
      </c>
      <c r="F228" s="372" t="s">
        <v>97</v>
      </c>
      <c r="G228" s="372">
        <v>16</v>
      </c>
      <c r="H228" s="375" t="s">
        <v>22</v>
      </c>
      <c r="I228" s="372" t="s">
        <v>28</v>
      </c>
      <c r="J228" s="21" t="s">
        <v>29</v>
      </c>
      <c r="K228" s="21"/>
      <c r="L228" s="21"/>
      <c r="M228" s="22" t="s">
        <v>30</v>
      </c>
      <c r="N228" s="23">
        <v>45727</v>
      </c>
      <c r="O228" s="21" t="s">
        <v>31</v>
      </c>
      <c r="P228" s="22" t="s">
        <v>30</v>
      </c>
      <c r="Q228" s="23">
        <v>45727</v>
      </c>
      <c r="R228" s="81" t="s">
        <v>22</v>
      </c>
      <c r="S228" s="22" t="s">
        <v>32</v>
      </c>
      <c r="T228" s="22">
        <v>16</v>
      </c>
      <c r="U228" s="24" t="s">
        <v>22</v>
      </c>
      <c r="V228" s="23">
        <v>45727</v>
      </c>
      <c r="W228" s="82" t="s">
        <v>30</v>
      </c>
    </row>
    <row r="229" spans="1:23">
      <c r="A229" s="358" t="s">
        <v>24</v>
      </c>
      <c r="B229" s="369">
        <v>226</v>
      </c>
      <c r="C229" s="372" t="s">
        <v>295</v>
      </c>
      <c r="D229" s="372" t="s">
        <v>428</v>
      </c>
      <c r="E229" s="373">
        <v>45696</v>
      </c>
      <c r="F229" s="372" t="s">
        <v>110</v>
      </c>
      <c r="G229" s="372">
        <v>13</v>
      </c>
      <c r="H229" s="375" t="s">
        <v>22</v>
      </c>
      <c r="I229" s="372" t="s">
        <v>28</v>
      </c>
      <c r="J229" s="21" t="s">
        <v>29</v>
      </c>
      <c r="K229" s="21"/>
      <c r="L229" s="21"/>
      <c r="M229" s="22" t="s">
        <v>30</v>
      </c>
      <c r="N229" s="23">
        <v>45743</v>
      </c>
      <c r="O229" s="21"/>
      <c r="P229" s="22" t="s">
        <v>30</v>
      </c>
      <c r="Q229" s="23">
        <v>45743</v>
      </c>
      <c r="R229" s="81" t="s">
        <v>48</v>
      </c>
      <c r="S229" s="22" t="s">
        <v>32</v>
      </c>
      <c r="T229" s="22">
        <v>13</v>
      </c>
      <c r="U229" s="24" t="s">
        <v>48</v>
      </c>
      <c r="V229" s="23">
        <v>45743</v>
      </c>
      <c r="W229" s="82" t="s">
        <v>113</v>
      </c>
    </row>
    <row r="230" spans="1:23">
      <c r="A230" s="358" t="s">
        <v>24</v>
      </c>
      <c r="B230" s="369">
        <v>227</v>
      </c>
      <c r="C230" s="372" t="s">
        <v>429</v>
      </c>
      <c r="D230" s="372" t="s">
        <v>102</v>
      </c>
      <c r="E230" s="373">
        <v>45698</v>
      </c>
      <c r="F230" s="372" t="s">
        <v>430</v>
      </c>
      <c r="G230" s="372">
        <v>12</v>
      </c>
      <c r="H230" s="375" t="s">
        <v>46</v>
      </c>
      <c r="I230" s="372" t="s">
        <v>47</v>
      </c>
      <c r="J230" s="21" t="s">
        <v>29</v>
      </c>
      <c r="K230" s="21"/>
      <c r="L230" s="21"/>
      <c r="M230" s="22" t="s">
        <v>30</v>
      </c>
      <c r="N230" s="23">
        <v>45762</v>
      </c>
      <c r="O230" s="21"/>
      <c r="P230" s="22" t="s">
        <v>30</v>
      </c>
      <c r="Q230" s="23">
        <v>45762</v>
      </c>
      <c r="R230" s="81" t="s">
        <v>47</v>
      </c>
      <c r="S230" s="22" t="s">
        <v>32</v>
      </c>
      <c r="T230" s="22">
        <v>12</v>
      </c>
      <c r="U230" s="24" t="s">
        <v>47</v>
      </c>
      <c r="V230" s="23">
        <v>45762</v>
      </c>
      <c r="W230" s="82" t="s">
        <v>30</v>
      </c>
    </row>
    <row r="231" spans="1:23">
      <c r="A231" s="358" t="s">
        <v>24</v>
      </c>
      <c r="B231" s="369">
        <v>228</v>
      </c>
      <c r="C231" s="372" t="s">
        <v>431</v>
      </c>
      <c r="D231" s="372" t="s">
        <v>406</v>
      </c>
      <c r="E231" s="373">
        <v>45698</v>
      </c>
      <c r="F231" s="372" t="s">
        <v>167</v>
      </c>
      <c r="G231" s="372">
        <v>7</v>
      </c>
      <c r="H231" s="375" t="s">
        <v>22</v>
      </c>
      <c r="I231" s="372" t="s">
        <v>28</v>
      </c>
      <c r="J231" s="21" t="s">
        <v>29</v>
      </c>
      <c r="K231" s="21"/>
      <c r="L231" s="21"/>
      <c r="M231" s="22" t="s">
        <v>30</v>
      </c>
      <c r="N231" s="23">
        <v>45741</v>
      </c>
      <c r="O231" s="21"/>
      <c r="P231" s="22" t="s">
        <v>30</v>
      </c>
      <c r="Q231" s="23">
        <v>45741</v>
      </c>
      <c r="R231" s="81" t="s">
        <v>22</v>
      </c>
      <c r="S231" s="22" t="s">
        <v>32</v>
      </c>
      <c r="T231" s="22">
        <v>7</v>
      </c>
      <c r="U231" s="24" t="s">
        <v>22</v>
      </c>
      <c r="V231" s="23">
        <v>45741</v>
      </c>
      <c r="W231" s="82" t="s">
        <v>30</v>
      </c>
    </row>
    <row r="232" spans="1:23">
      <c r="A232" s="358" t="s">
        <v>24</v>
      </c>
      <c r="B232" s="369">
        <v>229</v>
      </c>
      <c r="C232" s="372" t="s">
        <v>363</v>
      </c>
      <c r="D232" s="372" t="s">
        <v>432</v>
      </c>
      <c r="E232" s="373">
        <v>45698</v>
      </c>
      <c r="F232" s="372" t="s">
        <v>167</v>
      </c>
      <c r="G232" s="372">
        <v>6</v>
      </c>
      <c r="H232" s="375" t="s">
        <v>22</v>
      </c>
      <c r="I232" s="372" t="s">
        <v>28</v>
      </c>
      <c r="J232" s="21" t="s">
        <v>29</v>
      </c>
      <c r="K232" s="21" t="s">
        <v>401</v>
      </c>
      <c r="L232" s="21"/>
      <c r="M232" s="22" t="s">
        <v>30</v>
      </c>
      <c r="N232" s="23">
        <v>45740</v>
      </c>
      <c r="O232" s="21"/>
      <c r="P232" s="22" t="s">
        <v>30</v>
      </c>
      <c r="Q232" s="23">
        <v>45740</v>
      </c>
      <c r="R232" s="81" t="s">
        <v>22</v>
      </c>
      <c r="S232" s="22" t="s">
        <v>32</v>
      </c>
      <c r="T232" s="22">
        <v>8</v>
      </c>
      <c r="U232" s="22" t="s">
        <v>22</v>
      </c>
      <c r="V232" s="23">
        <v>45740</v>
      </c>
      <c r="W232" s="82" t="s">
        <v>32</v>
      </c>
    </row>
    <row r="233" spans="1:23">
      <c r="A233" s="358" t="s">
        <v>24</v>
      </c>
      <c r="B233" s="369">
        <v>230</v>
      </c>
      <c r="C233" s="372" t="s">
        <v>433</v>
      </c>
      <c r="D233" s="372" t="s">
        <v>34</v>
      </c>
      <c r="E233" s="373">
        <v>45700</v>
      </c>
      <c r="F233" s="372" t="s">
        <v>245</v>
      </c>
      <c r="G233" s="372">
        <v>13</v>
      </c>
      <c r="H233" s="375" t="s">
        <v>46</v>
      </c>
      <c r="I233" s="372" t="s">
        <v>47</v>
      </c>
      <c r="J233" s="21" t="s">
        <v>29</v>
      </c>
      <c r="K233" s="21"/>
      <c r="L233" s="21"/>
      <c r="M233" s="22" t="s">
        <v>30</v>
      </c>
      <c r="N233" s="23">
        <v>45726</v>
      </c>
      <c r="O233" s="21"/>
      <c r="P233" s="22" t="s">
        <v>30</v>
      </c>
      <c r="Q233" s="23">
        <v>45726</v>
      </c>
      <c r="R233" s="81" t="s">
        <v>46</v>
      </c>
      <c r="S233" s="22" t="s">
        <v>32</v>
      </c>
      <c r="T233" s="22">
        <v>13</v>
      </c>
      <c r="U233" s="22" t="s">
        <v>46</v>
      </c>
      <c r="V233" s="23">
        <v>45730</v>
      </c>
      <c r="W233" s="82" t="s">
        <v>30</v>
      </c>
    </row>
    <row r="234" spans="1:23">
      <c r="A234" s="358" t="s">
        <v>24</v>
      </c>
      <c r="B234" s="369">
        <v>231</v>
      </c>
      <c r="C234" s="372" t="s">
        <v>434</v>
      </c>
      <c r="D234" s="372" t="s">
        <v>43</v>
      </c>
      <c r="E234" s="373">
        <v>45700</v>
      </c>
      <c r="F234" s="372" t="s">
        <v>435</v>
      </c>
      <c r="G234" s="372">
        <v>9</v>
      </c>
      <c r="H234" s="375" t="s">
        <v>21</v>
      </c>
      <c r="I234" s="372" t="s">
        <v>47</v>
      </c>
      <c r="J234" s="21" t="s">
        <v>29</v>
      </c>
      <c r="K234" s="230"/>
      <c r="L234" s="21"/>
      <c r="M234" s="22" t="s">
        <v>30</v>
      </c>
      <c r="N234" s="23">
        <v>45742</v>
      </c>
      <c r="O234" s="21"/>
      <c r="P234" s="22" t="s">
        <v>30</v>
      </c>
      <c r="Q234" s="23">
        <v>45742</v>
      </c>
      <c r="R234" s="81" t="s">
        <v>21</v>
      </c>
      <c r="S234" s="22" t="s">
        <v>32</v>
      </c>
      <c r="T234" s="22">
        <v>9</v>
      </c>
      <c r="U234" s="24" t="s">
        <v>21</v>
      </c>
      <c r="V234" s="23">
        <v>45742</v>
      </c>
      <c r="W234" s="82" t="s">
        <v>32</v>
      </c>
    </row>
    <row r="235" spans="1:23">
      <c r="A235" s="358" t="s">
        <v>24</v>
      </c>
      <c r="B235" s="369">
        <v>232</v>
      </c>
      <c r="C235" s="372" t="s">
        <v>436</v>
      </c>
      <c r="D235" s="372" t="s">
        <v>50</v>
      </c>
      <c r="E235" s="373">
        <v>45700</v>
      </c>
      <c r="F235" s="372" t="s">
        <v>435</v>
      </c>
      <c r="G235" s="372">
        <v>9</v>
      </c>
      <c r="H235" s="375" t="s">
        <v>21</v>
      </c>
      <c r="I235" s="372" t="s">
        <v>47</v>
      </c>
      <c r="J235" s="21" t="s">
        <v>29</v>
      </c>
      <c r="K235" s="21" t="s">
        <v>401</v>
      </c>
      <c r="L235" s="21"/>
      <c r="M235" s="22" t="s">
        <v>30</v>
      </c>
      <c r="N235" s="23">
        <v>45742</v>
      </c>
      <c r="O235" s="21" t="s">
        <v>66</v>
      </c>
      <c r="P235" s="22" t="s">
        <v>30</v>
      </c>
      <c r="Q235" s="23">
        <v>45742</v>
      </c>
      <c r="R235" s="81" t="s">
        <v>21</v>
      </c>
      <c r="S235" s="22" t="s">
        <v>32</v>
      </c>
      <c r="T235" s="22">
        <v>9</v>
      </c>
      <c r="U235" s="24" t="s">
        <v>21</v>
      </c>
      <c r="V235" s="23">
        <v>45742</v>
      </c>
      <c r="W235" s="82" t="s">
        <v>32</v>
      </c>
    </row>
    <row r="236" spans="1:23">
      <c r="A236" s="358" t="s">
        <v>24</v>
      </c>
      <c r="B236" s="369">
        <v>233</v>
      </c>
      <c r="C236" s="372" t="s">
        <v>437</v>
      </c>
      <c r="D236" s="372" t="s">
        <v>438</v>
      </c>
      <c r="E236" s="373">
        <v>45701</v>
      </c>
      <c r="F236" s="372" t="s">
        <v>439</v>
      </c>
      <c r="G236" s="372">
        <v>18</v>
      </c>
      <c r="H236" s="375" t="s">
        <v>22</v>
      </c>
      <c r="I236" s="372" t="s">
        <v>28</v>
      </c>
      <c r="J236" s="21" t="s">
        <v>29</v>
      </c>
      <c r="K236" s="21"/>
      <c r="L236" s="21"/>
      <c r="M236" s="22" t="s">
        <v>30</v>
      </c>
      <c r="N236" s="23">
        <v>45740</v>
      </c>
      <c r="O236" s="21" t="s">
        <v>31</v>
      </c>
      <c r="P236" s="22" t="s">
        <v>30</v>
      </c>
      <c r="Q236" s="23">
        <v>45740</v>
      </c>
      <c r="R236" s="81" t="s">
        <v>22</v>
      </c>
      <c r="S236" s="22" t="s">
        <v>32</v>
      </c>
      <c r="T236" s="22">
        <v>15</v>
      </c>
      <c r="U236" s="22" t="s">
        <v>22</v>
      </c>
      <c r="V236" s="23">
        <v>45740</v>
      </c>
      <c r="W236" s="82" t="s">
        <v>30</v>
      </c>
    </row>
    <row r="237" spans="1:23">
      <c r="A237" s="358" t="s">
        <v>24</v>
      </c>
      <c r="B237" s="369">
        <v>234</v>
      </c>
      <c r="C237" s="372" t="s">
        <v>440</v>
      </c>
      <c r="D237" s="372" t="s">
        <v>34</v>
      </c>
      <c r="E237" s="373">
        <v>45701</v>
      </c>
      <c r="F237" s="372" t="s">
        <v>35</v>
      </c>
      <c r="G237" s="372">
        <v>4</v>
      </c>
      <c r="H237" s="372" t="s">
        <v>21</v>
      </c>
      <c r="I237" s="372" t="s">
        <v>36</v>
      </c>
      <c r="J237" s="21" t="s">
        <v>29</v>
      </c>
      <c r="K237" s="21"/>
      <c r="L237" s="21"/>
      <c r="M237" s="22" t="s">
        <v>30</v>
      </c>
      <c r="N237" s="23">
        <v>45735</v>
      </c>
      <c r="O237" s="21"/>
      <c r="P237" s="22" t="s">
        <v>30</v>
      </c>
      <c r="Q237" s="23">
        <v>45735</v>
      </c>
      <c r="R237" s="81" t="s">
        <v>21</v>
      </c>
      <c r="S237" s="22" t="s">
        <v>32</v>
      </c>
      <c r="T237" s="22">
        <v>4</v>
      </c>
      <c r="U237" s="24" t="s">
        <v>21</v>
      </c>
      <c r="V237" s="23">
        <v>45735</v>
      </c>
      <c r="W237" s="82" t="s">
        <v>30</v>
      </c>
    </row>
    <row r="238" spans="1:23">
      <c r="A238" s="358" t="s">
        <v>24</v>
      </c>
      <c r="B238" s="369">
        <v>235</v>
      </c>
      <c r="C238" s="372" t="s">
        <v>441</v>
      </c>
      <c r="D238" s="372" t="s">
        <v>178</v>
      </c>
      <c r="E238" s="373">
        <v>45701</v>
      </c>
      <c r="F238" s="372" t="s">
        <v>35</v>
      </c>
      <c r="G238" s="372">
        <v>4</v>
      </c>
      <c r="H238" s="372" t="s">
        <v>21</v>
      </c>
      <c r="I238" s="372" t="s">
        <v>36</v>
      </c>
      <c r="J238" s="21" t="s">
        <v>29</v>
      </c>
      <c r="K238" s="21"/>
      <c r="L238" s="21"/>
      <c r="M238" s="22" t="s">
        <v>30</v>
      </c>
      <c r="N238" s="23">
        <v>45735</v>
      </c>
      <c r="O238" s="21"/>
      <c r="P238" s="22" t="s">
        <v>30</v>
      </c>
      <c r="Q238" s="23">
        <v>45735</v>
      </c>
      <c r="R238" s="81" t="s">
        <v>21</v>
      </c>
      <c r="S238" s="22" t="s">
        <v>32</v>
      </c>
      <c r="T238" s="22">
        <v>4</v>
      </c>
      <c r="U238" s="24" t="s">
        <v>21</v>
      </c>
      <c r="V238" s="23">
        <v>45735</v>
      </c>
      <c r="W238" s="82" t="s">
        <v>30</v>
      </c>
    </row>
    <row r="239" spans="1:23">
      <c r="A239" s="358" t="s">
        <v>24</v>
      </c>
      <c r="B239" s="369">
        <v>236</v>
      </c>
      <c r="C239" s="372" t="s">
        <v>442</v>
      </c>
      <c r="D239" s="372" t="s">
        <v>83</v>
      </c>
      <c r="E239" s="373">
        <v>45701</v>
      </c>
      <c r="F239" s="372" t="s">
        <v>35</v>
      </c>
      <c r="G239" s="372">
        <v>4</v>
      </c>
      <c r="H239" s="372" t="s">
        <v>21</v>
      </c>
      <c r="I239" s="372" t="s">
        <v>36</v>
      </c>
      <c r="J239" s="21" t="s">
        <v>29</v>
      </c>
      <c r="K239" s="21"/>
      <c r="L239" s="21"/>
      <c r="M239" s="22" t="s">
        <v>30</v>
      </c>
      <c r="N239" s="23">
        <v>45735</v>
      </c>
      <c r="O239" s="21"/>
      <c r="P239" s="22" t="s">
        <v>30</v>
      </c>
      <c r="Q239" s="23">
        <v>45735</v>
      </c>
      <c r="R239" s="81" t="s">
        <v>21</v>
      </c>
      <c r="S239" s="22" t="s">
        <v>32</v>
      </c>
      <c r="T239" s="22">
        <v>4</v>
      </c>
      <c r="U239" s="24" t="s">
        <v>21</v>
      </c>
      <c r="V239" s="23">
        <v>45735</v>
      </c>
      <c r="W239" s="82" t="s">
        <v>30</v>
      </c>
    </row>
    <row r="240" spans="1:23">
      <c r="A240" s="358" t="s">
        <v>24</v>
      </c>
      <c r="B240" s="369">
        <v>237</v>
      </c>
      <c r="C240" s="372" t="s">
        <v>443</v>
      </c>
      <c r="D240" s="372" t="s">
        <v>83</v>
      </c>
      <c r="E240" s="373">
        <v>45701</v>
      </c>
      <c r="F240" s="372" t="s">
        <v>202</v>
      </c>
      <c r="G240" s="372">
        <v>10</v>
      </c>
      <c r="H240" s="372" t="s">
        <v>22</v>
      </c>
      <c r="I240" s="372" t="s">
        <v>28</v>
      </c>
      <c r="J240" s="21" t="s">
        <v>29</v>
      </c>
      <c r="K240" s="21"/>
      <c r="L240" s="21"/>
      <c r="M240" s="22" t="s">
        <v>30</v>
      </c>
      <c r="N240" s="23">
        <v>45726</v>
      </c>
      <c r="O240" s="21"/>
      <c r="P240" s="22" t="s">
        <v>30</v>
      </c>
      <c r="Q240" s="23">
        <v>45726</v>
      </c>
      <c r="R240" s="81" t="s">
        <v>22</v>
      </c>
      <c r="S240" s="22" t="s">
        <v>32</v>
      </c>
      <c r="T240" s="22">
        <v>10</v>
      </c>
      <c r="U240" s="22" t="s">
        <v>22</v>
      </c>
      <c r="V240" s="23">
        <v>45737</v>
      </c>
      <c r="W240" s="82" t="s">
        <v>30</v>
      </c>
    </row>
    <row r="241" spans="1:23">
      <c r="A241" s="358" t="s">
        <v>24</v>
      </c>
      <c r="B241" s="369">
        <v>238</v>
      </c>
      <c r="C241" s="376" t="s">
        <v>444</v>
      </c>
      <c r="D241" s="376" t="s">
        <v>102</v>
      </c>
      <c r="E241" s="373">
        <v>45702</v>
      </c>
      <c r="F241" s="372" t="s">
        <v>104</v>
      </c>
      <c r="G241" s="372">
        <v>12</v>
      </c>
      <c r="H241" s="372" t="s">
        <v>22</v>
      </c>
      <c r="I241" s="372" t="s">
        <v>28</v>
      </c>
      <c r="J241" s="21" t="s">
        <v>29</v>
      </c>
      <c r="K241" s="21"/>
      <c r="L241" s="21"/>
      <c r="M241" s="22" t="s">
        <v>30</v>
      </c>
      <c r="N241" s="23">
        <v>45733</v>
      </c>
      <c r="O241" s="21" t="s">
        <v>66</v>
      </c>
      <c r="P241" s="22" t="s">
        <v>30</v>
      </c>
      <c r="Q241" s="23">
        <v>45733</v>
      </c>
      <c r="R241" s="81" t="s">
        <v>22</v>
      </c>
      <c r="S241" s="22" t="s">
        <v>32</v>
      </c>
      <c r="T241" s="22">
        <v>12</v>
      </c>
      <c r="U241" s="22" t="s">
        <v>22</v>
      </c>
      <c r="V241" s="23">
        <v>45733</v>
      </c>
      <c r="W241" s="82" t="s">
        <v>30</v>
      </c>
    </row>
    <row r="242" spans="1:23">
      <c r="A242" s="358" t="s">
        <v>24</v>
      </c>
      <c r="B242" s="369">
        <v>239</v>
      </c>
      <c r="C242" s="372" t="s">
        <v>445</v>
      </c>
      <c r="D242" s="372" t="s">
        <v>446</v>
      </c>
      <c r="E242" s="377">
        <v>45702</v>
      </c>
      <c r="F242" s="372" t="s">
        <v>104</v>
      </c>
      <c r="G242" s="372">
        <v>12</v>
      </c>
      <c r="H242" s="372" t="s">
        <v>22</v>
      </c>
      <c r="I242" s="372" t="s">
        <v>28</v>
      </c>
      <c r="J242" s="21" t="s">
        <v>29</v>
      </c>
      <c r="K242" s="21"/>
      <c r="L242" s="21"/>
      <c r="M242" s="22" t="s">
        <v>30</v>
      </c>
      <c r="N242" s="23">
        <v>45734</v>
      </c>
      <c r="O242" s="21"/>
      <c r="P242" s="22" t="s">
        <v>30</v>
      </c>
      <c r="Q242" s="23">
        <v>45734</v>
      </c>
      <c r="R242" s="81" t="s">
        <v>22</v>
      </c>
      <c r="S242" s="22" t="s">
        <v>32</v>
      </c>
      <c r="T242" s="22">
        <v>12</v>
      </c>
      <c r="U242" s="24" t="s">
        <v>22</v>
      </c>
      <c r="V242" s="23">
        <v>45734</v>
      </c>
      <c r="W242" s="82" t="s">
        <v>30</v>
      </c>
    </row>
    <row r="243" spans="1:23">
      <c r="A243" s="358" t="s">
        <v>24</v>
      </c>
      <c r="B243" s="369">
        <v>240</v>
      </c>
      <c r="C243" s="372" t="s">
        <v>447</v>
      </c>
      <c r="D243" s="372" t="s">
        <v>374</v>
      </c>
      <c r="E243" s="377">
        <v>45702</v>
      </c>
      <c r="F243" s="372" t="s">
        <v>206</v>
      </c>
      <c r="G243" s="372">
        <v>13</v>
      </c>
      <c r="H243" s="372" t="s">
        <v>22</v>
      </c>
      <c r="I243" s="372" t="s">
        <v>28</v>
      </c>
      <c r="J243" s="21" t="s">
        <v>29</v>
      </c>
      <c r="K243" s="21"/>
      <c r="L243" s="21"/>
      <c r="M243" s="22" t="s">
        <v>30</v>
      </c>
      <c r="N243" s="23">
        <v>45747</v>
      </c>
      <c r="O243" s="21"/>
      <c r="P243" s="22" t="s">
        <v>30</v>
      </c>
      <c r="Q243" s="23">
        <v>45747</v>
      </c>
      <c r="R243" s="81" t="s">
        <v>28</v>
      </c>
      <c r="S243" s="22" t="s">
        <v>32</v>
      </c>
      <c r="T243" s="22">
        <v>13</v>
      </c>
      <c r="U243" s="24" t="s">
        <v>28</v>
      </c>
      <c r="V243" s="23">
        <v>45747</v>
      </c>
      <c r="W243" s="82" t="s">
        <v>30</v>
      </c>
    </row>
    <row r="244" spans="1:23">
      <c r="A244" s="358" t="s">
        <v>24</v>
      </c>
      <c r="B244" s="369">
        <v>241</v>
      </c>
      <c r="C244" s="372" t="s">
        <v>448</v>
      </c>
      <c r="D244" s="372" t="s">
        <v>34</v>
      </c>
      <c r="E244" s="377">
        <v>45703</v>
      </c>
      <c r="F244" s="372" t="s">
        <v>97</v>
      </c>
      <c r="G244" s="372">
        <v>4</v>
      </c>
      <c r="H244" s="372" t="s">
        <v>22</v>
      </c>
      <c r="I244" s="372" t="s">
        <v>28</v>
      </c>
      <c r="J244" s="21" t="s">
        <v>29</v>
      </c>
      <c r="K244" s="21"/>
      <c r="L244" s="21"/>
      <c r="M244" s="22" t="s">
        <v>30</v>
      </c>
      <c r="N244" s="23">
        <v>45736</v>
      </c>
      <c r="O244" s="21"/>
      <c r="P244" s="22" t="s">
        <v>30</v>
      </c>
      <c r="Q244" s="23">
        <v>45736</v>
      </c>
      <c r="R244" s="81" t="s">
        <v>28</v>
      </c>
      <c r="S244" s="22" t="s">
        <v>32</v>
      </c>
      <c r="T244" s="22">
        <v>4</v>
      </c>
      <c r="U244" s="24" t="s">
        <v>28</v>
      </c>
      <c r="V244" s="23">
        <v>45736</v>
      </c>
      <c r="W244" s="82" t="s">
        <v>30</v>
      </c>
    </row>
    <row r="245" spans="1:23">
      <c r="A245" s="358" t="s">
        <v>24</v>
      </c>
      <c r="B245" s="369">
        <v>242</v>
      </c>
      <c r="C245" s="372" t="s">
        <v>449</v>
      </c>
      <c r="D245" s="372" t="s">
        <v>34</v>
      </c>
      <c r="E245" s="377">
        <v>45703</v>
      </c>
      <c r="F245" s="372" t="s">
        <v>97</v>
      </c>
      <c r="G245" s="372">
        <v>6</v>
      </c>
      <c r="H245" s="372" t="s">
        <v>22</v>
      </c>
      <c r="I245" s="372" t="s">
        <v>28</v>
      </c>
      <c r="J245" s="21" t="s">
        <v>29</v>
      </c>
      <c r="K245" s="21"/>
      <c r="L245" s="21"/>
      <c r="M245" s="22" t="s">
        <v>30</v>
      </c>
      <c r="N245" s="23">
        <v>45736</v>
      </c>
      <c r="O245" s="21"/>
      <c r="P245" s="22" t="s">
        <v>30</v>
      </c>
      <c r="Q245" s="23">
        <v>45736</v>
      </c>
      <c r="R245" s="81" t="s">
        <v>28</v>
      </c>
      <c r="S245" s="22" t="s">
        <v>32</v>
      </c>
      <c r="T245" s="22">
        <v>6</v>
      </c>
      <c r="U245" s="24" t="s">
        <v>28</v>
      </c>
      <c r="V245" s="23">
        <v>45736</v>
      </c>
      <c r="W245" s="82" t="s">
        <v>30</v>
      </c>
    </row>
    <row r="246" spans="1:23">
      <c r="A246" s="358" t="s">
        <v>24</v>
      </c>
      <c r="B246" s="369">
        <v>243</v>
      </c>
      <c r="C246" s="372" t="s">
        <v>450</v>
      </c>
      <c r="D246" s="372" t="s">
        <v>451</v>
      </c>
      <c r="E246" s="377">
        <v>45703</v>
      </c>
      <c r="F246" s="372" t="s">
        <v>202</v>
      </c>
      <c r="G246" s="372">
        <v>13</v>
      </c>
      <c r="H246" s="372" t="s">
        <v>22</v>
      </c>
      <c r="I246" s="372" t="s">
        <v>28</v>
      </c>
      <c r="J246" s="21" t="s">
        <v>29</v>
      </c>
      <c r="K246" s="21"/>
      <c r="L246" s="21"/>
      <c r="M246" s="22" t="s">
        <v>30</v>
      </c>
      <c r="N246" s="23">
        <v>45733</v>
      </c>
      <c r="O246" s="21"/>
      <c r="P246" s="22" t="s">
        <v>30</v>
      </c>
      <c r="Q246" s="23">
        <v>45733</v>
      </c>
      <c r="R246" s="81" t="s">
        <v>28</v>
      </c>
      <c r="S246" s="22" t="s">
        <v>32</v>
      </c>
      <c r="T246" s="22">
        <v>13</v>
      </c>
      <c r="U246" s="22" t="s">
        <v>28</v>
      </c>
      <c r="V246" s="23">
        <v>45733</v>
      </c>
      <c r="W246" s="82" t="s">
        <v>30</v>
      </c>
    </row>
    <row r="247" spans="1:23">
      <c r="A247" s="358" t="s">
        <v>24</v>
      </c>
      <c r="B247" s="369">
        <v>244</v>
      </c>
      <c r="C247" s="372" t="s">
        <v>452</v>
      </c>
      <c r="D247" s="372" t="s">
        <v>34</v>
      </c>
      <c r="E247" s="377">
        <v>45703</v>
      </c>
      <c r="F247" s="372" t="s">
        <v>206</v>
      </c>
      <c r="G247" s="372">
        <v>9</v>
      </c>
      <c r="H247" s="372" t="s">
        <v>22</v>
      </c>
      <c r="I247" s="372" t="s">
        <v>28</v>
      </c>
      <c r="J247" s="21" t="s">
        <v>29</v>
      </c>
      <c r="K247" s="21"/>
      <c r="L247" s="21"/>
      <c r="M247" s="22" t="s">
        <v>30</v>
      </c>
      <c r="N247" s="23">
        <v>45733</v>
      </c>
      <c r="O247" s="21"/>
      <c r="P247" s="22" t="s">
        <v>30</v>
      </c>
      <c r="Q247" s="23">
        <v>45733</v>
      </c>
      <c r="R247" s="81" t="s">
        <v>28</v>
      </c>
      <c r="S247" s="22" t="s">
        <v>32</v>
      </c>
      <c r="T247" s="22">
        <v>9</v>
      </c>
      <c r="U247" s="22" t="s">
        <v>28</v>
      </c>
      <c r="V247" s="23">
        <v>45735</v>
      </c>
      <c r="W247" s="82" t="s">
        <v>30</v>
      </c>
    </row>
    <row r="248" spans="1:23">
      <c r="A248" s="358" t="s">
        <v>24</v>
      </c>
      <c r="B248" s="369">
        <v>245</v>
      </c>
      <c r="C248" s="372" t="s">
        <v>453</v>
      </c>
      <c r="D248" s="372" t="s">
        <v>34</v>
      </c>
      <c r="E248" s="377">
        <v>45703</v>
      </c>
      <c r="F248" s="372" t="s">
        <v>202</v>
      </c>
      <c r="G248" s="372">
        <v>11</v>
      </c>
      <c r="H248" s="372" t="s">
        <v>22</v>
      </c>
      <c r="I248" s="372" t="s">
        <v>28</v>
      </c>
      <c r="J248" s="21" t="s">
        <v>29</v>
      </c>
      <c r="K248" s="21"/>
      <c r="L248" s="21"/>
      <c r="M248" s="22" t="s">
        <v>30</v>
      </c>
      <c r="N248" s="23">
        <v>45733</v>
      </c>
      <c r="O248" s="21"/>
      <c r="P248" s="22" t="s">
        <v>30</v>
      </c>
      <c r="Q248" s="23">
        <v>45733</v>
      </c>
      <c r="R248" s="81" t="s">
        <v>28</v>
      </c>
      <c r="S248" s="22" t="s">
        <v>32</v>
      </c>
      <c r="T248" s="22">
        <v>11</v>
      </c>
      <c r="U248" s="22" t="s">
        <v>28</v>
      </c>
      <c r="V248" s="23">
        <v>45735</v>
      </c>
      <c r="W248" s="82" t="s">
        <v>30</v>
      </c>
    </row>
    <row r="249" spans="1:23">
      <c r="A249" s="358" t="s">
        <v>24</v>
      </c>
      <c r="B249" s="369">
        <v>246</v>
      </c>
      <c r="C249" s="372" t="s">
        <v>454</v>
      </c>
      <c r="D249" s="372" t="s">
        <v>234</v>
      </c>
      <c r="E249" s="377">
        <v>45703</v>
      </c>
      <c r="F249" s="372" t="s">
        <v>455</v>
      </c>
      <c r="G249" s="372">
        <v>10</v>
      </c>
      <c r="H249" s="372" t="s">
        <v>22</v>
      </c>
      <c r="I249" s="372" t="s">
        <v>28</v>
      </c>
      <c r="J249" s="21" t="s">
        <v>29</v>
      </c>
      <c r="K249" s="21"/>
      <c r="L249" s="21"/>
      <c r="M249" s="22" t="s">
        <v>30</v>
      </c>
      <c r="N249" s="23">
        <v>45733</v>
      </c>
      <c r="O249" s="21"/>
      <c r="P249" s="22" t="s">
        <v>30</v>
      </c>
      <c r="Q249" s="23">
        <v>45733</v>
      </c>
      <c r="R249" s="81" t="s">
        <v>28</v>
      </c>
      <c r="S249" s="22" t="s">
        <v>32</v>
      </c>
      <c r="T249" s="22">
        <v>10</v>
      </c>
      <c r="U249" s="22" t="s">
        <v>28</v>
      </c>
      <c r="V249" s="23">
        <v>45733</v>
      </c>
      <c r="W249" s="82" t="s">
        <v>30</v>
      </c>
    </row>
    <row r="250" spans="1:23">
      <c r="A250" s="358" t="s">
        <v>24</v>
      </c>
      <c r="B250" s="369">
        <v>247</v>
      </c>
      <c r="C250" s="372" t="s">
        <v>456</v>
      </c>
      <c r="D250" s="372" t="s">
        <v>83</v>
      </c>
      <c r="E250" s="377">
        <v>45703</v>
      </c>
      <c r="F250" s="372" t="s">
        <v>165</v>
      </c>
      <c r="G250" s="372">
        <v>13</v>
      </c>
      <c r="H250" s="372" t="s">
        <v>46</v>
      </c>
      <c r="I250" s="372" t="s">
        <v>47</v>
      </c>
      <c r="J250" s="21" t="s">
        <v>29</v>
      </c>
      <c r="K250" s="21" t="s">
        <v>457</v>
      </c>
      <c r="L250" s="21"/>
      <c r="M250" s="22" t="s">
        <v>30</v>
      </c>
      <c r="N250" s="23">
        <v>45736</v>
      </c>
      <c r="O250" s="21" t="s">
        <v>66</v>
      </c>
      <c r="P250" s="22" t="s">
        <v>30</v>
      </c>
      <c r="Q250" s="23">
        <v>45736</v>
      </c>
      <c r="R250" s="81" t="s">
        <v>46</v>
      </c>
      <c r="S250" s="22" t="s">
        <v>32</v>
      </c>
      <c r="T250" s="22">
        <v>13</v>
      </c>
      <c r="U250" s="24" t="s">
        <v>46</v>
      </c>
      <c r="V250" s="23">
        <v>45736</v>
      </c>
      <c r="W250" s="82" t="s">
        <v>32</v>
      </c>
    </row>
    <row r="251" spans="1:23">
      <c r="A251" s="358" t="s">
        <v>24</v>
      </c>
      <c r="B251" s="369">
        <v>248</v>
      </c>
      <c r="C251" s="372" t="s">
        <v>458</v>
      </c>
      <c r="D251" s="372" t="s">
        <v>64</v>
      </c>
      <c r="E251" s="377">
        <v>45703</v>
      </c>
      <c r="F251" s="372" t="s">
        <v>165</v>
      </c>
      <c r="G251" s="372">
        <v>13</v>
      </c>
      <c r="H251" s="372" t="s">
        <v>46</v>
      </c>
      <c r="I251" s="372" t="s">
        <v>47</v>
      </c>
      <c r="J251" s="21" t="s">
        <v>29</v>
      </c>
      <c r="K251" s="21" t="s">
        <v>401</v>
      </c>
      <c r="L251" s="21"/>
      <c r="M251" s="22" t="s">
        <v>30</v>
      </c>
      <c r="N251" s="23">
        <v>45740</v>
      </c>
      <c r="O251" s="21"/>
      <c r="P251" s="22" t="s">
        <v>30</v>
      </c>
      <c r="Q251" s="23">
        <v>45740</v>
      </c>
      <c r="R251" s="81" t="s">
        <v>46</v>
      </c>
      <c r="S251" s="22" t="s">
        <v>32</v>
      </c>
      <c r="T251" s="22">
        <v>13</v>
      </c>
      <c r="U251" s="24" t="s">
        <v>46</v>
      </c>
      <c r="V251" s="23">
        <v>45740</v>
      </c>
      <c r="W251" s="82" t="s">
        <v>32</v>
      </c>
    </row>
    <row r="252" spans="1:23">
      <c r="A252" s="358" t="s">
        <v>24</v>
      </c>
      <c r="B252" s="369">
        <v>249</v>
      </c>
      <c r="C252" s="378" t="s">
        <v>459</v>
      </c>
      <c r="D252" s="378" t="s">
        <v>34</v>
      </c>
      <c r="E252" s="373">
        <v>45703</v>
      </c>
      <c r="F252" s="372" t="s">
        <v>165</v>
      </c>
      <c r="G252" s="372">
        <v>16</v>
      </c>
      <c r="H252" s="372" t="s">
        <v>46</v>
      </c>
      <c r="I252" s="372" t="s">
        <v>47</v>
      </c>
      <c r="J252" s="21" t="s">
        <v>29</v>
      </c>
      <c r="K252" s="21"/>
      <c r="L252" s="21"/>
      <c r="M252" s="22" t="s">
        <v>30</v>
      </c>
      <c r="N252" s="23">
        <v>45782</v>
      </c>
      <c r="O252" s="21" t="s">
        <v>31</v>
      </c>
      <c r="P252" s="22" t="s">
        <v>30</v>
      </c>
      <c r="Q252" s="23">
        <v>45782</v>
      </c>
      <c r="R252" s="81" t="s">
        <v>47</v>
      </c>
      <c r="S252" s="22" t="s">
        <v>32</v>
      </c>
      <c r="T252" s="22">
        <v>16</v>
      </c>
      <c r="U252" s="22" t="s">
        <v>47</v>
      </c>
      <c r="V252" s="23">
        <v>45782</v>
      </c>
      <c r="W252" s="82" t="s">
        <v>30</v>
      </c>
    </row>
    <row r="253" spans="1:23">
      <c r="A253" s="358" t="s">
        <v>24</v>
      </c>
      <c r="B253" s="369">
        <v>250</v>
      </c>
      <c r="C253" s="372" t="s">
        <v>460</v>
      </c>
      <c r="D253" s="372" t="s">
        <v>34</v>
      </c>
      <c r="E253" s="373">
        <v>45703</v>
      </c>
      <c r="F253" s="372" t="s">
        <v>165</v>
      </c>
      <c r="G253" s="372">
        <v>2</v>
      </c>
      <c r="H253" s="372" t="s">
        <v>46</v>
      </c>
      <c r="I253" s="372" t="s">
        <v>47</v>
      </c>
      <c r="J253" s="21" t="s">
        <v>29</v>
      </c>
      <c r="K253" s="93"/>
      <c r="L253" s="21"/>
      <c r="M253" s="22" t="s">
        <v>30</v>
      </c>
      <c r="N253" s="23">
        <v>45742</v>
      </c>
      <c r="O253" s="21"/>
      <c r="P253" s="22" t="s">
        <v>30</v>
      </c>
      <c r="Q253" s="23">
        <v>45742</v>
      </c>
      <c r="R253" s="81" t="s">
        <v>46</v>
      </c>
      <c r="S253" s="22" t="s">
        <v>32</v>
      </c>
      <c r="T253" s="22">
        <v>2</v>
      </c>
      <c r="U253" s="22" t="s">
        <v>46</v>
      </c>
      <c r="V253" s="23">
        <v>45742</v>
      </c>
      <c r="W253" s="82" t="s">
        <v>30</v>
      </c>
    </row>
    <row r="254" spans="1:23">
      <c r="A254" s="358" t="s">
        <v>24</v>
      </c>
      <c r="B254" s="369">
        <v>251</v>
      </c>
      <c r="C254" s="372" t="s">
        <v>461</v>
      </c>
      <c r="D254" s="372" t="s">
        <v>34</v>
      </c>
      <c r="E254" s="373">
        <v>45703</v>
      </c>
      <c r="F254" s="372" t="s">
        <v>462</v>
      </c>
      <c r="G254" s="372">
        <v>26</v>
      </c>
      <c r="H254" s="372" t="s">
        <v>46</v>
      </c>
      <c r="I254" s="372" t="s">
        <v>47</v>
      </c>
      <c r="J254" s="21" t="s">
        <v>29</v>
      </c>
      <c r="K254" s="21"/>
      <c r="L254" s="21"/>
      <c r="M254" s="22" t="s">
        <v>30</v>
      </c>
      <c r="N254" s="23">
        <v>45743</v>
      </c>
      <c r="O254" s="21" t="s">
        <v>31</v>
      </c>
      <c r="P254" s="22" t="s">
        <v>30</v>
      </c>
      <c r="Q254" s="23">
        <v>45743</v>
      </c>
      <c r="R254" s="81" t="s">
        <v>46</v>
      </c>
      <c r="S254" s="22" t="s">
        <v>32</v>
      </c>
      <c r="T254" s="22">
        <v>26</v>
      </c>
      <c r="U254" s="22" t="s">
        <v>46</v>
      </c>
      <c r="V254" s="23">
        <v>45742</v>
      </c>
      <c r="W254" s="82" t="s">
        <v>30</v>
      </c>
    </row>
    <row r="255" spans="1:23">
      <c r="A255" s="358" t="s">
        <v>24</v>
      </c>
      <c r="B255" s="369">
        <v>252</v>
      </c>
      <c r="C255" s="372" t="s">
        <v>463</v>
      </c>
      <c r="D255" s="372" t="s">
        <v>83</v>
      </c>
      <c r="E255" s="373">
        <v>45703</v>
      </c>
      <c r="F255" s="372" t="s">
        <v>464</v>
      </c>
      <c r="G255" s="372">
        <v>13</v>
      </c>
      <c r="H255" s="372" t="s">
        <v>21</v>
      </c>
      <c r="I255" s="372" t="s">
        <v>36</v>
      </c>
      <c r="J255" s="21" t="s">
        <v>29</v>
      </c>
      <c r="K255" s="21"/>
      <c r="L255" s="21"/>
      <c r="M255" s="22" t="s">
        <v>30</v>
      </c>
      <c r="N255" s="23">
        <v>45748</v>
      </c>
      <c r="O255" s="21"/>
      <c r="P255" s="22" t="s">
        <v>30</v>
      </c>
      <c r="Q255" s="23">
        <v>45748</v>
      </c>
      <c r="R255" s="81" t="s">
        <v>67</v>
      </c>
      <c r="S255" s="22" t="s">
        <v>32</v>
      </c>
      <c r="T255" s="22">
        <v>13</v>
      </c>
      <c r="U255" s="22" t="s">
        <v>67</v>
      </c>
      <c r="V255" s="23">
        <v>45748</v>
      </c>
      <c r="W255" s="82" t="s">
        <v>30</v>
      </c>
    </row>
    <row r="256" spans="1:23">
      <c r="A256" s="358" t="s">
        <v>24</v>
      </c>
      <c r="B256" s="369">
        <v>253</v>
      </c>
      <c r="C256" s="372" t="s">
        <v>465</v>
      </c>
      <c r="D256" s="372" t="s">
        <v>102</v>
      </c>
      <c r="E256" s="373">
        <v>45703</v>
      </c>
      <c r="F256" s="372" t="s">
        <v>421</v>
      </c>
      <c r="G256" s="372">
        <v>11</v>
      </c>
      <c r="H256" s="375" t="s">
        <v>21</v>
      </c>
      <c r="I256" s="372" t="s">
        <v>36</v>
      </c>
      <c r="J256" s="21" t="s">
        <v>29</v>
      </c>
      <c r="K256" s="21"/>
      <c r="L256" s="21"/>
      <c r="M256" s="22" t="s">
        <v>30</v>
      </c>
      <c r="N256" s="23">
        <v>45747</v>
      </c>
      <c r="O256" s="21"/>
      <c r="P256" s="22" t="s">
        <v>30</v>
      </c>
      <c r="Q256" s="23">
        <v>45747</v>
      </c>
      <c r="R256" s="81" t="s">
        <v>37</v>
      </c>
      <c r="S256" s="22" t="s">
        <v>32</v>
      </c>
      <c r="T256" s="22">
        <v>11</v>
      </c>
      <c r="U256" s="22" t="s">
        <v>37</v>
      </c>
      <c r="V256" s="23">
        <v>45747</v>
      </c>
      <c r="W256" s="82" t="s">
        <v>30</v>
      </c>
    </row>
    <row r="257" spans="1:23">
      <c r="A257" s="358" t="s">
        <v>24</v>
      </c>
      <c r="B257" s="369">
        <v>254</v>
      </c>
      <c r="C257" s="372" t="s">
        <v>466</v>
      </c>
      <c r="D257" s="372" t="s">
        <v>64</v>
      </c>
      <c r="E257" s="373">
        <v>45703</v>
      </c>
      <c r="F257" s="372" t="s">
        <v>421</v>
      </c>
      <c r="G257" s="372">
        <v>33</v>
      </c>
      <c r="H257" s="375" t="s">
        <v>21</v>
      </c>
      <c r="I257" s="372" t="s">
        <v>36</v>
      </c>
      <c r="J257" s="21" t="s">
        <v>29</v>
      </c>
      <c r="K257" s="21"/>
      <c r="L257" s="21"/>
      <c r="M257" s="22" t="s">
        <v>30</v>
      </c>
      <c r="N257" s="23">
        <v>45745</v>
      </c>
      <c r="O257" s="21" t="s">
        <v>31</v>
      </c>
      <c r="P257" s="22" t="s">
        <v>30</v>
      </c>
      <c r="Q257" s="23">
        <v>45745</v>
      </c>
      <c r="R257" s="81" t="s">
        <v>37</v>
      </c>
      <c r="S257" s="22" t="s">
        <v>32</v>
      </c>
      <c r="T257" s="22">
        <v>33</v>
      </c>
      <c r="U257" s="22" t="s">
        <v>37</v>
      </c>
      <c r="V257" s="23">
        <v>45745</v>
      </c>
      <c r="W257" s="82" t="s">
        <v>30</v>
      </c>
    </row>
    <row r="258" spans="1:23">
      <c r="A258" s="358" t="s">
        <v>24</v>
      </c>
      <c r="B258" s="369">
        <v>255</v>
      </c>
      <c r="C258" s="372" t="s">
        <v>467</v>
      </c>
      <c r="D258" s="372" t="s">
        <v>102</v>
      </c>
      <c r="E258" s="373">
        <v>45705</v>
      </c>
      <c r="F258" s="372" t="s">
        <v>202</v>
      </c>
      <c r="G258" s="372">
        <v>9</v>
      </c>
      <c r="H258" s="375" t="s">
        <v>22</v>
      </c>
      <c r="I258" s="372" t="s">
        <v>28</v>
      </c>
      <c r="J258" s="21" t="s">
        <v>29</v>
      </c>
      <c r="K258" s="21"/>
      <c r="L258" s="21"/>
      <c r="M258" s="22" t="s">
        <v>30</v>
      </c>
      <c r="N258" s="23">
        <v>45733</v>
      </c>
      <c r="O258" s="21" t="s">
        <v>66</v>
      </c>
      <c r="P258" s="22" t="s">
        <v>30</v>
      </c>
      <c r="Q258" s="23">
        <v>45733</v>
      </c>
      <c r="R258" s="81" t="s">
        <v>28</v>
      </c>
      <c r="S258" s="22" t="s">
        <v>32</v>
      </c>
      <c r="T258" s="22">
        <v>11</v>
      </c>
      <c r="U258" s="22" t="s">
        <v>28</v>
      </c>
      <c r="V258" s="23">
        <v>45733</v>
      </c>
      <c r="W258" s="82" t="s">
        <v>30</v>
      </c>
    </row>
    <row r="259" spans="1:23">
      <c r="A259" s="358" t="s">
        <v>24</v>
      </c>
      <c r="B259" s="369">
        <v>256</v>
      </c>
      <c r="C259" s="372" t="s">
        <v>468</v>
      </c>
      <c r="D259" s="372" t="s">
        <v>469</v>
      </c>
      <c r="E259" s="373">
        <v>45705</v>
      </c>
      <c r="F259" s="372" t="s">
        <v>202</v>
      </c>
      <c r="G259" s="372">
        <v>9</v>
      </c>
      <c r="H259" s="375" t="s">
        <v>22</v>
      </c>
      <c r="I259" s="372" t="s">
        <v>28</v>
      </c>
      <c r="J259" s="21" t="s">
        <v>29</v>
      </c>
      <c r="K259" s="21"/>
      <c r="L259" s="21"/>
      <c r="M259" s="22" t="s">
        <v>30</v>
      </c>
      <c r="N259" s="23">
        <v>45733</v>
      </c>
      <c r="O259" s="21"/>
      <c r="P259" s="22" t="s">
        <v>30</v>
      </c>
      <c r="Q259" s="23">
        <v>45733</v>
      </c>
      <c r="R259" s="81" t="s">
        <v>28</v>
      </c>
      <c r="S259" s="22" t="s">
        <v>32</v>
      </c>
      <c r="T259" s="22">
        <v>11</v>
      </c>
      <c r="U259" s="22" t="s">
        <v>28</v>
      </c>
      <c r="V259" s="23">
        <v>45733</v>
      </c>
      <c r="W259" s="82" t="s">
        <v>30</v>
      </c>
    </row>
    <row r="260" spans="1:23">
      <c r="A260" s="358" t="s">
        <v>24</v>
      </c>
      <c r="B260" s="369">
        <v>257</v>
      </c>
      <c r="C260" s="372" t="s">
        <v>470</v>
      </c>
      <c r="D260" s="372" t="s">
        <v>234</v>
      </c>
      <c r="E260" s="373">
        <v>45705</v>
      </c>
      <c r="F260" s="372" t="s">
        <v>324</v>
      </c>
      <c r="G260" s="372">
        <v>10</v>
      </c>
      <c r="H260" s="372" t="s">
        <v>21</v>
      </c>
      <c r="I260" s="372" t="s">
        <v>36</v>
      </c>
      <c r="J260" s="21" t="s">
        <v>29</v>
      </c>
      <c r="K260" s="21"/>
      <c r="L260" s="21"/>
      <c r="M260" s="22" t="s">
        <v>30</v>
      </c>
      <c r="N260" s="23">
        <v>45748</v>
      </c>
      <c r="O260" s="21"/>
      <c r="P260" s="22" t="s">
        <v>30</v>
      </c>
      <c r="Q260" s="23">
        <v>45748</v>
      </c>
      <c r="R260" s="81" t="s">
        <v>67</v>
      </c>
      <c r="S260" s="22" t="s">
        <v>32</v>
      </c>
      <c r="T260" s="22">
        <v>10</v>
      </c>
      <c r="U260" s="22" t="s">
        <v>67</v>
      </c>
      <c r="V260" s="23">
        <v>45748</v>
      </c>
      <c r="W260" s="82" t="s">
        <v>30</v>
      </c>
    </row>
    <row r="261" spans="1:23">
      <c r="A261" s="358" t="s">
        <v>24</v>
      </c>
      <c r="B261" s="369">
        <v>258</v>
      </c>
      <c r="C261" s="372" t="s">
        <v>471</v>
      </c>
      <c r="D261" s="372" t="s">
        <v>472</v>
      </c>
      <c r="E261" s="373">
        <v>45707</v>
      </c>
      <c r="F261" s="372" t="s">
        <v>97</v>
      </c>
      <c r="G261" s="372">
        <v>14</v>
      </c>
      <c r="H261" s="372" t="s">
        <v>22</v>
      </c>
      <c r="I261" s="372" t="s">
        <v>28</v>
      </c>
      <c r="J261" s="21" t="s">
        <v>29</v>
      </c>
      <c r="K261" s="21"/>
      <c r="L261" s="21"/>
      <c r="M261" s="22" t="s">
        <v>30</v>
      </c>
      <c r="N261" s="23">
        <v>45727</v>
      </c>
      <c r="O261" s="21"/>
      <c r="P261" s="22" t="s">
        <v>30</v>
      </c>
      <c r="Q261" s="23">
        <v>45727</v>
      </c>
      <c r="R261" s="81" t="s">
        <v>28</v>
      </c>
      <c r="S261" s="22" t="s">
        <v>32</v>
      </c>
      <c r="T261" s="22">
        <v>12</v>
      </c>
      <c r="U261" s="22" t="s">
        <v>28</v>
      </c>
      <c r="V261" s="23">
        <v>45727</v>
      </c>
      <c r="W261" s="82" t="s">
        <v>30</v>
      </c>
    </row>
    <row r="262" spans="1:23">
      <c r="A262" s="358" t="s">
        <v>24</v>
      </c>
      <c r="B262" s="369">
        <v>259</v>
      </c>
      <c r="C262" s="372" t="s">
        <v>473</v>
      </c>
      <c r="D262" s="372" t="s">
        <v>234</v>
      </c>
      <c r="E262" s="373">
        <v>45708</v>
      </c>
      <c r="F262" s="372" t="s">
        <v>173</v>
      </c>
      <c r="G262" s="372">
        <v>20</v>
      </c>
      <c r="H262" s="375" t="s">
        <v>46</v>
      </c>
      <c r="I262" s="372" t="s">
        <v>47</v>
      </c>
      <c r="J262" s="21" t="s">
        <v>29</v>
      </c>
      <c r="K262" s="21"/>
      <c r="L262" s="21"/>
      <c r="M262" s="22" t="s">
        <v>30</v>
      </c>
      <c r="N262" s="23">
        <v>45735</v>
      </c>
      <c r="O262" s="21" t="s">
        <v>31</v>
      </c>
      <c r="P262" s="22" t="s">
        <v>30</v>
      </c>
      <c r="Q262" s="23">
        <v>45735</v>
      </c>
      <c r="R262" s="81" t="s">
        <v>46</v>
      </c>
      <c r="S262" s="22" t="s">
        <v>32</v>
      </c>
      <c r="T262" s="22">
        <v>20</v>
      </c>
      <c r="U262" s="22" t="s">
        <v>46</v>
      </c>
      <c r="V262" s="23">
        <v>45735</v>
      </c>
      <c r="W262" s="82" t="s">
        <v>30</v>
      </c>
    </row>
    <row r="263" spans="1:23">
      <c r="A263" s="358" t="s">
        <v>24</v>
      </c>
      <c r="B263" s="369">
        <v>260</v>
      </c>
      <c r="C263" s="372" t="s">
        <v>474</v>
      </c>
      <c r="D263" s="372" t="s">
        <v>83</v>
      </c>
      <c r="E263" s="373">
        <v>45708</v>
      </c>
      <c r="F263" s="372" t="s">
        <v>202</v>
      </c>
      <c r="G263" s="372">
        <v>9</v>
      </c>
      <c r="H263" s="375" t="s">
        <v>22</v>
      </c>
      <c r="I263" s="372" t="s">
        <v>28</v>
      </c>
      <c r="J263" s="21" t="s">
        <v>29</v>
      </c>
      <c r="K263" s="21"/>
      <c r="L263" s="21"/>
      <c r="M263" s="22" t="s">
        <v>30</v>
      </c>
      <c r="N263" s="23">
        <v>45729</v>
      </c>
      <c r="O263" s="21"/>
      <c r="P263" s="22" t="s">
        <v>30</v>
      </c>
      <c r="Q263" s="23">
        <v>45729</v>
      </c>
      <c r="R263" s="81" t="s">
        <v>28</v>
      </c>
      <c r="S263" s="22" t="s">
        <v>32</v>
      </c>
      <c r="T263" s="22">
        <v>13</v>
      </c>
      <c r="U263" s="22" t="s">
        <v>28</v>
      </c>
      <c r="V263" s="23">
        <v>45729</v>
      </c>
      <c r="W263" s="82" t="s">
        <v>30</v>
      </c>
    </row>
    <row r="264" spans="1:23">
      <c r="A264" s="358" t="s">
        <v>24</v>
      </c>
      <c r="B264" s="369">
        <v>261</v>
      </c>
      <c r="C264" s="372" t="s">
        <v>475</v>
      </c>
      <c r="D264" s="372" t="s">
        <v>374</v>
      </c>
      <c r="E264" s="373">
        <v>45709</v>
      </c>
      <c r="F264" s="372" t="s">
        <v>206</v>
      </c>
      <c r="G264" s="372">
        <v>12</v>
      </c>
      <c r="H264" s="372" t="s">
        <v>22</v>
      </c>
      <c r="I264" s="372" t="s">
        <v>28</v>
      </c>
      <c r="J264" s="21" t="s">
        <v>29</v>
      </c>
      <c r="K264" s="21"/>
      <c r="L264" s="21"/>
      <c r="M264" s="22" t="s">
        <v>30</v>
      </c>
      <c r="N264" s="23">
        <v>45747</v>
      </c>
      <c r="O264" s="21"/>
      <c r="P264" s="22" t="s">
        <v>30</v>
      </c>
      <c r="Q264" s="23">
        <v>45747</v>
      </c>
      <c r="R264" s="81" t="s">
        <v>28</v>
      </c>
      <c r="S264" s="22" t="s">
        <v>32</v>
      </c>
      <c r="T264" s="22">
        <v>12</v>
      </c>
      <c r="U264" s="24" t="s">
        <v>28</v>
      </c>
      <c r="V264" s="23">
        <v>45747</v>
      </c>
      <c r="W264" s="82" t="s">
        <v>30</v>
      </c>
    </row>
    <row r="265" spans="1:23">
      <c r="A265" s="358" t="s">
        <v>24</v>
      </c>
      <c r="B265" s="369">
        <v>262</v>
      </c>
      <c r="C265" s="372" t="s">
        <v>476</v>
      </c>
      <c r="D265" s="372" t="s">
        <v>477</v>
      </c>
      <c r="E265" s="373">
        <v>45709</v>
      </c>
      <c r="F265" s="372" t="s">
        <v>187</v>
      </c>
      <c r="G265" s="372">
        <v>12</v>
      </c>
      <c r="H265" s="372" t="s">
        <v>21</v>
      </c>
      <c r="I265" s="372" t="s">
        <v>36</v>
      </c>
      <c r="J265" s="21" t="s">
        <v>29</v>
      </c>
      <c r="K265" s="21"/>
      <c r="L265" s="21"/>
      <c r="M265" s="22" t="s">
        <v>30</v>
      </c>
      <c r="N265" s="23">
        <v>45746</v>
      </c>
      <c r="O265" s="21"/>
      <c r="P265" s="22" t="s">
        <v>30</v>
      </c>
      <c r="Q265" s="23">
        <v>45746</v>
      </c>
      <c r="R265" s="81" t="s">
        <v>127</v>
      </c>
      <c r="S265" s="22" t="s">
        <v>32</v>
      </c>
      <c r="T265" s="22">
        <v>12</v>
      </c>
      <c r="U265" s="22" t="s">
        <v>127</v>
      </c>
      <c r="V265" s="23">
        <v>45746</v>
      </c>
      <c r="W265" s="82" t="s">
        <v>30</v>
      </c>
    </row>
    <row r="266" spans="1:23">
      <c r="A266" s="358" t="s">
        <v>24</v>
      </c>
      <c r="B266" s="369">
        <v>263</v>
      </c>
      <c r="C266" s="372" t="s">
        <v>478</v>
      </c>
      <c r="D266" s="372" t="s">
        <v>60</v>
      </c>
      <c r="E266" s="373">
        <v>45710</v>
      </c>
      <c r="F266" s="372" t="s">
        <v>187</v>
      </c>
      <c r="G266" s="372">
        <v>7</v>
      </c>
      <c r="H266" s="372" t="s">
        <v>21</v>
      </c>
      <c r="I266" s="372" t="s">
        <v>36</v>
      </c>
      <c r="J266" s="21" t="s">
        <v>29</v>
      </c>
      <c r="K266" s="21"/>
      <c r="L266" s="21"/>
      <c r="M266" s="22" t="s">
        <v>30</v>
      </c>
      <c r="N266" s="23">
        <v>45743</v>
      </c>
      <c r="O266" s="21"/>
      <c r="P266" s="22" t="s">
        <v>30</v>
      </c>
      <c r="Q266" s="23">
        <v>45743</v>
      </c>
      <c r="R266" s="81" t="s">
        <v>67</v>
      </c>
      <c r="S266" s="22" t="s">
        <v>32</v>
      </c>
      <c r="T266" s="22">
        <v>7</v>
      </c>
      <c r="U266" s="22" t="s">
        <v>67</v>
      </c>
      <c r="V266" s="23">
        <v>45744</v>
      </c>
      <c r="W266" s="82" t="s">
        <v>30</v>
      </c>
    </row>
    <row r="267" spans="1:23">
      <c r="A267" s="358" t="s">
        <v>24</v>
      </c>
      <c r="B267" s="369">
        <v>264</v>
      </c>
      <c r="C267" s="372" t="s">
        <v>479</v>
      </c>
      <c r="D267" s="372" t="s">
        <v>83</v>
      </c>
      <c r="E267" s="373">
        <v>45710</v>
      </c>
      <c r="F267" s="372" t="s">
        <v>187</v>
      </c>
      <c r="G267" s="372">
        <v>7</v>
      </c>
      <c r="H267" s="372" t="s">
        <v>21</v>
      </c>
      <c r="I267" s="372" t="s">
        <v>36</v>
      </c>
      <c r="J267" s="21" t="s">
        <v>29</v>
      </c>
      <c r="K267" s="21"/>
      <c r="L267" s="21"/>
      <c r="M267" s="22" t="s">
        <v>30</v>
      </c>
      <c r="N267" s="23">
        <v>45743</v>
      </c>
      <c r="O267" s="21"/>
      <c r="P267" s="22" t="s">
        <v>30</v>
      </c>
      <c r="Q267" s="23">
        <v>45743</v>
      </c>
      <c r="R267" s="81" t="s">
        <v>67</v>
      </c>
      <c r="S267" s="22" t="s">
        <v>32</v>
      </c>
      <c r="T267" s="22">
        <v>7</v>
      </c>
      <c r="U267" s="22" t="s">
        <v>67</v>
      </c>
      <c r="V267" s="23">
        <v>45744</v>
      </c>
      <c r="W267" s="82" t="s">
        <v>30</v>
      </c>
    </row>
    <row r="268" spans="1:23">
      <c r="A268" s="358" t="s">
        <v>24</v>
      </c>
      <c r="B268" s="369">
        <v>265</v>
      </c>
      <c r="C268" s="372" t="s">
        <v>480</v>
      </c>
      <c r="D268" s="372" t="s">
        <v>34</v>
      </c>
      <c r="E268" s="373">
        <v>45710</v>
      </c>
      <c r="F268" s="372" t="s">
        <v>481</v>
      </c>
      <c r="G268" s="372">
        <v>6</v>
      </c>
      <c r="H268" s="372" t="s">
        <v>21</v>
      </c>
      <c r="I268" s="372" t="s">
        <v>36</v>
      </c>
      <c r="J268" s="21" t="s">
        <v>29</v>
      </c>
      <c r="K268" s="21"/>
      <c r="L268" s="21"/>
      <c r="M268" s="22" t="s">
        <v>30</v>
      </c>
      <c r="N268" s="23">
        <v>45743</v>
      </c>
      <c r="O268" s="21"/>
      <c r="P268" s="22" t="s">
        <v>30</v>
      </c>
      <c r="Q268" s="23">
        <v>45743</v>
      </c>
      <c r="R268" s="81" t="s">
        <v>67</v>
      </c>
      <c r="S268" s="22" t="s">
        <v>32</v>
      </c>
      <c r="T268" s="22">
        <v>6</v>
      </c>
      <c r="U268" s="22" t="s">
        <v>67</v>
      </c>
      <c r="V268" s="23">
        <v>45744</v>
      </c>
      <c r="W268" s="82" t="s">
        <v>30</v>
      </c>
    </row>
    <row r="269" spans="1:23">
      <c r="A269" s="358" t="s">
        <v>24</v>
      </c>
      <c r="B269" s="369">
        <v>266</v>
      </c>
      <c r="C269" s="372" t="s">
        <v>482</v>
      </c>
      <c r="D269" s="372" t="s">
        <v>83</v>
      </c>
      <c r="E269" s="373">
        <v>45710</v>
      </c>
      <c r="F269" s="372" t="s">
        <v>481</v>
      </c>
      <c r="G269" s="372">
        <v>6</v>
      </c>
      <c r="H269" s="372" t="s">
        <v>21</v>
      </c>
      <c r="I269" s="372" t="s">
        <v>36</v>
      </c>
      <c r="J269" s="21" t="s">
        <v>29</v>
      </c>
      <c r="K269" s="21"/>
      <c r="L269" s="21"/>
      <c r="M269" s="22" t="s">
        <v>30</v>
      </c>
      <c r="N269" s="23">
        <v>45743</v>
      </c>
      <c r="O269" s="21"/>
      <c r="P269" s="22" t="s">
        <v>30</v>
      </c>
      <c r="Q269" s="23">
        <v>45743</v>
      </c>
      <c r="R269" s="81" t="s">
        <v>67</v>
      </c>
      <c r="S269" s="22" t="s">
        <v>32</v>
      </c>
      <c r="T269" s="22">
        <v>6</v>
      </c>
      <c r="U269" s="22" t="s">
        <v>67</v>
      </c>
      <c r="V269" s="23">
        <v>45744</v>
      </c>
      <c r="W269" s="82" t="s">
        <v>30</v>
      </c>
    </row>
    <row r="270" spans="1:23">
      <c r="A270" s="358" t="s">
        <v>24</v>
      </c>
      <c r="B270" s="369">
        <v>267</v>
      </c>
      <c r="C270" s="372" t="s">
        <v>483</v>
      </c>
      <c r="D270" s="372" t="s">
        <v>34</v>
      </c>
      <c r="E270" s="373">
        <v>45710</v>
      </c>
      <c r="F270" s="372" t="s">
        <v>324</v>
      </c>
      <c r="G270" s="372">
        <v>8</v>
      </c>
      <c r="H270" s="372" t="s">
        <v>21</v>
      </c>
      <c r="I270" s="372" t="s">
        <v>36</v>
      </c>
      <c r="J270" s="21" t="s">
        <v>29</v>
      </c>
      <c r="K270" s="21"/>
      <c r="L270" s="21"/>
      <c r="M270" s="22" t="s">
        <v>30</v>
      </c>
      <c r="N270" s="23">
        <v>45743</v>
      </c>
      <c r="O270" s="21" t="s">
        <v>66</v>
      </c>
      <c r="P270" s="22" t="s">
        <v>30</v>
      </c>
      <c r="Q270" s="23">
        <v>45743</v>
      </c>
      <c r="R270" s="81" t="s">
        <v>67</v>
      </c>
      <c r="S270" s="22" t="s">
        <v>32</v>
      </c>
      <c r="T270" s="22">
        <v>8</v>
      </c>
      <c r="U270" s="22" t="s">
        <v>67</v>
      </c>
      <c r="V270" s="23">
        <v>45744</v>
      </c>
      <c r="W270" s="82" t="s">
        <v>30</v>
      </c>
    </row>
    <row r="271" spans="1:23">
      <c r="A271" s="358" t="s">
        <v>24</v>
      </c>
      <c r="B271" s="369">
        <v>268</v>
      </c>
      <c r="C271" s="372" t="s">
        <v>484</v>
      </c>
      <c r="D271" s="372" t="s">
        <v>178</v>
      </c>
      <c r="E271" s="373">
        <v>45710</v>
      </c>
      <c r="F271" s="372" t="s">
        <v>324</v>
      </c>
      <c r="G271" s="372">
        <v>8</v>
      </c>
      <c r="H271" s="372" t="s">
        <v>21</v>
      </c>
      <c r="I271" s="372" t="s">
        <v>36</v>
      </c>
      <c r="J271" s="21" t="s">
        <v>29</v>
      </c>
      <c r="K271" s="21"/>
      <c r="L271" s="21"/>
      <c r="M271" s="22" t="s">
        <v>30</v>
      </c>
      <c r="N271" s="23">
        <v>45743</v>
      </c>
      <c r="O271" s="21"/>
      <c r="P271" s="22" t="s">
        <v>30</v>
      </c>
      <c r="Q271" s="23">
        <v>45743</v>
      </c>
      <c r="R271" s="81" t="s">
        <v>67</v>
      </c>
      <c r="S271" s="22" t="s">
        <v>32</v>
      </c>
      <c r="T271" s="22">
        <v>8</v>
      </c>
      <c r="U271" s="22" t="s">
        <v>67</v>
      </c>
      <c r="V271" s="23">
        <v>45744</v>
      </c>
      <c r="W271" s="82" t="s">
        <v>30</v>
      </c>
    </row>
    <row r="272" spans="1:23">
      <c r="A272" s="358" t="s">
        <v>24</v>
      </c>
      <c r="B272" s="369">
        <v>269</v>
      </c>
      <c r="C272" s="372" t="s">
        <v>485</v>
      </c>
      <c r="D272" s="372" t="s">
        <v>486</v>
      </c>
      <c r="E272" s="373">
        <v>45710</v>
      </c>
      <c r="F272" s="372" t="s">
        <v>187</v>
      </c>
      <c r="G272" s="372">
        <v>13</v>
      </c>
      <c r="H272" s="372" t="s">
        <v>21</v>
      </c>
      <c r="I272" s="372" t="s">
        <v>36</v>
      </c>
      <c r="J272" s="21" t="s">
        <v>29</v>
      </c>
      <c r="K272" s="21"/>
      <c r="L272" s="21"/>
      <c r="M272" s="22" t="s">
        <v>30</v>
      </c>
      <c r="N272" s="23">
        <v>45737</v>
      </c>
      <c r="O272" s="21"/>
      <c r="P272" s="22" t="s">
        <v>30</v>
      </c>
      <c r="Q272" s="23">
        <v>45737</v>
      </c>
      <c r="R272" s="81" t="s">
        <v>67</v>
      </c>
      <c r="S272" s="22" t="s">
        <v>32</v>
      </c>
      <c r="T272" s="22">
        <v>13</v>
      </c>
      <c r="U272" s="22" t="s">
        <v>67</v>
      </c>
      <c r="V272" s="23">
        <v>45737</v>
      </c>
      <c r="W272" s="82" t="s">
        <v>30</v>
      </c>
    </row>
    <row r="273" spans="1:23">
      <c r="A273" s="358" t="s">
        <v>24</v>
      </c>
      <c r="B273" s="369">
        <v>270</v>
      </c>
      <c r="C273" s="372" t="s">
        <v>487</v>
      </c>
      <c r="D273" s="372" t="s">
        <v>43</v>
      </c>
      <c r="E273" s="373">
        <v>45710</v>
      </c>
      <c r="F273" s="372" t="s">
        <v>488</v>
      </c>
      <c r="G273" s="372">
        <v>12</v>
      </c>
      <c r="H273" s="372" t="s">
        <v>21</v>
      </c>
      <c r="I273" s="372" t="s">
        <v>36</v>
      </c>
      <c r="J273" s="21" t="s">
        <v>29</v>
      </c>
      <c r="K273" s="21"/>
      <c r="L273" s="21"/>
      <c r="M273" s="22" t="s">
        <v>30</v>
      </c>
      <c r="N273" s="23">
        <v>45743</v>
      </c>
      <c r="O273" s="21" t="s">
        <v>66</v>
      </c>
      <c r="P273" s="22" t="s">
        <v>30</v>
      </c>
      <c r="Q273" s="23">
        <v>45743</v>
      </c>
      <c r="R273" s="81" t="s">
        <v>67</v>
      </c>
      <c r="S273" s="22" t="s">
        <v>32</v>
      </c>
      <c r="T273" s="22">
        <v>12</v>
      </c>
      <c r="U273" s="22" t="s">
        <v>67</v>
      </c>
      <c r="V273" s="23">
        <v>45744</v>
      </c>
      <c r="W273" s="82" t="s">
        <v>30</v>
      </c>
    </row>
    <row r="274" spans="1:23">
      <c r="A274" s="358" t="s">
        <v>24</v>
      </c>
      <c r="B274" s="369">
        <v>271</v>
      </c>
      <c r="C274" s="372" t="s">
        <v>489</v>
      </c>
      <c r="D274" s="372" t="s">
        <v>50</v>
      </c>
      <c r="E274" s="373">
        <v>45710</v>
      </c>
      <c r="F274" s="372" t="s">
        <v>488</v>
      </c>
      <c r="G274" s="372">
        <v>12</v>
      </c>
      <c r="H274" s="372" t="s">
        <v>21</v>
      </c>
      <c r="I274" s="372" t="s">
        <v>36</v>
      </c>
      <c r="J274" s="21" t="s">
        <v>29</v>
      </c>
      <c r="K274" s="21"/>
      <c r="L274" s="21"/>
      <c r="M274" s="22" t="s">
        <v>30</v>
      </c>
      <c r="N274" s="23">
        <v>45743</v>
      </c>
      <c r="O274" s="21"/>
      <c r="P274" s="22" t="s">
        <v>30</v>
      </c>
      <c r="Q274" s="23">
        <v>45743</v>
      </c>
      <c r="R274" s="81" t="s">
        <v>67</v>
      </c>
      <c r="S274" s="22" t="s">
        <v>32</v>
      </c>
      <c r="T274" s="22">
        <v>12</v>
      </c>
      <c r="U274" s="22" t="s">
        <v>67</v>
      </c>
      <c r="V274" s="23">
        <v>45744</v>
      </c>
      <c r="W274" s="82" t="s">
        <v>30</v>
      </c>
    </row>
    <row r="275" spans="1:23">
      <c r="A275" s="358" t="s">
        <v>24</v>
      </c>
      <c r="B275" s="369">
        <v>272</v>
      </c>
      <c r="C275" s="372" t="s">
        <v>490</v>
      </c>
      <c r="D275" s="372" t="s">
        <v>270</v>
      </c>
      <c r="E275" s="373">
        <v>45710</v>
      </c>
      <c r="F275" s="372" t="s">
        <v>488</v>
      </c>
      <c r="G275" s="372">
        <v>12</v>
      </c>
      <c r="H275" s="372" t="s">
        <v>21</v>
      </c>
      <c r="I275" s="372" t="s">
        <v>36</v>
      </c>
      <c r="J275" s="21" t="s">
        <v>29</v>
      </c>
      <c r="K275" s="21"/>
      <c r="L275" s="21"/>
      <c r="M275" s="22" t="s">
        <v>30</v>
      </c>
      <c r="N275" s="23">
        <v>45743</v>
      </c>
      <c r="O275" s="21"/>
      <c r="P275" s="22" t="s">
        <v>30</v>
      </c>
      <c r="Q275" s="23">
        <v>45743</v>
      </c>
      <c r="R275" s="81" t="s">
        <v>67</v>
      </c>
      <c r="S275" s="22" t="s">
        <v>32</v>
      </c>
      <c r="T275" s="22">
        <v>12</v>
      </c>
      <c r="U275" s="22" t="s">
        <v>67</v>
      </c>
      <c r="V275" s="23">
        <v>45744</v>
      </c>
      <c r="W275" s="82" t="s">
        <v>30</v>
      </c>
    </row>
    <row r="276" spans="1:23">
      <c r="A276" s="358" t="s">
        <v>24</v>
      </c>
      <c r="B276" s="369">
        <v>273</v>
      </c>
      <c r="C276" s="372" t="s">
        <v>491</v>
      </c>
      <c r="D276" s="372" t="s">
        <v>34</v>
      </c>
      <c r="E276" s="373">
        <v>45710</v>
      </c>
      <c r="F276" s="372" t="s">
        <v>35</v>
      </c>
      <c r="G276" s="372">
        <v>14</v>
      </c>
      <c r="H276" s="372" t="s">
        <v>21</v>
      </c>
      <c r="I276" s="372" t="s">
        <v>36</v>
      </c>
      <c r="J276" s="21" t="s">
        <v>29</v>
      </c>
      <c r="K276" s="21"/>
      <c r="L276" s="21"/>
      <c r="M276" s="22" t="s">
        <v>30</v>
      </c>
      <c r="N276" s="23">
        <v>45737</v>
      </c>
      <c r="O276" s="21"/>
      <c r="P276" s="22" t="s">
        <v>30</v>
      </c>
      <c r="Q276" s="23">
        <v>45737</v>
      </c>
      <c r="R276" s="81" t="s">
        <v>67</v>
      </c>
      <c r="S276" s="22" t="s">
        <v>32</v>
      </c>
      <c r="T276" s="22">
        <v>14</v>
      </c>
      <c r="U276" s="22" t="s">
        <v>67</v>
      </c>
      <c r="V276" s="23">
        <v>45737</v>
      </c>
      <c r="W276" s="82" t="s">
        <v>30</v>
      </c>
    </row>
    <row r="277" spans="1:23">
      <c r="A277" s="358" t="s">
        <v>24</v>
      </c>
      <c r="B277" s="369">
        <v>274</v>
      </c>
      <c r="C277" s="372" t="s">
        <v>492</v>
      </c>
      <c r="D277" s="372" t="s">
        <v>34</v>
      </c>
      <c r="E277" s="373">
        <v>45710</v>
      </c>
      <c r="F277" s="372" t="s">
        <v>421</v>
      </c>
      <c r="G277" s="372">
        <v>19</v>
      </c>
      <c r="H277" s="375" t="s">
        <v>21</v>
      </c>
      <c r="I277" s="372" t="s">
        <v>36</v>
      </c>
      <c r="J277" s="21" t="s">
        <v>29</v>
      </c>
      <c r="K277" s="21"/>
      <c r="L277" s="21"/>
      <c r="M277" s="22" t="s">
        <v>30</v>
      </c>
      <c r="N277" s="23">
        <v>45743</v>
      </c>
      <c r="O277" s="21" t="s">
        <v>31</v>
      </c>
      <c r="P277" s="22" t="s">
        <v>30</v>
      </c>
      <c r="Q277" s="23">
        <v>45743</v>
      </c>
      <c r="R277" s="81" t="s">
        <v>67</v>
      </c>
      <c r="S277" s="22" t="s">
        <v>32</v>
      </c>
      <c r="T277" s="22">
        <v>19</v>
      </c>
      <c r="U277" s="22" t="s">
        <v>67</v>
      </c>
      <c r="V277" s="23">
        <v>45744</v>
      </c>
      <c r="W277" s="82" t="s">
        <v>30</v>
      </c>
    </row>
    <row r="278" spans="1:23">
      <c r="A278" s="358" t="s">
        <v>24</v>
      </c>
      <c r="B278" s="369">
        <v>275</v>
      </c>
      <c r="C278" s="378" t="s">
        <v>493</v>
      </c>
      <c r="D278" s="378" t="s">
        <v>83</v>
      </c>
      <c r="E278" s="373">
        <v>45710</v>
      </c>
      <c r="F278" s="372" t="s">
        <v>494</v>
      </c>
      <c r="G278" s="372">
        <v>9</v>
      </c>
      <c r="H278" s="375" t="s">
        <v>21</v>
      </c>
      <c r="I278" s="372" t="s">
        <v>36</v>
      </c>
      <c r="J278" s="21" t="s">
        <v>29</v>
      </c>
      <c r="K278" s="21"/>
      <c r="L278" s="21"/>
      <c r="M278" s="22" t="s">
        <v>30</v>
      </c>
      <c r="N278" s="23">
        <v>45747</v>
      </c>
      <c r="O278" s="21"/>
      <c r="P278" s="22" t="s">
        <v>30</v>
      </c>
      <c r="Q278" s="23">
        <v>45747</v>
      </c>
      <c r="R278" s="81" t="s">
        <v>127</v>
      </c>
      <c r="S278" s="22" t="s">
        <v>32</v>
      </c>
      <c r="T278" s="22">
        <v>9</v>
      </c>
      <c r="U278" s="22" t="s">
        <v>127</v>
      </c>
      <c r="V278" s="23">
        <v>45747</v>
      </c>
      <c r="W278" s="82" t="s">
        <v>30</v>
      </c>
    </row>
    <row r="279" spans="1:23">
      <c r="A279" s="358" t="s">
        <v>24</v>
      </c>
      <c r="B279" s="369">
        <v>276</v>
      </c>
      <c r="C279" s="372" t="s">
        <v>495</v>
      </c>
      <c r="D279" s="372" t="s">
        <v>43</v>
      </c>
      <c r="E279" s="373">
        <v>45710</v>
      </c>
      <c r="F279" s="372" t="s">
        <v>496</v>
      </c>
      <c r="G279" s="372">
        <v>11</v>
      </c>
      <c r="H279" s="375" t="s">
        <v>21</v>
      </c>
      <c r="I279" s="372" t="s">
        <v>36</v>
      </c>
      <c r="J279" s="21" t="s">
        <v>29</v>
      </c>
      <c r="K279" s="21"/>
      <c r="L279" s="21"/>
      <c r="M279" s="22" t="s">
        <v>30</v>
      </c>
      <c r="N279" s="23">
        <v>45737</v>
      </c>
      <c r="O279" s="21" t="s">
        <v>66</v>
      </c>
      <c r="P279" s="22" t="s">
        <v>30</v>
      </c>
      <c r="Q279" s="23">
        <v>45737</v>
      </c>
      <c r="R279" s="81" t="s">
        <v>127</v>
      </c>
      <c r="S279" s="22" t="s">
        <v>32</v>
      </c>
      <c r="T279" s="22">
        <v>11</v>
      </c>
      <c r="U279" s="22" t="s">
        <v>127</v>
      </c>
      <c r="V279" s="23">
        <v>45737</v>
      </c>
      <c r="W279" s="82" t="s">
        <v>30</v>
      </c>
    </row>
    <row r="280" spans="1:23">
      <c r="A280" s="358" t="s">
        <v>24</v>
      </c>
      <c r="B280" s="369">
        <v>277</v>
      </c>
      <c r="C280" s="372" t="s">
        <v>497</v>
      </c>
      <c r="D280" s="372" t="s">
        <v>26</v>
      </c>
      <c r="E280" s="373">
        <v>45710</v>
      </c>
      <c r="F280" s="372" t="s">
        <v>496</v>
      </c>
      <c r="G280" s="372">
        <v>11</v>
      </c>
      <c r="H280" s="375" t="s">
        <v>21</v>
      </c>
      <c r="I280" s="372" t="s">
        <v>36</v>
      </c>
      <c r="J280" s="21" t="s">
        <v>29</v>
      </c>
      <c r="K280" s="21"/>
      <c r="L280" s="21"/>
      <c r="M280" s="22" t="s">
        <v>30</v>
      </c>
      <c r="N280" s="23">
        <v>45742</v>
      </c>
      <c r="O280" s="21"/>
      <c r="P280" s="22" t="s">
        <v>30</v>
      </c>
      <c r="Q280" s="23">
        <v>45742</v>
      </c>
      <c r="R280" s="81" t="s">
        <v>127</v>
      </c>
      <c r="S280" s="22" t="s">
        <v>32</v>
      </c>
      <c r="T280" s="22">
        <v>11</v>
      </c>
      <c r="U280" s="22" t="s">
        <v>127</v>
      </c>
      <c r="V280" s="23">
        <v>45742</v>
      </c>
      <c r="W280" s="82" t="s">
        <v>30</v>
      </c>
    </row>
    <row r="281" spans="1:23">
      <c r="A281" s="358" t="s">
        <v>24</v>
      </c>
      <c r="B281" s="369">
        <v>278</v>
      </c>
      <c r="C281" s="372" t="s">
        <v>498</v>
      </c>
      <c r="D281" s="372" t="s">
        <v>50</v>
      </c>
      <c r="E281" s="373">
        <v>45710</v>
      </c>
      <c r="F281" s="372" t="s">
        <v>496</v>
      </c>
      <c r="G281" s="372">
        <v>11</v>
      </c>
      <c r="H281" s="375" t="s">
        <v>21</v>
      </c>
      <c r="I281" s="372" t="s">
        <v>36</v>
      </c>
      <c r="J281" s="21" t="s">
        <v>29</v>
      </c>
      <c r="K281" s="21"/>
      <c r="L281" s="21"/>
      <c r="M281" s="22" t="s">
        <v>30</v>
      </c>
      <c r="N281" s="23">
        <v>45742</v>
      </c>
      <c r="O281" s="21"/>
      <c r="P281" s="22" t="s">
        <v>30</v>
      </c>
      <c r="Q281" s="23">
        <v>45742</v>
      </c>
      <c r="R281" s="81" t="s">
        <v>127</v>
      </c>
      <c r="S281" s="22" t="s">
        <v>32</v>
      </c>
      <c r="T281" s="22">
        <v>11</v>
      </c>
      <c r="U281" s="22" t="s">
        <v>127</v>
      </c>
      <c r="V281" s="23">
        <v>45742</v>
      </c>
      <c r="W281" s="82" t="s">
        <v>30</v>
      </c>
    </row>
    <row r="282" spans="1:23">
      <c r="A282" s="358" t="s">
        <v>24</v>
      </c>
      <c r="B282" s="369">
        <v>279</v>
      </c>
      <c r="C282" s="372" t="s">
        <v>499</v>
      </c>
      <c r="D282" s="372" t="s">
        <v>34</v>
      </c>
      <c r="E282" s="373">
        <v>45710</v>
      </c>
      <c r="F282" s="372" t="s">
        <v>500</v>
      </c>
      <c r="G282" s="372">
        <v>14</v>
      </c>
      <c r="H282" s="375" t="s">
        <v>46</v>
      </c>
      <c r="I282" s="372" t="s">
        <v>47</v>
      </c>
      <c r="J282" s="21" t="s">
        <v>29</v>
      </c>
      <c r="K282" s="21"/>
      <c r="L282" s="21"/>
      <c r="M282" s="22" t="s">
        <v>30</v>
      </c>
      <c r="N282" s="23">
        <v>45741</v>
      </c>
      <c r="O282" s="21"/>
      <c r="P282" s="22" t="s">
        <v>30</v>
      </c>
      <c r="Q282" s="23">
        <v>45741</v>
      </c>
      <c r="R282" s="81" t="s">
        <v>46</v>
      </c>
      <c r="S282" s="22" t="s">
        <v>32</v>
      </c>
      <c r="T282" s="22">
        <v>14</v>
      </c>
      <c r="U282" s="22" t="s">
        <v>46</v>
      </c>
      <c r="V282" s="23">
        <v>45741</v>
      </c>
      <c r="W282" s="82" t="s">
        <v>30</v>
      </c>
    </row>
    <row r="283" spans="1:23">
      <c r="A283" s="358" t="s">
        <v>24</v>
      </c>
      <c r="B283" s="369">
        <v>280</v>
      </c>
      <c r="C283" s="372" t="s">
        <v>501</v>
      </c>
      <c r="D283" s="372" t="s">
        <v>34</v>
      </c>
      <c r="E283" s="373">
        <v>45710</v>
      </c>
      <c r="F283" s="372" t="s">
        <v>462</v>
      </c>
      <c r="G283" s="372">
        <v>47</v>
      </c>
      <c r="H283" s="375" t="s">
        <v>46</v>
      </c>
      <c r="I283" s="372" t="s">
        <v>47</v>
      </c>
      <c r="J283" s="21" t="s">
        <v>29</v>
      </c>
      <c r="K283" s="21"/>
      <c r="L283" s="21"/>
      <c r="M283" s="22" t="s">
        <v>30</v>
      </c>
      <c r="N283" s="23">
        <v>45747</v>
      </c>
      <c r="O283" s="21" t="s">
        <v>31</v>
      </c>
      <c r="P283" s="22" t="s">
        <v>30</v>
      </c>
      <c r="Q283" s="23">
        <v>45747</v>
      </c>
      <c r="R283" s="81" t="s">
        <v>46</v>
      </c>
      <c r="S283" s="22" t="s">
        <v>32</v>
      </c>
      <c r="T283" s="22">
        <v>47</v>
      </c>
      <c r="U283" s="22" t="s">
        <v>46</v>
      </c>
      <c r="V283" s="23">
        <v>45745</v>
      </c>
      <c r="W283" s="82" t="s">
        <v>30</v>
      </c>
    </row>
    <row r="284" spans="1:23">
      <c r="A284" s="358" t="s">
        <v>24</v>
      </c>
      <c r="B284" s="369">
        <v>281</v>
      </c>
      <c r="C284" s="372" t="s">
        <v>502</v>
      </c>
      <c r="D284" s="372" t="s">
        <v>34</v>
      </c>
      <c r="E284" s="373">
        <v>45710</v>
      </c>
      <c r="F284" s="372" t="s">
        <v>65</v>
      </c>
      <c r="G284" s="372">
        <v>6</v>
      </c>
      <c r="H284" s="375" t="s">
        <v>46</v>
      </c>
      <c r="I284" s="372" t="s">
        <v>47</v>
      </c>
      <c r="J284" s="21" t="s">
        <v>29</v>
      </c>
      <c r="K284" s="21"/>
      <c r="L284" s="21"/>
      <c r="M284" s="22" t="s">
        <v>30</v>
      </c>
      <c r="N284" s="23">
        <v>45734</v>
      </c>
      <c r="O284" s="21" t="s">
        <v>66</v>
      </c>
      <c r="P284" s="22" t="s">
        <v>30</v>
      </c>
      <c r="Q284" s="23">
        <v>45734</v>
      </c>
      <c r="R284" s="81" t="s">
        <v>46</v>
      </c>
      <c r="S284" s="22" t="s">
        <v>32</v>
      </c>
      <c r="T284" s="22">
        <v>6</v>
      </c>
      <c r="U284" s="22" t="s">
        <v>46</v>
      </c>
      <c r="V284" s="23">
        <v>45734</v>
      </c>
      <c r="W284" s="82" t="s">
        <v>30</v>
      </c>
    </row>
    <row r="285" spans="1:23">
      <c r="A285" s="358" t="s">
        <v>24</v>
      </c>
      <c r="B285" s="369">
        <v>282</v>
      </c>
      <c r="C285" s="372" t="s">
        <v>503</v>
      </c>
      <c r="D285" s="372" t="s">
        <v>178</v>
      </c>
      <c r="E285" s="373">
        <v>45710</v>
      </c>
      <c r="F285" s="372" t="s">
        <v>65</v>
      </c>
      <c r="G285" s="372">
        <v>6</v>
      </c>
      <c r="H285" s="372" t="s">
        <v>46</v>
      </c>
      <c r="I285" s="372" t="s">
        <v>47</v>
      </c>
      <c r="J285" s="21" t="s">
        <v>29</v>
      </c>
      <c r="K285" s="21"/>
      <c r="L285" s="21"/>
      <c r="M285" s="22" t="s">
        <v>30</v>
      </c>
      <c r="N285" s="23">
        <v>45734</v>
      </c>
      <c r="O285" s="21"/>
      <c r="P285" s="22" t="s">
        <v>30</v>
      </c>
      <c r="Q285" s="23">
        <v>45734</v>
      </c>
      <c r="R285" s="81" t="s">
        <v>46</v>
      </c>
      <c r="S285" s="22" t="s">
        <v>32</v>
      </c>
      <c r="T285" s="22">
        <v>6</v>
      </c>
      <c r="U285" s="22" t="s">
        <v>46</v>
      </c>
      <c r="V285" s="23">
        <v>45734</v>
      </c>
      <c r="W285" s="82" t="s">
        <v>30</v>
      </c>
    </row>
    <row r="286" spans="1:23">
      <c r="A286" s="358" t="s">
        <v>24</v>
      </c>
      <c r="B286" s="369">
        <v>283</v>
      </c>
      <c r="C286" s="372" t="s">
        <v>504</v>
      </c>
      <c r="D286" s="372" t="s">
        <v>72</v>
      </c>
      <c r="E286" s="373">
        <v>45710</v>
      </c>
      <c r="F286" s="372" t="s">
        <v>65</v>
      </c>
      <c r="G286" s="372">
        <v>6</v>
      </c>
      <c r="H286" s="372" t="s">
        <v>46</v>
      </c>
      <c r="I286" s="372" t="s">
        <v>47</v>
      </c>
      <c r="J286" s="21" t="s">
        <v>29</v>
      </c>
      <c r="K286" s="21"/>
      <c r="L286" s="21"/>
      <c r="M286" s="22" t="s">
        <v>30</v>
      </c>
      <c r="N286" s="23">
        <v>45734</v>
      </c>
      <c r="O286" s="21"/>
      <c r="P286" s="22" t="s">
        <v>30</v>
      </c>
      <c r="Q286" s="23">
        <v>45734</v>
      </c>
      <c r="R286" s="81" t="s">
        <v>46</v>
      </c>
      <c r="S286" s="22" t="s">
        <v>32</v>
      </c>
      <c r="T286" s="22">
        <v>6</v>
      </c>
      <c r="U286" s="22" t="s">
        <v>46</v>
      </c>
      <c r="V286" s="23">
        <v>45734</v>
      </c>
      <c r="W286" s="82" t="s">
        <v>30</v>
      </c>
    </row>
    <row r="287" spans="1:23">
      <c r="A287" s="358" t="s">
        <v>24</v>
      </c>
      <c r="B287" s="369">
        <v>284</v>
      </c>
      <c r="C287" s="372" t="s">
        <v>505</v>
      </c>
      <c r="D287" s="372" t="s">
        <v>34</v>
      </c>
      <c r="E287" s="373">
        <v>45710</v>
      </c>
      <c r="F287" s="372" t="s">
        <v>506</v>
      </c>
      <c r="G287" s="372">
        <v>13</v>
      </c>
      <c r="H287" s="372" t="s">
        <v>22</v>
      </c>
      <c r="I287" s="372" t="s">
        <v>28</v>
      </c>
      <c r="J287" s="21" t="s">
        <v>29</v>
      </c>
      <c r="K287" s="21" t="s">
        <v>507</v>
      </c>
      <c r="L287" s="21"/>
      <c r="M287" s="22" t="s">
        <v>30</v>
      </c>
      <c r="N287" s="23">
        <v>45747</v>
      </c>
      <c r="O287" s="21" t="s">
        <v>508</v>
      </c>
      <c r="P287" s="22" t="s">
        <v>30</v>
      </c>
      <c r="Q287" s="23">
        <v>45747</v>
      </c>
      <c r="R287" s="81" t="s">
        <v>28</v>
      </c>
      <c r="S287" s="22" t="s">
        <v>32</v>
      </c>
      <c r="T287" s="22">
        <v>13</v>
      </c>
      <c r="U287" s="24" t="s">
        <v>28</v>
      </c>
      <c r="V287" s="23">
        <v>45747</v>
      </c>
      <c r="W287" s="82" t="s">
        <v>30</v>
      </c>
    </row>
    <row r="288" spans="1:23">
      <c r="A288" s="358" t="s">
        <v>24</v>
      </c>
      <c r="B288" s="369">
        <v>285</v>
      </c>
      <c r="C288" s="372" t="s">
        <v>509</v>
      </c>
      <c r="D288" s="372" t="s">
        <v>34</v>
      </c>
      <c r="E288" s="373">
        <v>45710</v>
      </c>
      <c r="F288" s="372" t="s">
        <v>97</v>
      </c>
      <c r="G288" s="372">
        <v>11</v>
      </c>
      <c r="H288" s="372" t="s">
        <v>22</v>
      </c>
      <c r="I288" s="372" t="s">
        <v>28</v>
      </c>
      <c r="J288" s="21" t="s">
        <v>29</v>
      </c>
      <c r="K288" s="21"/>
      <c r="L288" s="21"/>
      <c r="M288" s="22" t="s">
        <v>30</v>
      </c>
      <c r="N288" s="23">
        <v>45733</v>
      </c>
      <c r="O288" s="21"/>
      <c r="P288" s="22" t="s">
        <v>30</v>
      </c>
      <c r="Q288" s="23">
        <v>45733</v>
      </c>
      <c r="R288" s="81" t="s">
        <v>28</v>
      </c>
      <c r="S288" s="22" t="s">
        <v>32</v>
      </c>
      <c r="T288" s="22">
        <v>11</v>
      </c>
      <c r="U288" s="22" t="s">
        <v>28</v>
      </c>
      <c r="V288" s="23">
        <v>45733</v>
      </c>
      <c r="W288" s="82" t="s">
        <v>30</v>
      </c>
    </row>
    <row r="289" spans="1:23">
      <c r="A289" s="358" t="s">
        <v>24</v>
      </c>
      <c r="B289" s="369">
        <v>286</v>
      </c>
      <c r="C289" s="372" t="s">
        <v>510</v>
      </c>
      <c r="D289" s="372" t="s">
        <v>34</v>
      </c>
      <c r="E289" s="373">
        <v>45710</v>
      </c>
      <c r="F289" s="372" t="s">
        <v>511</v>
      </c>
      <c r="G289" s="372">
        <v>16</v>
      </c>
      <c r="H289" s="372" t="s">
        <v>22</v>
      </c>
      <c r="I289" s="372" t="s">
        <v>28</v>
      </c>
      <c r="J289" s="21" t="s">
        <v>29</v>
      </c>
      <c r="K289" s="21"/>
      <c r="L289" s="21"/>
      <c r="M289" s="22" t="s">
        <v>30</v>
      </c>
      <c r="N289" s="23">
        <v>45729</v>
      </c>
      <c r="O289" s="21" t="s">
        <v>31</v>
      </c>
      <c r="P289" s="22" t="s">
        <v>30</v>
      </c>
      <c r="Q289" s="23">
        <v>45729</v>
      </c>
      <c r="R289" s="81" t="s">
        <v>28</v>
      </c>
      <c r="S289" s="22" t="s">
        <v>32</v>
      </c>
      <c r="T289" s="22">
        <v>16</v>
      </c>
      <c r="U289" s="22" t="s">
        <v>28</v>
      </c>
      <c r="V289" s="23">
        <v>45729</v>
      </c>
      <c r="W289" s="82" t="s">
        <v>30</v>
      </c>
    </row>
    <row r="290" spans="1:23">
      <c r="A290" s="358" t="s">
        <v>24</v>
      </c>
      <c r="B290" s="369">
        <v>287</v>
      </c>
      <c r="C290" s="372" t="s">
        <v>512</v>
      </c>
      <c r="D290" s="372" t="s">
        <v>34</v>
      </c>
      <c r="E290" s="373">
        <v>45710</v>
      </c>
      <c r="F290" s="372" t="s">
        <v>511</v>
      </c>
      <c r="G290" s="372">
        <v>6</v>
      </c>
      <c r="H290" s="372" t="s">
        <v>22</v>
      </c>
      <c r="I290" s="372" t="s">
        <v>28</v>
      </c>
      <c r="J290" s="21" t="s">
        <v>29</v>
      </c>
      <c r="K290" s="21"/>
      <c r="L290" s="21"/>
      <c r="M290" s="22" t="s">
        <v>30</v>
      </c>
      <c r="N290" s="23">
        <v>45727</v>
      </c>
      <c r="O290" s="21"/>
      <c r="P290" s="22" t="s">
        <v>30</v>
      </c>
      <c r="Q290" s="23">
        <v>45727</v>
      </c>
      <c r="R290" s="81" t="s">
        <v>28</v>
      </c>
      <c r="S290" s="22" t="s">
        <v>32</v>
      </c>
      <c r="T290" s="22">
        <v>6</v>
      </c>
      <c r="U290" s="24" t="s">
        <v>28</v>
      </c>
      <c r="V290" s="23">
        <v>45729</v>
      </c>
      <c r="W290" s="82" t="s">
        <v>30</v>
      </c>
    </row>
    <row r="291" spans="1:23">
      <c r="A291" s="358" t="s">
        <v>24</v>
      </c>
      <c r="B291" s="369">
        <v>288</v>
      </c>
      <c r="C291" s="372" t="s">
        <v>513</v>
      </c>
      <c r="D291" s="372" t="s">
        <v>374</v>
      </c>
      <c r="E291" s="373">
        <v>45712</v>
      </c>
      <c r="F291" s="372" t="s">
        <v>62</v>
      </c>
      <c r="G291" s="372">
        <v>19</v>
      </c>
      <c r="H291" s="372" t="s">
        <v>46</v>
      </c>
      <c r="I291" s="372" t="s">
        <v>47</v>
      </c>
      <c r="J291" s="21" t="s">
        <v>29</v>
      </c>
      <c r="K291" s="21" t="s">
        <v>457</v>
      </c>
      <c r="L291" s="21"/>
      <c r="M291" s="22" t="s">
        <v>30</v>
      </c>
      <c r="N291" s="23">
        <v>45730</v>
      </c>
      <c r="O291" s="21" t="s">
        <v>31</v>
      </c>
      <c r="P291" s="22" t="s">
        <v>30</v>
      </c>
      <c r="Q291" s="23">
        <v>45730</v>
      </c>
      <c r="R291" s="81" t="s">
        <v>46</v>
      </c>
      <c r="S291" s="22" t="s">
        <v>32</v>
      </c>
      <c r="T291" s="22">
        <v>20</v>
      </c>
      <c r="U291" s="22" t="s">
        <v>46</v>
      </c>
      <c r="V291" s="23">
        <v>45730</v>
      </c>
      <c r="W291" s="82" t="s">
        <v>30</v>
      </c>
    </row>
    <row r="292" spans="1:23">
      <c r="A292" s="358" t="s">
        <v>24</v>
      </c>
      <c r="B292" s="369">
        <v>289</v>
      </c>
      <c r="C292" s="372" t="s">
        <v>514</v>
      </c>
      <c r="D292" s="372" t="s">
        <v>234</v>
      </c>
      <c r="E292" s="373">
        <v>45712</v>
      </c>
      <c r="F292" s="372" t="s">
        <v>324</v>
      </c>
      <c r="G292" s="372">
        <v>9</v>
      </c>
      <c r="H292" s="372" t="s">
        <v>21</v>
      </c>
      <c r="I292" s="372" t="s">
        <v>36</v>
      </c>
      <c r="J292" s="21" t="s">
        <v>29</v>
      </c>
      <c r="K292" s="21"/>
      <c r="L292" s="21"/>
      <c r="M292" s="22" t="s">
        <v>30</v>
      </c>
      <c r="N292" s="23">
        <v>45747</v>
      </c>
      <c r="O292" s="21"/>
      <c r="P292" s="22" t="s">
        <v>30</v>
      </c>
      <c r="Q292" s="23">
        <v>45747</v>
      </c>
      <c r="R292" s="81" t="s">
        <v>67</v>
      </c>
      <c r="S292" s="22" t="s">
        <v>32</v>
      </c>
      <c r="T292" s="22">
        <v>9</v>
      </c>
      <c r="U292" s="22" t="s">
        <v>67</v>
      </c>
      <c r="V292" s="23">
        <v>45747</v>
      </c>
      <c r="W292" s="82" t="s">
        <v>30</v>
      </c>
    </row>
    <row r="293" spans="1:23">
      <c r="A293" s="358" t="s">
        <v>24</v>
      </c>
      <c r="B293" s="369">
        <v>290</v>
      </c>
      <c r="C293" s="372" t="s">
        <v>515</v>
      </c>
      <c r="D293" s="372" t="s">
        <v>34</v>
      </c>
      <c r="E293" s="373">
        <v>45712</v>
      </c>
      <c r="F293" s="372" t="s">
        <v>106</v>
      </c>
      <c r="G293" s="372">
        <v>15</v>
      </c>
      <c r="H293" s="372" t="s">
        <v>22</v>
      </c>
      <c r="I293" s="372" t="s">
        <v>28</v>
      </c>
      <c r="J293" s="21" t="s">
        <v>29</v>
      </c>
      <c r="K293" s="21" t="s">
        <v>516</v>
      </c>
      <c r="L293" s="21"/>
      <c r="M293" s="22" t="s">
        <v>30</v>
      </c>
      <c r="N293" s="23">
        <v>45729</v>
      </c>
      <c r="O293" s="21" t="s">
        <v>31</v>
      </c>
      <c r="P293" s="22" t="s">
        <v>30</v>
      </c>
      <c r="Q293" s="23">
        <v>45729</v>
      </c>
      <c r="R293" s="81" t="s">
        <v>28</v>
      </c>
      <c r="S293" s="22" t="s">
        <v>32</v>
      </c>
      <c r="T293" s="22">
        <v>15</v>
      </c>
      <c r="U293" s="22" t="s">
        <v>28</v>
      </c>
      <c r="V293" s="23">
        <v>45729</v>
      </c>
      <c r="W293" s="82" t="s">
        <v>30</v>
      </c>
    </row>
    <row r="294" spans="1:23">
      <c r="A294" s="358" t="s">
        <v>137</v>
      </c>
      <c r="B294" s="369">
        <v>291</v>
      </c>
      <c r="C294" s="372" t="s">
        <v>517</v>
      </c>
      <c r="D294" s="358" t="s">
        <v>139</v>
      </c>
      <c r="E294" s="373">
        <v>45691.458333333336</v>
      </c>
      <c r="F294" s="372" t="s">
        <v>140</v>
      </c>
      <c r="G294" s="372">
        <v>6</v>
      </c>
      <c r="H294" s="372" t="s">
        <v>141</v>
      </c>
      <c r="I294" s="372" t="s">
        <v>228</v>
      </c>
      <c r="J294" s="21" t="s">
        <v>29</v>
      </c>
      <c r="K294" s="21"/>
      <c r="L294" s="21"/>
      <c r="M294" s="22" t="s">
        <v>30</v>
      </c>
      <c r="N294" s="23">
        <v>45747</v>
      </c>
      <c r="O294" s="21"/>
      <c r="P294" s="22" t="s">
        <v>30</v>
      </c>
      <c r="Q294" s="23">
        <v>45747</v>
      </c>
      <c r="R294" s="81" t="s">
        <v>48</v>
      </c>
      <c r="S294" s="22" t="s">
        <v>32</v>
      </c>
      <c r="T294" s="22">
        <v>6</v>
      </c>
      <c r="U294" s="22" t="s">
        <v>48</v>
      </c>
      <c r="V294" s="23">
        <v>45747</v>
      </c>
      <c r="W294" s="360"/>
    </row>
    <row r="295" spans="1:23">
      <c r="A295" s="358" t="s">
        <v>137</v>
      </c>
      <c r="B295" s="369">
        <v>292</v>
      </c>
      <c r="C295" s="372" t="s">
        <v>518</v>
      </c>
      <c r="D295" s="358" t="s">
        <v>519</v>
      </c>
      <c r="E295" s="373">
        <v>45691.375</v>
      </c>
      <c r="F295" s="372" t="s">
        <v>140</v>
      </c>
      <c r="G295" s="372">
        <v>10</v>
      </c>
      <c r="H295" s="372" t="s">
        <v>520</v>
      </c>
      <c r="I295" s="372" t="s">
        <v>521</v>
      </c>
      <c r="J295" s="21" t="s">
        <v>29</v>
      </c>
      <c r="K295" s="21"/>
      <c r="L295" s="21"/>
      <c r="M295" s="22" t="s">
        <v>30</v>
      </c>
      <c r="N295" s="23">
        <v>45747</v>
      </c>
      <c r="O295" s="21"/>
      <c r="P295" s="22" t="s">
        <v>30</v>
      </c>
      <c r="Q295" s="23">
        <v>45747</v>
      </c>
      <c r="R295" s="81" t="s">
        <v>48</v>
      </c>
      <c r="S295" s="22" t="s">
        <v>32</v>
      </c>
      <c r="T295" s="22">
        <v>10</v>
      </c>
      <c r="U295" s="24" t="s">
        <v>48</v>
      </c>
      <c r="V295" s="23">
        <v>45747</v>
      </c>
      <c r="W295" s="360"/>
    </row>
    <row r="296" spans="1:23">
      <c r="A296" s="358" t="s">
        <v>137</v>
      </c>
      <c r="B296" s="369">
        <v>293</v>
      </c>
      <c r="C296" s="372" t="s">
        <v>522</v>
      </c>
      <c r="D296" s="358" t="s">
        <v>523</v>
      </c>
      <c r="E296" s="373">
        <v>45691.375</v>
      </c>
      <c r="F296" s="372" t="s">
        <v>140</v>
      </c>
      <c r="G296" s="372">
        <v>34</v>
      </c>
      <c r="H296" s="372" t="s">
        <v>520</v>
      </c>
      <c r="I296" s="372" t="s">
        <v>521</v>
      </c>
      <c r="J296" s="21" t="s">
        <v>29</v>
      </c>
      <c r="K296" s="21"/>
      <c r="L296" s="21"/>
      <c r="M296" s="22" t="s">
        <v>30</v>
      </c>
      <c r="N296" s="23">
        <v>45779</v>
      </c>
      <c r="O296" s="21" t="s">
        <v>31</v>
      </c>
      <c r="P296" s="22" t="s">
        <v>30</v>
      </c>
      <c r="Q296" s="23">
        <v>45779</v>
      </c>
      <c r="R296" s="81" t="s">
        <v>67</v>
      </c>
      <c r="S296" s="22" t="s">
        <v>32</v>
      </c>
      <c r="T296" s="22">
        <v>34</v>
      </c>
      <c r="U296" s="24" t="s">
        <v>67</v>
      </c>
      <c r="V296" s="23">
        <v>45779</v>
      </c>
      <c r="W296" s="82"/>
    </row>
    <row r="297" spans="1:23">
      <c r="A297" s="358" t="s">
        <v>137</v>
      </c>
      <c r="B297" s="369">
        <v>294</v>
      </c>
      <c r="C297" s="372" t="s">
        <v>524</v>
      </c>
      <c r="D297" s="358" t="s">
        <v>159</v>
      </c>
      <c r="E297" s="373">
        <v>45691.375</v>
      </c>
      <c r="F297" s="372" t="s">
        <v>140</v>
      </c>
      <c r="G297" s="372">
        <v>6</v>
      </c>
      <c r="H297" s="372" t="s">
        <v>210</v>
      </c>
      <c r="I297" s="372" t="s">
        <v>211</v>
      </c>
      <c r="J297" s="21" t="s">
        <v>29</v>
      </c>
      <c r="K297" s="21"/>
      <c r="L297" s="21"/>
      <c r="M297" s="22" t="s">
        <v>30</v>
      </c>
      <c r="N297" s="23">
        <v>45768</v>
      </c>
      <c r="O297" s="21"/>
      <c r="P297" s="22" t="s">
        <v>30</v>
      </c>
      <c r="Q297" s="23">
        <v>45768</v>
      </c>
      <c r="R297" s="81" t="s">
        <v>67</v>
      </c>
      <c r="S297" s="22" t="s">
        <v>32</v>
      </c>
      <c r="T297" s="22">
        <v>4</v>
      </c>
      <c r="U297" s="22" t="s">
        <v>67</v>
      </c>
      <c r="V297" s="23">
        <v>45768</v>
      </c>
      <c r="W297" s="360"/>
    </row>
    <row r="298" spans="1:23">
      <c r="A298" s="358" t="s">
        <v>137</v>
      </c>
      <c r="B298" s="369">
        <v>295</v>
      </c>
      <c r="C298" s="372" t="s">
        <v>525</v>
      </c>
      <c r="D298" s="358" t="s">
        <v>526</v>
      </c>
      <c r="E298" s="373">
        <v>45691.375</v>
      </c>
      <c r="F298" s="372" t="s">
        <v>140</v>
      </c>
      <c r="G298" s="372">
        <v>20</v>
      </c>
      <c r="H298" s="372" t="s">
        <v>520</v>
      </c>
      <c r="I298" s="372" t="s">
        <v>521</v>
      </c>
      <c r="J298" s="21" t="s">
        <v>29</v>
      </c>
      <c r="K298" s="21"/>
      <c r="L298" s="21"/>
      <c r="M298" s="22" t="s">
        <v>30</v>
      </c>
      <c r="N298" s="23">
        <v>45768</v>
      </c>
      <c r="O298" s="21" t="s">
        <v>31</v>
      </c>
      <c r="P298" s="22" t="s">
        <v>30</v>
      </c>
      <c r="Q298" s="23">
        <v>45768</v>
      </c>
      <c r="R298" s="81" t="s">
        <v>67</v>
      </c>
      <c r="S298" s="22" t="s">
        <v>32</v>
      </c>
      <c r="T298" s="22">
        <v>20</v>
      </c>
      <c r="U298" s="22" t="s">
        <v>67</v>
      </c>
      <c r="V298" s="23">
        <v>45768</v>
      </c>
      <c r="W298" s="360"/>
    </row>
    <row r="299" spans="1:23">
      <c r="A299" s="358" t="s">
        <v>137</v>
      </c>
      <c r="B299" s="369">
        <v>296</v>
      </c>
      <c r="C299" s="372" t="s">
        <v>527</v>
      </c>
      <c r="D299" s="358" t="s">
        <v>528</v>
      </c>
      <c r="E299" s="373">
        <v>45691.375</v>
      </c>
      <c r="F299" s="372" t="s">
        <v>140</v>
      </c>
      <c r="G299" s="372">
        <v>4</v>
      </c>
      <c r="H299" s="372" t="s">
        <v>141</v>
      </c>
      <c r="I299" s="372" t="s">
        <v>228</v>
      </c>
      <c r="J299" s="21" t="s">
        <v>29</v>
      </c>
      <c r="K299" s="21"/>
      <c r="L299" s="21"/>
      <c r="M299" s="22" t="s">
        <v>30</v>
      </c>
      <c r="N299" s="23">
        <v>45777</v>
      </c>
      <c r="O299" s="21"/>
      <c r="P299" s="22" t="s">
        <v>30</v>
      </c>
      <c r="Q299" s="23">
        <v>45777</v>
      </c>
      <c r="R299" s="81" t="s">
        <v>67</v>
      </c>
      <c r="S299" s="22" t="s">
        <v>32</v>
      </c>
      <c r="T299" s="22">
        <v>4</v>
      </c>
      <c r="U299" s="22" t="s">
        <v>67</v>
      </c>
      <c r="V299" s="23">
        <v>45777</v>
      </c>
      <c r="W299" s="82"/>
    </row>
    <row r="300" spans="1:23">
      <c r="A300" s="358" t="s">
        <v>137</v>
      </c>
      <c r="B300" s="369">
        <v>297</v>
      </c>
      <c r="C300" s="372" t="s">
        <v>529</v>
      </c>
      <c r="D300" s="358" t="s">
        <v>358</v>
      </c>
      <c r="E300" s="373">
        <v>45691.375</v>
      </c>
      <c r="F300" s="372" t="s">
        <v>140</v>
      </c>
      <c r="G300" s="372">
        <v>23</v>
      </c>
      <c r="H300" s="372" t="s">
        <v>22</v>
      </c>
      <c r="I300" s="372" t="s">
        <v>28</v>
      </c>
      <c r="J300" s="21" t="s">
        <v>29</v>
      </c>
      <c r="K300" s="21"/>
      <c r="L300" s="21"/>
      <c r="M300" s="22" t="s">
        <v>30</v>
      </c>
      <c r="N300" s="23">
        <v>45777</v>
      </c>
      <c r="O300" s="21" t="s">
        <v>31</v>
      </c>
      <c r="P300" s="22" t="s">
        <v>30</v>
      </c>
      <c r="Q300" s="23">
        <v>45777</v>
      </c>
      <c r="R300" s="81" t="s">
        <v>67</v>
      </c>
      <c r="S300" s="22" t="s">
        <v>32</v>
      </c>
      <c r="T300" s="22">
        <v>25</v>
      </c>
      <c r="U300" s="22" t="s">
        <v>67</v>
      </c>
      <c r="V300" s="23">
        <v>45777</v>
      </c>
      <c r="W300" s="82"/>
    </row>
    <row r="301" spans="1:23">
      <c r="A301" s="358" t="s">
        <v>137</v>
      </c>
      <c r="B301" s="369">
        <v>298</v>
      </c>
      <c r="C301" s="372" t="s">
        <v>530</v>
      </c>
      <c r="D301" s="358" t="s">
        <v>531</v>
      </c>
      <c r="E301" s="373">
        <v>45691.375</v>
      </c>
      <c r="F301" s="372" t="s">
        <v>140</v>
      </c>
      <c r="G301" s="372">
        <v>1</v>
      </c>
      <c r="H301" s="372" t="s">
        <v>46</v>
      </c>
      <c r="I301" s="372" t="s">
        <v>47</v>
      </c>
      <c r="J301" s="21" t="s">
        <v>29</v>
      </c>
      <c r="K301" s="21"/>
      <c r="L301" s="21"/>
      <c r="M301" s="22" t="s">
        <v>30</v>
      </c>
      <c r="N301" s="23">
        <v>45747</v>
      </c>
      <c r="O301" s="21"/>
      <c r="P301" s="22" t="s">
        <v>30</v>
      </c>
      <c r="Q301" s="23">
        <v>45747</v>
      </c>
      <c r="R301" s="81" t="s">
        <v>48</v>
      </c>
      <c r="S301" s="22" t="s">
        <v>32</v>
      </c>
      <c r="T301" s="22">
        <v>1</v>
      </c>
      <c r="U301" s="24" t="s">
        <v>48</v>
      </c>
      <c r="V301" s="23">
        <v>45747</v>
      </c>
      <c r="W301" s="360"/>
    </row>
    <row r="302" spans="1:23">
      <c r="A302" s="358" t="s">
        <v>137</v>
      </c>
      <c r="B302" s="369">
        <v>299</v>
      </c>
      <c r="C302" s="372" t="s">
        <v>532</v>
      </c>
      <c r="D302" s="358" t="s">
        <v>533</v>
      </c>
      <c r="E302" s="373">
        <v>45691.375</v>
      </c>
      <c r="F302" s="372" t="s">
        <v>140</v>
      </c>
      <c r="G302" s="372">
        <v>1</v>
      </c>
      <c r="H302" s="372" t="s">
        <v>22</v>
      </c>
      <c r="I302" s="372" t="s">
        <v>28</v>
      </c>
      <c r="J302" s="21" t="s">
        <v>29</v>
      </c>
      <c r="K302" s="21"/>
      <c r="L302" s="21"/>
      <c r="M302" s="22" t="s">
        <v>30</v>
      </c>
      <c r="N302" s="23">
        <v>45747</v>
      </c>
      <c r="O302" s="21"/>
      <c r="P302" s="22" t="s">
        <v>30</v>
      </c>
      <c r="Q302" s="23">
        <v>45747</v>
      </c>
      <c r="R302" s="81" t="s">
        <v>48</v>
      </c>
      <c r="S302" s="22" t="s">
        <v>32</v>
      </c>
      <c r="T302" s="22">
        <v>1</v>
      </c>
      <c r="U302" s="24" t="s">
        <v>48</v>
      </c>
      <c r="V302" s="23">
        <v>45747</v>
      </c>
      <c r="W302" s="360"/>
    </row>
    <row r="303" spans="1:23">
      <c r="A303" s="358" t="s">
        <v>137</v>
      </c>
      <c r="B303" s="369">
        <v>300</v>
      </c>
      <c r="C303" s="372" t="s">
        <v>534</v>
      </c>
      <c r="D303" s="358" t="s">
        <v>535</v>
      </c>
      <c r="E303" s="373">
        <v>45691.375</v>
      </c>
      <c r="F303" s="372" t="s">
        <v>140</v>
      </c>
      <c r="G303" s="372">
        <v>1</v>
      </c>
      <c r="H303" s="372" t="s">
        <v>22</v>
      </c>
      <c r="I303" s="372" t="s">
        <v>28</v>
      </c>
      <c r="J303" s="21" t="s">
        <v>29</v>
      </c>
      <c r="K303" s="21"/>
      <c r="L303" s="21"/>
      <c r="M303" s="22" t="s">
        <v>30</v>
      </c>
      <c r="N303" s="23">
        <v>45747</v>
      </c>
      <c r="O303" s="21"/>
      <c r="P303" s="22" t="s">
        <v>30</v>
      </c>
      <c r="Q303" s="23">
        <v>45747</v>
      </c>
      <c r="R303" s="81" t="s">
        <v>48</v>
      </c>
      <c r="S303" s="22" t="s">
        <v>32</v>
      </c>
      <c r="T303" s="22">
        <v>1</v>
      </c>
      <c r="U303" s="24" t="s">
        <v>48</v>
      </c>
      <c r="V303" s="23">
        <v>45747</v>
      </c>
      <c r="W303" s="360"/>
    </row>
    <row r="304" spans="1:23">
      <c r="A304" s="358" t="s">
        <v>137</v>
      </c>
      <c r="B304" s="369">
        <v>301</v>
      </c>
      <c r="C304" s="372" t="s">
        <v>536</v>
      </c>
      <c r="D304" s="358" t="s">
        <v>537</v>
      </c>
      <c r="E304" s="373">
        <v>45691.375</v>
      </c>
      <c r="F304" s="372" t="s">
        <v>140</v>
      </c>
      <c r="G304" s="372">
        <v>1</v>
      </c>
      <c r="H304" s="372" t="s">
        <v>22</v>
      </c>
      <c r="I304" s="372" t="s">
        <v>28</v>
      </c>
      <c r="J304" s="21" t="s">
        <v>29</v>
      </c>
      <c r="K304" s="21"/>
      <c r="L304" s="21"/>
      <c r="M304" s="22" t="s">
        <v>30</v>
      </c>
      <c r="N304" s="23">
        <v>45747</v>
      </c>
      <c r="O304" s="21"/>
      <c r="P304" s="22" t="s">
        <v>30</v>
      </c>
      <c r="Q304" s="23">
        <v>45747</v>
      </c>
      <c r="R304" s="81" t="s">
        <v>48</v>
      </c>
      <c r="S304" s="22" t="s">
        <v>32</v>
      </c>
      <c r="T304" s="22">
        <v>1</v>
      </c>
      <c r="U304" s="24" t="s">
        <v>48</v>
      </c>
      <c r="V304" s="23">
        <v>45747</v>
      </c>
      <c r="W304" s="360"/>
    </row>
    <row r="305" spans="1:23">
      <c r="A305" s="358" t="s">
        <v>137</v>
      </c>
      <c r="B305" s="369">
        <v>302</v>
      </c>
      <c r="C305" s="372" t="s">
        <v>538</v>
      </c>
      <c r="D305" s="358" t="s">
        <v>539</v>
      </c>
      <c r="E305" s="373">
        <v>45698.375</v>
      </c>
      <c r="F305" s="372" t="s">
        <v>140</v>
      </c>
      <c r="G305" s="372">
        <v>2</v>
      </c>
      <c r="H305" s="372" t="s">
        <v>22</v>
      </c>
      <c r="I305" s="372" t="s">
        <v>28</v>
      </c>
      <c r="J305" s="21" t="s">
        <v>29</v>
      </c>
      <c r="K305" s="21"/>
      <c r="L305" s="21"/>
      <c r="M305" s="22"/>
      <c r="N305" s="23"/>
      <c r="O305" s="21"/>
      <c r="P305" s="22"/>
      <c r="Q305" s="23"/>
      <c r="R305" s="81" t="s">
        <v>37</v>
      </c>
      <c r="S305" s="22"/>
      <c r="T305" s="22">
        <v>2</v>
      </c>
      <c r="U305" s="24"/>
      <c r="V305" s="23"/>
      <c r="W305" s="82"/>
    </row>
    <row r="306" spans="1:23">
      <c r="A306" s="358" t="s">
        <v>137</v>
      </c>
      <c r="B306" s="369">
        <v>303</v>
      </c>
      <c r="C306" s="372" t="s">
        <v>540</v>
      </c>
      <c r="D306" s="358" t="s">
        <v>139</v>
      </c>
      <c r="E306" s="373">
        <v>45698.375</v>
      </c>
      <c r="F306" s="372" t="s">
        <v>140</v>
      </c>
      <c r="G306" s="372">
        <v>2</v>
      </c>
      <c r="H306" s="372" t="s">
        <v>210</v>
      </c>
      <c r="I306" s="372" t="s">
        <v>211</v>
      </c>
      <c r="J306" s="21" t="s">
        <v>29</v>
      </c>
      <c r="K306" s="21"/>
      <c r="L306" s="21"/>
      <c r="M306" s="22" t="s">
        <v>30</v>
      </c>
      <c r="N306" s="23">
        <v>45783</v>
      </c>
      <c r="O306" s="21"/>
      <c r="P306" s="22" t="s">
        <v>30</v>
      </c>
      <c r="Q306" s="23">
        <v>45783</v>
      </c>
      <c r="R306" s="81" t="s">
        <v>37</v>
      </c>
      <c r="S306" s="22" t="s">
        <v>32</v>
      </c>
      <c r="T306" s="22">
        <v>2</v>
      </c>
      <c r="U306" s="24" t="s">
        <v>37</v>
      </c>
      <c r="V306" s="23">
        <v>45784</v>
      </c>
      <c r="W306" s="82"/>
    </row>
    <row r="307" spans="1:23">
      <c r="A307" s="358" t="s">
        <v>137</v>
      </c>
      <c r="B307" s="369">
        <v>304</v>
      </c>
      <c r="C307" s="372" t="s">
        <v>541</v>
      </c>
      <c r="D307" s="358" t="s">
        <v>542</v>
      </c>
      <c r="E307" s="373">
        <v>45698.375</v>
      </c>
      <c r="F307" s="372" t="s">
        <v>140</v>
      </c>
      <c r="G307" s="372">
        <v>15</v>
      </c>
      <c r="H307" s="372" t="s">
        <v>210</v>
      </c>
      <c r="I307" s="372" t="s">
        <v>211</v>
      </c>
      <c r="J307" s="21" t="s">
        <v>29</v>
      </c>
      <c r="K307" s="21"/>
      <c r="L307" s="21"/>
      <c r="M307" s="22"/>
      <c r="N307" s="23"/>
      <c r="O307" s="21" t="s">
        <v>31</v>
      </c>
      <c r="P307" s="22"/>
      <c r="Q307" s="23"/>
      <c r="R307" s="81" t="s">
        <v>37</v>
      </c>
      <c r="S307" s="22"/>
      <c r="T307" s="22"/>
      <c r="U307" s="22"/>
      <c r="V307" s="23"/>
      <c r="W307" s="82"/>
    </row>
    <row r="308" spans="1:23">
      <c r="A308" s="358" t="s">
        <v>137</v>
      </c>
      <c r="B308" s="369">
        <v>305</v>
      </c>
      <c r="C308" s="372" t="s">
        <v>543</v>
      </c>
      <c r="D308" s="358" t="s">
        <v>523</v>
      </c>
      <c r="E308" s="373">
        <v>45698.375</v>
      </c>
      <c r="F308" s="372" t="s">
        <v>140</v>
      </c>
      <c r="G308" s="372">
        <v>3</v>
      </c>
      <c r="H308" s="372" t="s">
        <v>22</v>
      </c>
      <c r="I308" s="372" t="s">
        <v>28</v>
      </c>
      <c r="J308" s="21" t="s">
        <v>29</v>
      </c>
      <c r="K308" s="21"/>
      <c r="L308" s="21"/>
      <c r="M308" s="22" t="s">
        <v>30</v>
      </c>
      <c r="N308" s="23">
        <v>45783</v>
      </c>
      <c r="O308" s="21"/>
      <c r="P308" s="22" t="s">
        <v>30</v>
      </c>
      <c r="Q308" s="23">
        <v>45783</v>
      </c>
      <c r="R308" s="81" t="s">
        <v>37</v>
      </c>
      <c r="S308" s="22" t="s">
        <v>32</v>
      </c>
      <c r="T308" s="22">
        <v>3</v>
      </c>
      <c r="U308" s="22" t="s">
        <v>37</v>
      </c>
      <c r="V308" s="23">
        <v>45784</v>
      </c>
      <c r="W308" s="82"/>
    </row>
    <row r="309" spans="1:23">
      <c r="A309" s="358" t="s">
        <v>137</v>
      </c>
      <c r="B309" s="369">
        <v>306</v>
      </c>
      <c r="C309" s="372" t="s">
        <v>544</v>
      </c>
      <c r="D309" s="358" t="s">
        <v>159</v>
      </c>
      <c r="E309" s="373">
        <v>45698.458333333336</v>
      </c>
      <c r="F309" s="372" t="s">
        <v>140</v>
      </c>
      <c r="G309" s="372">
        <v>6</v>
      </c>
      <c r="H309" s="372" t="s">
        <v>141</v>
      </c>
      <c r="I309" s="372" t="s">
        <v>228</v>
      </c>
      <c r="J309" s="21" t="s">
        <v>29</v>
      </c>
      <c r="K309" s="21"/>
      <c r="L309" s="21"/>
      <c r="M309" s="22" t="s">
        <v>30</v>
      </c>
      <c r="N309" s="23">
        <v>45777</v>
      </c>
      <c r="O309" s="21"/>
      <c r="P309" s="22" t="s">
        <v>30</v>
      </c>
      <c r="Q309" s="23">
        <v>45777</v>
      </c>
      <c r="R309" s="81" t="s">
        <v>37</v>
      </c>
      <c r="S309" s="22" t="s">
        <v>32</v>
      </c>
      <c r="T309" s="22">
        <v>6</v>
      </c>
      <c r="U309" s="22" t="s">
        <v>37</v>
      </c>
      <c r="V309" s="23">
        <v>45777</v>
      </c>
      <c r="W309" s="360"/>
    </row>
    <row r="310" spans="1:23">
      <c r="A310" s="358" t="s">
        <v>137</v>
      </c>
      <c r="B310" s="369">
        <v>307</v>
      </c>
      <c r="C310" s="372" t="s">
        <v>545</v>
      </c>
      <c r="D310" s="358" t="s">
        <v>546</v>
      </c>
      <c r="E310" s="373">
        <v>45698.375</v>
      </c>
      <c r="F310" s="372" t="s">
        <v>140</v>
      </c>
      <c r="G310" s="372">
        <v>1</v>
      </c>
      <c r="H310" s="372" t="s">
        <v>46</v>
      </c>
      <c r="I310" s="372" t="s">
        <v>47</v>
      </c>
      <c r="J310" s="21" t="s">
        <v>29</v>
      </c>
      <c r="K310" s="21"/>
      <c r="L310" s="21"/>
      <c r="M310" s="22" t="s">
        <v>30</v>
      </c>
      <c r="N310" s="23">
        <v>45777</v>
      </c>
      <c r="O310" s="21"/>
      <c r="P310" s="22" t="s">
        <v>30</v>
      </c>
      <c r="Q310" s="23">
        <v>45777</v>
      </c>
      <c r="R310" s="81" t="s">
        <v>37</v>
      </c>
      <c r="S310" s="22" t="s">
        <v>32</v>
      </c>
      <c r="T310" s="22">
        <v>1</v>
      </c>
      <c r="U310" s="22" t="s">
        <v>37</v>
      </c>
      <c r="V310" s="23">
        <v>45777</v>
      </c>
      <c r="W310" s="360"/>
    </row>
    <row r="311" spans="1:23">
      <c r="A311" s="358" t="s">
        <v>137</v>
      </c>
      <c r="B311" s="369">
        <v>308</v>
      </c>
      <c r="C311" s="372" t="s">
        <v>547</v>
      </c>
      <c r="D311" s="358" t="s">
        <v>548</v>
      </c>
      <c r="E311" s="373">
        <v>45698.375</v>
      </c>
      <c r="F311" s="372" t="s">
        <v>140</v>
      </c>
      <c r="G311" s="372">
        <v>12</v>
      </c>
      <c r="H311" s="372" t="s">
        <v>22</v>
      </c>
      <c r="I311" s="372" t="s">
        <v>28</v>
      </c>
      <c r="J311" s="21" t="s">
        <v>29</v>
      </c>
      <c r="K311" s="21"/>
      <c r="L311" s="21"/>
      <c r="M311" s="22" t="s">
        <v>30</v>
      </c>
      <c r="N311" s="23">
        <v>45777</v>
      </c>
      <c r="O311" s="21"/>
      <c r="P311" s="22" t="s">
        <v>30</v>
      </c>
      <c r="Q311" s="23">
        <v>45777</v>
      </c>
      <c r="R311" s="81" t="s">
        <v>37</v>
      </c>
      <c r="S311" s="22" t="s">
        <v>32</v>
      </c>
      <c r="T311" s="22">
        <v>12</v>
      </c>
      <c r="U311" s="22" t="s">
        <v>37</v>
      </c>
      <c r="V311" s="23">
        <v>45777</v>
      </c>
      <c r="W311" s="360"/>
    </row>
    <row r="312" spans="1:23">
      <c r="A312" s="358" t="s">
        <v>137</v>
      </c>
      <c r="B312" s="369">
        <v>309</v>
      </c>
      <c r="C312" s="372" t="s">
        <v>549</v>
      </c>
      <c r="D312" s="358" t="s">
        <v>315</v>
      </c>
      <c r="E312" s="373">
        <v>45698.375</v>
      </c>
      <c r="F312" s="372" t="s">
        <v>140</v>
      </c>
      <c r="G312" s="372">
        <v>2</v>
      </c>
      <c r="H312" s="372" t="s">
        <v>46</v>
      </c>
      <c r="I312" s="372" t="s">
        <v>47</v>
      </c>
      <c r="J312" s="21" t="s">
        <v>29</v>
      </c>
      <c r="K312" s="21"/>
      <c r="L312" s="21"/>
      <c r="M312" s="22" t="s">
        <v>30</v>
      </c>
      <c r="N312" s="23">
        <v>45777</v>
      </c>
      <c r="O312" s="21"/>
      <c r="P312" s="22" t="s">
        <v>30</v>
      </c>
      <c r="Q312" s="23">
        <v>45777</v>
      </c>
      <c r="R312" s="81" t="s">
        <v>37</v>
      </c>
      <c r="S312" s="22" t="s">
        <v>32</v>
      </c>
      <c r="T312" s="22">
        <v>2</v>
      </c>
      <c r="U312" s="22" t="s">
        <v>37</v>
      </c>
      <c r="V312" s="23">
        <v>45777</v>
      </c>
      <c r="W312" s="360"/>
    </row>
    <row r="313" spans="1:23">
      <c r="A313" s="358" t="s">
        <v>137</v>
      </c>
      <c r="B313" s="369">
        <v>310</v>
      </c>
      <c r="C313" s="372" t="s">
        <v>550</v>
      </c>
      <c r="D313" s="358" t="s">
        <v>213</v>
      </c>
      <c r="E313" s="373">
        <v>45698.375</v>
      </c>
      <c r="F313" s="372" t="s">
        <v>140</v>
      </c>
      <c r="G313" s="372">
        <v>8</v>
      </c>
      <c r="H313" s="372" t="s">
        <v>22</v>
      </c>
      <c r="I313" s="372" t="s">
        <v>28</v>
      </c>
      <c r="J313" s="21" t="s">
        <v>29</v>
      </c>
      <c r="K313" s="21"/>
      <c r="L313" s="21"/>
      <c r="M313" s="22" t="s">
        <v>30</v>
      </c>
      <c r="N313" s="23">
        <v>45777</v>
      </c>
      <c r="O313" s="21"/>
      <c r="P313" s="22" t="s">
        <v>30</v>
      </c>
      <c r="Q313" s="23">
        <v>45777</v>
      </c>
      <c r="R313" s="81" t="s">
        <v>37</v>
      </c>
      <c r="S313" s="22" t="s">
        <v>32</v>
      </c>
      <c r="T313" s="22">
        <v>8</v>
      </c>
      <c r="U313" s="24" t="s">
        <v>37</v>
      </c>
      <c r="V313" s="23">
        <v>45777</v>
      </c>
      <c r="W313" s="82"/>
    </row>
    <row r="314" spans="1:23">
      <c r="A314" s="358" t="s">
        <v>137</v>
      </c>
      <c r="B314" s="369">
        <v>311</v>
      </c>
      <c r="C314" s="372" t="s">
        <v>551</v>
      </c>
      <c r="D314" s="358" t="s">
        <v>552</v>
      </c>
      <c r="E314" s="373">
        <v>45698.375</v>
      </c>
      <c r="F314" s="372" t="s">
        <v>140</v>
      </c>
      <c r="G314" s="372">
        <v>1</v>
      </c>
      <c r="H314" s="372" t="s">
        <v>22</v>
      </c>
      <c r="I314" s="372" t="s">
        <v>28</v>
      </c>
      <c r="J314" s="21" t="s">
        <v>29</v>
      </c>
      <c r="K314" s="21"/>
      <c r="L314" s="21"/>
      <c r="M314" s="22" t="s">
        <v>30</v>
      </c>
      <c r="N314" s="23">
        <v>45777</v>
      </c>
      <c r="O314" s="21"/>
      <c r="P314" s="22" t="s">
        <v>30</v>
      </c>
      <c r="Q314" s="23">
        <v>45777</v>
      </c>
      <c r="R314" s="81" t="s">
        <v>37</v>
      </c>
      <c r="S314" s="22" t="s">
        <v>32</v>
      </c>
      <c r="T314" s="22">
        <v>1</v>
      </c>
      <c r="U314" s="22" t="s">
        <v>37</v>
      </c>
      <c r="V314" s="23">
        <v>45777</v>
      </c>
      <c r="W314" s="82"/>
    </row>
    <row r="315" spans="1:23">
      <c r="A315" s="358" t="s">
        <v>137</v>
      </c>
      <c r="B315" s="369">
        <v>312</v>
      </c>
      <c r="C315" s="372" t="s">
        <v>553</v>
      </c>
      <c r="D315" s="358" t="s">
        <v>554</v>
      </c>
      <c r="E315" s="373">
        <v>45698.375</v>
      </c>
      <c r="F315" s="372" t="s">
        <v>140</v>
      </c>
      <c r="G315" s="372">
        <v>26</v>
      </c>
      <c r="H315" s="372" t="s">
        <v>46</v>
      </c>
      <c r="I315" s="372" t="s">
        <v>47</v>
      </c>
      <c r="J315" s="21" t="s">
        <v>29</v>
      </c>
      <c r="K315" s="21"/>
      <c r="L315" s="21"/>
      <c r="M315" s="22" t="s">
        <v>30</v>
      </c>
      <c r="N315" s="23">
        <v>45777</v>
      </c>
      <c r="O315" s="21" t="s">
        <v>31</v>
      </c>
      <c r="P315" s="22" t="s">
        <v>30</v>
      </c>
      <c r="Q315" s="23">
        <v>45777</v>
      </c>
      <c r="R315" s="81" t="s">
        <v>37</v>
      </c>
      <c r="S315" s="22" t="s">
        <v>32</v>
      </c>
      <c r="T315" s="22">
        <v>26</v>
      </c>
      <c r="U315" s="24" t="s">
        <v>37</v>
      </c>
      <c r="V315" s="23">
        <v>45777</v>
      </c>
      <c r="W315" s="82"/>
    </row>
    <row r="316" spans="1:23">
      <c r="A316" s="358" t="s">
        <v>137</v>
      </c>
      <c r="B316" s="369">
        <v>313</v>
      </c>
      <c r="C316" s="372" t="s">
        <v>555</v>
      </c>
      <c r="D316" s="358" t="s">
        <v>539</v>
      </c>
      <c r="E316" s="373">
        <v>45705.375</v>
      </c>
      <c r="F316" s="372" t="s">
        <v>140</v>
      </c>
      <c r="G316" s="372">
        <v>16</v>
      </c>
      <c r="H316" s="372" t="s">
        <v>22</v>
      </c>
      <c r="I316" s="372" t="s">
        <v>28</v>
      </c>
      <c r="J316" s="21" t="s">
        <v>29</v>
      </c>
      <c r="K316" s="21"/>
      <c r="L316" s="21"/>
      <c r="M316" s="22" t="s">
        <v>30</v>
      </c>
      <c r="N316" s="23">
        <v>45777</v>
      </c>
      <c r="O316" s="21" t="s">
        <v>31</v>
      </c>
      <c r="P316" s="22" t="s">
        <v>30</v>
      </c>
      <c r="Q316" s="23">
        <v>45777</v>
      </c>
      <c r="R316" s="81" t="s">
        <v>28</v>
      </c>
      <c r="S316" s="22" t="s">
        <v>32</v>
      </c>
      <c r="T316" s="22">
        <v>16</v>
      </c>
      <c r="U316" s="24" t="s">
        <v>28</v>
      </c>
      <c r="V316" s="23">
        <v>45777</v>
      </c>
      <c r="W316" s="82"/>
    </row>
    <row r="317" spans="1:23">
      <c r="A317" s="358" t="s">
        <v>137</v>
      </c>
      <c r="B317" s="369">
        <v>314</v>
      </c>
      <c r="C317" s="372" t="s">
        <v>556</v>
      </c>
      <c r="D317" s="358" t="s">
        <v>139</v>
      </c>
      <c r="E317" s="373">
        <v>45705.375</v>
      </c>
      <c r="F317" s="372" t="s">
        <v>140</v>
      </c>
      <c r="G317" s="372">
        <v>9</v>
      </c>
      <c r="H317" s="372" t="s">
        <v>22</v>
      </c>
      <c r="I317" s="372" t="s">
        <v>28</v>
      </c>
      <c r="J317" s="21" t="s">
        <v>29</v>
      </c>
      <c r="K317" s="21"/>
      <c r="L317" s="21"/>
      <c r="M317" s="22" t="s">
        <v>30</v>
      </c>
      <c r="N317" s="23">
        <v>45777</v>
      </c>
      <c r="O317" s="21"/>
      <c r="P317" s="22" t="s">
        <v>30</v>
      </c>
      <c r="Q317" s="23">
        <v>45777</v>
      </c>
      <c r="R317" s="81" t="s">
        <v>67</v>
      </c>
      <c r="S317" s="22" t="s">
        <v>32</v>
      </c>
      <c r="T317" s="22">
        <v>9</v>
      </c>
      <c r="U317" s="22" t="s">
        <v>67</v>
      </c>
      <c r="V317" s="23">
        <v>45777</v>
      </c>
      <c r="W317" s="360"/>
    </row>
    <row r="318" spans="1:23">
      <c r="A318" s="358" t="s">
        <v>137</v>
      </c>
      <c r="B318" s="369">
        <v>315</v>
      </c>
      <c r="C318" s="372" t="s">
        <v>557</v>
      </c>
      <c r="D318" s="358" t="s">
        <v>558</v>
      </c>
      <c r="E318" s="373">
        <v>45705.458333333336</v>
      </c>
      <c r="F318" s="372" t="s">
        <v>140</v>
      </c>
      <c r="G318" s="372">
        <v>2</v>
      </c>
      <c r="H318" s="372" t="s">
        <v>21</v>
      </c>
      <c r="I318" s="372" t="s">
        <v>36</v>
      </c>
      <c r="J318" s="21" t="s">
        <v>29</v>
      </c>
      <c r="K318" s="21"/>
      <c r="L318" s="21"/>
      <c r="M318" s="22" t="s">
        <v>30</v>
      </c>
      <c r="N318" s="23">
        <v>45777</v>
      </c>
      <c r="O318" s="21"/>
      <c r="P318" s="22" t="s">
        <v>30</v>
      </c>
      <c r="Q318" s="23">
        <v>45777</v>
      </c>
      <c r="R318" s="81" t="s">
        <v>67</v>
      </c>
      <c r="S318" s="22" t="s">
        <v>32</v>
      </c>
      <c r="T318" s="22">
        <v>2</v>
      </c>
      <c r="U318" s="22" t="s">
        <v>67</v>
      </c>
      <c r="V318" s="23">
        <v>45777</v>
      </c>
      <c r="W318" s="360"/>
    </row>
    <row r="319" spans="1:23">
      <c r="A319" s="358" t="s">
        <v>137</v>
      </c>
      <c r="B319" s="369">
        <v>316</v>
      </c>
      <c r="C319" s="372" t="s">
        <v>559</v>
      </c>
      <c r="D319" s="358" t="s">
        <v>523</v>
      </c>
      <c r="E319" s="373">
        <v>45705.375</v>
      </c>
      <c r="F319" s="372" t="s">
        <v>140</v>
      </c>
      <c r="G319" s="372">
        <v>20</v>
      </c>
      <c r="H319" s="372" t="s">
        <v>291</v>
      </c>
      <c r="I319" s="372" t="s">
        <v>292</v>
      </c>
      <c r="J319" s="21" t="s">
        <v>29</v>
      </c>
      <c r="K319" s="21"/>
      <c r="L319" s="21"/>
      <c r="M319" s="22" t="s">
        <v>30</v>
      </c>
      <c r="N319" s="23">
        <v>45777</v>
      </c>
      <c r="O319" s="21" t="s">
        <v>31</v>
      </c>
      <c r="P319" s="22" t="s">
        <v>30</v>
      </c>
      <c r="Q319" s="23">
        <v>45777</v>
      </c>
      <c r="R319" s="81" t="s">
        <v>67</v>
      </c>
      <c r="S319" s="22" t="s">
        <v>32</v>
      </c>
      <c r="T319" s="22">
        <v>20</v>
      </c>
      <c r="U319" s="22" t="s">
        <v>67</v>
      </c>
      <c r="V319" s="23">
        <v>45777</v>
      </c>
      <c r="W319" s="360"/>
    </row>
    <row r="320" spans="1:23">
      <c r="A320" s="358" t="s">
        <v>137</v>
      </c>
      <c r="B320" s="369">
        <v>317</v>
      </c>
      <c r="C320" s="372" t="s">
        <v>560</v>
      </c>
      <c r="D320" s="358" t="s">
        <v>561</v>
      </c>
      <c r="E320" s="373">
        <v>45705.375</v>
      </c>
      <c r="F320" s="372" t="s">
        <v>140</v>
      </c>
      <c r="G320" s="372">
        <v>10</v>
      </c>
      <c r="H320" s="372" t="s">
        <v>46</v>
      </c>
      <c r="I320" s="372" t="s">
        <v>47</v>
      </c>
      <c r="J320" s="21" t="s">
        <v>29</v>
      </c>
      <c r="K320" s="21"/>
      <c r="L320" s="21"/>
      <c r="M320" s="22" t="s">
        <v>30</v>
      </c>
      <c r="N320" s="23">
        <v>45777</v>
      </c>
      <c r="O320" s="21"/>
      <c r="P320" s="22" t="s">
        <v>30</v>
      </c>
      <c r="Q320" s="23">
        <v>45777</v>
      </c>
      <c r="R320" s="81" t="s">
        <v>67</v>
      </c>
      <c r="S320" s="22" t="s">
        <v>32</v>
      </c>
      <c r="T320" s="22">
        <v>10</v>
      </c>
      <c r="U320" s="22" t="s">
        <v>67</v>
      </c>
      <c r="V320" s="23">
        <v>45777</v>
      </c>
      <c r="W320" s="360"/>
    </row>
    <row r="321" spans="1:23">
      <c r="A321" s="358" t="s">
        <v>137</v>
      </c>
      <c r="B321" s="369">
        <v>318</v>
      </c>
      <c r="C321" s="372" t="s">
        <v>562</v>
      </c>
      <c r="D321" s="358" t="s">
        <v>519</v>
      </c>
      <c r="E321" s="373">
        <v>45705.375</v>
      </c>
      <c r="F321" s="372" t="s">
        <v>140</v>
      </c>
      <c r="G321" s="372">
        <v>3</v>
      </c>
      <c r="H321" s="372" t="s">
        <v>22</v>
      </c>
      <c r="I321" s="372" t="s">
        <v>28</v>
      </c>
      <c r="J321" s="21" t="s">
        <v>29</v>
      </c>
      <c r="K321" s="21"/>
      <c r="L321" s="21"/>
      <c r="M321" s="22" t="s">
        <v>30</v>
      </c>
      <c r="N321" s="23">
        <v>45777</v>
      </c>
      <c r="O321" s="21"/>
      <c r="P321" s="22" t="s">
        <v>30</v>
      </c>
      <c r="Q321" s="23">
        <v>45777</v>
      </c>
      <c r="R321" s="81" t="s">
        <v>67</v>
      </c>
      <c r="S321" s="22" t="s">
        <v>32</v>
      </c>
      <c r="T321" s="22">
        <v>3</v>
      </c>
      <c r="U321" s="22" t="s">
        <v>67</v>
      </c>
      <c r="V321" s="23">
        <v>45777</v>
      </c>
      <c r="W321" s="360"/>
    </row>
    <row r="322" spans="1:23">
      <c r="A322" s="358" t="s">
        <v>137</v>
      </c>
      <c r="B322" s="369">
        <v>319</v>
      </c>
      <c r="C322" s="372" t="s">
        <v>563</v>
      </c>
      <c r="D322" s="358" t="s">
        <v>564</v>
      </c>
      <c r="E322" s="373">
        <v>45705.458333333336</v>
      </c>
      <c r="F322" s="372" t="s">
        <v>140</v>
      </c>
      <c r="G322" s="372">
        <v>6</v>
      </c>
      <c r="H322" s="372" t="s">
        <v>141</v>
      </c>
      <c r="I322" s="372" t="s">
        <v>228</v>
      </c>
      <c r="J322" s="21" t="s">
        <v>29</v>
      </c>
      <c r="K322" s="21"/>
      <c r="L322" s="21"/>
      <c r="M322" s="22" t="s">
        <v>30</v>
      </c>
      <c r="N322" s="23">
        <v>45777</v>
      </c>
      <c r="O322" s="21"/>
      <c r="P322" s="22" t="s">
        <v>30</v>
      </c>
      <c r="Q322" s="23">
        <v>45777</v>
      </c>
      <c r="R322" s="81" t="s">
        <v>67</v>
      </c>
      <c r="S322" s="22" t="s">
        <v>32</v>
      </c>
      <c r="T322" s="22">
        <v>6</v>
      </c>
      <c r="U322" s="22" t="s">
        <v>67</v>
      </c>
      <c r="V322" s="23">
        <v>45777</v>
      </c>
      <c r="W322" s="360"/>
    </row>
    <row r="323" spans="1:23">
      <c r="A323" s="358" t="s">
        <v>137</v>
      </c>
      <c r="B323" s="369">
        <v>320</v>
      </c>
      <c r="C323" s="372" t="s">
        <v>565</v>
      </c>
      <c r="D323" s="358" t="s">
        <v>566</v>
      </c>
      <c r="E323" s="373">
        <v>45705.375</v>
      </c>
      <c r="F323" s="372" t="s">
        <v>140</v>
      </c>
      <c r="G323" s="372">
        <v>8</v>
      </c>
      <c r="H323" s="372" t="s">
        <v>46</v>
      </c>
      <c r="I323" s="372" t="s">
        <v>47</v>
      </c>
      <c r="J323" s="21" t="s">
        <v>29</v>
      </c>
      <c r="K323" s="21"/>
      <c r="L323" s="21"/>
      <c r="M323" s="22"/>
      <c r="N323" s="23"/>
      <c r="O323" s="21"/>
      <c r="P323" s="22"/>
      <c r="Q323" s="23"/>
      <c r="R323" s="81" t="s">
        <v>67</v>
      </c>
      <c r="S323" s="22"/>
      <c r="T323" s="22">
        <v>8</v>
      </c>
      <c r="U323" s="24" t="s">
        <v>67</v>
      </c>
      <c r="V323" s="23"/>
      <c r="W323" s="360"/>
    </row>
    <row r="324" spans="1:23">
      <c r="A324" s="358" t="s">
        <v>137</v>
      </c>
      <c r="B324" s="369">
        <v>321</v>
      </c>
      <c r="C324" s="372" t="s">
        <v>567</v>
      </c>
      <c r="D324" s="358" t="s">
        <v>526</v>
      </c>
      <c r="E324" s="373">
        <v>45705.375</v>
      </c>
      <c r="F324" s="372" t="s">
        <v>140</v>
      </c>
      <c r="G324" s="372">
        <v>3</v>
      </c>
      <c r="H324" s="372" t="s">
        <v>301</v>
      </c>
      <c r="I324" s="372" t="s">
        <v>302</v>
      </c>
      <c r="J324" s="21" t="s">
        <v>29</v>
      </c>
      <c r="K324" s="21"/>
      <c r="L324" s="21"/>
      <c r="M324" s="22" t="s">
        <v>30</v>
      </c>
      <c r="N324" s="23">
        <v>45777</v>
      </c>
      <c r="O324" s="21"/>
      <c r="P324" s="22" t="s">
        <v>30</v>
      </c>
      <c r="Q324" s="23">
        <v>45777</v>
      </c>
      <c r="R324" s="81" t="s">
        <v>67</v>
      </c>
      <c r="S324" s="22" t="s">
        <v>32</v>
      </c>
      <c r="T324" s="22">
        <v>3</v>
      </c>
      <c r="U324" s="22" t="s">
        <v>67</v>
      </c>
      <c r="V324" s="23">
        <v>45777</v>
      </c>
      <c r="W324" s="360"/>
    </row>
    <row r="325" spans="1:23">
      <c r="A325" s="358" t="s">
        <v>137</v>
      </c>
      <c r="B325" s="369">
        <v>322</v>
      </c>
      <c r="C325" s="372" t="s">
        <v>568</v>
      </c>
      <c r="D325" s="358" t="s">
        <v>569</v>
      </c>
      <c r="E325" s="373">
        <v>45705.375</v>
      </c>
      <c r="F325" s="372" t="s">
        <v>140</v>
      </c>
      <c r="G325" s="372">
        <v>1</v>
      </c>
      <c r="H325" s="372" t="s">
        <v>22</v>
      </c>
      <c r="I325" s="372" t="s">
        <v>28</v>
      </c>
      <c r="J325" s="21" t="s">
        <v>29</v>
      </c>
      <c r="K325" s="21"/>
      <c r="L325" s="21"/>
      <c r="M325" s="22"/>
      <c r="N325" s="23"/>
      <c r="O325" s="21"/>
      <c r="P325" s="22"/>
      <c r="Q325" s="23"/>
      <c r="R325" s="81" t="s">
        <v>67</v>
      </c>
      <c r="S325" s="22"/>
      <c r="T325" s="22">
        <v>1</v>
      </c>
      <c r="U325" s="24" t="s">
        <v>67</v>
      </c>
      <c r="V325" s="23"/>
      <c r="W325" s="82"/>
    </row>
    <row r="326" spans="1:23">
      <c r="A326" s="358" t="s">
        <v>137</v>
      </c>
      <c r="B326" s="369">
        <v>323</v>
      </c>
      <c r="C326" s="372" t="s">
        <v>570</v>
      </c>
      <c r="D326" s="358" t="s">
        <v>571</v>
      </c>
      <c r="E326" s="373">
        <v>45705.375</v>
      </c>
      <c r="F326" s="372" t="s">
        <v>140</v>
      </c>
      <c r="G326" s="372">
        <v>2</v>
      </c>
      <c r="H326" s="372" t="s">
        <v>46</v>
      </c>
      <c r="I326" s="372" t="s">
        <v>47</v>
      </c>
      <c r="J326" s="21" t="s">
        <v>29</v>
      </c>
      <c r="K326" s="21"/>
      <c r="L326" s="21"/>
      <c r="M326" s="22" t="s">
        <v>30</v>
      </c>
      <c r="N326" s="23">
        <v>45765</v>
      </c>
      <c r="O326" s="21"/>
      <c r="P326" s="22" t="s">
        <v>30</v>
      </c>
      <c r="Q326" s="23">
        <v>45765</v>
      </c>
      <c r="R326" s="81" t="s">
        <v>67</v>
      </c>
      <c r="S326" s="22" t="s">
        <v>32</v>
      </c>
      <c r="T326" s="22">
        <v>2</v>
      </c>
      <c r="U326" s="24" t="s">
        <v>67</v>
      </c>
      <c r="V326" s="23">
        <v>45765</v>
      </c>
      <c r="W326" s="360"/>
    </row>
    <row r="327" spans="1:23">
      <c r="A327" s="358" t="s">
        <v>137</v>
      </c>
      <c r="B327" s="369">
        <v>324</v>
      </c>
      <c r="C327" s="372" t="s">
        <v>572</v>
      </c>
      <c r="D327" s="358" t="s">
        <v>298</v>
      </c>
      <c r="E327" s="373">
        <v>45712.458333333336</v>
      </c>
      <c r="F327" s="372" t="s">
        <v>140</v>
      </c>
      <c r="G327" s="372">
        <v>6</v>
      </c>
      <c r="H327" s="372" t="s">
        <v>78</v>
      </c>
      <c r="I327" s="372" t="s">
        <v>79</v>
      </c>
      <c r="J327" s="21" t="s">
        <v>29</v>
      </c>
      <c r="K327" s="21"/>
      <c r="L327" s="21"/>
      <c r="M327" s="22" t="s">
        <v>30</v>
      </c>
      <c r="N327" s="23">
        <v>45765</v>
      </c>
      <c r="O327" s="21"/>
      <c r="P327" s="22" t="s">
        <v>30</v>
      </c>
      <c r="Q327" s="23">
        <v>45765</v>
      </c>
      <c r="R327" s="81" t="s">
        <v>67</v>
      </c>
      <c r="S327" s="22" t="s">
        <v>32</v>
      </c>
      <c r="T327" s="22">
        <v>6</v>
      </c>
      <c r="U327" s="22" t="s">
        <v>67</v>
      </c>
      <c r="V327" s="23">
        <v>45765</v>
      </c>
      <c r="W327" s="82"/>
    </row>
    <row r="328" spans="1:23">
      <c r="A328" s="358" t="s">
        <v>137</v>
      </c>
      <c r="B328" s="369">
        <v>325</v>
      </c>
      <c r="C328" s="372" t="s">
        <v>573</v>
      </c>
      <c r="D328" s="358" t="s">
        <v>523</v>
      </c>
      <c r="E328" s="373">
        <v>45712.375</v>
      </c>
      <c r="F328" s="372" t="s">
        <v>140</v>
      </c>
      <c r="G328" s="372">
        <v>27</v>
      </c>
      <c r="H328" s="372" t="s">
        <v>520</v>
      </c>
      <c r="I328" s="372" t="s">
        <v>521</v>
      </c>
      <c r="J328" s="21" t="s">
        <v>29</v>
      </c>
      <c r="K328" s="21"/>
      <c r="L328" s="21"/>
      <c r="M328" s="22" t="s">
        <v>30</v>
      </c>
      <c r="N328" s="23">
        <v>45765</v>
      </c>
      <c r="O328" s="21" t="s">
        <v>31</v>
      </c>
      <c r="P328" s="22" t="s">
        <v>30</v>
      </c>
      <c r="Q328" s="23">
        <v>45765</v>
      </c>
      <c r="R328" s="81" t="s">
        <v>67</v>
      </c>
      <c r="S328" s="22" t="s">
        <v>32</v>
      </c>
      <c r="T328" s="22">
        <v>27</v>
      </c>
      <c r="U328" s="22" t="s">
        <v>67</v>
      </c>
      <c r="V328" s="23">
        <v>45765</v>
      </c>
      <c r="W328" s="82"/>
    </row>
    <row r="329" spans="1:23">
      <c r="A329" s="358" t="s">
        <v>137</v>
      </c>
      <c r="B329" s="369">
        <v>326</v>
      </c>
      <c r="C329" s="372" t="s">
        <v>574</v>
      </c>
      <c r="D329" s="358" t="s">
        <v>575</v>
      </c>
      <c r="E329" s="373">
        <v>45712.375</v>
      </c>
      <c r="F329" s="372" t="s">
        <v>140</v>
      </c>
      <c r="G329" s="372">
        <v>32</v>
      </c>
      <c r="H329" s="372" t="s">
        <v>78</v>
      </c>
      <c r="I329" s="372" t="s">
        <v>79</v>
      </c>
      <c r="J329" s="21" t="s">
        <v>29</v>
      </c>
      <c r="K329" s="21"/>
      <c r="L329" s="21"/>
      <c r="M329" s="22" t="s">
        <v>30</v>
      </c>
      <c r="N329" s="23">
        <v>45765</v>
      </c>
      <c r="O329" s="21" t="s">
        <v>31</v>
      </c>
      <c r="P329" s="22" t="s">
        <v>30</v>
      </c>
      <c r="Q329" s="23">
        <v>45765</v>
      </c>
      <c r="R329" s="81" t="s">
        <v>67</v>
      </c>
      <c r="S329" s="22" t="s">
        <v>32</v>
      </c>
      <c r="T329" s="22">
        <v>32</v>
      </c>
      <c r="U329" s="22" t="s">
        <v>67</v>
      </c>
      <c r="V329" s="23">
        <v>45765</v>
      </c>
      <c r="W329" s="82"/>
    </row>
    <row r="330" spans="1:23">
      <c r="A330" s="358" t="s">
        <v>137</v>
      </c>
      <c r="B330" s="369">
        <v>327</v>
      </c>
      <c r="C330" s="372" t="s">
        <v>576</v>
      </c>
      <c r="D330" s="358" t="s">
        <v>213</v>
      </c>
      <c r="E330" s="373">
        <v>45712.375</v>
      </c>
      <c r="F330" s="372" t="s">
        <v>140</v>
      </c>
      <c r="G330" s="372">
        <v>29</v>
      </c>
      <c r="H330" s="372" t="s">
        <v>520</v>
      </c>
      <c r="I330" s="372" t="s">
        <v>521</v>
      </c>
      <c r="J330" s="21" t="s">
        <v>29</v>
      </c>
      <c r="K330" s="21"/>
      <c r="L330" s="21"/>
      <c r="M330" s="22" t="s">
        <v>30</v>
      </c>
      <c r="N330" s="23">
        <v>45765</v>
      </c>
      <c r="O330" s="21" t="s">
        <v>31</v>
      </c>
      <c r="P330" s="22" t="s">
        <v>30</v>
      </c>
      <c r="Q330" s="23">
        <v>45765</v>
      </c>
      <c r="R330" s="81" t="s">
        <v>67</v>
      </c>
      <c r="S330" s="22" t="s">
        <v>32</v>
      </c>
      <c r="T330" s="22">
        <v>29</v>
      </c>
      <c r="U330" s="22" t="s">
        <v>67</v>
      </c>
      <c r="V330" s="23">
        <v>45765</v>
      </c>
      <c r="W330" s="82"/>
    </row>
    <row r="331" spans="1:23">
      <c r="A331" s="358" t="s">
        <v>137</v>
      </c>
      <c r="B331" s="369">
        <v>328</v>
      </c>
      <c r="C331" s="372" t="s">
        <v>577</v>
      </c>
      <c r="D331" s="358" t="s">
        <v>578</v>
      </c>
      <c r="E331" s="373">
        <v>45712.375</v>
      </c>
      <c r="F331" s="372" t="s">
        <v>140</v>
      </c>
      <c r="G331" s="372">
        <v>10</v>
      </c>
      <c r="H331" s="372" t="s">
        <v>46</v>
      </c>
      <c r="I331" s="372" t="s">
        <v>47</v>
      </c>
      <c r="J331" s="21" t="s">
        <v>29</v>
      </c>
      <c r="K331" s="21"/>
      <c r="L331" s="21"/>
      <c r="M331" s="22" t="s">
        <v>30</v>
      </c>
      <c r="N331" s="23">
        <v>45765</v>
      </c>
      <c r="O331" s="21"/>
      <c r="P331" s="22" t="s">
        <v>30</v>
      </c>
      <c r="Q331" s="23">
        <v>45765</v>
      </c>
      <c r="R331" s="81" t="s">
        <v>67</v>
      </c>
      <c r="S331" s="22" t="s">
        <v>32</v>
      </c>
      <c r="T331" s="22">
        <v>10</v>
      </c>
      <c r="U331" s="22" t="s">
        <v>67</v>
      </c>
      <c r="V331" s="23">
        <v>45765</v>
      </c>
      <c r="W331" s="360"/>
    </row>
    <row r="332" spans="1:23">
      <c r="A332" s="358" t="s">
        <v>137</v>
      </c>
      <c r="B332" s="369">
        <v>329</v>
      </c>
      <c r="C332" s="372" t="s">
        <v>579</v>
      </c>
      <c r="D332" s="358" t="s">
        <v>580</v>
      </c>
      <c r="E332" s="373">
        <v>45712.375</v>
      </c>
      <c r="F332" s="372" t="s">
        <v>140</v>
      </c>
      <c r="G332" s="372">
        <v>4</v>
      </c>
      <c r="H332" s="372" t="s">
        <v>22</v>
      </c>
      <c r="I332" s="372" t="s">
        <v>28</v>
      </c>
      <c r="J332" s="21" t="s">
        <v>29</v>
      </c>
      <c r="K332" s="21"/>
      <c r="L332" s="21"/>
      <c r="M332" s="22" t="s">
        <v>30</v>
      </c>
      <c r="N332" s="23">
        <v>45765</v>
      </c>
      <c r="O332" s="21"/>
      <c r="P332" s="22" t="s">
        <v>30</v>
      </c>
      <c r="Q332" s="23">
        <v>45765</v>
      </c>
      <c r="R332" s="81" t="s">
        <v>67</v>
      </c>
      <c r="S332" s="22" t="s">
        <v>32</v>
      </c>
      <c r="T332" s="22">
        <v>4</v>
      </c>
      <c r="U332" s="22" t="s">
        <v>67</v>
      </c>
      <c r="V332" s="23">
        <v>45765</v>
      </c>
      <c r="W332" s="360"/>
    </row>
    <row r="333" spans="1:23">
      <c r="A333" s="358" t="s">
        <v>137</v>
      </c>
      <c r="B333" s="369">
        <v>330</v>
      </c>
      <c r="C333" s="372" t="s">
        <v>581</v>
      </c>
      <c r="D333" s="358" t="s">
        <v>564</v>
      </c>
      <c r="E333" s="373">
        <v>45712.375</v>
      </c>
      <c r="F333" s="372" t="s">
        <v>140</v>
      </c>
      <c r="G333" s="372">
        <v>3</v>
      </c>
      <c r="H333" s="372" t="s">
        <v>301</v>
      </c>
      <c r="I333" s="372" t="s">
        <v>302</v>
      </c>
      <c r="J333" s="21" t="s">
        <v>29</v>
      </c>
      <c r="K333" s="21"/>
      <c r="L333" s="21"/>
      <c r="M333" s="22" t="s">
        <v>30</v>
      </c>
      <c r="N333" s="23">
        <v>45765</v>
      </c>
      <c r="O333" s="21"/>
      <c r="P333" s="22" t="s">
        <v>30</v>
      </c>
      <c r="Q333" s="23">
        <v>45765</v>
      </c>
      <c r="R333" s="81" t="s">
        <v>67</v>
      </c>
      <c r="S333" s="22" t="s">
        <v>32</v>
      </c>
      <c r="T333" s="22">
        <v>3</v>
      </c>
      <c r="U333" s="24" t="s">
        <v>67</v>
      </c>
      <c r="V333" s="23">
        <v>45765</v>
      </c>
      <c r="W333" s="360"/>
    </row>
    <row r="334" spans="1:23">
      <c r="A334" s="358" t="s">
        <v>137</v>
      </c>
      <c r="B334" s="369">
        <v>331</v>
      </c>
      <c r="C334" s="372" t="s">
        <v>582</v>
      </c>
      <c r="D334" s="358" t="s">
        <v>308</v>
      </c>
      <c r="E334" s="373">
        <v>45712.375</v>
      </c>
      <c r="F334" s="372" t="s">
        <v>140</v>
      </c>
      <c r="G334" s="372">
        <v>9</v>
      </c>
      <c r="H334" s="372" t="s">
        <v>22</v>
      </c>
      <c r="I334" s="372" t="s">
        <v>28</v>
      </c>
      <c r="J334" s="21" t="s">
        <v>29</v>
      </c>
      <c r="K334" s="21"/>
      <c r="L334" s="21"/>
      <c r="M334" s="22" t="s">
        <v>30</v>
      </c>
      <c r="N334" s="23">
        <v>45777</v>
      </c>
      <c r="O334" s="21"/>
      <c r="P334" s="22" t="s">
        <v>30</v>
      </c>
      <c r="Q334" s="23">
        <v>45777</v>
      </c>
      <c r="R334" s="81" t="s">
        <v>67</v>
      </c>
      <c r="S334" s="22" t="s">
        <v>32</v>
      </c>
      <c r="T334" s="22">
        <v>9</v>
      </c>
      <c r="U334" s="22" t="s">
        <v>67</v>
      </c>
      <c r="V334" s="23">
        <v>45777</v>
      </c>
      <c r="W334" s="360"/>
    </row>
    <row r="335" spans="1:23">
      <c r="A335" s="358" t="s">
        <v>137</v>
      </c>
      <c r="B335" s="369">
        <v>332</v>
      </c>
      <c r="C335" s="372" t="s">
        <v>583</v>
      </c>
      <c r="D335" s="358" t="s">
        <v>526</v>
      </c>
      <c r="E335" s="373">
        <v>45712.375</v>
      </c>
      <c r="F335" s="372" t="s">
        <v>140</v>
      </c>
      <c r="G335" s="372">
        <v>19</v>
      </c>
      <c r="H335" s="372" t="s">
        <v>520</v>
      </c>
      <c r="I335" s="372" t="s">
        <v>521</v>
      </c>
      <c r="J335" s="21" t="s">
        <v>29</v>
      </c>
      <c r="K335" s="21"/>
      <c r="L335" s="21"/>
      <c r="M335" s="22" t="s">
        <v>30</v>
      </c>
      <c r="N335" s="23">
        <v>45777</v>
      </c>
      <c r="O335" s="21" t="s">
        <v>31</v>
      </c>
      <c r="P335" s="22" t="s">
        <v>30</v>
      </c>
      <c r="Q335" s="23">
        <v>45777</v>
      </c>
      <c r="R335" s="81" t="s">
        <v>67</v>
      </c>
      <c r="S335" s="22" t="s">
        <v>32</v>
      </c>
      <c r="T335" s="22">
        <v>19</v>
      </c>
      <c r="U335" s="24" t="s">
        <v>67</v>
      </c>
      <c r="V335" s="23">
        <v>45777</v>
      </c>
      <c r="W335" s="360"/>
    </row>
    <row r="336" spans="1:23">
      <c r="A336" s="358" t="s">
        <v>137</v>
      </c>
      <c r="B336" s="369">
        <v>333</v>
      </c>
      <c r="C336" s="372" t="s">
        <v>584</v>
      </c>
      <c r="D336" s="358" t="s">
        <v>554</v>
      </c>
      <c r="E336" s="373">
        <v>45712.375</v>
      </c>
      <c r="F336" s="372" t="s">
        <v>140</v>
      </c>
      <c r="G336" s="372">
        <v>1</v>
      </c>
      <c r="H336" s="372" t="s">
        <v>46</v>
      </c>
      <c r="I336" s="372" t="s">
        <v>47</v>
      </c>
      <c r="J336" s="21" t="s">
        <v>29</v>
      </c>
      <c r="K336" s="21"/>
      <c r="L336" s="21"/>
      <c r="M336" s="22" t="s">
        <v>30</v>
      </c>
      <c r="N336" s="23">
        <v>45777</v>
      </c>
      <c r="O336" s="21"/>
      <c r="P336" s="22" t="s">
        <v>30</v>
      </c>
      <c r="Q336" s="23">
        <v>45777</v>
      </c>
      <c r="R336" s="81" t="s">
        <v>67</v>
      </c>
      <c r="S336" s="22" t="s">
        <v>32</v>
      </c>
      <c r="T336" s="22">
        <v>1</v>
      </c>
      <c r="U336" s="24" t="s">
        <v>67</v>
      </c>
      <c r="V336" s="23">
        <v>45777</v>
      </c>
      <c r="W336" s="360"/>
    </row>
    <row r="337" spans="1:23">
      <c r="A337" s="358" t="s">
        <v>137</v>
      </c>
      <c r="B337" s="369">
        <v>334</v>
      </c>
      <c r="C337" s="372" t="s">
        <v>585</v>
      </c>
      <c r="D337" s="360" t="s">
        <v>586</v>
      </c>
      <c r="E337" s="373">
        <v>45691.375</v>
      </c>
      <c r="F337" s="372" t="s">
        <v>140</v>
      </c>
      <c r="G337" s="372">
        <v>1</v>
      </c>
      <c r="H337" s="372" t="s">
        <v>46</v>
      </c>
      <c r="I337" s="372" t="s">
        <v>47</v>
      </c>
      <c r="J337" s="21" t="s">
        <v>29</v>
      </c>
      <c r="K337" s="21"/>
      <c r="L337" s="21"/>
      <c r="M337" s="22" t="s">
        <v>30</v>
      </c>
      <c r="N337" s="23">
        <v>45777</v>
      </c>
      <c r="O337" s="21"/>
      <c r="P337" s="22" t="s">
        <v>30</v>
      </c>
      <c r="Q337" s="23">
        <v>45777</v>
      </c>
      <c r="R337" s="81" t="s">
        <v>67</v>
      </c>
      <c r="S337" s="22" t="s">
        <v>32</v>
      </c>
      <c r="T337" s="22">
        <v>1</v>
      </c>
      <c r="U337" s="24" t="s">
        <v>67</v>
      </c>
      <c r="V337" s="23">
        <v>45777</v>
      </c>
      <c r="W337" s="360"/>
    </row>
    <row r="338" spans="1:23">
      <c r="A338" s="358" t="s">
        <v>137</v>
      </c>
      <c r="B338" s="369">
        <v>335</v>
      </c>
      <c r="C338" s="372" t="s">
        <v>587</v>
      </c>
      <c r="D338" s="360" t="s">
        <v>588</v>
      </c>
      <c r="E338" s="373">
        <v>45691.375</v>
      </c>
      <c r="F338" s="372" t="s">
        <v>140</v>
      </c>
      <c r="G338" s="372">
        <v>3</v>
      </c>
      <c r="H338" s="372" t="s">
        <v>46</v>
      </c>
      <c r="I338" s="372" t="s">
        <v>47</v>
      </c>
      <c r="J338" s="21" t="s">
        <v>29</v>
      </c>
      <c r="K338" s="21"/>
      <c r="L338" s="21"/>
      <c r="M338" s="22" t="s">
        <v>30</v>
      </c>
      <c r="N338" s="23">
        <v>45777</v>
      </c>
      <c r="O338" s="21"/>
      <c r="P338" s="22" t="s">
        <v>30</v>
      </c>
      <c r="Q338" s="23">
        <v>45777</v>
      </c>
      <c r="R338" s="81" t="s">
        <v>67</v>
      </c>
      <c r="S338" s="22" t="s">
        <v>32</v>
      </c>
      <c r="T338" s="22">
        <v>3</v>
      </c>
      <c r="U338" s="24" t="s">
        <v>67</v>
      </c>
      <c r="V338" s="23">
        <v>45777</v>
      </c>
      <c r="W338" s="360"/>
    </row>
    <row r="339" spans="1:23">
      <c r="A339" s="358" t="s">
        <v>137</v>
      </c>
      <c r="B339" s="369">
        <v>336</v>
      </c>
      <c r="C339" s="372" t="s">
        <v>589</v>
      </c>
      <c r="D339" s="360" t="s">
        <v>588</v>
      </c>
      <c r="E339" s="373">
        <v>45698.375</v>
      </c>
      <c r="F339" s="372" t="s">
        <v>140</v>
      </c>
      <c r="G339" s="372">
        <v>1</v>
      </c>
      <c r="H339" s="372" t="s">
        <v>46</v>
      </c>
      <c r="I339" s="372" t="s">
        <v>47</v>
      </c>
      <c r="J339" s="21" t="s">
        <v>29</v>
      </c>
      <c r="K339" s="21"/>
      <c r="L339" s="21"/>
      <c r="M339" s="22" t="s">
        <v>30</v>
      </c>
      <c r="N339" s="23">
        <v>45777</v>
      </c>
      <c r="O339" s="21"/>
      <c r="P339" s="22" t="s">
        <v>30</v>
      </c>
      <c r="Q339" s="23">
        <v>45777</v>
      </c>
      <c r="R339" s="81" t="s">
        <v>67</v>
      </c>
      <c r="S339" s="22" t="s">
        <v>32</v>
      </c>
      <c r="T339" s="22">
        <v>1</v>
      </c>
      <c r="U339" s="24" t="s">
        <v>67</v>
      </c>
      <c r="V339" s="23">
        <v>45777</v>
      </c>
      <c r="W339" s="360"/>
    </row>
    <row r="340" spans="1:23">
      <c r="A340" s="358" t="s">
        <v>137</v>
      </c>
      <c r="B340" s="369">
        <v>337</v>
      </c>
      <c r="C340" s="372" t="s">
        <v>590</v>
      </c>
      <c r="D340" s="360" t="s">
        <v>157</v>
      </c>
      <c r="E340" s="373">
        <v>45698.458333333336</v>
      </c>
      <c r="F340" s="372" t="s">
        <v>140</v>
      </c>
      <c r="G340" s="372">
        <v>1</v>
      </c>
      <c r="H340" s="372" t="s">
        <v>21</v>
      </c>
      <c r="I340" s="372" t="s">
        <v>36</v>
      </c>
      <c r="J340" s="21" t="s">
        <v>29</v>
      </c>
      <c r="K340" s="21"/>
      <c r="L340" s="21"/>
      <c r="M340" s="22" t="s">
        <v>30</v>
      </c>
      <c r="N340" s="23">
        <v>45777</v>
      </c>
      <c r="O340" s="21"/>
      <c r="P340" s="22" t="s">
        <v>30</v>
      </c>
      <c r="Q340" s="23">
        <v>45777</v>
      </c>
      <c r="R340" s="81" t="s">
        <v>67</v>
      </c>
      <c r="S340" s="22" t="s">
        <v>32</v>
      </c>
      <c r="T340" s="22">
        <v>1</v>
      </c>
      <c r="U340" s="24" t="s">
        <v>67</v>
      </c>
      <c r="V340" s="23">
        <v>45777</v>
      </c>
      <c r="W340" s="360"/>
    </row>
    <row r="341" spans="1:23">
      <c r="A341" s="358" t="s">
        <v>137</v>
      </c>
      <c r="B341" s="369">
        <v>338</v>
      </c>
      <c r="C341" s="372" t="s">
        <v>591</v>
      </c>
      <c r="D341" s="360" t="s">
        <v>592</v>
      </c>
      <c r="E341" s="373">
        <v>45705.375</v>
      </c>
      <c r="F341" s="372" t="s">
        <v>140</v>
      </c>
      <c r="G341" s="372">
        <v>2</v>
      </c>
      <c r="H341" s="372" t="s">
        <v>22</v>
      </c>
      <c r="I341" s="372" t="s">
        <v>28</v>
      </c>
      <c r="J341" s="21" t="s">
        <v>29</v>
      </c>
      <c r="K341" s="21"/>
      <c r="L341" s="21"/>
      <c r="M341" s="22" t="s">
        <v>30</v>
      </c>
      <c r="N341" s="23">
        <v>45777</v>
      </c>
      <c r="O341" s="21"/>
      <c r="P341" s="22" t="s">
        <v>30</v>
      </c>
      <c r="Q341" s="23">
        <v>45777</v>
      </c>
      <c r="R341" s="81" t="s">
        <v>67</v>
      </c>
      <c r="S341" s="22" t="s">
        <v>32</v>
      </c>
      <c r="T341" s="22">
        <v>2</v>
      </c>
      <c r="U341" s="24" t="s">
        <v>67</v>
      </c>
      <c r="V341" s="23">
        <v>45777</v>
      </c>
      <c r="W341" s="360"/>
    </row>
    <row r="342" spans="1:23">
      <c r="A342" s="358" t="s">
        <v>137</v>
      </c>
      <c r="B342" s="369">
        <v>339</v>
      </c>
      <c r="C342" s="372" t="s">
        <v>593</v>
      </c>
      <c r="D342" s="360" t="s">
        <v>588</v>
      </c>
      <c r="E342" s="373">
        <v>45705.375</v>
      </c>
      <c r="F342" s="372" t="s">
        <v>140</v>
      </c>
      <c r="G342" s="372">
        <v>1</v>
      </c>
      <c r="H342" s="372" t="s">
        <v>46</v>
      </c>
      <c r="I342" s="372" t="s">
        <v>47</v>
      </c>
      <c r="J342" s="21" t="s">
        <v>29</v>
      </c>
      <c r="K342" s="21"/>
      <c r="L342" s="21"/>
      <c r="M342" s="22" t="s">
        <v>30</v>
      </c>
      <c r="N342" s="23">
        <v>45777</v>
      </c>
      <c r="O342" s="21"/>
      <c r="P342" s="22" t="s">
        <v>30</v>
      </c>
      <c r="Q342" s="23">
        <v>45777</v>
      </c>
      <c r="R342" s="81" t="s">
        <v>67</v>
      </c>
      <c r="S342" s="22" t="s">
        <v>32</v>
      </c>
      <c r="T342" s="22">
        <v>1</v>
      </c>
      <c r="U342" s="24" t="s">
        <v>67</v>
      </c>
      <c r="V342" s="23">
        <v>45777</v>
      </c>
      <c r="W342" s="360"/>
    </row>
    <row r="343" spans="1:23">
      <c r="A343" s="358" t="s">
        <v>137</v>
      </c>
      <c r="B343" s="369">
        <v>340</v>
      </c>
      <c r="C343" s="372" t="s">
        <v>594</v>
      </c>
      <c r="D343" s="360" t="s">
        <v>139</v>
      </c>
      <c r="E343" s="373">
        <v>45705.375</v>
      </c>
      <c r="F343" s="372" t="s">
        <v>140</v>
      </c>
      <c r="G343" s="372">
        <v>4</v>
      </c>
      <c r="H343" s="372" t="s">
        <v>210</v>
      </c>
      <c r="I343" s="372" t="s">
        <v>211</v>
      </c>
      <c r="J343" s="21" t="s">
        <v>29</v>
      </c>
      <c r="K343" s="21"/>
      <c r="L343" s="21"/>
      <c r="M343" s="22" t="s">
        <v>30</v>
      </c>
      <c r="N343" s="23">
        <v>45777</v>
      </c>
      <c r="O343" s="21"/>
      <c r="P343" s="22" t="s">
        <v>30</v>
      </c>
      <c r="Q343" s="23">
        <v>45777</v>
      </c>
      <c r="R343" s="81" t="s">
        <v>67</v>
      </c>
      <c r="S343" s="22" t="s">
        <v>32</v>
      </c>
      <c r="T343" s="22">
        <v>4</v>
      </c>
      <c r="U343" s="24" t="s">
        <v>67</v>
      </c>
      <c r="V343" s="23">
        <v>45777</v>
      </c>
      <c r="W343" s="360"/>
    </row>
    <row r="344" spans="1:23">
      <c r="A344" s="358" t="s">
        <v>24</v>
      </c>
      <c r="B344" s="369">
        <v>341</v>
      </c>
      <c r="C344" s="372" t="s">
        <v>595</v>
      </c>
      <c r="D344" s="372" t="s">
        <v>34</v>
      </c>
      <c r="E344" s="373">
        <v>45717</v>
      </c>
      <c r="F344" s="372" t="s">
        <v>464</v>
      </c>
      <c r="G344" s="372">
        <v>10</v>
      </c>
      <c r="H344" s="372" t="s">
        <v>21</v>
      </c>
      <c r="I344" s="372" t="s">
        <v>36</v>
      </c>
      <c r="J344" s="21" t="s">
        <v>29</v>
      </c>
      <c r="K344" s="21"/>
      <c r="L344" s="21"/>
      <c r="M344" s="22" t="s">
        <v>30</v>
      </c>
      <c r="N344" s="23">
        <v>45761</v>
      </c>
      <c r="O344" s="21" t="s">
        <v>66</v>
      </c>
      <c r="P344" s="22" t="s">
        <v>30</v>
      </c>
      <c r="Q344" s="23">
        <v>45761</v>
      </c>
      <c r="R344" s="81" t="s">
        <v>67</v>
      </c>
      <c r="S344" s="22" t="s">
        <v>32</v>
      </c>
      <c r="T344" s="22">
        <v>10</v>
      </c>
      <c r="U344" s="24" t="s">
        <v>67</v>
      </c>
      <c r="V344" s="23">
        <v>45761</v>
      </c>
      <c r="W344" s="82" t="s">
        <v>30</v>
      </c>
    </row>
    <row r="345" spans="1:23">
      <c r="A345" s="358" t="s">
        <v>24</v>
      </c>
      <c r="B345" s="369">
        <v>342</v>
      </c>
      <c r="C345" s="372" t="s">
        <v>596</v>
      </c>
      <c r="D345" s="372" t="s">
        <v>178</v>
      </c>
      <c r="E345" s="373">
        <v>45717</v>
      </c>
      <c r="F345" s="372" t="s">
        <v>464</v>
      </c>
      <c r="G345" s="372">
        <v>10</v>
      </c>
      <c r="H345" s="372" t="s">
        <v>21</v>
      </c>
      <c r="I345" s="372" t="s">
        <v>36</v>
      </c>
      <c r="J345" s="21" t="s">
        <v>29</v>
      </c>
      <c r="K345" s="21"/>
      <c r="L345" s="21"/>
      <c r="M345" s="22" t="s">
        <v>30</v>
      </c>
      <c r="N345" s="23">
        <v>45761</v>
      </c>
      <c r="O345" s="21"/>
      <c r="P345" s="22" t="s">
        <v>30</v>
      </c>
      <c r="Q345" s="23">
        <v>45761</v>
      </c>
      <c r="R345" s="81" t="s">
        <v>67</v>
      </c>
      <c r="S345" s="22" t="s">
        <v>32</v>
      </c>
      <c r="T345" s="22">
        <v>10</v>
      </c>
      <c r="U345" s="24" t="s">
        <v>67</v>
      </c>
      <c r="V345" s="23">
        <v>45761</v>
      </c>
      <c r="W345" s="82" t="s">
        <v>30</v>
      </c>
    </row>
    <row r="346" spans="1:23">
      <c r="A346" s="358" t="s">
        <v>24</v>
      </c>
      <c r="B346" s="369">
        <v>343</v>
      </c>
      <c r="C346" s="372" t="s">
        <v>597</v>
      </c>
      <c r="D346" s="372" t="s">
        <v>83</v>
      </c>
      <c r="E346" s="373">
        <v>45717</v>
      </c>
      <c r="F346" s="372" t="s">
        <v>464</v>
      </c>
      <c r="G346" s="372">
        <v>10</v>
      </c>
      <c r="H346" s="372" t="s">
        <v>21</v>
      </c>
      <c r="I346" s="372" t="s">
        <v>36</v>
      </c>
      <c r="J346" s="21" t="s">
        <v>29</v>
      </c>
      <c r="K346" s="21"/>
      <c r="L346" s="21"/>
      <c r="M346" s="22" t="s">
        <v>30</v>
      </c>
      <c r="N346" s="23">
        <v>45761</v>
      </c>
      <c r="O346" s="21"/>
      <c r="P346" s="22" t="s">
        <v>30</v>
      </c>
      <c r="Q346" s="23">
        <v>45761</v>
      </c>
      <c r="R346" s="81" t="s">
        <v>67</v>
      </c>
      <c r="S346" s="22" t="s">
        <v>32</v>
      </c>
      <c r="T346" s="22">
        <v>10</v>
      </c>
      <c r="U346" s="24" t="s">
        <v>67</v>
      </c>
      <c r="V346" s="23">
        <v>45761</v>
      </c>
      <c r="W346" s="82" t="s">
        <v>30</v>
      </c>
    </row>
    <row r="347" spans="1:23">
      <c r="A347" s="358" t="s">
        <v>24</v>
      </c>
      <c r="B347" s="369">
        <v>344</v>
      </c>
      <c r="C347" s="372" t="s">
        <v>598</v>
      </c>
      <c r="D347" s="372" t="s">
        <v>43</v>
      </c>
      <c r="E347" s="373">
        <v>45717</v>
      </c>
      <c r="F347" s="372" t="s">
        <v>187</v>
      </c>
      <c r="G347" s="372">
        <v>6</v>
      </c>
      <c r="H347" s="372" t="s">
        <v>21</v>
      </c>
      <c r="I347" s="372" t="s">
        <v>36</v>
      </c>
      <c r="J347" s="21" t="s">
        <v>29</v>
      </c>
      <c r="K347" s="21"/>
      <c r="L347" s="21"/>
      <c r="M347" s="22" t="s">
        <v>30</v>
      </c>
      <c r="N347" s="23">
        <v>45761</v>
      </c>
      <c r="O347" s="21" t="s">
        <v>66</v>
      </c>
      <c r="P347" s="22" t="s">
        <v>30</v>
      </c>
      <c r="Q347" s="23">
        <v>45761</v>
      </c>
      <c r="R347" s="81" t="s">
        <v>67</v>
      </c>
      <c r="S347" s="22" t="s">
        <v>32</v>
      </c>
      <c r="T347" s="22">
        <v>6</v>
      </c>
      <c r="U347" s="24" t="s">
        <v>67</v>
      </c>
      <c r="V347" s="23">
        <v>45761</v>
      </c>
      <c r="W347" s="82" t="s">
        <v>30</v>
      </c>
    </row>
    <row r="348" spans="1:23">
      <c r="A348" s="358" t="s">
        <v>24</v>
      </c>
      <c r="B348" s="369">
        <v>345</v>
      </c>
      <c r="C348" s="372" t="s">
        <v>599</v>
      </c>
      <c r="D348" s="372" t="s">
        <v>50</v>
      </c>
      <c r="E348" s="373">
        <v>45717</v>
      </c>
      <c r="F348" s="372" t="s">
        <v>187</v>
      </c>
      <c r="G348" s="372">
        <v>6</v>
      </c>
      <c r="H348" s="372" t="s">
        <v>21</v>
      </c>
      <c r="I348" s="372" t="s">
        <v>36</v>
      </c>
      <c r="J348" s="21" t="s">
        <v>29</v>
      </c>
      <c r="K348" s="21"/>
      <c r="L348" s="21"/>
      <c r="M348" s="22" t="s">
        <v>30</v>
      </c>
      <c r="N348" s="23">
        <v>45761</v>
      </c>
      <c r="O348" s="21"/>
      <c r="P348" s="22" t="s">
        <v>30</v>
      </c>
      <c r="Q348" s="23">
        <v>45761</v>
      </c>
      <c r="R348" s="81" t="s">
        <v>67</v>
      </c>
      <c r="S348" s="22" t="s">
        <v>32</v>
      </c>
      <c r="T348" s="22">
        <v>6</v>
      </c>
      <c r="U348" s="24" t="s">
        <v>67</v>
      </c>
      <c r="V348" s="23">
        <v>45761</v>
      </c>
      <c r="W348" s="82" t="s">
        <v>30</v>
      </c>
    </row>
    <row r="349" spans="1:23">
      <c r="A349" s="358" t="s">
        <v>24</v>
      </c>
      <c r="B349" s="369">
        <v>346</v>
      </c>
      <c r="C349" s="372" t="s">
        <v>600</v>
      </c>
      <c r="D349" s="372" t="s">
        <v>26</v>
      </c>
      <c r="E349" s="373">
        <v>45717</v>
      </c>
      <c r="F349" s="372" t="s">
        <v>187</v>
      </c>
      <c r="G349" s="372">
        <v>6</v>
      </c>
      <c r="H349" s="372" t="s">
        <v>21</v>
      </c>
      <c r="I349" s="372" t="s">
        <v>36</v>
      </c>
      <c r="J349" s="21" t="s">
        <v>29</v>
      </c>
      <c r="K349" s="21"/>
      <c r="L349" s="21"/>
      <c r="M349" s="22" t="s">
        <v>30</v>
      </c>
      <c r="N349" s="23">
        <v>45761</v>
      </c>
      <c r="O349" s="21"/>
      <c r="P349" s="22" t="s">
        <v>30</v>
      </c>
      <c r="Q349" s="23">
        <v>45761</v>
      </c>
      <c r="R349" s="81" t="s">
        <v>67</v>
      </c>
      <c r="S349" s="22" t="s">
        <v>32</v>
      </c>
      <c r="T349" s="22">
        <v>6</v>
      </c>
      <c r="U349" s="24" t="s">
        <v>67</v>
      </c>
      <c r="V349" s="23">
        <v>45761</v>
      </c>
      <c r="W349" s="82" t="s">
        <v>30</v>
      </c>
    </row>
    <row r="350" spans="1:23">
      <c r="A350" s="358" t="s">
        <v>24</v>
      </c>
      <c r="B350" s="369">
        <v>347</v>
      </c>
      <c r="C350" s="372" t="s">
        <v>601</v>
      </c>
      <c r="D350" s="372" t="s">
        <v>34</v>
      </c>
      <c r="E350" s="373">
        <v>45717</v>
      </c>
      <c r="F350" s="372" t="s">
        <v>87</v>
      </c>
      <c r="G350" s="372">
        <v>13</v>
      </c>
      <c r="H350" s="372" t="s">
        <v>21</v>
      </c>
      <c r="I350" s="372" t="s">
        <v>36</v>
      </c>
      <c r="J350" s="21" t="s">
        <v>29</v>
      </c>
      <c r="K350" s="21"/>
      <c r="L350" s="21"/>
      <c r="M350" s="22" t="s">
        <v>30</v>
      </c>
      <c r="N350" s="23">
        <v>45777</v>
      </c>
      <c r="O350" s="21"/>
      <c r="P350" s="22" t="s">
        <v>30</v>
      </c>
      <c r="Q350" s="23">
        <v>45777</v>
      </c>
      <c r="R350" s="81" t="s">
        <v>67</v>
      </c>
      <c r="S350" s="22" t="s">
        <v>32</v>
      </c>
      <c r="T350" s="22">
        <v>13</v>
      </c>
      <c r="U350" s="22" t="s">
        <v>67</v>
      </c>
      <c r="V350" s="23">
        <v>45777</v>
      </c>
      <c r="W350" s="82" t="s">
        <v>30</v>
      </c>
    </row>
    <row r="351" spans="1:23">
      <c r="A351" s="358" t="s">
        <v>24</v>
      </c>
      <c r="B351" s="369">
        <v>348</v>
      </c>
      <c r="C351" s="372" t="s">
        <v>602</v>
      </c>
      <c r="D351" s="372" t="s">
        <v>64</v>
      </c>
      <c r="E351" s="373">
        <v>45717</v>
      </c>
      <c r="F351" s="372" t="s">
        <v>603</v>
      </c>
      <c r="G351" s="372">
        <v>19</v>
      </c>
      <c r="H351" s="372" t="s">
        <v>21</v>
      </c>
      <c r="I351" s="372" t="s">
        <v>36</v>
      </c>
      <c r="J351" s="21" t="s">
        <v>29</v>
      </c>
      <c r="K351" s="21"/>
      <c r="L351" s="21"/>
      <c r="M351" s="22" t="s">
        <v>30</v>
      </c>
      <c r="N351" s="23">
        <v>45777</v>
      </c>
      <c r="O351" s="21" t="s">
        <v>31</v>
      </c>
      <c r="P351" s="22" t="s">
        <v>30</v>
      </c>
      <c r="Q351" s="23">
        <v>45777</v>
      </c>
      <c r="R351" s="81" t="s">
        <v>67</v>
      </c>
      <c r="S351" s="22" t="s">
        <v>32</v>
      </c>
      <c r="T351" s="22">
        <v>19</v>
      </c>
      <c r="U351" s="22" t="s">
        <v>67</v>
      </c>
      <c r="V351" s="23">
        <v>45777</v>
      </c>
      <c r="W351" s="82" t="s">
        <v>30</v>
      </c>
    </row>
    <row r="352" spans="1:23">
      <c r="A352" s="358" t="s">
        <v>24</v>
      </c>
      <c r="B352" s="369">
        <v>349</v>
      </c>
      <c r="C352" s="372" t="s">
        <v>604</v>
      </c>
      <c r="D352" s="372" t="s">
        <v>50</v>
      </c>
      <c r="E352" s="373">
        <v>45717</v>
      </c>
      <c r="F352" s="372" t="s">
        <v>603</v>
      </c>
      <c r="G352" s="372">
        <v>19</v>
      </c>
      <c r="H352" s="372" t="s">
        <v>21</v>
      </c>
      <c r="I352" s="372" t="s">
        <v>36</v>
      </c>
      <c r="J352" s="21" t="s">
        <v>29</v>
      </c>
      <c r="K352" s="21"/>
      <c r="L352" s="21"/>
      <c r="M352" s="22" t="s">
        <v>30</v>
      </c>
      <c r="N352" s="23">
        <v>45777</v>
      </c>
      <c r="O352" s="21" t="s">
        <v>31</v>
      </c>
      <c r="P352" s="22" t="s">
        <v>30</v>
      </c>
      <c r="Q352" s="23">
        <v>45777</v>
      </c>
      <c r="R352" s="81" t="s">
        <v>67</v>
      </c>
      <c r="S352" s="22" t="s">
        <v>32</v>
      </c>
      <c r="T352" s="22">
        <v>19</v>
      </c>
      <c r="U352" s="24" t="s">
        <v>67</v>
      </c>
      <c r="V352" s="23">
        <v>45777</v>
      </c>
      <c r="W352" s="82" t="s">
        <v>30</v>
      </c>
    </row>
    <row r="353" spans="1:23">
      <c r="A353" s="358" t="s">
        <v>24</v>
      </c>
      <c r="B353" s="369">
        <v>350</v>
      </c>
      <c r="C353" s="372" t="s">
        <v>605</v>
      </c>
      <c r="D353" s="372" t="s">
        <v>606</v>
      </c>
      <c r="E353" s="373">
        <v>45717</v>
      </c>
      <c r="F353" s="372" t="s">
        <v>272</v>
      </c>
      <c r="G353" s="372">
        <v>20</v>
      </c>
      <c r="H353" s="372" t="s">
        <v>21</v>
      </c>
      <c r="I353" s="372" t="s">
        <v>36</v>
      </c>
      <c r="J353" s="21" t="s">
        <v>29</v>
      </c>
      <c r="K353" s="21"/>
      <c r="L353" s="21"/>
      <c r="M353" s="22" t="s">
        <v>30</v>
      </c>
      <c r="N353" s="23">
        <v>45777</v>
      </c>
      <c r="O353" s="21" t="s">
        <v>31</v>
      </c>
      <c r="P353" s="22" t="s">
        <v>30</v>
      </c>
      <c r="Q353" s="23">
        <v>45777</v>
      </c>
      <c r="R353" s="81" t="s">
        <v>67</v>
      </c>
      <c r="S353" s="22" t="s">
        <v>32</v>
      </c>
      <c r="T353" s="22">
        <v>20</v>
      </c>
      <c r="U353" s="22" t="s">
        <v>67</v>
      </c>
      <c r="V353" s="23">
        <v>45777</v>
      </c>
      <c r="W353" s="82" t="s">
        <v>607</v>
      </c>
    </row>
    <row r="354" spans="1:23">
      <c r="A354" s="358" t="s">
        <v>24</v>
      </c>
      <c r="B354" s="369">
        <v>351</v>
      </c>
      <c r="C354" s="372" t="s">
        <v>608</v>
      </c>
      <c r="D354" s="372" t="s">
        <v>43</v>
      </c>
      <c r="E354" s="373">
        <v>45717</v>
      </c>
      <c r="F354" s="372" t="s">
        <v>506</v>
      </c>
      <c r="G354" s="372">
        <v>19</v>
      </c>
      <c r="H354" s="372" t="s">
        <v>22</v>
      </c>
      <c r="I354" s="372" t="s">
        <v>28</v>
      </c>
      <c r="J354" s="21" t="s">
        <v>29</v>
      </c>
      <c r="K354" s="21"/>
      <c r="L354" s="21"/>
      <c r="M354" s="22" t="s">
        <v>30</v>
      </c>
      <c r="N354" s="23">
        <v>45755</v>
      </c>
      <c r="O354" s="21" t="s">
        <v>31</v>
      </c>
      <c r="P354" s="22" t="s">
        <v>30</v>
      </c>
      <c r="Q354" s="23">
        <v>45755</v>
      </c>
      <c r="R354" s="81" t="s">
        <v>22</v>
      </c>
      <c r="S354" s="22" t="s">
        <v>32</v>
      </c>
      <c r="T354" s="22">
        <v>16</v>
      </c>
      <c r="U354" s="24" t="s">
        <v>22</v>
      </c>
      <c r="V354" s="23">
        <v>45755</v>
      </c>
      <c r="W354" s="82" t="s">
        <v>30</v>
      </c>
    </row>
    <row r="355" spans="1:23">
      <c r="A355" s="358" t="s">
        <v>24</v>
      </c>
      <c r="B355" s="369">
        <v>352</v>
      </c>
      <c r="C355" s="372" t="s">
        <v>609</v>
      </c>
      <c r="D355" s="372" t="s">
        <v>50</v>
      </c>
      <c r="E355" s="373">
        <v>45717</v>
      </c>
      <c r="F355" s="372" t="s">
        <v>506</v>
      </c>
      <c r="G355" s="372">
        <v>19</v>
      </c>
      <c r="H355" s="372" t="s">
        <v>22</v>
      </c>
      <c r="I355" s="372" t="s">
        <v>28</v>
      </c>
      <c r="J355" s="21" t="s">
        <v>29</v>
      </c>
      <c r="K355" s="21"/>
      <c r="L355" s="21"/>
      <c r="M355" s="22" t="s">
        <v>30</v>
      </c>
      <c r="N355" s="23">
        <v>45764</v>
      </c>
      <c r="O355" s="21" t="s">
        <v>31</v>
      </c>
      <c r="P355" s="22" t="s">
        <v>30</v>
      </c>
      <c r="Q355" s="23">
        <v>45764</v>
      </c>
      <c r="R355" s="81" t="s">
        <v>22</v>
      </c>
      <c r="S355" s="22" t="s">
        <v>32</v>
      </c>
      <c r="T355" s="22">
        <v>19</v>
      </c>
      <c r="U355" s="22" t="s">
        <v>22</v>
      </c>
      <c r="V355" s="23">
        <v>45764</v>
      </c>
      <c r="W355" s="82" t="s">
        <v>30</v>
      </c>
    </row>
    <row r="356" spans="1:23">
      <c r="A356" s="358" t="s">
        <v>24</v>
      </c>
      <c r="B356" s="369">
        <v>353</v>
      </c>
      <c r="C356" s="372" t="s">
        <v>610</v>
      </c>
      <c r="D356" s="372" t="s">
        <v>26</v>
      </c>
      <c r="E356" s="373">
        <v>45717</v>
      </c>
      <c r="F356" s="372" t="s">
        <v>506</v>
      </c>
      <c r="G356" s="372">
        <v>19</v>
      </c>
      <c r="H356" s="372" t="s">
        <v>22</v>
      </c>
      <c r="I356" s="372" t="s">
        <v>28</v>
      </c>
      <c r="J356" s="21" t="s">
        <v>29</v>
      </c>
      <c r="K356" s="21"/>
      <c r="L356" s="21"/>
      <c r="M356" s="22" t="s">
        <v>30</v>
      </c>
      <c r="N356" s="23">
        <v>45755</v>
      </c>
      <c r="O356" s="21" t="s">
        <v>31</v>
      </c>
      <c r="P356" s="22" t="s">
        <v>30</v>
      </c>
      <c r="Q356" s="23">
        <v>45755</v>
      </c>
      <c r="R356" s="81" t="s">
        <v>22</v>
      </c>
      <c r="S356" s="22" t="s">
        <v>32</v>
      </c>
      <c r="T356" s="22">
        <v>19</v>
      </c>
      <c r="U356" s="24" t="s">
        <v>22</v>
      </c>
      <c r="V356" s="23">
        <v>45755</v>
      </c>
      <c r="W356" s="82" t="s">
        <v>30</v>
      </c>
    </row>
    <row r="357" spans="1:23">
      <c r="A357" s="358" t="s">
        <v>24</v>
      </c>
      <c r="B357" s="369">
        <v>354</v>
      </c>
      <c r="C357" s="372" t="s">
        <v>611</v>
      </c>
      <c r="D357" s="372" t="s">
        <v>34</v>
      </c>
      <c r="E357" s="373">
        <v>45717</v>
      </c>
      <c r="F357" s="372" t="s">
        <v>612</v>
      </c>
      <c r="G357" s="372">
        <v>9</v>
      </c>
      <c r="H357" s="372" t="s">
        <v>22</v>
      </c>
      <c r="I357" s="372" t="s">
        <v>28</v>
      </c>
      <c r="J357" s="21" t="s">
        <v>29</v>
      </c>
      <c r="K357" s="21"/>
      <c r="L357" s="21"/>
      <c r="M357" s="22" t="s">
        <v>30</v>
      </c>
      <c r="N357" s="23">
        <v>45751</v>
      </c>
      <c r="O357" s="21"/>
      <c r="P357" s="22" t="s">
        <v>30</v>
      </c>
      <c r="Q357" s="23">
        <v>45751</v>
      </c>
      <c r="R357" s="81" t="s">
        <v>22</v>
      </c>
      <c r="S357" s="22" t="s">
        <v>32</v>
      </c>
      <c r="T357" s="22">
        <v>10</v>
      </c>
      <c r="U357" s="24" t="s">
        <v>22</v>
      </c>
      <c r="V357" s="23">
        <v>45751</v>
      </c>
      <c r="W357" s="82" t="s">
        <v>30</v>
      </c>
    </row>
    <row r="358" spans="1:23">
      <c r="A358" s="358" t="s">
        <v>24</v>
      </c>
      <c r="B358" s="369">
        <v>355</v>
      </c>
      <c r="C358" s="223" t="s">
        <v>613</v>
      </c>
      <c r="D358" s="223" t="s">
        <v>34</v>
      </c>
      <c r="E358" s="224">
        <v>45717</v>
      </c>
      <c r="F358" s="223" t="s">
        <v>614</v>
      </c>
      <c r="G358" s="223">
        <v>15</v>
      </c>
      <c r="H358" s="223" t="s">
        <v>46</v>
      </c>
      <c r="I358" s="223" t="s">
        <v>47</v>
      </c>
      <c r="J358" s="21" t="s">
        <v>29</v>
      </c>
      <c r="K358" s="21"/>
      <c r="L358" s="21"/>
      <c r="M358" s="22" t="s">
        <v>30</v>
      </c>
      <c r="N358" s="23">
        <v>45757</v>
      </c>
      <c r="O358" s="21" t="s">
        <v>31</v>
      </c>
      <c r="P358" s="22" t="s">
        <v>30</v>
      </c>
      <c r="Q358" s="23">
        <v>45757</v>
      </c>
      <c r="R358" s="81" t="s">
        <v>47</v>
      </c>
      <c r="S358" s="22" t="s">
        <v>32</v>
      </c>
      <c r="T358" s="22">
        <v>15</v>
      </c>
      <c r="U358" s="22" t="s">
        <v>47</v>
      </c>
      <c r="V358" s="23">
        <v>45757</v>
      </c>
      <c r="W358" s="82" t="s">
        <v>30</v>
      </c>
    </row>
    <row r="359" spans="1:23">
      <c r="A359" s="358" t="s">
        <v>24</v>
      </c>
      <c r="B359" s="369">
        <v>356</v>
      </c>
      <c r="C359" s="223" t="s">
        <v>615</v>
      </c>
      <c r="D359" s="223" t="s">
        <v>34</v>
      </c>
      <c r="E359" s="224">
        <v>45717</v>
      </c>
      <c r="F359" s="223" t="s">
        <v>65</v>
      </c>
      <c r="G359" s="223">
        <v>20</v>
      </c>
      <c r="H359" s="223" t="s">
        <v>46</v>
      </c>
      <c r="I359" s="223" t="s">
        <v>47</v>
      </c>
      <c r="J359" s="21" t="s">
        <v>29</v>
      </c>
      <c r="K359" s="21"/>
      <c r="L359" s="21"/>
      <c r="M359" s="22" t="s">
        <v>30</v>
      </c>
      <c r="N359" s="23">
        <v>45763</v>
      </c>
      <c r="O359" s="21" t="s">
        <v>31</v>
      </c>
      <c r="P359" s="22" t="s">
        <v>30</v>
      </c>
      <c r="Q359" s="23">
        <v>45763</v>
      </c>
      <c r="R359" s="81" t="s">
        <v>47</v>
      </c>
      <c r="S359" s="22" t="s">
        <v>32</v>
      </c>
      <c r="T359" s="22">
        <v>21</v>
      </c>
      <c r="U359" s="22" t="s">
        <v>47</v>
      </c>
      <c r="V359" s="23">
        <v>45763</v>
      </c>
      <c r="W359" s="82" t="s">
        <v>30</v>
      </c>
    </row>
    <row r="360" spans="1:23">
      <c r="A360" s="358" t="s">
        <v>24</v>
      </c>
      <c r="B360" s="369">
        <v>357</v>
      </c>
      <c r="C360" s="223" t="s">
        <v>616</v>
      </c>
      <c r="D360" s="223" t="s">
        <v>34</v>
      </c>
      <c r="E360" s="224">
        <v>45717</v>
      </c>
      <c r="F360" s="223" t="s">
        <v>179</v>
      </c>
      <c r="G360" s="223">
        <v>19</v>
      </c>
      <c r="H360" s="223" t="s">
        <v>46</v>
      </c>
      <c r="I360" s="223" t="s">
        <v>47</v>
      </c>
      <c r="J360" s="21" t="s">
        <v>29</v>
      </c>
      <c r="K360" s="21"/>
      <c r="L360" s="21"/>
      <c r="M360" s="22" t="s">
        <v>30</v>
      </c>
      <c r="N360" s="23">
        <v>45780</v>
      </c>
      <c r="O360" s="21" t="s">
        <v>31</v>
      </c>
      <c r="P360" s="22" t="s">
        <v>30</v>
      </c>
      <c r="Q360" s="23">
        <v>45780</v>
      </c>
      <c r="R360" s="81" t="s">
        <v>47</v>
      </c>
      <c r="S360" s="22" t="s">
        <v>32</v>
      </c>
      <c r="T360" s="22">
        <v>20</v>
      </c>
      <c r="U360" s="24" t="s">
        <v>47</v>
      </c>
      <c r="V360" s="23">
        <v>45780</v>
      </c>
      <c r="W360" s="82" t="s">
        <v>30</v>
      </c>
    </row>
    <row r="361" spans="1:23">
      <c r="A361" s="358" t="s">
        <v>24</v>
      </c>
      <c r="B361" s="369">
        <v>358</v>
      </c>
      <c r="C361" s="231" t="s">
        <v>617</v>
      </c>
      <c r="D361" s="231" t="s">
        <v>34</v>
      </c>
      <c r="E361" s="224">
        <v>45717</v>
      </c>
      <c r="F361" s="231" t="s">
        <v>618</v>
      </c>
      <c r="G361" s="231">
        <v>13</v>
      </c>
      <c r="H361" s="231" t="s">
        <v>46</v>
      </c>
      <c r="I361" s="231" t="s">
        <v>47</v>
      </c>
      <c r="J361" s="21" t="s">
        <v>29</v>
      </c>
      <c r="K361" s="21"/>
      <c r="L361" s="21"/>
      <c r="M361" s="22" t="s">
        <v>30</v>
      </c>
      <c r="N361" s="23">
        <v>45770</v>
      </c>
      <c r="O361" s="21"/>
      <c r="P361" s="22" t="s">
        <v>30</v>
      </c>
      <c r="Q361" s="23">
        <v>45770</v>
      </c>
      <c r="R361" s="81" t="s">
        <v>47</v>
      </c>
      <c r="S361" s="22" t="s">
        <v>32</v>
      </c>
      <c r="T361" s="22">
        <v>14</v>
      </c>
      <c r="U361" s="24" t="s">
        <v>47</v>
      </c>
      <c r="V361" s="23">
        <v>45770</v>
      </c>
      <c r="W361" s="82" t="s">
        <v>30</v>
      </c>
    </row>
    <row r="362" spans="1:23">
      <c r="A362" s="358" t="s">
        <v>24</v>
      </c>
      <c r="B362" s="369">
        <v>359</v>
      </c>
      <c r="C362" s="223" t="s">
        <v>619</v>
      </c>
      <c r="D362" s="223" t="s">
        <v>477</v>
      </c>
      <c r="E362" s="224">
        <v>45719</v>
      </c>
      <c r="F362" s="223" t="s">
        <v>620</v>
      </c>
      <c r="G362" s="223">
        <v>9</v>
      </c>
      <c r="H362" s="223" t="s">
        <v>22</v>
      </c>
      <c r="I362" s="223" t="s">
        <v>28</v>
      </c>
      <c r="J362" s="21" t="s">
        <v>29</v>
      </c>
      <c r="K362" s="21"/>
      <c r="L362" s="21"/>
      <c r="M362" s="22" t="s">
        <v>30</v>
      </c>
      <c r="N362" s="23">
        <v>45757</v>
      </c>
      <c r="O362" s="21" t="s">
        <v>66</v>
      </c>
      <c r="P362" s="22" t="s">
        <v>30</v>
      </c>
      <c r="Q362" s="23">
        <v>45757</v>
      </c>
      <c r="R362" s="81" t="s">
        <v>22</v>
      </c>
      <c r="S362" s="22" t="s">
        <v>32</v>
      </c>
      <c r="T362" s="22">
        <v>9</v>
      </c>
      <c r="U362" s="24" t="s">
        <v>22</v>
      </c>
      <c r="V362" s="23">
        <v>45757</v>
      </c>
      <c r="W362" s="82" t="s">
        <v>32</v>
      </c>
    </row>
    <row r="363" spans="1:23">
      <c r="A363" s="358" t="s">
        <v>24</v>
      </c>
      <c r="B363" s="369">
        <v>360</v>
      </c>
      <c r="C363" s="223" t="s">
        <v>621</v>
      </c>
      <c r="D363" s="223" t="s">
        <v>193</v>
      </c>
      <c r="E363" s="224">
        <v>45719</v>
      </c>
      <c r="F363" s="223" t="s">
        <v>620</v>
      </c>
      <c r="G363" s="223">
        <v>4</v>
      </c>
      <c r="H363" s="223" t="s">
        <v>22</v>
      </c>
      <c r="I363" s="223" t="s">
        <v>28</v>
      </c>
      <c r="J363" s="21" t="s">
        <v>29</v>
      </c>
      <c r="K363" s="21"/>
      <c r="L363" s="21"/>
      <c r="M363" s="22" t="s">
        <v>30</v>
      </c>
      <c r="N363" s="23">
        <v>45758</v>
      </c>
      <c r="O363" s="21"/>
      <c r="P363" s="22" t="s">
        <v>30</v>
      </c>
      <c r="Q363" s="23">
        <v>45758</v>
      </c>
      <c r="R363" s="81" t="s">
        <v>22</v>
      </c>
      <c r="S363" s="22" t="s">
        <v>32</v>
      </c>
      <c r="T363" s="22">
        <v>4</v>
      </c>
      <c r="U363" s="24" t="s">
        <v>22</v>
      </c>
      <c r="V363" s="23">
        <v>45758</v>
      </c>
      <c r="W363" s="82" t="s">
        <v>32</v>
      </c>
    </row>
    <row r="364" spans="1:23">
      <c r="A364" s="358" t="s">
        <v>24</v>
      </c>
      <c r="B364" s="369">
        <v>361</v>
      </c>
      <c r="C364" s="223" t="s">
        <v>622</v>
      </c>
      <c r="D364" s="223" t="s">
        <v>43</v>
      </c>
      <c r="E364" s="224">
        <v>45719</v>
      </c>
      <c r="F364" s="223" t="s">
        <v>620</v>
      </c>
      <c r="G364" s="223">
        <v>9</v>
      </c>
      <c r="H364" s="223" t="s">
        <v>22</v>
      </c>
      <c r="I364" s="223" t="s">
        <v>28</v>
      </c>
      <c r="J364" s="21" t="s">
        <v>29</v>
      </c>
      <c r="K364" s="21"/>
      <c r="L364" s="21"/>
      <c r="M364" s="22" t="s">
        <v>30</v>
      </c>
      <c r="N364" s="23">
        <v>45758</v>
      </c>
      <c r="O364" s="21"/>
      <c r="P364" s="22" t="s">
        <v>30</v>
      </c>
      <c r="Q364" s="23">
        <v>45758</v>
      </c>
      <c r="R364" s="81" t="s">
        <v>22</v>
      </c>
      <c r="S364" s="22" t="s">
        <v>32</v>
      </c>
      <c r="T364" s="22">
        <v>9</v>
      </c>
      <c r="U364" s="24" t="s">
        <v>22</v>
      </c>
      <c r="V364" s="23">
        <v>45758</v>
      </c>
      <c r="W364" s="82" t="s">
        <v>32</v>
      </c>
    </row>
    <row r="365" spans="1:23">
      <c r="A365" s="358" t="s">
        <v>24</v>
      </c>
      <c r="B365" s="369">
        <v>362</v>
      </c>
      <c r="C365" s="223" t="s">
        <v>623</v>
      </c>
      <c r="D365" s="223" t="s">
        <v>50</v>
      </c>
      <c r="E365" s="224">
        <v>45719</v>
      </c>
      <c r="F365" s="223" t="s">
        <v>620</v>
      </c>
      <c r="G365" s="223">
        <v>9</v>
      </c>
      <c r="H365" s="223" t="s">
        <v>22</v>
      </c>
      <c r="I365" s="223" t="s">
        <v>28</v>
      </c>
      <c r="J365" s="21" t="s">
        <v>29</v>
      </c>
      <c r="K365" s="21"/>
      <c r="L365" s="21"/>
      <c r="M365" s="22" t="s">
        <v>30</v>
      </c>
      <c r="N365" s="23">
        <v>45750</v>
      </c>
      <c r="O365" s="21"/>
      <c r="P365" s="22" t="s">
        <v>30</v>
      </c>
      <c r="Q365" s="23">
        <v>45750</v>
      </c>
      <c r="R365" s="81" t="s">
        <v>22</v>
      </c>
      <c r="S365" s="22" t="s">
        <v>32</v>
      </c>
      <c r="T365" s="22">
        <v>9</v>
      </c>
      <c r="U365" s="24" t="s">
        <v>22</v>
      </c>
      <c r="V365" s="23">
        <v>45750</v>
      </c>
      <c r="W365" s="82" t="s">
        <v>32</v>
      </c>
    </row>
    <row r="366" spans="1:23">
      <c r="A366" s="358" t="s">
        <v>24</v>
      </c>
      <c r="B366" s="369">
        <v>363</v>
      </c>
      <c r="C366" s="223" t="s">
        <v>624</v>
      </c>
      <c r="D366" s="223" t="s">
        <v>26</v>
      </c>
      <c r="E366" s="224">
        <v>45719</v>
      </c>
      <c r="F366" s="223" t="s">
        <v>625</v>
      </c>
      <c r="G366" s="223">
        <v>10</v>
      </c>
      <c r="H366" s="223" t="s">
        <v>22</v>
      </c>
      <c r="I366" s="223" t="s">
        <v>28</v>
      </c>
      <c r="J366" s="21" t="s">
        <v>29</v>
      </c>
      <c r="K366" s="21"/>
      <c r="L366" s="21"/>
      <c r="M366" s="22" t="s">
        <v>30</v>
      </c>
      <c r="N366" s="23">
        <v>45764</v>
      </c>
      <c r="O366" s="21" t="s">
        <v>66</v>
      </c>
      <c r="P366" s="22" t="s">
        <v>30</v>
      </c>
      <c r="Q366" s="23">
        <v>45764</v>
      </c>
      <c r="R366" s="81" t="s">
        <v>22</v>
      </c>
      <c r="S366" s="22" t="s">
        <v>32</v>
      </c>
      <c r="T366" s="22">
        <v>10</v>
      </c>
      <c r="U366" s="22" t="s">
        <v>22</v>
      </c>
      <c r="V366" s="23">
        <v>45764</v>
      </c>
      <c r="W366" s="82" t="s">
        <v>32</v>
      </c>
    </row>
    <row r="367" spans="1:23">
      <c r="A367" s="358" t="s">
        <v>24</v>
      </c>
      <c r="B367" s="369">
        <v>364</v>
      </c>
      <c r="C367" s="223" t="s">
        <v>626</v>
      </c>
      <c r="D367" s="223" t="s">
        <v>43</v>
      </c>
      <c r="E367" s="224">
        <v>45719</v>
      </c>
      <c r="F367" s="223" t="s">
        <v>625</v>
      </c>
      <c r="G367" s="223">
        <v>10</v>
      </c>
      <c r="H367" s="223" t="s">
        <v>22</v>
      </c>
      <c r="I367" s="223" t="s">
        <v>28</v>
      </c>
      <c r="J367" s="21" t="s">
        <v>29</v>
      </c>
      <c r="K367" s="21"/>
      <c r="L367" s="21"/>
      <c r="M367" s="22" t="s">
        <v>30</v>
      </c>
      <c r="N367" s="23">
        <v>45764</v>
      </c>
      <c r="O367" s="21"/>
      <c r="P367" s="22" t="s">
        <v>30</v>
      </c>
      <c r="Q367" s="23">
        <v>45764</v>
      </c>
      <c r="R367" s="81" t="s">
        <v>22</v>
      </c>
      <c r="S367" s="22" t="s">
        <v>32</v>
      </c>
      <c r="T367" s="22">
        <v>10</v>
      </c>
      <c r="U367" s="24" t="s">
        <v>22</v>
      </c>
      <c r="V367" s="23">
        <v>45764</v>
      </c>
      <c r="W367" s="82" t="s">
        <v>32</v>
      </c>
    </row>
    <row r="368" spans="1:23">
      <c r="A368" s="358" t="s">
        <v>24</v>
      </c>
      <c r="B368" s="369">
        <v>365</v>
      </c>
      <c r="C368" s="223" t="s">
        <v>627</v>
      </c>
      <c r="D368" s="223" t="s">
        <v>34</v>
      </c>
      <c r="E368" s="224">
        <v>45719</v>
      </c>
      <c r="F368" s="223" t="s">
        <v>628</v>
      </c>
      <c r="G368" s="223">
        <v>17</v>
      </c>
      <c r="H368" s="223" t="s">
        <v>22</v>
      </c>
      <c r="I368" s="223" t="s">
        <v>28</v>
      </c>
      <c r="J368" s="21" t="s">
        <v>29</v>
      </c>
      <c r="K368" s="21"/>
      <c r="L368" s="21"/>
      <c r="M368" s="22" t="s">
        <v>30</v>
      </c>
      <c r="N368" s="23">
        <v>45748</v>
      </c>
      <c r="O368" s="21" t="s">
        <v>31</v>
      </c>
      <c r="P368" s="22" t="s">
        <v>30</v>
      </c>
      <c r="Q368" s="23">
        <v>45748</v>
      </c>
      <c r="R368" s="81" t="s">
        <v>22</v>
      </c>
      <c r="S368" s="22" t="s">
        <v>32</v>
      </c>
      <c r="T368" s="22">
        <v>19</v>
      </c>
      <c r="U368" s="24" t="s">
        <v>22</v>
      </c>
      <c r="V368" s="23">
        <v>45748</v>
      </c>
      <c r="W368" s="82" t="s">
        <v>30</v>
      </c>
    </row>
    <row r="369" spans="1:23">
      <c r="A369" s="358" t="s">
        <v>24</v>
      </c>
      <c r="B369" s="369">
        <v>366</v>
      </c>
      <c r="C369" s="223" t="s">
        <v>629</v>
      </c>
      <c r="D369" s="223" t="s">
        <v>630</v>
      </c>
      <c r="E369" s="224">
        <v>45719</v>
      </c>
      <c r="F369" s="223" t="s">
        <v>631</v>
      </c>
      <c r="G369" s="223">
        <v>14</v>
      </c>
      <c r="H369" s="223" t="s">
        <v>21</v>
      </c>
      <c r="I369" s="223" t="s">
        <v>36</v>
      </c>
      <c r="J369" s="21" t="s">
        <v>29</v>
      </c>
      <c r="K369" s="21"/>
      <c r="L369" s="21"/>
      <c r="M369" s="22" t="s">
        <v>30</v>
      </c>
      <c r="N369" s="23">
        <v>45761</v>
      </c>
      <c r="O369" s="21" t="s">
        <v>31</v>
      </c>
      <c r="P369" s="22" t="s">
        <v>30</v>
      </c>
      <c r="Q369" s="23">
        <v>45761</v>
      </c>
      <c r="R369" s="81" t="s">
        <v>67</v>
      </c>
      <c r="S369" s="22" t="s">
        <v>32</v>
      </c>
      <c r="T369" s="22">
        <v>14</v>
      </c>
      <c r="U369" s="22" t="s">
        <v>67</v>
      </c>
      <c r="V369" s="23">
        <v>45761</v>
      </c>
      <c r="W369" s="82" t="s">
        <v>30</v>
      </c>
    </row>
    <row r="370" spans="1:23">
      <c r="A370" s="358" t="s">
        <v>24</v>
      </c>
      <c r="B370" s="369">
        <v>367</v>
      </c>
      <c r="C370" s="223" t="s">
        <v>632</v>
      </c>
      <c r="D370" s="223" t="s">
        <v>50</v>
      </c>
      <c r="E370" s="224">
        <v>45719</v>
      </c>
      <c r="F370" s="223" t="s">
        <v>161</v>
      </c>
      <c r="G370" s="223">
        <v>9</v>
      </c>
      <c r="H370" s="223" t="s">
        <v>21</v>
      </c>
      <c r="I370" s="223" t="s">
        <v>36</v>
      </c>
      <c r="J370" s="21" t="s">
        <v>29</v>
      </c>
      <c r="K370" s="21"/>
      <c r="L370" s="21"/>
      <c r="M370" s="22" t="s">
        <v>30</v>
      </c>
      <c r="N370" s="23">
        <v>45763</v>
      </c>
      <c r="O370" s="21"/>
      <c r="P370" s="22" t="s">
        <v>30</v>
      </c>
      <c r="Q370" s="23">
        <v>45763</v>
      </c>
      <c r="R370" s="81" t="s">
        <v>22</v>
      </c>
      <c r="S370" s="22" t="s">
        <v>32</v>
      </c>
      <c r="T370" s="22">
        <v>9</v>
      </c>
      <c r="U370" s="24" t="s">
        <v>22</v>
      </c>
      <c r="V370" s="23">
        <v>45763</v>
      </c>
      <c r="W370" s="82" t="s">
        <v>30</v>
      </c>
    </row>
    <row r="371" spans="1:23">
      <c r="A371" s="358" t="s">
        <v>24</v>
      </c>
      <c r="B371" s="369">
        <v>368</v>
      </c>
      <c r="C371" s="223" t="s">
        <v>633</v>
      </c>
      <c r="D371" s="223" t="s">
        <v>26</v>
      </c>
      <c r="E371" s="224">
        <v>45721</v>
      </c>
      <c r="F371" s="223" t="s">
        <v>161</v>
      </c>
      <c r="G371" s="223">
        <v>9</v>
      </c>
      <c r="H371" s="223" t="s">
        <v>21</v>
      </c>
      <c r="I371" s="223" t="s">
        <v>36</v>
      </c>
      <c r="J371" s="21" t="s">
        <v>29</v>
      </c>
      <c r="K371" s="21"/>
      <c r="L371" s="21"/>
      <c r="M371" s="22" t="s">
        <v>30</v>
      </c>
      <c r="N371" s="23">
        <v>45762</v>
      </c>
      <c r="O371" s="21"/>
      <c r="P371" s="22" t="s">
        <v>30</v>
      </c>
      <c r="Q371" s="23">
        <v>45762</v>
      </c>
      <c r="R371" s="81" t="s">
        <v>22</v>
      </c>
      <c r="S371" s="22" t="s">
        <v>32</v>
      </c>
      <c r="T371" s="22">
        <v>9</v>
      </c>
      <c r="U371" s="22" t="s">
        <v>22</v>
      </c>
      <c r="V371" s="23">
        <v>45762</v>
      </c>
      <c r="W371" s="82" t="s">
        <v>30</v>
      </c>
    </row>
    <row r="372" spans="1:23">
      <c r="A372" s="358" t="s">
        <v>24</v>
      </c>
      <c r="B372" s="369">
        <v>369</v>
      </c>
      <c r="C372" s="372" t="s">
        <v>634</v>
      </c>
      <c r="D372" s="372" t="s">
        <v>34</v>
      </c>
      <c r="E372" s="373">
        <v>45721</v>
      </c>
      <c r="F372" s="372" t="s">
        <v>635</v>
      </c>
      <c r="G372" s="372">
        <v>10</v>
      </c>
      <c r="H372" s="372" t="s">
        <v>22</v>
      </c>
      <c r="I372" s="372" t="s">
        <v>28</v>
      </c>
      <c r="J372" s="21" t="s">
        <v>29</v>
      </c>
      <c r="K372" s="21"/>
      <c r="L372" s="21"/>
      <c r="M372" s="22" t="s">
        <v>30</v>
      </c>
      <c r="N372" s="23">
        <v>45751</v>
      </c>
      <c r="O372" s="21"/>
      <c r="P372" s="22" t="s">
        <v>30</v>
      </c>
      <c r="Q372" s="23">
        <v>45751</v>
      </c>
      <c r="R372" s="81" t="s">
        <v>22</v>
      </c>
      <c r="S372" s="22" t="s">
        <v>32</v>
      </c>
      <c r="T372" s="22">
        <v>10</v>
      </c>
      <c r="U372" s="22" t="s">
        <v>22</v>
      </c>
      <c r="V372" s="23">
        <v>45751</v>
      </c>
      <c r="W372" s="82" t="s">
        <v>30</v>
      </c>
    </row>
    <row r="373" spans="1:23">
      <c r="A373" s="358" t="s">
        <v>24</v>
      </c>
      <c r="B373" s="369">
        <v>370</v>
      </c>
      <c r="C373" s="372" t="s">
        <v>636</v>
      </c>
      <c r="D373" s="372" t="s">
        <v>34</v>
      </c>
      <c r="E373" s="373">
        <v>45723</v>
      </c>
      <c r="F373" s="372" t="s">
        <v>245</v>
      </c>
      <c r="G373" s="372">
        <v>12</v>
      </c>
      <c r="H373" s="372" t="s">
        <v>46</v>
      </c>
      <c r="I373" s="372" t="s">
        <v>47</v>
      </c>
      <c r="J373" s="21" t="s">
        <v>29</v>
      </c>
      <c r="K373" s="21"/>
      <c r="L373" s="21"/>
      <c r="M373" s="22" t="s">
        <v>30</v>
      </c>
      <c r="N373" s="23">
        <v>45782</v>
      </c>
      <c r="O373" s="21"/>
      <c r="P373" s="22" t="s">
        <v>30</v>
      </c>
      <c r="Q373" s="23">
        <v>45782</v>
      </c>
      <c r="R373" s="81" t="s">
        <v>47</v>
      </c>
      <c r="S373" s="22" t="s">
        <v>32</v>
      </c>
      <c r="T373" s="22">
        <v>12</v>
      </c>
      <c r="U373" s="24" t="s">
        <v>47</v>
      </c>
      <c r="V373" s="23">
        <v>45782</v>
      </c>
      <c r="W373" s="82" t="s">
        <v>30</v>
      </c>
    </row>
    <row r="374" spans="1:23">
      <c r="A374" s="358" t="s">
        <v>24</v>
      </c>
      <c r="B374" s="369">
        <v>371</v>
      </c>
      <c r="C374" s="372" t="s">
        <v>637</v>
      </c>
      <c r="D374" s="372" t="s">
        <v>34</v>
      </c>
      <c r="E374" s="373">
        <v>45723</v>
      </c>
      <c r="F374" s="372" t="s">
        <v>187</v>
      </c>
      <c r="G374" s="372">
        <v>16</v>
      </c>
      <c r="H374" s="372" t="s">
        <v>21</v>
      </c>
      <c r="I374" s="372" t="s">
        <v>36</v>
      </c>
      <c r="J374" s="21" t="s">
        <v>29</v>
      </c>
      <c r="K374" s="21"/>
      <c r="L374" s="21"/>
      <c r="M374" s="22" t="s">
        <v>30</v>
      </c>
      <c r="N374" s="23">
        <v>45777</v>
      </c>
      <c r="O374" s="21" t="s">
        <v>31</v>
      </c>
      <c r="P374" s="22" t="s">
        <v>30</v>
      </c>
      <c r="Q374" s="23">
        <v>45777</v>
      </c>
      <c r="R374" s="81" t="s">
        <v>67</v>
      </c>
      <c r="S374" s="22" t="s">
        <v>32</v>
      </c>
      <c r="T374" s="22">
        <v>16</v>
      </c>
      <c r="U374" s="22" t="s">
        <v>67</v>
      </c>
      <c r="V374" s="23">
        <v>45777</v>
      </c>
      <c r="W374" s="82" t="s">
        <v>30</v>
      </c>
    </row>
    <row r="375" spans="1:23">
      <c r="A375" s="358" t="s">
        <v>24</v>
      </c>
      <c r="B375" s="369">
        <v>372</v>
      </c>
      <c r="C375" s="372" t="s">
        <v>638</v>
      </c>
      <c r="D375" s="372" t="s">
        <v>34</v>
      </c>
      <c r="E375" s="373">
        <v>45724</v>
      </c>
      <c r="F375" s="372" t="s">
        <v>639</v>
      </c>
      <c r="G375" s="372">
        <v>15</v>
      </c>
      <c r="H375" s="372" t="s">
        <v>78</v>
      </c>
      <c r="I375" s="372" t="s">
        <v>79</v>
      </c>
      <c r="J375" s="21" t="s">
        <v>29</v>
      </c>
      <c r="K375" s="21"/>
      <c r="L375" s="21"/>
      <c r="M375" s="22" t="s">
        <v>30</v>
      </c>
      <c r="N375" s="23">
        <v>45784</v>
      </c>
      <c r="O375" s="21" t="s">
        <v>31</v>
      </c>
      <c r="P375" s="22" t="s">
        <v>30</v>
      </c>
      <c r="Q375" s="23">
        <v>45784</v>
      </c>
      <c r="R375" s="81" t="s">
        <v>47</v>
      </c>
      <c r="S375" s="22" t="s">
        <v>32</v>
      </c>
      <c r="T375" s="22">
        <v>15</v>
      </c>
      <c r="U375" s="24" t="s">
        <v>47</v>
      </c>
      <c r="V375" s="23">
        <v>45784</v>
      </c>
      <c r="W375" s="82" t="s">
        <v>30</v>
      </c>
    </row>
    <row r="376" spans="1:23">
      <c r="A376" s="358" t="s">
        <v>24</v>
      </c>
      <c r="B376" s="369">
        <v>373</v>
      </c>
      <c r="C376" s="372" t="s">
        <v>640</v>
      </c>
      <c r="D376" s="372" t="s">
        <v>34</v>
      </c>
      <c r="E376" s="373">
        <v>45724</v>
      </c>
      <c r="F376" s="372" t="s">
        <v>641</v>
      </c>
      <c r="G376" s="372">
        <v>14</v>
      </c>
      <c r="H376" s="372" t="s">
        <v>46</v>
      </c>
      <c r="I376" s="372" t="s">
        <v>47</v>
      </c>
      <c r="J376" s="21" t="s">
        <v>29</v>
      </c>
      <c r="K376" s="21"/>
      <c r="L376" s="21"/>
      <c r="M376" s="22" t="s">
        <v>30</v>
      </c>
      <c r="N376" s="23">
        <v>45778</v>
      </c>
      <c r="O376" s="21"/>
      <c r="P376" s="22" t="s">
        <v>30</v>
      </c>
      <c r="Q376" s="23">
        <v>45778</v>
      </c>
      <c r="R376" s="81" t="s">
        <v>47</v>
      </c>
      <c r="S376" s="22" t="s">
        <v>32</v>
      </c>
      <c r="T376" s="22">
        <v>14</v>
      </c>
      <c r="U376" s="24" t="s">
        <v>47</v>
      </c>
      <c r="V376" s="23">
        <v>45778</v>
      </c>
      <c r="W376" s="82" t="s">
        <v>30</v>
      </c>
    </row>
    <row r="377" spans="1:23">
      <c r="A377" s="358" t="s">
        <v>24</v>
      </c>
      <c r="B377" s="369">
        <v>374</v>
      </c>
      <c r="C377" s="372" t="s">
        <v>642</v>
      </c>
      <c r="D377" s="372" t="s">
        <v>34</v>
      </c>
      <c r="E377" s="373">
        <v>45724</v>
      </c>
      <c r="F377" s="372" t="s">
        <v>242</v>
      </c>
      <c r="G377" s="372">
        <v>23</v>
      </c>
      <c r="H377" s="372" t="s">
        <v>46</v>
      </c>
      <c r="I377" s="372" t="s">
        <v>47</v>
      </c>
      <c r="J377" s="21" t="s">
        <v>29</v>
      </c>
      <c r="K377" s="21"/>
      <c r="L377" s="21"/>
      <c r="M377" s="22" t="s">
        <v>30</v>
      </c>
      <c r="N377" s="23">
        <v>45778</v>
      </c>
      <c r="O377" s="21" t="s">
        <v>31</v>
      </c>
      <c r="P377" s="22" t="s">
        <v>30</v>
      </c>
      <c r="Q377" s="23">
        <v>45778</v>
      </c>
      <c r="R377" s="81" t="s">
        <v>47</v>
      </c>
      <c r="S377" s="22" t="s">
        <v>32</v>
      </c>
      <c r="T377" s="22">
        <v>23</v>
      </c>
      <c r="U377" s="22" t="s">
        <v>47</v>
      </c>
      <c r="V377" s="23">
        <v>45778</v>
      </c>
      <c r="W377" s="82" t="s">
        <v>30</v>
      </c>
    </row>
    <row r="378" spans="1:23">
      <c r="A378" s="358" t="s">
        <v>24</v>
      </c>
      <c r="B378" s="369">
        <v>375</v>
      </c>
      <c r="C378" s="372" t="s">
        <v>643</v>
      </c>
      <c r="D378" s="372" t="s">
        <v>34</v>
      </c>
      <c r="E378" s="373">
        <v>45724</v>
      </c>
      <c r="F378" s="372" t="s">
        <v>644</v>
      </c>
      <c r="G378" s="372">
        <v>11</v>
      </c>
      <c r="H378" s="372" t="s">
        <v>22</v>
      </c>
      <c r="I378" s="372" t="s">
        <v>28</v>
      </c>
      <c r="J378" s="21" t="s">
        <v>29</v>
      </c>
      <c r="K378" s="21"/>
      <c r="L378" s="21"/>
      <c r="M378" s="22" t="s">
        <v>30</v>
      </c>
      <c r="N378" s="23">
        <v>45749</v>
      </c>
      <c r="O378" s="21"/>
      <c r="P378" s="22" t="s">
        <v>30</v>
      </c>
      <c r="Q378" s="23">
        <v>45749</v>
      </c>
      <c r="R378" s="81" t="s">
        <v>22</v>
      </c>
      <c r="S378" s="22" t="s">
        <v>32</v>
      </c>
      <c r="T378" s="22">
        <v>11</v>
      </c>
      <c r="U378" s="24" t="s">
        <v>22</v>
      </c>
      <c r="V378" s="23">
        <v>45749</v>
      </c>
      <c r="W378" s="82" t="s">
        <v>30</v>
      </c>
    </row>
    <row r="379" spans="1:23">
      <c r="A379" s="358" t="s">
        <v>24</v>
      </c>
      <c r="B379" s="369">
        <v>376</v>
      </c>
      <c r="C379" s="372" t="s">
        <v>645</v>
      </c>
      <c r="D379" s="372" t="s">
        <v>43</v>
      </c>
      <c r="E379" s="373">
        <v>45726</v>
      </c>
      <c r="F379" s="372" t="s">
        <v>646</v>
      </c>
      <c r="G379" s="372">
        <v>11</v>
      </c>
      <c r="H379" s="375" t="s">
        <v>46</v>
      </c>
      <c r="I379" s="372" t="s">
        <v>47</v>
      </c>
      <c r="J379" s="21" t="s">
        <v>237</v>
      </c>
      <c r="K379" s="21" t="s">
        <v>647</v>
      </c>
      <c r="L379" s="21"/>
      <c r="M379" s="22" t="s">
        <v>30</v>
      </c>
      <c r="N379" s="23">
        <v>45782</v>
      </c>
      <c r="O379" s="21"/>
      <c r="P379" s="22" t="s">
        <v>30</v>
      </c>
      <c r="Q379" s="23">
        <v>45782</v>
      </c>
      <c r="R379" s="81" t="s">
        <v>47</v>
      </c>
      <c r="S379" s="22" t="s">
        <v>32</v>
      </c>
      <c r="T379" s="22">
        <v>11</v>
      </c>
      <c r="U379" s="22" t="s">
        <v>47</v>
      </c>
      <c r="V379" s="23">
        <v>45782</v>
      </c>
      <c r="W379" s="82" t="s">
        <v>32</v>
      </c>
    </row>
    <row r="380" spans="1:23">
      <c r="A380" s="358" t="s">
        <v>24</v>
      </c>
      <c r="B380" s="369">
        <v>377</v>
      </c>
      <c r="C380" s="372" t="s">
        <v>648</v>
      </c>
      <c r="D380" s="372" t="s">
        <v>43</v>
      </c>
      <c r="E380" s="373">
        <v>45727</v>
      </c>
      <c r="F380" s="372" t="s">
        <v>646</v>
      </c>
      <c r="G380" s="372">
        <v>13</v>
      </c>
      <c r="H380" s="375" t="s">
        <v>46</v>
      </c>
      <c r="I380" s="372" t="s">
        <v>47</v>
      </c>
      <c r="J380" s="21" t="s">
        <v>237</v>
      </c>
      <c r="K380" s="21" t="s">
        <v>647</v>
      </c>
      <c r="L380" s="21"/>
      <c r="M380" s="22" t="s">
        <v>30</v>
      </c>
      <c r="N380" s="23">
        <v>45782</v>
      </c>
      <c r="O380" s="21"/>
      <c r="P380" s="22" t="s">
        <v>30</v>
      </c>
      <c r="Q380" s="23">
        <v>45782</v>
      </c>
      <c r="R380" s="81" t="s">
        <v>47</v>
      </c>
      <c r="S380" s="22" t="s">
        <v>32</v>
      </c>
      <c r="T380" s="22">
        <v>11</v>
      </c>
      <c r="U380" s="22" t="s">
        <v>47</v>
      </c>
      <c r="V380" s="23">
        <v>45782</v>
      </c>
      <c r="W380" s="82" t="s">
        <v>32</v>
      </c>
    </row>
    <row r="381" spans="1:23">
      <c r="A381" s="358" t="s">
        <v>24</v>
      </c>
      <c r="B381" s="369">
        <v>378</v>
      </c>
      <c r="C381" s="372" t="s">
        <v>649</v>
      </c>
      <c r="D381" s="372" t="s">
        <v>374</v>
      </c>
      <c r="E381" s="373">
        <v>45728</v>
      </c>
      <c r="F381" s="372" t="s">
        <v>650</v>
      </c>
      <c r="G381" s="372">
        <v>13</v>
      </c>
      <c r="H381" s="372" t="s">
        <v>46</v>
      </c>
      <c r="I381" s="372" t="s">
        <v>47</v>
      </c>
      <c r="J381" s="21" t="s">
        <v>29</v>
      </c>
      <c r="K381" s="21"/>
      <c r="L381" s="21"/>
      <c r="M381" s="22" t="s">
        <v>30</v>
      </c>
      <c r="N381" s="23">
        <v>45778</v>
      </c>
      <c r="O381" s="21"/>
      <c r="P381" s="22" t="s">
        <v>30</v>
      </c>
      <c r="Q381" s="23">
        <v>45778</v>
      </c>
      <c r="R381" s="81" t="s">
        <v>47</v>
      </c>
      <c r="S381" s="22" t="s">
        <v>32</v>
      </c>
      <c r="T381" s="22">
        <v>13</v>
      </c>
      <c r="U381" s="24" t="s">
        <v>47</v>
      </c>
      <c r="V381" s="23">
        <v>45778</v>
      </c>
      <c r="W381" s="82" t="s">
        <v>30</v>
      </c>
    </row>
    <row r="382" spans="1:23">
      <c r="A382" s="358" t="s">
        <v>24</v>
      </c>
      <c r="B382" s="369">
        <v>379</v>
      </c>
      <c r="C382" s="372" t="s">
        <v>651</v>
      </c>
      <c r="D382" s="372" t="s">
        <v>652</v>
      </c>
      <c r="E382" s="373">
        <v>45729</v>
      </c>
      <c r="F382" s="372" t="s">
        <v>653</v>
      </c>
      <c r="G382" s="372">
        <v>15</v>
      </c>
      <c r="H382" s="375" t="s">
        <v>21</v>
      </c>
      <c r="I382" s="372" t="s">
        <v>36</v>
      </c>
      <c r="J382" s="21" t="s">
        <v>237</v>
      </c>
      <c r="K382" s="21"/>
      <c r="L382" s="21"/>
      <c r="M382" s="22" t="s">
        <v>30</v>
      </c>
      <c r="N382" s="23">
        <v>45777</v>
      </c>
      <c r="O382" s="21" t="s">
        <v>31</v>
      </c>
      <c r="P382" s="22" t="s">
        <v>30</v>
      </c>
      <c r="Q382" s="23">
        <v>45777</v>
      </c>
      <c r="R382" s="81" t="s">
        <v>127</v>
      </c>
      <c r="S382" s="22" t="s">
        <v>32</v>
      </c>
      <c r="T382" s="22">
        <v>15</v>
      </c>
      <c r="U382" s="24" t="s">
        <v>127</v>
      </c>
      <c r="V382" s="23">
        <v>45777</v>
      </c>
      <c r="W382" s="82" t="s">
        <v>32</v>
      </c>
    </row>
    <row r="383" spans="1:23">
      <c r="A383" s="358" t="s">
        <v>24</v>
      </c>
      <c r="B383" s="369">
        <v>380</v>
      </c>
      <c r="C383" s="372" t="s">
        <v>654</v>
      </c>
      <c r="D383" s="372" t="s">
        <v>655</v>
      </c>
      <c r="E383" s="373">
        <v>45730</v>
      </c>
      <c r="F383" s="372" t="s">
        <v>653</v>
      </c>
      <c r="G383" s="372">
        <v>15</v>
      </c>
      <c r="H383" s="375" t="s">
        <v>21</v>
      </c>
      <c r="I383" s="372" t="s">
        <v>36</v>
      </c>
      <c r="J383" s="21" t="s">
        <v>237</v>
      </c>
      <c r="K383" s="21"/>
      <c r="L383" s="21"/>
      <c r="M383" s="22" t="s">
        <v>30</v>
      </c>
      <c r="N383" s="23">
        <v>45777</v>
      </c>
      <c r="O383" s="21" t="s">
        <v>31</v>
      </c>
      <c r="P383" s="22" t="s">
        <v>30</v>
      </c>
      <c r="Q383" s="23">
        <v>45777</v>
      </c>
      <c r="R383" s="81" t="s">
        <v>127</v>
      </c>
      <c r="S383" s="22" t="s">
        <v>32</v>
      </c>
      <c r="T383" s="22">
        <v>15</v>
      </c>
      <c r="U383" s="24" t="s">
        <v>127</v>
      </c>
      <c r="V383" s="23">
        <v>45777</v>
      </c>
      <c r="W383" s="82" t="s">
        <v>32</v>
      </c>
    </row>
    <row r="384" spans="1:23">
      <c r="A384" s="358" t="s">
        <v>24</v>
      </c>
      <c r="B384" s="369">
        <v>381</v>
      </c>
      <c r="C384" s="372" t="s">
        <v>656</v>
      </c>
      <c r="D384" s="372" t="s">
        <v>657</v>
      </c>
      <c r="E384" s="373">
        <v>45730</v>
      </c>
      <c r="F384" s="372" t="s">
        <v>395</v>
      </c>
      <c r="G384" s="372">
        <v>13</v>
      </c>
      <c r="H384" s="375" t="s">
        <v>22</v>
      </c>
      <c r="I384" s="372" t="s">
        <v>28</v>
      </c>
      <c r="J384" s="21" t="s">
        <v>29</v>
      </c>
      <c r="K384" s="21"/>
      <c r="L384" s="21"/>
      <c r="M384" s="22" t="s">
        <v>30</v>
      </c>
      <c r="N384" s="23">
        <v>45758</v>
      </c>
      <c r="O384" s="21"/>
      <c r="P384" s="22" t="s">
        <v>30</v>
      </c>
      <c r="Q384" s="23">
        <v>45758</v>
      </c>
      <c r="R384" s="81" t="s">
        <v>28</v>
      </c>
      <c r="S384" s="22" t="s">
        <v>32</v>
      </c>
      <c r="T384" s="22">
        <v>13</v>
      </c>
      <c r="U384" s="24" t="s">
        <v>28</v>
      </c>
      <c r="V384" s="23">
        <v>45758</v>
      </c>
      <c r="W384" s="82" t="s">
        <v>30</v>
      </c>
    </row>
    <row r="385" spans="1:23">
      <c r="A385" s="359" t="s">
        <v>24</v>
      </c>
      <c r="B385" s="369">
        <v>382</v>
      </c>
      <c r="C385" s="372" t="s">
        <v>658</v>
      </c>
      <c r="D385" s="372" t="s">
        <v>102</v>
      </c>
      <c r="E385" s="373">
        <v>45730</v>
      </c>
      <c r="F385" s="372" t="s">
        <v>659</v>
      </c>
      <c r="G385" s="372">
        <v>10</v>
      </c>
      <c r="H385" s="375" t="s">
        <v>22</v>
      </c>
      <c r="I385" s="372" t="s">
        <v>28</v>
      </c>
      <c r="J385" s="21" t="s">
        <v>29</v>
      </c>
      <c r="K385" s="21" t="s">
        <v>647</v>
      </c>
      <c r="L385" s="21"/>
      <c r="M385" s="22" t="s">
        <v>30</v>
      </c>
      <c r="N385" s="23">
        <v>45784</v>
      </c>
      <c r="O385" s="21"/>
      <c r="P385" s="22" t="s">
        <v>30</v>
      </c>
      <c r="Q385" s="23">
        <v>45784</v>
      </c>
      <c r="R385" s="81" t="s">
        <v>28</v>
      </c>
      <c r="S385" s="22" t="s">
        <v>32</v>
      </c>
      <c r="T385" s="22">
        <v>10</v>
      </c>
      <c r="U385" s="24" t="s">
        <v>28</v>
      </c>
      <c r="V385" s="23">
        <v>45784</v>
      </c>
      <c r="W385" s="82" t="s">
        <v>32</v>
      </c>
    </row>
    <row r="386" spans="1:23">
      <c r="A386" s="358" t="s">
        <v>24</v>
      </c>
      <c r="B386" s="369">
        <v>383</v>
      </c>
      <c r="C386" s="372" t="s">
        <v>660</v>
      </c>
      <c r="D386" s="372" t="s">
        <v>34</v>
      </c>
      <c r="E386" s="373">
        <v>45731</v>
      </c>
      <c r="F386" s="372" t="s">
        <v>661</v>
      </c>
      <c r="G386" s="372">
        <v>30</v>
      </c>
      <c r="H386" s="375" t="s">
        <v>46</v>
      </c>
      <c r="I386" s="372" t="s">
        <v>47</v>
      </c>
      <c r="J386" s="21" t="s">
        <v>29</v>
      </c>
      <c r="K386" s="21"/>
      <c r="L386" s="21"/>
      <c r="M386" s="22" t="s">
        <v>30</v>
      </c>
      <c r="N386" s="23">
        <v>45776</v>
      </c>
      <c r="O386" s="21" t="s">
        <v>31</v>
      </c>
      <c r="P386" s="22" t="s">
        <v>30</v>
      </c>
      <c r="Q386" s="23">
        <v>45776</v>
      </c>
      <c r="R386" s="81" t="s">
        <v>47</v>
      </c>
      <c r="S386" s="22" t="s">
        <v>32</v>
      </c>
      <c r="T386" s="22">
        <v>31</v>
      </c>
      <c r="U386" s="24" t="s">
        <v>47</v>
      </c>
      <c r="V386" s="23">
        <v>45777</v>
      </c>
      <c r="W386" s="82" t="s">
        <v>30</v>
      </c>
    </row>
    <row r="387" spans="1:23">
      <c r="A387" s="358" t="s">
        <v>24</v>
      </c>
      <c r="B387" s="369">
        <v>384</v>
      </c>
      <c r="C387" s="372" t="s">
        <v>662</v>
      </c>
      <c r="D387" s="372" t="s">
        <v>43</v>
      </c>
      <c r="E387" s="373">
        <v>45731</v>
      </c>
      <c r="F387" s="372" t="s">
        <v>65</v>
      </c>
      <c r="G387" s="372">
        <v>10</v>
      </c>
      <c r="H387" s="375" t="s">
        <v>46</v>
      </c>
      <c r="I387" s="372" t="s">
        <v>47</v>
      </c>
      <c r="J387" s="21" t="s">
        <v>29</v>
      </c>
      <c r="K387" s="21"/>
      <c r="L387" s="21"/>
      <c r="M387" s="22" t="s">
        <v>30</v>
      </c>
      <c r="N387" s="23">
        <v>45755</v>
      </c>
      <c r="O387" s="21"/>
      <c r="P387" s="22" t="s">
        <v>30</v>
      </c>
      <c r="Q387" s="23">
        <v>45755</v>
      </c>
      <c r="R387" s="81" t="s">
        <v>46</v>
      </c>
      <c r="S387" s="22" t="s">
        <v>32</v>
      </c>
      <c r="T387" s="22">
        <v>10</v>
      </c>
      <c r="U387" s="24" t="s">
        <v>46</v>
      </c>
      <c r="V387" s="23">
        <v>45757</v>
      </c>
      <c r="W387" s="82" t="s">
        <v>30</v>
      </c>
    </row>
    <row r="388" spans="1:23">
      <c r="A388" s="358" t="s">
        <v>24</v>
      </c>
      <c r="B388" s="369">
        <v>385</v>
      </c>
      <c r="C388" s="372" t="s">
        <v>663</v>
      </c>
      <c r="D388" s="372" t="s">
        <v>34</v>
      </c>
      <c r="E388" s="373">
        <v>45731</v>
      </c>
      <c r="F388" s="372" t="s">
        <v>179</v>
      </c>
      <c r="G388" s="372">
        <v>18</v>
      </c>
      <c r="H388" s="375" t="s">
        <v>46</v>
      </c>
      <c r="I388" s="372" t="s">
        <v>47</v>
      </c>
      <c r="J388" s="21" t="s">
        <v>29</v>
      </c>
      <c r="K388" s="21"/>
      <c r="L388" s="21"/>
      <c r="M388" s="22" t="s">
        <v>30</v>
      </c>
      <c r="N388" s="23">
        <v>45751</v>
      </c>
      <c r="O388" s="21" t="s">
        <v>31</v>
      </c>
      <c r="P388" s="22" t="s">
        <v>30</v>
      </c>
      <c r="Q388" s="23">
        <v>45751</v>
      </c>
      <c r="R388" s="81" t="s">
        <v>46</v>
      </c>
      <c r="S388" s="22" t="s">
        <v>32</v>
      </c>
      <c r="T388" s="22">
        <v>18</v>
      </c>
      <c r="U388" s="22" t="s">
        <v>46</v>
      </c>
      <c r="V388" s="23">
        <v>45751</v>
      </c>
      <c r="W388" s="82" t="s">
        <v>30</v>
      </c>
    </row>
    <row r="389" spans="1:23">
      <c r="A389" s="358" t="s">
        <v>24</v>
      </c>
      <c r="B389" s="369">
        <v>386</v>
      </c>
      <c r="C389" s="372" t="s">
        <v>664</v>
      </c>
      <c r="D389" s="372" t="s">
        <v>34</v>
      </c>
      <c r="E389" s="373">
        <v>45731</v>
      </c>
      <c r="F389" s="372" t="s">
        <v>97</v>
      </c>
      <c r="G389" s="372">
        <v>17</v>
      </c>
      <c r="H389" s="375" t="s">
        <v>22</v>
      </c>
      <c r="I389" s="372" t="s">
        <v>28</v>
      </c>
      <c r="J389" s="21" t="s">
        <v>29</v>
      </c>
      <c r="K389" s="21"/>
      <c r="L389" s="21"/>
      <c r="M389" s="22" t="s">
        <v>30</v>
      </c>
      <c r="N389" s="23">
        <v>45761</v>
      </c>
      <c r="O389" s="21" t="s">
        <v>31</v>
      </c>
      <c r="P389" s="22" t="s">
        <v>30</v>
      </c>
      <c r="Q389" s="23">
        <v>45761</v>
      </c>
      <c r="R389" s="81" t="s">
        <v>28</v>
      </c>
      <c r="S389" s="22" t="s">
        <v>32</v>
      </c>
      <c r="T389" s="22">
        <v>17</v>
      </c>
      <c r="U389" s="24" t="s">
        <v>28</v>
      </c>
      <c r="V389" s="23">
        <v>45761</v>
      </c>
      <c r="W389" s="82" t="s">
        <v>30</v>
      </c>
    </row>
    <row r="390" spans="1:23">
      <c r="A390" s="358" t="s">
        <v>24</v>
      </c>
      <c r="B390" s="369">
        <v>387</v>
      </c>
      <c r="C390" s="372" t="s">
        <v>665</v>
      </c>
      <c r="D390" s="372" t="s">
        <v>34</v>
      </c>
      <c r="E390" s="373">
        <v>45731</v>
      </c>
      <c r="F390" s="372" t="s">
        <v>666</v>
      </c>
      <c r="G390" s="372">
        <v>11</v>
      </c>
      <c r="H390" s="375" t="s">
        <v>21</v>
      </c>
      <c r="I390" s="372" t="s">
        <v>36</v>
      </c>
      <c r="J390" s="21" t="s">
        <v>29</v>
      </c>
      <c r="K390" s="21"/>
      <c r="L390" s="21"/>
      <c r="M390" s="22" t="s">
        <v>30</v>
      </c>
      <c r="N390" s="23">
        <v>45777</v>
      </c>
      <c r="O390" s="21"/>
      <c r="P390" s="22" t="s">
        <v>30</v>
      </c>
      <c r="Q390" s="23">
        <v>45777</v>
      </c>
      <c r="R390" s="81" t="s">
        <v>127</v>
      </c>
      <c r="S390" s="22" t="s">
        <v>32</v>
      </c>
      <c r="T390" s="22">
        <v>11</v>
      </c>
      <c r="U390" s="24" t="s">
        <v>127</v>
      </c>
      <c r="V390" s="23">
        <v>45777</v>
      </c>
      <c r="W390" s="82" t="s">
        <v>30</v>
      </c>
    </row>
    <row r="391" spans="1:23">
      <c r="A391" s="358" t="s">
        <v>24</v>
      </c>
      <c r="B391" s="369">
        <v>388</v>
      </c>
      <c r="C391" s="372" t="s">
        <v>667</v>
      </c>
      <c r="D391" s="372" t="s">
        <v>34</v>
      </c>
      <c r="E391" s="373">
        <v>45731</v>
      </c>
      <c r="F391" s="372" t="s">
        <v>668</v>
      </c>
      <c r="G391" s="372">
        <v>11</v>
      </c>
      <c r="H391" s="375" t="s">
        <v>21</v>
      </c>
      <c r="I391" s="372" t="s">
        <v>36</v>
      </c>
      <c r="J391" s="21" t="s">
        <v>29</v>
      </c>
      <c r="K391" s="21"/>
      <c r="L391" s="21"/>
      <c r="M391" s="22" t="s">
        <v>30</v>
      </c>
      <c r="N391" s="23">
        <v>45777</v>
      </c>
      <c r="O391" s="21"/>
      <c r="P391" s="22" t="s">
        <v>30</v>
      </c>
      <c r="Q391" s="23">
        <v>45777</v>
      </c>
      <c r="R391" s="81" t="s">
        <v>127</v>
      </c>
      <c r="S391" s="22" t="s">
        <v>32</v>
      </c>
      <c r="T391" s="22">
        <v>11</v>
      </c>
      <c r="U391" s="24" t="s">
        <v>127</v>
      </c>
      <c r="V391" s="23">
        <v>45777</v>
      </c>
      <c r="W391" s="82" t="s">
        <v>30</v>
      </c>
    </row>
    <row r="392" spans="1:23">
      <c r="A392" s="358" t="s">
        <v>24</v>
      </c>
      <c r="B392" s="369">
        <v>389</v>
      </c>
      <c r="C392" s="372" t="s">
        <v>669</v>
      </c>
      <c r="D392" s="372" t="s">
        <v>34</v>
      </c>
      <c r="E392" s="373">
        <v>45731</v>
      </c>
      <c r="F392" s="372" t="s">
        <v>670</v>
      </c>
      <c r="G392" s="372">
        <v>11</v>
      </c>
      <c r="H392" s="375" t="s">
        <v>21</v>
      </c>
      <c r="I392" s="372" t="s">
        <v>36</v>
      </c>
      <c r="J392" s="21" t="s">
        <v>29</v>
      </c>
      <c r="K392" s="21"/>
      <c r="L392" s="21"/>
      <c r="M392" s="22" t="s">
        <v>30</v>
      </c>
      <c r="N392" s="23">
        <v>45777</v>
      </c>
      <c r="O392" s="21"/>
      <c r="P392" s="22" t="s">
        <v>30</v>
      </c>
      <c r="Q392" s="23">
        <v>45777</v>
      </c>
      <c r="R392" s="81" t="s">
        <v>127</v>
      </c>
      <c r="S392" s="22" t="s">
        <v>32</v>
      </c>
      <c r="T392" s="22">
        <v>11</v>
      </c>
      <c r="U392" s="24" t="s">
        <v>127</v>
      </c>
      <c r="V392" s="23">
        <v>45777</v>
      </c>
      <c r="W392" s="82" t="s">
        <v>30</v>
      </c>
    </row>
    <row r="393" spans="1:23">
      <c r="A393" s="358" t="s">
        <v>24</v>
      </c>
      <c r="B393" s="369">
        <v>390</v>
      </c>
      <c r="C393" s="372" t="s">
        <v>671</v>
      </c>
      <c r="D393" s="372" t="s">
        <v>34</v>
      </c>
      <c r="E393" s="373">
        <v>45731</v>
      </c>
      <c r="F393" s="372" t="s">
        <v>672</v>
      </c>
      <c r="G393" s="372">
        <v>19</v>
      </c>
      <c r="H393" s="372" t="s">
        <v>21</v>
      </c>
      <c r="I393" s="372" t="s">
        <v>47</v>
      </c>
      <c r="J393" s="21" t="s">
        <v>29</v>
      </c>
      <c r="K393" s="21"/>
      <c r="L393" s="21"/>
      <c r="M393" s="22" t="s">
        <v>30</v>
      </c>
      <c r="N393" s="23">
        <v>45777</v>
      </c>
      <c r="O393" s="21" t="s">
        <v>31</v>
      </c>
      <c r="P393" s="22" t="s">
        <v>30</v>
      </c>
      <c r="Q393" s="23">
        <v>45777</v>
      </c>
      <c r="R393" s="81" t="s">
        <v>127</v>
      </c>
      <c r="S393" s="22" t="s">
        <v>32</v>
      </c>
      <c r="T393" s="22">
        <v>19</v>
      </c>
      <c r="U393" s="24" t="s">
        <v>127</v>
      </c>
      <c r="V393" s="23">
        <v>45777</v>
      </c>
      <c r="W393" s="82" t="s">
        <v>32</v>
      </c>
    </row>
    <row r="394" spans="1:23">
      <c r="A394" s="358" t="s">
        <v>24</v>
      </c>
      <c r="B394" s="369">
        <v>391</v>
      </c>
      <c r="C394" s="372" t="s">
        <v>673</v>
      </c>
      <c r="D394" s="372" t="s">
        <v>34</v>
      </c>
      <c r="E394" s="373">
        <v>45731</v>
      </c>
      <c r="F394" s="372" t="s">
        <v>674</v>
      </c>
      <c r="G394" s="372">
        <v>20</v>
      </c>
      <c r="H394" s="372" t="s">
        <v>21</v>
      </c>
      <c r="I394" s="372" t="s">
        <v>47</v>
      </c>
      <c r="J394" s="21" t="s">
        <v>29</v>
      </c>
      <c r="K394" s="21"/>
      <c r="L394" s="21"/>
      <c r="M394" s="22" t="s">
        <v>30</v>
      </c>
      <c r="N394" s="23">
        <v>45777</v>
      </c>
      <c r="O394" s="21" t="s">
        <v>31</v>
      </c>
      <c r="P394" s="22" t="s">
        <v>30</v>
      </c>
      <c r="Q394" s="23">
        <v>45777</v>
      </c>
      <c r="R394" s="81" t="s">
        <v>127</v>
      </c>
      <c r="S394" s="22" t="s">
        <v>32</v>
      </c>
      <c r="T394" s="22">
        <v>20</v>
      </c>
      <c r="U394" s="24" t="s">
        <v>127</v>
      </c>
      <c r="V394" s="23">
        <v>45777</v>
      </c>
      <c r="W394" s="82" t="s">
        <v>30</v>
      </c>
    </row>
    <row r="395" spans="1:23">
      <c r="A395" s="358" t="s">
        <v>24</v>
      </c>
      <c r="B395" s="369">
        <v>392</v>
      </c>
      <c r="C395" s="372" t="s">
        <v>675</v>
      </c>
      <c r="D395" s="372" t="s">
        <v>676</v>
      </c>
      <c r="E395" s="373">
        <v>45733</v>
      </c>
      <c r="F395" s="372" t="s">
        <v>677</v>
      </c>
      <c r="G395" s="372">
        <v>11</v>
      </c>
      <c r="H395" s="372" t="s">
        <v>22</v>
      </c>
      <c r="I395" s="372" t="s">
        <v>28</v>
      </c>
      <c r="J395" s="21" t="s">
        <v>29</v>
      </c>
      <c r="K395" s="21" t="s">
        <v>678</v>
      </c>
      <c r="L395" s="21"/>
      <c r="M395" s="22"/>
      <c r="N395" s="23"/>
      <c r="O395" s="21"/>
      <c r="P395" s="22"/>
      <c r="Q395" s="23"/>
      <c r="R395" s="81" t="s">
        <v>28</v>
      </c>
      <c r="S395" s="22"/>
      <c r="T395" s="22"/>
      <c r="U395" s="24"/>
      <c r="V395" s="23"/>
      <c r="W395" s="82" t="s">
        <v>32</v>
      </c>
    </row>
    <row r="396" spans="1:23">
      <c r="A396" s="358" t="s">
        <v>24</v>
      </c>
      <c r="B396" s="369">
        <v>393</v>
      </c>
      <c r="C396" s="372" t="s">
        <v>679</v>
      </c>
      <c r="D396" s="372" t="s">
        <v>234</v>
      </c>
      <c r="E396" s="373">
        <v>45733</v>
      </c>
      <c r="F396" s="372" t="s">
        <v>324</v>
      </c>
      <c r="G396" s="372">
        <v>9</v>
      </c>
      <c r="H396" s="372" t="s">
        <v>21</v>
      </c>
      <c r="I396" s="372" t="s">
        <v>36</v>
      </c>
      <c r="J396" s="21" t="s">
        <v>29</v>
      </c>
      <c r="K396" s="21"/>
      <c r="L396" s="21"/>
      <c r="M396" s="22" t="s">
        <v>30</v>
      </c>
      <c r="N396" s="23">
        <v>45777</v>
      </c>
      <c r="O396" s="21"/>
      <c r="P396" s="22" t="s">
        <v>30</v>
      </c>
      <c r="Q396" s="23">
        <v>45777</v>
      </c>
      <c r="R396" s="81" t="s">
        <v>127</v>
      </c>
      <c r="S396" s="22" t="s">
        <v>32</v>
      </c>
      <c r="T396" s="22">
        <v>9</v>
      </c>
      <c r="U396" s="22" t="s">
        <v>127</v>
      </c>
      <c r="V396" s="23">
        <v>45777</v>
      </c>
      <c r="W396" s="82" t="s">
        <v>30</v>
      </c>
    </row>
    <row r="397" spans="1:23">
      <c r="A397" s="358" t="s">
        <v>24</v>
      </c>
      <c r="B397" s="369">
        <v>394</v>
      </c>
      <c r="C397" s="376" t="s">
        <v>680</v>
      </c>
      <c r="D397" s="376" t="s">
        <v>50</v>
      </c>
      <c r="E397" s="373">
        <v>45735</v>
      </c>
      <c r="F397" s="372" t="s">
        <v>650</v>
      </c>
      <c r="G397" s="372">
        <v>13</v>
      </c>
      <c r="H397" s="372" t="s">
        <v>46</v>
      </c>
      <c r="I397" s="372" t="s">
        <v>47</v>
      </c>
      <c r="J397" s="21" t="s">
        <v>29</v>
      </c>
      <c r="K397" s="21"/>
      <c r="L397" s="21"/>
      <c r="M397" s="22" t="s">
        <v>30</v>
      </c>
      <c r="N397" s="23">
        <v>45755</v>
      </c>
      <c r="O397" s="21"/>
      <c r="P397" s="22" t="s">
        <v>30</v>
      </c>
      <c r="Q397" s="23">
        <v>45755</v>
      </c>
      <c r="R397" s="81" t="s">
        <v>46</v>
      </c>
      <c r="S397" s="22" t="s">
        <v>32</v>
      </c>
      <c r="T397" s="22">
        <v>13</v>
      </c>
      <c r="U397" s="22" t="s">
        <v>46</v>
      </c>
      <c r="V397" s="23">
        <v>45755</v>
      </c>
      <c r="W397" s="82" t="s">
        <v>32</v>
      </c>
    </row>
    <row r="398" spans="1:23">
      <c r="A398" s="358" t="s">
        <v>24</v>
      </c>
      <c r="B398" s="369">
        <v>395</v>
      </c>
      <c r="C398" s="372" t="s">
        <v>681</v>
      </c>
      <c r="D398" s="372" t="s">
        <v>477</v>
      </c>
      <c r="E398" s="377">
        <v>45737</v>
      </c>
      <c r="F398" s="372" t="s">
        <v>272</v>
      </c>
      <c r="G398" s="372">
        <v>18</v>
      </c>
      <c r="H398" s="372" t="s">
        <v>21</v>
      </c>
      <c r="I398" s="372" t="s">
        <v>36</v>
      </c>
      <c r="J398" s="21" t="s">
        <v>29</v>
      </c>
      <c r="K398" s="21"/>
      <c r="L398" s="21"/>
      <c r="M398" s="22" t="s">
        <v>30</v>
      </c>
      <c r="N398" s="23">
        <v>45777</v>
      </c>
      <c r="O398" s="21" t="s">
        <v>31</v>
      </c>
      <c r="P398" s="22" t="s">
        <v>30</v>
      </c>
      <c r="Q398" s="23">
        <v>45777</v>
      </c>
      <c r="R398" s="81" t="s">
        <v>127</v>
      </c>
      <c r="S398" s="22" t="s">
        <v>32</v>
      </c>
      <c r="T398" s="22">
        <v>18</v>
      </c>
      <c r="U398" s="24" t="s">
        <v>127</v>
      </c>
      <c r="V398" s="23">
        <v>45777</v>
      </c>
      <c r="W398" s="82" t="s">
        <v>30</v>
      </c>
    </row>
    <row r="399" spans="1:23">
      <c r="A399" s="358" t="s">
        <v>24</v>
      </c>
      <c r="B399" s="369">
        <v>396</v>
      </c>
      <c r="C399" s="372" t="s">
        <v>682</v>
      </c>
      <c r="D399" s="372" t="s">
        <v>43</v>
      </c>
      <c r="E399" s="377">
        <v>45737</v>
      </c>
      <c r="F399" s="372" t="s">
        <v>683</v>
      </c>
      <c r="G399" s="372">
        <v>13</v>
      </c>
      <c r="H399" s="372" t="s">
        <v>21</v>
      </c>
      <c r="I399" s="372" t="s">
        <v>36</v>
      </c>
      <c r="J399" s="21" t="s">
        <v>29</v>
      </c>
      <c r="K399" s="21" t="s">
        <v>647</v>
      </c>
      <c r="L399" s="21"/>
      <c r="M399" s="22"/>
      <c r="N399" s="23"/>
      <c r="O399" s="21"/>
      <c r="P399" s="22"/>
      <c r="Q399" s="23"/>
      <c r="R399" s="81" t="s">
        <v>127</v>
      </c>
      <c r="S399" s="22"/>
      <c r="T399" s="22"/>
      <c r="U399" s="24"/>
      <c r="V399" s="23"/>
      <c r="W399" s="82" t="s">
        <v>32</v>
      </c>
    </row>
    <row r="400" spans="1:23">
      <c r="A400" s="358" t="s">
        <v>24</v>
      </c>
      <c r="B400" s="369">
        <v>397</v>
      </c>
      <c r="C400" s="372" t="s">
        <v>684</v>
      </c>
      <c r="D400" s="372" t="s">
        <v>477</v>
      </c>
      <c r="E400" s="377">
        <v>45737</v>
      </c>
      <c r="F400" s="372" t="s">
        <v>199</v>
      </c>
      <c r="G400" s="372">
        <v>18</v>
      </c>
      <c r="H400" s="372" t="s">
        <v>46</v>
      </c>
      <c r="I400" s="372" t="s">
        <v>47</v>
      </c>
      <c r="J400" s="21" t="s">
        <v>237</v>
      </c>
      <c r="K400" s="21"/>
      <c r="L400" s="21"/>
      <c r="M400" s="22" t="s">
        <v>30</v>
      </c>
      <c r="N400" s="23">
        <v>45771</v>
      </c>
      <c r="O400" s="21" t="s">
        <v>31</v>
      </c>
      <c r="P400" s="22" t="s">
        <v>30</v>
      </c>
      <c r="Q400" s="23">
        <v>45771</v>
      </c>
      <c r="R400" s="81" t="s">
        <v>46</v>
      </c>
      <c r="S400" s="22" t="s">
        <v>32</v>
      </c>
      <c r="T400" s="22">
        <v>21</v>
      </c>
      <c r="U400" s="24" t="s">
        <v>46</v>
      </c>
      <c r="V400" s="23">
        <v>45771</v>
      </c>
      <c r="W400" s="82" t="s">
        <v>32</v>
      </c>
    </row>
    <row r="401" spans="1:23">
      <c r="A401" s="358" t="s">
        <v>24</v>
      </c>
      <c r="B401" s="369">
        <v>398</v>
      </c>
      <c r="C401" s="372" t="s">
        <v>685</v>
      </c>
      <c r="D401" s="372" t="s">
        <v>34</v>
      </c>
      <c r="E401" s="377">
        <v>45737</v>
      </c>
      <c r="F401" s="372" t="s">
        <v>245</v>
      </c>
      <c r="G401" s="372">
        <v>9</v>
      </c>
      <c r="H401" s="372" t="s">
        <v>46</v>
      </c>
      <c r="I401" s="372" t="s">
        <v>47</v>
      </c>
      <c r="J401" s="21" t="s">
        <v>29</v>
      </c>
      <c r="K401" s="21"/>
      <c r="L401" s="21"/>
      <c r="M401" s="22" t="s">
        <v>30</v>
      </c>
      <c r="N401" s="23">
        <v>45769</v>
      </c>
      <c r="O401" s="21"/>
      <c r="P401" s="22" t="s">
        <v>30</v>
      </c>
      <c r="Q401" s="23">
        <v>45769</v>
      </c>
      <c r="R401" s="81" t="s">
        <v>46</v>
      </c>
      <c r="S401" s="22" t="s">
        <v>32</v>
      </c>
      <c r="T401" s="22">
        <v>9</v>
      </c>
      <c r="U401" s="22" t="s">
        <v>46</v>
      </c>
      <c r="V401" s="23">
        <v>45769</v>
      </c>
      <c r="W401" s="82" t="s">
        <v>32</v>
      </c>
    </row>
    <row r="402" spans="1:23">
      <c r="A402" s="358" t="s">
        <v>24</v>
      </c>
      <c r="B402" s="369">
        <v>399</v>
      </c>
      <c r="C402" s="372" t="s">
        <v>686</v>
      </c>
      <c r="D402" s="372" t="s">
        <v>34</v>
      </c>
      <c r="E402" s="377">
        <v>45738</v>
      </c>
      <c r="F402" s="372" t="s">
        <v>35</v>
      </c>
      <c r="G402" s="372">
        <v>11</v>
      </c>
      <c r="H402" s="372" t="s">
        <v>21</v>
      </c>
      <c r="I402" s="372" t="s">
        <v>36</v>
      </c>
      <c r="J402" s="21" t="s">
        <v>29</v>
      </c>
      <c r="K402" s="21"/>
      <c r="L402" s="21"/>
      <c r="M402" s="22" t="s">
        <v>30</v>
      </c>
      <c r="N402" s="23">
        <v>45777</v>
      </c>
      <c r="O402" s="21"/>
      <c r="P402" s="22" t="s">
        <v>30</v>
      </c>
      <c r="Q402" s="23">
        <v>45777</v>
      </c>
      <c r="R402" s="81" t="s">
        <v>127</v>
      </c>
      <c r="S402" s="22" t="s">
        <v>32</v>
      </c>
      <c r="T402" s="22">
        <v>11</v>
      </c>
      <c r="U402" s="22" t="s">
        <v>127</v>
      </c>
      <c r="V402" s="23">
        <v>45777</v>
      </c>
      <c r="W402" s="82" t="s">
        <v>30</v>
      </c>
    </row>
    <row r="403" spans="1:23">
      <c r="A403" s="358" t="s">
        <v>24</v>
      </c>
      <c r="B403" s="369">
        <v>400</v>
      </c>
      <c r="C403" s="372" t="s">
        <v>687</v>
      </c>
      <c r="D403" s="372" t="s">
        <v>34</v>
      </c>
      <c r="E403" s="377">
        <v>45738</v>
      </c>
      <c r="F403" s="372" t="s">
        <v>688</v>
      </c>
      <c r="G403" s="372">
        <v>13</v>
      </c>
      <c r="H403" s="372" t="s">
        <v>21</v>
      </c>
      <c r="I403" s="372" t="s">
        <v>36</v>
      </c>
      <c r="J403" s="21" t="s">
        <v>29</v>
      </c>
      <c r="K403" s="21"/>
      <c r="L403" s="21"/>
      <c r="M403" s="22" t="s">
        <v>30</v>
      </c>
      <c r="N403" s="23">
        <v>45777</v>
      </c>
      <c r="O403" s="21"/>
      <c r="P403" s="22" t="s">
        <v>30</v>
      </c>
      <c r="Q403" s="23">
        <v>45777</v>
      </c>
      <c r="R403" s="81" t="s">
        <v>127</v>
      </c>
      <c r="S403" s="22" t="s">
        <v>32</v>
      </c>
      <c r="T403" s="22">
        <v>13</v>
      </c>
      <c r="U403" s="24" t="s">
        <v>127</v>
      </c>
      <c r="V403" s="23">
        <v>45777</v>
      </c>
      <c r="W403" s="82" t="s">
        <v>32</v>
      </c>
    </row>
    <row r="404" spans="1:23">
      <c r="A404" s="358" t="s">
        <v>24</v>
      </c>
      <c r="B404" s="369">
        <v>401</v>
      </c>
      <c r="C404" s="372" t="s">
        <v>689</v>
      </c>
      <c r="D404" s="372" t="s">
        <v>34</v>
      </c>
      <c r="E404" s="377">
        <v>45738</v>
      </c>
      <c r="F404" s="372" t="s">
        <v>690</v>
      </c>
      <c r="G404" s="372">
        <v>13</v>
      </c>
      <c r="H404" s="372" t="s">
        <v>21</v>
      </c>
      <c r="I404" s="372" t="s">
        <v>36</v>
      </c>
      <c r="J404" s="21" t="s">
        <v>29</v>
      </c>
      <c r="K404" s="21"/>
      <c r="L404" s="21"/>
      <c r="M404" s="22" t="s">
        <v>30</v>
      </c>
      <c r="N404" s="23">
        <v>45777</v>
      </c>
      <c r="O404" s="21"/>
      <c r="P404" s="22" t="s">
        <v>30</v>
      </c>
      <c r="Q404" s="23">
        <v>45777</v>
      </c>
      <c r="R404" s="81" t="s">
        <v>127</v>
      </c>
      <c r="S404" s="22" t="s">
        <v>32</v>
      </c>
      <c r="T404" s="22">
        <v>13</v>
      </c>
      <c r="U404" s="24" t="s">
        <v>127</v>
      </c>
      <c r="V404" s="23">
        <v>45777</v>
      </c>
      <c r="W404" s="82" t="s">
        <v>30</v>
      </c>
    </row>
    <row r="405" spans="1:23">
      <c r="A405" s="358" t="s">
        <v>24</v>
      </c>
      <c r="B405" s="369">
        <v>402</v>
      </c>
      <c r="C405" s="372" t="s">
        <v>691</v>
      </c>
      <c r="D405" s="372" t="s">
        <v>34</v>
      </c>
      <c r="E405" s="377">
        <v>45738</v>
      </c>
      <c r="F405" s="372" t="s">
        <v>692</v>
      </c>
      <c r="G405" s="372">
        <v>19</v>
      </c>
      <c r="H405" s="372" t="s">
        <v>21</v>
      </c>
      <c r="I405" s="372" t="s">
        <v>36</v>
      </c>
      <c r="J405" s="21" t="s">
        <v>29</v>
      </c>
      <c r="K405" s="21"/>
      <c r="L405" s="21"/>
      <c r="M405" s="22" t="s">
        <v>30</v>
      </c>
      <c r="N405" s="23">
        <v>45750</v>
      </c>
      <c r="O405" s="21" t="s">
        <v>31</v>
      </c>
      <c r="P405" s="22" t="s">
        <v>30</v>
      </c>
      <c r="Q405" s="23">
        <v>45750</v>
      </c>
      <c r="R405" s="81" t="s">
        <v>21</v>
      </c>
      <c r="S405" s="22" t="s">
        <v>32</v>
      </c>
      <c r="T405" s="22">
        <v>19</v>
      </c>
      <c r="U405" s="24" t="s">
        <v>21</v>
      </c>
      <c r="V405" s="23">
        <v>45750</v>
      </c>
      <c r="W405" s="82" t="s">
        <v>30</v>
      </c>
    </row>
    <row r="406" spans="1:23">
      <c r="A406" s="358" t="s">
        <v>24</v>
      </c>
      <c r="B406" s="369">
        <v>403</v>
      </c>
      <c r="C406" s="372" t="s">
        <v>693</v>
      </c>
      <c r="D406" s="372" t="s">
        <v>34</v>
      </c>
      <c r="E406" s="377">
        <v>45738</v>
      </c>
      <c r="F406" s="372" t="s">
        <v>683</v>
      </c>
      <c r="G406" s="372">
        <v>12</v>
      </c>
      <c r="H406" s="372" t="s">
        <v>21</v>
      </c>
      <c r="I406" s="372" t="s">
        <v>36</v>
      </c>
      <c r="J406" s="21" t="s">
        <v>29</v>
      </c>
      <c r="K406" s="21"/>
      <c r="L406" s="21"/>
      <c r="M406" s="22" t="s">
        <v>30</v>
      </c>
      <c r="N406" s="23">
        <v>45754</v>
      </c>
      <c r="O406" s="21"/>
      <c r="P406" s="22" t="s">
        <v>30</v>
      </c>
      <c r="Q406" s="23">
        <v>45754</v>
      </c>
      <c r="R406" s="81" t="s">
        <v>21</v>
      </c>
      <c r="S406" s="22" t="s">
        <v>32</v>
      </c>
      <c r="T406" s="22">
        <v>12</v>
      </c>
      <c r="U406" s="24" t="s">
        <v>21</v>
      </c>
      <c r="V406" s="23">
        <v>45754</v>
      </c>
      <c r="W406" s="82" t="s">
        <v>30</v>
      </c>
    </row>
    <row r="407" spans="1:23">
      <c r="A407" s="358" t="s">
        <v>24</v>
      </c>
      <c r="B407" s="369">
        <v>404</v>
      </c>
      <c r="C407" s="372" t="s">
        <v>694</v>
      </c>
      <c r="D407" s="372" t="s">
        <v>34</v>
      </c>
      <c r="E407" s="377">
        <v>45738</v>
      </c>
      <c r="F407" s="372" t="s">
        <v>695</v>
      </c>
      <c r="G407" s="372">
        <v>14</v>
      </c>
      <c r="H407" s="372" t="s">
        <v>21</v>
      </c>
      <c r="I407" s="372" t="s">
        <v>36</v>
      </c>
      <c r="J407" s="21" t="s">
        <v>29</v>
      </c>
      <c r="K407" s="21"/>
      <c r="L407" s="21"/>
      <c r="M407" s="22" t="s">
        <v>30</v>
      </c>
      <c r="N407" s="23">
        <v>45758</v>
      </c>
      <c r="O407" s="21"/>
      <c r="P407" s="22" t="s">
        <v>30</v>
      </c>
      <c r="Q407" s="23">
        <v>45758</v>
      </c>
      <c r="R407" s="81" t="s">
        <v>21</v>
      </c>
      <c r="S407" s="22" t="s">
        <v>32</v>
      </c>
      <c r="T407" s="22">
        <v>14</v>
      </c>
      <c r="U407" s="22" t="s">
        <v>21</v>
      </c>
      <c r="V407" s="23">
        <v>45758</v>
      </c>
      <c r="W407" s="82" t="s">
        <v>30</v>
      </c>
    </row>
    <row r="408" spans="1:23">
      <c r="A408" s="358" t="s">
        <v>24</v>
      </c>
      <c r="B408" s="369">
        <v>405</v>
      </c>
      <c r="C408" s="378" t="s">
        <v>696</v>
      </c>
      <c r="D408" s="378" t="s">
        <v>64</v>
      </c>
      <c r="E408" s="373">
        <v>45738</v>
      </c>
      <c r="F408" s="372" t="s">
        <v>272</v>
      </c>
      <c r="G408" s="372">
        <v>20</v>
      </c>
      <c r="H408" s="372" t="s">
        <v>21</v>
      </c>
      <c r="I408" s="372" t="s">
        <v>36</v>
      </c>
      <c r="J408" s="21" t="s">
        <v>29</v>
      </c>
      <c r="K408" s="21"/>
      <c r="L408" s="21"/>
      <c r="M408" s="24" t="s">
        <v>30</v>
      </c>
      <c r="N408" s="23">
        <v>45771</v>
      </c>
      <c r="O408" s="21" t="s">
        <v>31</v>
      </c>
      <c r="P408" s="24" t="s">
        <v>30</v>
      </c>
      <c r="Q408" s="23">
        <v>45771</v>
      </c>
      <c r="R408" s="81" t="s">
        <v>21</v>
      </c>
      <c r="S408" s="22" t="s">
        <v>32</v>
      </c>
      <c r="T408" s="22">
        <v>20</v>
      </c>
      <c r="U408" s="22" t="s">
        <v>21</v>
      </c>
      <c r="V408" s="23">
        <v>45771</v>
      </c>
      <c r="W408" s="82" t="s">
        <v>32</v>
      </c>
    </row>
    <row r="409" spans="1:23">
      <c r="A409" s="358" t="s">
        <v>24</v>
      </c>
      <c r="B409" s="369">
        <v>406</v>
      </c>
      <c r="C409" s="372" t="s">
        <v>697</v>
      </c>
      <c r="D409" s="372" t="s">
        <v>34</v>
      </c>
      <c r="E409" s="373">
        <v>45738</v>
      </c>
      <c r="F409" s="372" t="s">
        <v>698</v>
      </c>
      <c r="G409" s="372">
        <v>11</v>
      </c>
      <c r="H409" s="372" t="s">
        <v>21</v>
      </c>
      <c r="I409" s="372" t="s">
        <v>36</v>
      </c>
      <c r="J409" s="21" t="s">
        <v>29</v>
      </c>
      <c r="K409" s="21"/>
      <c r="L409" s="21"/>
      <c r="M409" s="22" t="s">
        <v>30</v>
      </c>
      <c r="N409" s="23">
        <v>45757</v>
      </c>
      <c r="O409" s="21"/>
      <c r="P409" s="22" t="s">
        <v>30</v>
      </c>
      <c r="Q409" s="23">
        <v>45757</v>
      </c>
      <c r="R409" s="81" t="s">
        <v>21</v>
      </c>
      <c r="S409" s="22" t="s">
        <v>32</v>
      </c>
      <c r="T409" s="22">
        <v>11</v>
      </c>
      <c r="U409" s="22" t="s">
        <v>21</v>
      </c>
      <c r="V409" s="23">
        <v>45757</v>
      </c>
      <c r="W409" s="82" t="s">
        <v>30</v>
      </c>
    </row>
    <row r="410" spans="1:23">
      <c r="A410" s="358" t="s">
        <v>24</v>
      </c>
      <c r="B410" s="369">
        <v>407</v>
      </c>
      <c r="C410" s="372" t="s">
        <v>699</v>
      </c>
      <c r="D410" s="372" t="s">
        <v>34</v>
      </c>
      <c r="E410" s="373">
        <v>45738</v>
      </c>
      <c r="F410" s="372" t="s">
        <v>698</v>
      </c>
      <c r="G410" s="372">
        <v>5</v>
      </c>
      <c r="H410" s="372" t="s">
        <v>21</v>
      </c>
      <c r="I410" s="372" t="s">
        <v>36</v>
      </c>
      <c r="J410" s="21" t="s">
        <v>29</v>
      </c>
      <c r="K410" s="21"/>
      <c r="L410" s="21"/>
      <c r="M410" s="22" t="s">
        <v>30</v>
      </c>
      <c r="N410" s="23">
        <v>45754</v>
      </c>
      <c r="O410" s="21"/>
      <c r="P410" s="22" t="s">
        <v>30</v>
      </c>
      <c r="Q410" s="23">
        <v>45754</v>
      </c>
      <c r="R410" s="81" t="s">
        <v>21</v>
      </c>
      <c r="S410" s="22" t="s">
        <v>32</v>
      </c>
      <c r="T410" s="22">
        <v>5</v>
      </c>
      <c r="U410" s="22" t="s">
        <v>21</v>
      </c>
      <c r="V410" s="23">
        <v>45754</v>
      </c>
      <c r="W410" s="82" t="s">
        <v>30</v>
      </c>
    </row>
    <row r="411" spans="1:23">
      <c r="A411" s="358" t="s">
        <v>24</v>
      </c>
      <c r="B411" s="369">
        <v>408</v>
      </c>
      <c r="C411" s="372" t="s">
        <v>700</v>
      </c>
      <c r="D411" s="372" t="s">
        <v>34</v>
      </c>
      <c r="E411" s="373">
        <v>45738</v>
      </c>
      <c r="F411" s="372" t="s">
        <v>701</v>
      </c>
      <c r="G411" s="372">
        <v>9</v>
      </c>
      <c r="H411" s="372" t="s">
        <v>22</v>
      </c>
      <c r="I411" s="372" t="s">
        <v>28</v>
      </c>
      <c r="J411" s="21" t="s">
        <v>29</v>
      </c>
      <c r="K411" s="21"/>
      <c r="L411" s="21"/>
      <c r="M411" s="22" t="s">
        <v>30</v>
      </c>
      <c r="N411" s="23">
        <v>45756</v>
      </c>
      <c r="O411" s="21"/>
      <c r="P411" s="22" t="s">
        <v>30</v>
      </c>
      <c r="Q411" s="23">
        <v>45756</v>
      </c>
      <c r="R411" s="81" t="s">
        <v>28</v>
      </c>
      <c r="S411" s="22" t="s">
        <v>32</v>
      </c>
      <c r="T411" s="22">
        <v>9</v>
      </c>
      <c r="U411" s="22" t="s">
        <v>28</v>
      </c>
      <c r="V411" s="23">
        <v>45756</v>
      </c>
      <c r="W411" s="82" t="s">
        <v>30</v>
      </c>
    </row>
    <row r="412" spans="1:23">
      <c r="A412" s="358" t="s">
        <v>24</v>
      </c>
      <c r="B412" s="369">
        <v>409</v>
      </c>
      <c r="C412" s="372" t="s">
        <v>702</v>
      </c>
      <c r="D412" s="372" t="s">
        <v>34</v>
      </c>
      <c r="E412" s="373">
        <v>45738</v>
      </c>
      <c r="F412" s="372" t="s">
        <v>206</v>
      </c>
      <c r="G412" s="372">
        <v>17</v>
      </c>
      <c r="H412" s="375" t="s">
        <v>22</v>
      </c>
      <c r="I412" s="372" t="s">
        <v>28</v>
      </c>
      <c r="J412" s="21" t="s">
        <v>29</v>
      </c>
      <c r="K412" s="21"/>
      <c r="L412" s="21"/>
      <c r="M412" s="22" t="s">
        <v>30</v>
      </c>
      <c r="N412" s="23">
        <v>45757</v>
      </c>
      <c r="O412" s="21" t="s">
        <v>31</v>
      </c>
      <c r="P412" s="22" t="s">
        <v>30</v>
      </c>
      <c r="Q412" s="23">
        <v>45757</v>
      </c>
      <c r="R412" s="81" t="s">
        <v>28</v>
      </c>
      <c r="S412" s="22" t="s">
        <v>32</v>
      </c>
      <c r="T412" s="22">
        <v>17</v>
      </c>
      <c r="U412" s="22" t="s">
        <v>28</v>
      </c>
      <c r="V412" s="23">
        <v>45757</v>
      </c>
      <c r="W412" s="82" t="s">
        <v>30</v>
      </c>
    </row>
    <row r="413" spans="1:23">
      <c r="A413" s="358" t="s">
        <v>24</v>
      </c>
      <c r="B413" s="369">
        <v>410</v>
      </c>
      <c r="C413" s="372" t="s">
        <v>703</v>
      </c>
      <c r="D413" s="372" t="s">
        <v>57</v>
      </c>
      <c r="E413" s="373">
        <v>45738</v>
      </c>
      <c r="F413" s="372" t="s">
        <v>412</v>
      </c>
      <c r="G413" s="372">
        <v>11</v>
      </c>
      <c r="H413" s="375" t="s">
        <v>46</v>
      </c>
      <c r="I413" s="372" t="s">
        <v>47</v>
      </c>
      <c r="J413" s="21" t="s">
        <v>29</v>
      </c>
      <c r="K413" s="21"/>
      <c r="L413" s="21"/>
      <c r="M413" s="22" t="s">
        <v>30</v>
      </c>
      <c r="N413" s="23">
        <v>45761</v>
      </c>
      <c r="O413" s="21"/>
      <c r="P413" s="22" t="s">
        <v>30</v>
      </c>
      <c r="Q413" s="23">
        <v>45761</v>
      </c>
      <c r="R413" s="81" t="s">
        <v>46</v>
      </c>
      <c r="S413" s="22" t="s">
        <v>32</v>
      </c>
      <c r="T413" s="22">
        <v>11</v>
      </c>
      <c r="U413" s="22" t="s">
        <v>46</v>
      </c>
      <c r="V413" s="23">
        <v>45761</v>
      </c>
      <c r="W413" s="82" t="s">
        <v>30</v>
      </c>
    </row>
    <row r="414" spans="1:23">
      <c r="A414" s="358" t="s">
        <v>24</v>
      </c>
      <c r="B414" s="369">
        <v>411</v>
      </c>
      <c r="C414" s="372" t="s">
        <v>704</v>
      </c>
      <c r="D414" s="372" t="s">
        <v>34</v>
      </c>
      <c r="E414" s="373">
        <v>45740</v>
      </c>
      <c r="F414" s="372" t="s">
        <v>705</v>
      </c>
      <c r="G414" s="372">
        <v>12</v>
      </c>
      <c r="H414" s="375" t="s">
        <v>21</v>
      </c>
      <c r="I414" s="372" t="s">
        <v>36</v>
      </c>
      <c r="J414" s="21" t="s">
        <v>29</v>
      </c>
      <c r="K414" s="21"/>
      <c r="L414" s="21"/>
      <c r="M414" s="22" t="s">
        <v>30</v>
      </c>
      <c r="N414" s="23">
        <v>45749</v>
      </c>
      <c r="O414" s="21"/>
      <c r="P414" s="22" t="s">
        <v>30</v>
      </c>
      <c r="Q414" s="23">
        <v>45749</v>
      </c>
      <c r="R414" s="81" t="s">
        <v>21</v>
      </c>
      <c r="S414" s="22" t="s">
        <v>32</v>
      </c>
      <c r="T414" s="22">
        <v>12</v>
      </c>
      <c r="U414" s="24" t="s">
        <v>21</v>
      </c>
      <c r="V414" s="23">
        <v>45749</v>
      </c>
      <c r="W414" s="82" t="s">
        <v>30</v>
      </c>
    </row>
    <row r="415" spans="1:23">
      <c r="A415" s="358" t="s">
        <v>24</v>
      </c>
      <c r="B415" s="369">
        <v>412</v>
      </c>
      <c r="C415" s="372" t="s">
        <v>706</v>
      </c>
      <c r="D415" s="372" t="s">
        <v>102</v>
      </c>
      <c r="E415" s="373">
        <v>45740</v>
      </c>
      <c r="F415" s="372" t="s">
        <v>707</v>
      </c>
      <c r="G415" s="372">
        <v>13</v>
      </c>
      <c r="H415" s="375" t="s">
        <v>21</v>
      </c>
      <c r="I415" s="372" t="s">
        <v>36</v>
      </c>
      <c r="J415" s="21" t="s">
        <v>29</v>
      </c>
      <c r="K415" s="21"/>
      <c r="L415" s="21"/>
      <c r="M415" s="22" t="s">
        <v>30</v>
      </c>
      <c r="N415" s="23">
        <v>45755</v>
      </c>
      <c r="O415" s="21"/>
      <c r="P415" s="22" t="s">
        <v>30</v>
      </c>
      <c r="Q415" s="23">
        <v>45755</v>
      </c>
      <c r="R415" s="81" t="s">
        <v>21</v>
      </c>
      <c r="S415" s="22" t="s">
        <v>32</v>
      </c>
      <c r="T415" s="22">
        <v>13</v>
      </c>
      <c r="U415" s="24" t="s">
        <v>708</v>
      </c>
      <c r="V415" s="23">
        <v>45755</v>
      </c>
      <c r="W415" s="82" t="s">
        <v>30</v>
      </c>
    </row>
    <row r="416" spans="1:23">
      <c r="A416" s="358" t="s">
        <v>24</v>
      </c>
      <c r="B416" s="369">
        <v>413</v>
      </c>
      <c r="C416" s="372" t="s">
        <v>709</v>
      </c>
      <c r="D416" s="372" t="s">
        <v>477</v>
      </c>
      <c r="E416" s="373">
        <v>45736</v>
      </c>
      <c r="F416" s="372" t="s">
        <v>272</v>
      </c>
      <c r="G416" s="372">
        <v>18</v>
      </c>
      <c r="H416" s="372" t="s">
        <v>21</v>
      </c>
      <c r="I416" s="372" t="s">
        <v>36</v>
      </c>
      <c r="J416" s="21" t="s">
        <v>29</v>
      </c>
      <c r="K416" s="21"/>
      <c r="L416" s="21"/>
      <c r="M416" s="22" t="s">
        <v>30</v>
      </c>
      <c r="N416" s="23">
        <v>45754</v>
      </c>
      <c r="O416" s="21" t="s">
        <v>31</v>
      </c>
      <c r="P416" s="22" t="s">
        <v>30</v>
      </c>
      <c r="Q416" s="23">
        <v>45754</v>
      </c>
      <c r="R416" s="81" t="s">
        <v>21</v>
      </c>
      <c r="S416" s="22" t="s">
        <v>32</v>
      </c>
      <c r="T416" s="22">
        <v>14</v>
      </c>
      <c r="U416" s="22" t="s">
        <v>21</v>
      </c>
      <c r="V416" s="23">
        <v>45754</v>
      </c>
      <c r="W416" s="82" t="s">
        <v>30</v>
      </c>
    </row>
    <row r="417" spans="1:23">
      <c r="A417" s="358" t="s">
        <v>24</v>
      </c>
      <c r="B417" s="369">
        <v>414</v>
      </c>
      <c r="C417" s="372" t="s">
        <v>710</v>
      </c>
      <c r="D417" s="372" t="s">
        <v>711</v>
      </c>
      <c r="E417" s="373">
        <v>45740</v>
      </c>
      <c r="F417" s="372" t="s">
        <v>395</v>
      </c>
      <c r="G417" s="372">
        <v>18</v>
      </c>
      <c r="H417" s="372" t="s">
        <v>22</v>
      </c>
      <c r="I417" s="372" t="s">
        <v>28</v>
      </c>
      <c r="J417" s="21" t="s">
        <v>29</v>
      </c>
      <c r="K417" s="21" t="s">
        <v>647</v>
      </c>
      <c r="L417" s="21"/>
      <c r="M417" s="22"/>
      <c r="N417" s="23"/>
      <c r="O417" s="21" t="s">
        <v>31</v>
      </c>
      <c r="P417" s="22"/>
      <c r="Q417" s="23"/>
      <c r="R417" s="81" t="s">
        <v>28</v>
      </c>
      <c r="S417" s="22"/>
      <c r="T417" s="22"/>
      <c r="U417" s="24"/>
      <c r="V417" s="23"/>
      <c r="W417" s="82" t="s">
        <v>32</v>
      </c>
    </row>
    <row r="418" spans="1:23">
      <c r="A418" s="358" t="s">
        <v>24</v>
      </c>
      <c r="B418" s="369">
        <v>415</v>
      </c>
      <c r="C418" s="372" t="s">
        <v>712</v>
      </c>
      <c r="D418" s="372" t="s">
        <v>102</v>
      </c>
      <c r="E418" s="373">
        <v>45740</v>
      </c>
      <c r="F418" s="372" t="s">
        <v>430</v>
      </c>
      <c r="G418" s="372">
        <v>10</v>
      </c>
      <c r="H418" s="375" t="s">
        <v>46</v>
      </c>
      <c r="I418" s="372" t="s">
        <v>47</v>
      </c>
      <c r="J418" s="21" t="s">
        <v>29</v>
      </c>
      <c r="K418" s="21"/>
      <c r="L418" s="21"/>
      <c r="M418" s="22" t="s">
        <v>30</v>
      </c>
      <c r="N418" s="23">
        <v>45757</v>
      </c>
      <c r="O418" s="21"/>
      <c r="P418" s="22" t="s">
        <v>30</v>
      </c>
      <c r="Q418" s="23">
        <v>45757</v>
      </c>
      <c r="R418" s="81" t="s">
        <v>46</v>
      </c>
      <c r="S418" s="22" t="s">
        <v>32</v>
      </c>
      <c r="T418" s="22">
        <v>10</v>
      </c>
      <c r="U418" s="24" t="s">
        <v>46</v>
      </c>
      <c r="V418" s="23">
        <v>45757</v>
      </c>
      <c r="W418" s="82" t="s">
        <v>30</v>
      </c>
    </row>
    <row r="419" spans="1:23">
      <c r="A419" s="358" t="s">
        <v>24</v>
      </c>
      <c r="B419" s="369">
        <v>416</v>
      </c>
      <c r="C419" s="372" t="s">
        <v>713</v>
      </c>
      <c r="D419" s="372" t="s">
        <v>34</v>
      </c>
      <c r="E419" s="373">
        <v>45741</v>
      </c>
      <c r="F419" s="372" t="s">
        <v>500</v>
      </c>
      <c r="G419" s="372">
        <v>9</v>
      </c>
      <c r="H419" s="375" t="s">
        <v>46</v>
      </c>
      <c r="I419" s="372" t="s">
        <v>47</v>
      </c>
      <c r="J419" s="21" t="s">
        <v>29</v>
      </c>
      <c r="K419" s="21"/>
      <c r="L419" s="21"/>
      <c r="M419" s="22" t="s">
        <v>30</v>
      </c>
      <c r="N419" s="23">
        <v>45762</v>
      </c>
      <c r="O419" s="21"/>
      <c r="P419" s="22" t="s">
        <v>30</v>
      </c>
      <c r="Q419" s="23">
        <v>45762</v>
      </c>
      <c r="R419" s="81" t="s">
        <v>46</v>
      </c>
      <c r="S419" s="22" t="s">
        <v>32</v>
      </c>
      <c r="T419" s="22">
        <v>9</v>
      </c>
      <c r="U419" s="24" t="s">
        <v>46</v>
      </c>
      <c r="V419" s="23">
        <v>45762</v>
      </c>
      <c r="W419" s="82" t="s">
        <v>30</v>
      </c>
    </row>
    <row r="420" spans="1:23">
      <c r="A420" s="358" t="s">
        <v>24</v>
      </c>
      <c r="B420" s="369">
        <v>417</v>
      </c>
      <c r="C420" s="372" t="s">
        <v>714</v>
      </c>
      <c r="D420" s="372" t="s">
        <v>34</v>
      </c>
      <c r="E420" s="373">
        <v>45741</v>
      </c>
      <c r="F420" s="372" t="s">
        <v>500</v>
      </c>
      <c r="G420" s="372">
        <v>4</v>
      </c>
      <c r="H420" s="372" t="s">
        <v>46</v>
      </c>
      <c r="I420" s="372" t="s">
        <v>47</v>
      </c>
      <c r="J420" s="21" t="s">
        <v>29</v>
      </c>
      <c r="K420" s="21"/>
      <c r="L420" s="21"/>
      <c r="M420" s="22" t="s">
        <v>30</v>
      </c>
      <c r="N420" s="23">
        <v>45762</v>
      </c>
      <c r="O420" s="21"/>
      <c r="P420" s="22" t="s">
        <v>30</v>
      </c>
      <c r="Q420" s="23">
        <v>45762</v>
      </c>
      <c r="R420" s="81" t="s">
        <v>46</v>
      </c>
      <c r="S420" s="22" t="s">
        <v>32</v>
      </c>
      <c r="T420" s="22">
        <v>4</v>
      </c>
      <c r="U420" s="24" t="s">
        <v>46</v>
      </c>
      <c r="V420" s="23">
        <v>45762</v>
      </c>
      <c r="W420" s="82" t="s">
        <v>30</v>
      </c>
    </row>
    <row r="421" spans="1:23">
      <c r="A421" s="358" t="s">
        <v>24</v>
      </c>
      <c r="B421" s="369">
        <v>418</v>
      </c>
      <c r="C421" s="372" t="s">
        <v>715</v>
      </c>
      <c r="D421" s="372" t="s">
        <v>716</v>
      </c>
      <c r="E421" s="373">
        <v>45741</v>
      </c>
      <c r="F421" s="372" t="s">
        <v>707</v>
      </c>
      <c r="G421" s="372">
        <v>13</v>
      </c>
      <c r="H421" s="372" t="s">
        <v>21</v>
      </c>
      <c r="I421" s="372" t="s">
        <v>36</v>
      </c>
      <c r="J421" s="21" t="s">
        <v>29</v>
      </c>
      <c r="K421" s="21"/>
      <c r="L421" s="21"/>
      <c r="M421" s="22" t="s">
        <v>30</v>
      </c>
      <c r="N421" s="23">
        <v>45771</v>
      </c>
      <c r="O421" s="21"/>
      <c r="P421" s="22" t="s">
        <v>30</v>
      </c>
      <c r="Q421" s="23">
        <v>45771</v>
      </c>
      <c r="R421" s="81" t="s">
        <v>21</v>
      </c>
      <c r="S421" s="22" t="s">
        <v>32</v>
      </c>
      <c r="T421" s="22">
        <v>13</v>
      </c>
      <c r="U421" s="22" t="s">
        <v>21</v>
      </c>
      <c r="V421" s="23">
        <v>45771</v>
      </c>
      <c r="W421" s="82" t="s">
        <v>32</v>
      </c>
    </row>
    <row r="422" spans="1:23">
      <c r="A422" s="358" t="s">
        <v>24</v>
      </c>
      <c r="B422" s="369">
        <v>419</v>
      </c>
      <c r="C422" s="372" t="s">
        <v>717</v>
      </c>
      <c r="D422" s="372" t="s">
        <v>50</v>
      </c>
      <c r="E422" s="373">
        <v>45742</v>
      </c>
      <c r="F422" s="372" t="s">
        <v>718</v>
      </c>
      <c r="G422" s="372">
        <v>10</v>
      </c>
      <c r="H422" s="372" t="s">
        <v>21</v>
      </c>
      <c r="I422" s="372" t="s">
        <v>36</v>
      </c>
      <c r="J422" s="21" t="s">
        <v>29</v>
      </c>
      <c r="K422" s="21"/>
      <c r="L422" s="21"/>
      <c r="M422" s="22" t="s">
        <v>30</v>
      </c>
      <c r="N422" s="23">
        <v>45750</v>
      </c>
      <c r="O422" s="21"/>
      <c r="P422" s="22" t="s">
        <v>30</v>
      </c>
      <c r="Q422" s="23">
        <v>45750</v>
      </c>
      <c r="R422" s="81" t="s">
        <v>21</v>
      </c>
      <c r="S422" s="22" t="s">
        <v>32</v>
      </c>
      <c r="T422" s="22">
        <v>10</v>
      </c>
      <c r="U422" s="22" t="s">
        <v>21</v>
      </c>
      <c r="V422" s="23">
        <v>45750</v>
      </c>
      <c r="W422" s="82" t="s">
        <v>30</v>
      </c>
    </row>
    <row r="423" spans="1:23">
      <c r="A423" s="358" t="s">
        <v>24</v>
      </c>
      <c r="B423" s="369">
        <v>420</v>
      </c>
      <c r="C423" s="372" t="s">
        <v>719</v>
      </c>
      <c r="D423" s="372" t="s">
        <v>43</v>
      </c>
      <c r="E423" s="373">
        <v>45742</v>
      </c>
      <c r="F423" s="372" t="s">
        <v>650</v>
      </c>
      <c r="G423" s="372">
        <v>13</v>
      </c>
      <c r="H423" s="372" t="s">
        <v>46</v>
      </c>
      <c r="I423" s="372" t="s">
        <v>47</v>
      </c>
      <c r="J423" s="21" t="s">
        <v>29</v>
      </c>
      <c r="K423" s="21"/>
      <c r="L423" s="21"/>
      <c r="M423" s="22" t="s">
        <v>30</v>
      </c>
      <c r="N423" s="23">
        <v>45764</v>
      </c>
      <c r="O423" s="21"/>
      <c r="P423" s="22" t="s">
        <v>30</v>
      </c>
      <c r="Q423" s="23">
        <v>45764</v>
      </c>
      <c r="R423" s="81" t="s">
        <v>46</v>
      </c>
      <c r="S423" s="22" t="s">
        <v>32</v>
      </c>
      <c r="T423" s="22">
        <v>13</v>
      </c>
      <c r="U423" s="22" t="s">
        <v>46</v>
      </c>
      <c r="V423" s="23">
        <v>45764</v>
      </c>
      <c r="W423" s="82" t="s">
        <v>32</v>
      </c>
    </row>
    <row r="424" spans="1:23">
      <c r="A424" s="358" t="s">
        <v>24</v>
      </c>
      <c r="B424" s="369">
        <v>421</v>
      </c>
      <c r="C424" s="372" t="s">
        <v>720</v>
      </c>
      <c r="D424" s="372" t="s">
        <v>721</v>
      </c>
      <c r="E424" s="373">
        <v>45742</v>
      </c>
      <c r="F424" s="372" t="s">
        <v>707</v>
      </c>
      <c r="G424" s="372">
        <v>13</v>
      </c>
      <c r="H424" s="372" t="s">
        <v>21</v>
      </c>
      <c r="I424" s="372" t="s">
        <v>36</v>
      </c>
      <c r="J424" s="21" t="s">
        <v>29</v>
      </c>
      <c r="K424" s="21"/>
      <c r="L424" s="21"/>
      <c r="M424" s="22" t="s">
        <v>30</v>
      </c>
      <c r="N424" s="23">
        <v>45756</v>
      </c>
      <c r="O424" s="21"/>
      <c r="P424" s="22" t="s">
        <v>30</v>
      </c>
      <c r="Q424" s="23">
        <v>45756</v>
      </c>
      <c r="R424" s="81" t="s">
        <v>21</v>
      </c>
      <c r="S424" s="22" t="s">
        <v>32</v>
      </c>
      <c r="T424" s="22">
        <v>13</v>
      </c>
      <c r="U424" s="22" t="s">
        <v>21</v>
      </c>
      <c r="V424" s="23">
        <v>45756</v>
      </c>
      <c r="W424" s="82" t="s">
        <v>30</v>
      </c>
    </row>
    <row r="425" spans="1:23">
      <c r="A425" s="358" t="s">
        <v>24</v>
      </c>
      <c r="B425" s="369">
        <v>422</v>
      </c>
      <c r="C425" s="372" t="s">
        <v>105</v>
      </c>
      <c r="D425" s="372" t="s">
        <v>234</v>
      </c>
      <c r="E425" s="373">
        <v>45742</v>
      </c>
      <c r="F425" s="372" t="s">
        <v>722</v>
      </c>
      <c r="G425" s="372">
        <v>14</v>
      </c>
      <c r="H425" s="372" t="s">
        <v>22</v>
      </c>
      <c r="I425" s="372" t="s">
        <v>28</v>
      </c>
      <c r="J425" s="21" t="s">
        <v>29</v>
      </c>
      <c r="K425" s="21" t="s">
        <v>723</v>
      </c>
      <c r="L425" s="21"/>
      <c r="M425" s="22" t="s">
        <v>30</v>
      </c>
      <c r="N425" s="23">
        <v>45777</v>
      </c>
      <c r="O425" s="21"/>
      <c r="P425" s="22" t="s">
        <v>30</v>
      </c>
      <c r="Q425" s="23">
        <v>45777</v>
      </c>
      <c r="R425" s="81" t="s">
        <v>28</v>
      </c>
      <c r="S425" s="22" t="s">
        <v>32</v>
      </c>
      <c r="T425" s="22">
        <v>14</v>
      </c>
      <c r="U425" s="24" t="s">
        <v>28</v>
      </c>
      <c r="V425" s="23">
        <v>45777</v>
      </c>
      <c r="W425" s="82" t="s">
        <v>30</v>
      </c>
    </row>
    <row r="426" spans="1:23">
      <c r="A426" s="358" t="s">
        <v>24</v>
      </c>
      <c r="B426" s="369">
        <v>423</v>
      </c>
      <c r="C426" s="372" t="s">
        <v>107</v>
      </c>
      <c r="D426" s="372" t="s">
        <v>234</v>
      </c>
      <c r="E426" s="373">
        <v>45743</v>
      </c>
      <c r="F426" s="372" t="s">
        <v>722</v>
      </c>
      <c r="G426" s="372">
        <v>13</v>
      </c>
      <c r="H426" s="372" t="s">
        <v>22</v>
      </c>
      <c r="I426" s="372" t="s">
        <v>28</v>
      </c>
      <c r="J426" s="21" t="s">
        <v>29</v>
      </c>
      <c r="K426" s="21" t="s">
        <v>723</v>
      </c>
      <c r="L426" s="21"/>
      <c r="M426" s="22" t="s">
        <v>30</v>
      </c>
      <c r="N426" s="23">
        <v>45777</v>
      </c>
      <c r="O426" s="21"/>
      <c r="P426" s="22" t="s">
        <v>30</v>
      </c>
      <c r="Q426" s="23">
        <v>45777</v>
      </c>
      <c r="R426" s="81" t="s">
        <v>28</v>
      </c>
      <c r="S426" s="22" t="s">
        <v>32</v>
      </c>
      <c r="T426" s="22">
        <v>14</v>
      </c>
      <c r="U426" s="24" t="s">
        <v>28</v>
      </c>
      <c r="V426" s="23">
        <v>45777</v>
      </c>
      <c r="W426" s="82" t="s">
        <v>30</v>
      </c>
    </row>
    <row r="427" spans="1:23">
      <c r="A427" s="358" t="s">
        <v>24</v>
      </c>
      <c r="B427" s="369">
        <v>424</v>
      </c>
      <c r="C427" s="372" t="s">
        <v>724</v>
      </c>
      <c r="D427" s="372" t="s">
        <v>64</v>
      </c>
      <c r="E427" s="373">
        <v>45743</v>
      </c>
      <c r="F427" s="372" t="s">
        <v>718</v>
      </c>
      <c r="G427" s="372">
        <v>10</v>
      </c>
      <c r="H427" s="372" t="s">
        <v>21</v>
      </c>
      <c r="I427" s="372" t="s">
        <v>36</v>
      </c>
      <c r="J427" s="21" t="s">
        <v>29</v>
      </c>
      <c r="K427" s="21"/>
      <c r="L427" s="21"/>
      <c r="M427" s="22" t="s">
        <v>30</v>
      </c>
      <c r="N427" s="23">
        <v>45750</v>
      </c>
      <c r="O427" s="21"/>
      <c r="P427" s="22" t="s">
        <v>30</v>
      </c>
      <c r="Q427" s="23">
        <v>45750</v>
      </c>
      <c r="R427" s="81" t="s">
        <v>21</v>
      </c>
      <c r="S427" s="22" t="s">
        <v>32</v>
      </c>
      <c r="T427" s="22">
        <v>10</v>
      </c>
      <c r="U427" s="22" t="s">
        <v>21</v>
      </c>
      <c r="V427" s="23">
        <v>45750</v>
      </c>
      <c r="W427" s="82" t="s">
        <v>30</v>
      </c>
    </row>
    <row r="428" spans="1:23">
      <c r="A428" s="358" t="s">
        <v>24</v>
      </c>
      <c r="B428" s="369">
        <v>425</v>
      </c>
      <c r="C428" s="372" t="s">
        <v>80</v>
      </c>
      <c r="D428" s="372" t="s">
        <v>34</v>
      </c>
      <c r="E428" s="373">
        <v>45743</v>
      </c>
      <c r="F428" s="372" t="s">
        <v>500</v>
      </c>
      <c r="G428" s="372">
        <v>10</v>
      </c>
      <c r="H428" s="372" t="s">
        <v>46</v>
      </c>
      <c r="I428" s="372" t="s">
        <v>47</v>
      </c>
      <c r="J428" s="21" t="s">
        <v>29</v>
      </c>
      <c r="K428" s="21"/>
      <c r="L428" s="21"/>
      <c r="M428" s="22" t="s">
        <v>30</v>
      </c>
      <c r="N428" s="23">
        <v>45764</v>
      </c>
      <c r="O428" s="21"/>
      <c r="P428" s="22" t="s">
        <v>30</v>
      </c>
      <c r="Q428" s="23">
        <v>45764</v>
      </c>
      <c r="R428" s="81" t="s">
        <v>46</v>
      </c>
      <c r="S428" s="22" t="s">
        <v>32</v>
      </c>
      <c r="T428" s="22">
        <v>10</v>
      </c>
      <c r="U428" s="22" t="s">
        <v>46</v>
      </c>
      <c r="V428" s="23">
        <v>45764</v>
      </c>
      <c r="W428" s="82" t="s">
        <v>30</v>
      </c>
    </row>
    <row r="429" spans="1:23">
      <c r="A429" s="358" t="s">
        <v>24</v>
      </c>
      <c r="B429" s="369">
        <v>426</v>
      </c>
      <c r="C429" s="372" t="s">
        <v>725</v>
      </c>
      <c r="D429" s="372" t="s">
        <v>34</v>
      </c>
      <c r="E429" s="373">
        <v>45743</v>
      </c>
      <c r="F429" s="372" t="s">
        <v>500</v>
      </c>
      <c r="G429" s="372">
        <v>2</v>
      </c>
      <c r="H429" s="372" t="s">
        <v>46</v>
      </c>
      <c r="I429" s="372" t="s">
        <v>47</v>
      </c>
      <c r="J429" s="21" t="s">
        <v>29</v>
      </c>
      <c r="K429" s="21"/>
      <c r="L429" s="21"/>
      <c r="M429" s="22" t="s">
        <v>30</v>
      </c>
      <c r="N429" s="23">
        <v>45768</v>
      </c>
      <c r="O429" s="21"/>
      <c r="P429" s="22" t="s">
        <v>30</v>
      </c>
      <c r="Q429" s="23">
        <v>45768</v>
      </c>
      <c r="R429" s="81" t="s">
        <v>46</v>
      </c>
      <c r="S429" s="22" t="s">
        <v>32</v>
      </c>
      <c r="T429" s="22">
        <v>2</v>
      </c>
      <c r="U429" s="22" t="s">
        <v>46</v>
      </c>
      <c r="V429" s="23">
        <v>45768</v>
      </c>
      <c r="W429" s="82" t="s">
        <v>30</v>
      </c>
    </row>
    <row r="430" spans="1:23">
      <c r="A430" s="358" t="s">
        <v>24</v>
      </c>
      <c r="B430" s="369">
        <v>427</v>
      </c>
      <c r="C430" s="372" t="s">
        <v>726</v>
      </c>
      <c r="D430" s="372" t="s">
        <v>43</v>
      </c>
      <c r="E430" s="373">
        <v>45743</v>
      </c>
      <c r="F430" s="372" t="s">
        <v>707</v>
      </c>
      <c r="G430" s="372">
        <v>13</v>
      </c>
      <c r="H430" s="372" t="s">
        <v>21</v>
      </c>
      <c r="I430" s="372" t="s">
        <v>47</v>
      </c>
      <c r="J430" s="21" t="s">
        <v>29</v>
      </c>
      <c r="K430" s="21"/>
      <c r="L430" s="21"/>
      <c r="M430" s="22" t="s">
        <v>30</v>
      </c>
      <c r="N430" s="23">
        <v>45782</v>
      </c>
      <c r="O430" s="21"/>
      <c r="P430" s="22" t="s">
        <v>30</v>
      </c>
      <c r="Q430" s="23">
        <v>45782</v>
      </c>
      <c r="R430" s="81" t="s">
        <v>21</v>
      </c>
      <c r="S430" s="22" t="s">
        <v>32</v>
      </c>
      <c r="T430" s="22">
        <v>13</v>
      </c>
      <c r="U430" s="22" t="s">
        <v>21</v>
      </c>
      <c r="V430" s="23">
        <v>45782</v>
      </c>
      <c r="W430" s="82" t="s">
        <v>32</v>
      </c>
    </row>
    <row r="431" spans="1:23">
      <c r="A431" s="358" t="s">
        <v>24</v>
      </c>
      <c r="B431" s="369">
        <v>428</v>
      </c>
      <c r="C431" s="372" t="s">
        <v>727</v>
      </c>
      <c r="D431" s="372" t="s">
        <v>64</v>
      </c>
      <c r="E431" s="373">
        <v>45744</v>
      </c>
      <c r="F431" s="372" t="s">
        <v>666</v>
      </c>
      <c r="G431" s="372">
        <v>12</v>
      </c>
      <c r="H431" s="372" t="s">
        <v>21</v>
      </c>
      <c r="I431" s="372" t="s">
        <v>36</v>
      </c>
      <c r="J431" s="21" t="s">
        <v>29</v>
      </c>
      <c r="K431" s="21"/>
      <c r="L431" s="21"/>
      <c r="M431" s="22" t="s">
        <v>30</v>
      </c>
      <c r="N431" s="23">
        <v>45752</v>
      </c>
      <c r="O431" s="21"/>
      <c r="P431" s="22" t="s">
        <v>30</v>
      </c>
      <c r="Q431" s="23">
        <v>45752</v>
      </c>
      <c r="R431" s="81" t="s">
        <v>48</v>
      </c>
      <c r="S431" s="22" t="s">
        <v>32</v>
      </c>
      <c r="T431" s="22">
        <v>12</v>
      </c>
      <c r="U431" s="22" t="s">
        <v>48</v>
      </c>
      <c r="V431" s="23">
        <v>45752</v>
      </c>
      <c r="W431" s="360" t="s">
        <v>32</v>
      </c>
    </row>
    <row r="432" spans="1:23">
      <c r="A432" s="358" t="s">
        <v>24</v>
      </c>
      <c r="B432" s="369">
        <v>429</v>
      </c>
      <c r="C432" s="372" t="s">
        <v>728</v>
      </c>
      <c r="D432" s="372" t="s">
        <v>34</v>
      </c>
      <c r="E432" s="373">
        <v>45744</v>
      </c>
      <c r="F432" s="372" t="s">
        <v>729</v>
      </c>
      <c r="G432" s="372">
        <v>11</v>
      </c>
      <c r="H432" s="372" t="s">
        <v>21</v>
      </c>
      <c r="I432" s="372" t="s">
        <v>36</v>
      </c>
      <c r="J432" s="21" t="s">
        <v>29</v>
      </c>
      <c r="K432" s="21"/>
      <c r="L432" s="21"/>
      <c r="M432" s="22" t="s">
        <v>30</v>
      </c>
      <c r="N432" s="23">
        <v>45752</v>
      </c>
      <c r="O432" s="21"/>
      <c r="P432" s="22" t="s">
        <v>30</v>
      </c>
      <c r="Q432" s="23">
        <v>45752</v>
      </c>
      <c r="R432" s="81" t="s">
        <v>48</v>
      </c>
      <c r="S432" s="22" t="s">
        <v>32</v>
      </c>
      <c r="T432" s="22">
        <v>11</v>
      </c>
      <c r="U432" s="22" t="s">
        <v>48</v>
      </c>
      <c r="V432" s="23">
        <v>45752</v>
      </c>
      <c r="W432" s="360" t="s">
        <v>30</v>
      </c>
    </row>
    <row r="433" spans="1:23">
      <c r="A433" s="358" t="s">
        <v>24</v>
      </c>
      <c r="B433" s="369">
        <v>430</v>
      </c>
      <c r="C433" s="372" t="s">
        <v>730</v>
      </c>
      <c r="D433" s="372" t="s">
        <v>102</v>
      </c>
      <c r="E433" s="373">
        <v>45744</v>
      </c>
      <c r="F433" s="372" t="s">
        <v>731</v>
      </c>
      <c r="G433" s="372">
        <v>10</v>
      </c>
      <c r="H433" s="375" t="s">
        <v>22</v>
      </c>
      <c r="I433" s="372" t="s">
        <v>28</v>
      </c>
      <c r="J433" s="21" t="s">
        <v>237</v>
      </c>
      <c r="K433" s="21" t="s">
        <v>647</v>
      </c>
      <c r="L433" s="21"/>
      <c r="M433" s="22" t="s">
        <v>30</v>
      </c>
      <c r="N433" s="23">
        <v>45785</v>
      </c>
      <c r="O433" s="21"/>
      <c r="P433" s="22" t="s">
        <v>30</v>
      </c>
      <c r="Q433" s="23">
        <v>45785</v>
      </c>
      <c r="R433" s="81" t="s">
        <v>28</v>
      </c>
      <c r="S433" s="22" t="s">
        <v>32</v>
      </c>
      <c r="T433" s="22">
        <v>10</v>
      </c>
      <c r="U433" s="24" t="s">
        <v>28</v>
      </c>
      <c r="V433" s="23">
        <v>45785</v>
      </c>
      <c r="W433" s="82" t="s">
        <v>32</v>
      </c>
    </row>
    <row r="434" spans="1:23">
      <c r="A434" s="358" t="s">
        <v>24</v>
      </c>
      <c r="B434" s="369">
        <v>431</v>
      </c>
      <c r="C434" s="378" t="s">
        <v>732</v>
      </c>
      <c r="D434" s="378" t="s">
        <v>178</v>
      </c>
      <c r="E434" s="373">
        <v>45745</v>
      </c>
      <c r="F434" s="372" t="s">
        <v>439</v>
      </c>
      <c r="G434" s="372">
        <v>9</v>
      </c>
      <c r="H434" s="375" t="s">
        <v>22</v>
      </c>
      <c r="I434" s="372" t="s">
        <v>28</v>
      </c>
      <c r="J434" s="21" t="s">
        <v>29</v>
      </c>
      <c r="K434" s="21"/>
      <c r="L434" s="21"/>
      <c r="M434" s="22" t="s">
        <v>30</v>
      </c>
      <c r="N434" s="23">
        <v>45756</v>
      </c>
      <c r="O434" s="21" t="s">
        <v>66</v>
      </c>
      <c r="P434" s="22" t="s">
        <v>30</v>
      </c>
      <c r="Q434" s="23">
        <v>45756</v>
      </c>
      <c r="R434" s="81" t="s">
        <v>28</v>
      </c>
      <c r="S434" s="22" t="s">
        <v>32</v>
      </c>
      <c r="T434" s="22">
        <v>9</v>
      </c>
      <c r="U434" s="22" t="s">
        <v>28</v>
      </c>
      <c r="V434" s="23">
        <v>45756</v>
      </c>
      <c r="W434" s="82" t="s">
        <v>30</v>
      </c>
    </row>
    <row r="435" spans="1:23">
      <c r="A435" s="358" t="s">
        <v>24</v>
      </c>
      <c r="B435" s="369">
        <v>432</v>
      </c>
      <c r="C435" s="372" t="s">
        <v>733</v>
      </c>
      <c r="D435" s="372" t="s">
        <v>83</v>
      </c>
      <c r="E435" s="373">
        <v>45745</v>
      </c>
      <c r="F435" s="372" t="s">
        <v>439</v>
      </c>
      <c r="G435" s="372">
        <v>9</v>
      </c>
      <c r="H435" s="375" t="s">
        <v>22</v>
      </c>
      <c r="I435" s="372" t="s">
        <v>28</v>
      </c>
      <c r="J435" s="21" t="s">
        <v>29</v>
      </c>
      <c r="K435" s="21"/>
      <c r="L435" s="21"/>
      <c r="M435" s="22" t="s">
        <v>30</v>
      </c>
      <c r="N435" s="23">
        <v>45754</v>
      </c>
      <c r="O435" s="21"/>
      <c r="P435" s="22" t="s">
        <v>30</v>
      </c>
      <c r="Q435" s="23">
        <v>45754</v>
      </c>
      <c r="R435" s="81" t="s">
        <v>28</v>
      </c>
      <c r="S435" s="22" t="s">
        <v>32</v>
      </c>
      <c r="T435" s="22">
        <v>9</v>
      </c>
      <c r="U435" s="22" t="s">
        <v>28</v>
      </c>
      <c r="V435" s="23">
        <v>45754</v>
      </c>
      <c r="W435" s="82" t="s">
        <v>30</v>
      </c>
    </row>
    <row r="436" spans="1:23">
      <c r="A436" s="358" t="s">
        <v>24</v>
      </c>
      <c r="B436" s="369">
        <v>433</v>
      </c>
      <c r="C436" s="372" t="s">
        <v>734</v>
      </c>
      <c r="D436" s="372" t="s">
        <v>43</v>
      </c>
      <c r="E436" s="373">
        <v>45745</v>
      </c>
      <c r="F436" s="372" t="s">
        <v>628</v>
      </c>
      <c r="G436" s="372">
        <v>11</v>
      </c>
      <c r="H436" s="375" t="s">
        <v>22</v>
      </c>
      <c r="I436" s="372" t="s">
        <v>28</v>
      </c>
      <c r="J436" s="21" t="s">
        <v>29</v>
      </c>
      <c r="K436" s="21" t="s">
        <v>723</v>
      </c>
      <c r="L436" s="21"/>
      <c r="M436" s="22" t="s">
        <v>30</v>
      </c>
      <c r="N436" s="23">
        <v>45777</v>
      </c>
      <c r="O436" s="21" t="s">
        <v>66</v>
      </c>
      <c r="P436" s="22" t="s">
        <v>30</v>
      </c>
      <c r="Q436" s="23">
        <v>45777</v>
      </c>
      <c r="R436" s="81" t="s">
        <v>28</v>
      </c>
      <c r="S436" s="22" t="s">
        <v>32</v>
      </c>
      <c r="T436" s="22">
        <v>11</v>
      </c>
      <c r="U436" s="24" t="s">
        <v>28</v>
      </c>
      <c r="V436" s="23">
        <v>45777</v>
      </c>
      <c r="W436" s="82" t="s">
        <v>30</v>
      </c>
    </row>
    <row r="437" spans="1:23">
      <c r="A437" s="358" t="s">
        <v>24</v>
      </c>
      <c r="B437" s="369">
        <v>434</v>
      </c>
      <c r="C437" s="372" t="s">
        <v>735</v>
      </c>
      <c r="D437" s="372" t="s">
        <v>26</v>
      </c>
      <c r="E437" s="373">
        <v>45745</v>
      </c>
      <c r="F437" s="372" t="s">
        <v>628</v>
      </c>
      <c r="G437" s="372">
        <v>11</v>
      </c>
      <c r="H437" s="375" t="s">
        <v>22</v>
      </c>
      <c r="I437" s="372" t="s">
        <v>28</v>
      </c>
      <c r="J437" s="21" t="s">
        <v>29</v>
      </c>
      <c r="K437" s="21" t="s">
        <v>723</v>
      </c>
      <c r="L437" s="21"/>
      <c r="M437" s="22" t="s">
        <v>30</v>
      </c>
      <c r="N437" s="23">
        <v>45777</v>
      </c>
      <c r="O437" s="21"/>
      <c r="P437" s="22" t="s">
        <v>30</v>
      </c>
      <c r="Q437" s="23">
        <v>45777</v>
      </c>
      <c r="R437" s="81" t="s">
        <v>28</v>
      </c>
      <c r="S437" s="22" t="s">
        <v>32</v>
      </c>
      <c r="T437" s="22">
        <v>11</v>
      </c>
      <c r="U437" s="24" t="s">
        <v>28</v>
      </c>
      <c r="V437" s="23">
        <v>45777</v>
      </c>
      <c r="W437" s="82" t="s">
        <v>30</v>
      </c>
    </row>
    <row r="438" spans="1:23">
      <c r="A438" s="358" t="s">
        <v>24</v>
      </c>
      <c r="B438" s="369">
        <v>435</v>
      </c>
      <c r="C438" s="372" t="s">
        <v>736</v>
      </c>
      <c r="D438" s="372" t="s">
        <v>34</v>
      </c>
      <c r="E438" s="373">
        <v>45745</v>
      </c>
      <c r="F438" s="372" t="s">
        <v>737</v>
      </c>
      <c r="G438" s="372">
        <v>42</v>
      </c>
      <c r="H438" s="375" t="s">
        <v>46</v>
      </c>
      <c r="I438" s="372" t="s">
        <v>47</v>
      </c>
      <c r="J438" s="21" t="s">
        <v>29</v>
      </c>
      <c r="K438" s="21"/>
      <c r="L438" s="21"/>
      <c r="M438" s="22" t="s">
        <v>30</v>
      </c>
      <c r="N438" s="23">
        <v>45755</v>
      </c>
      <c r="O438" s="21" t="s">
        <v>31</v>
      </c>
      <c r="P438" s="22" t="s">
        <v>30</v>
      </c>
      <c r="Q438" s="23">
        <v>45755</v>
      </c>
      <c r="R438" s="81" t="s">
        <v>46</v>
      </c>
      <c r="S438" s="22" t="s">
        <v>32</v>
      </c>
      <c r="T438" s="22">
        <v>42</v>
      </c>
      <c r="U438" s="22" t="s">
        <v>46</v>
      </c>
      <c r="V438" s="23">
        <v>45755</v>
      </c>
      <c r="W438" s="82" t="s">
        <v>30</v>
      </c>
    </row>
    <row r="439" spans="1:23">
      <c r="A439" s="358" t="s">
        <v>24</v>
      </c>
      <c r="B439" s="369">
        <v>436</v>
      </c>
      <c r="C439" s="372" t="s">
        <v>738</v>
      </c>
      <c r="D439" s="372" t="s">
        <v>34</v>
      </c>
      <c r="E439" s="373">
        <v>45745</v>
      </c>
      <c r="F439" s="372" t="s">
        <v>739</v>
      </c>
      <c r="G439" s="372">
        <v>16</v>
      </c>
      <c r="H439" s="372" t="s">
        <v>46</v>
      </c>
      <c r="I439" s="372" t="s">
        <v>47</v>
      </c>
      <c r="J439" s="21" t="s">
        <v>29</v>
      </c>
      <c r="K439" s="21"/>
      <c r="L439" s="21"/>
      <c r="M439" s="22" t="s">
        <v>30</v>
      </c>
      <c r="N439" s="23">
        <v>45781</v>
      </c>
      <c r="O439" s="21"/>
      <c r="P439" s="22" t="s">
        <v>30</v>
      </c>
      <c r="Q439" s="23">
        <v>45781</v>
      </c>
      <c r="R439" s="81" t="s">
        <v>46</v>
      </c>
      <c r="S439" s="22" t="s">
        <v>32</v>
      </c>
      <c r="T439" s="22">
        <v>16</v>
      </c>
      <c r="U439" s="22" t="s">
        <v>46</v>
      </c>
      <c r="V439" s="23">
        <v>45781</v>
      </c>
      <c r="W439" s="82" t="s">
        <v>30</v>
      </c>
    </row>
    <row r="440" spans="1:23">
      <c r="A440" s="358" t="s">
        <v>24</v>
      </c>
      <c r="B440" s="369">
        <v>437</v>
      </c>
      <c r="C440" s="372" t="s">
        <v>740</v>
      </c>
      <c r="D440" s="372" t="s">
        <v>83</v>
      </c>
      <c r="E440" s="373">
        <v>45745</v>
      </c>
      <c r="F440" s="372" t="s">
        <v>161</v>
      </c>
      <c r="G440" s="372">
        <v>10</v>
      </c>
      <c r="H440" s="372" t="s">
        <v>21</v>
      </c>
      <c r="I440" s="372" t="s">
        <v>36</v>
      </c>
      <c r="J440" s="21" t="s">
        <v>29</v>
      </c>
      <c r="K440" s="21"/>
      <c r="L440" s="21"/>
      <c r="M440" s="22" t="s">
        <v>30</v>
      </c>
      <c r="N440" s="23">
        <v>45755</v>
      </c>
      <c r="O440" s="21"/>
      <c r="P440" s="22" t="s">
        <v>30</v>
      </c>
      <c r="Q440" s="23">
        <v>45755</v>
      </c>
      <c r="R440" s="81" t="s">
        <v>48</v>
      </c>
      <c r="S440" s="22" t="s">
        <v>32</v>
      </c>
      <c r="T440" s="22">
        <v>10</v>
      </c>
      <c r="U440" s="24" t="s">
        <v>48</v>
      </c>
      <c r="V440" s="23">
        <v>45755</v>
      </c>
      <c r="W440" s="360" t="s">
        <v>30</v>
      </c>
    </row>
    <row r="441" spans="1:23">
      <c r="A441" s="358" t="s">
        <v>24</v>
      </c>
      <c r="B441" s="369">
        <v>438</v>
      </c>
      <c r="C441" s="372" t="s">
        <v>741</v>
      </c>
      <c r="D441" s="372" t="s">
        <v>34</v>
      </c>
      <c r="E441" s="373">
        <v>45745</v>
      </c>
      <c r="F441" s="372" t="s">
        <v>187</v>
      </c>
      <c r="G441" s="372">
        <v>28</v>
      </c>
      <c r="H441" s="372" t="s">
        <v>21</v>
      </c>
      <c r="I441" s="372" t="s">
        <v>36</v>
      </c>
      <c r="J441" s="21" t="s">
        <v>29</v>
      </c>
      <c r="K441" s="21"/>
      <c r="L441" s="21"/>
      <c r="M441" s="22" t="s">
        <v>30</v>
      </c>
      <c r="N441" s="23">
        <v>45762</v>
      </c>
      <c r="O441" s="21" t="s">
        <v>31</v>
      </c>
      <c r="P441" s="22" t="s">
        <v>30</v>
      </c>
      <c r="Q441" s="23">
        <v>45762</v>
      </c>
      <c r="R441" s="81" t="s">
        <v>48</v>
      </c>
      <c r="S441" s="22" t="s">
        <v>32</v>
      </c>
      <c r="T441" s="22">
        <v>28</v>
      </c>
      <c r="U441" s="24" t="s">
        <v>48</v>
      </c>
      <c r="V441" s="23">
        <v>45762</v>
      </c>
      <c r="W441" s="360" t="s">
        <v>30</v>
      </c>
    </row>
    <row r="442" spans="1:23">
      <c r="A442" s="358" t="s">
        <v>24</v>
      </c>
      <c r="B442" s="369">
        <v>439</v>
      </c>
      <c r="C442" s="372" t="s">
        <v>742</v>
      </c>
      <c r="D442" s="372" t="s">
        <v>102</v>
      </c>
      <c r="E442" s="373">
        <v>45745</v>
      </c>
      <c r="F442" s="372" t="s">
        <v>743</v>
      </c>
      <c r="G442" s="372">
        <v>16</v>
      </c>
      <c r="H442" s="372" t="s">
        <v>21</v>
      </c>
      <c r="I442" s="372" t="s">
        <v>36</v>
      </c>
      <c r="J442" s="21" t="s">
        <v>29</v>
      </c>
      <c r="K442" s="21"/>
      <c r="L442" s="21"/>
      <c r="M442" s="22" t="s">
        <v>30</v>
      </c>
      <c r="N442" s="23">
        <v>45761</v>
      </c>
      <c r="O442" s="21" t="s">
        <v>31</v>
      </c>
      <c r="P442" s="22" t="s">
        <v>30</v>
      </c>
      <c r="Q442" s="23">
        <v>45761</v>
      </c>
      <c r="R442" s="81" t="s">
        <v>48</v>
      </c>
      <c r="S442" s="22" t="s">
        <v>32</v>
      </c>
      <c r="T442" s="22">
        <v>16</v>
      </c>
      <c r="U442" s="24" t="s">
        <v>48</v>
      </c>
      <c r="V442" s="23">
        <v>45761</v>
      </c>
      <c r="W442" s="360" t="s">
        <v>32</v>
      </c>
    </row>
    <row r="443" spans="1:23">
      <c r="A443" s="358" t="s">
        <v>24</v>
      </c>
      <c r="B443" s="369">
        <v>440</v>
      </c>
      <c r="C443" s="372" t="s">
        <v>744</v>
      </c>
      <c r="D443" s="372" t="s">
        <v>34</v>
      </c>
      <c r="E443" s="373">
        <v>45745</v>
      </c>
      <c r="F443" s="372" t="s">
        <v>364</v>
      </c>
      <c r="G443" s="372">
        <v>16</v>
      </c>
      <c r="H443" s="372" t="s">
        <v>21</v>
      </c>
      <c r="I443" s="372" t="s">
        <v>36</v>
      </c>
      <c r="J443" s="21" t="s">
        <v>29</v>
      </c>
      <c r="K443" s="21"/>
      <c r="L443" s="21"/>
      <c r="M443" s="22" t="s">
        <v>30</v>
      </c>
      <c r="N443" s="23">
        <v>45761</v>
      </c>
      <c r="O443" s="21" t="s">
        <v>31</v>
      </c>
      <c r="P443" s="22" t="s">
        <v>30</v>
      </c>
      <c r="Q443" s="23">
        <v>45761</v>
      </c>
      <c r="R443" s="81" t="s">
        <v>48</v>
      </c>
      <c r="S443" s="22" t="s">
        <v>32</v>
      </c>
      <c r="T443" s="22">
        <v>16</v>
      </c>
      <c r="U443" s="22" t="s">
        <v>48</v>
      </c>
      <c r="V443" s="23">
        <v>45761</v>
      </c>
      <c r="W443" s="360" t="s">
        <v>30</v>
      </c>
    </row>
    <row r="444" spans="1:23">
      <c r="A444" s="358" t="s">
        <v>24</v>
      </c>
      <c r="B444" s="369">
        <v>441</v>
      </c>
      <c r="C444" s="372" t="s">
        <v>745</v>
      </c>
      <c r="D444" s="372" t="s">
        <v>34</v>
      </c>
      <c r="E444" s="373">
        <v>45745</v>
      </c>
      <c r="F444" s="372" t="s">
        <v>746</v>
      </c>
      <c r="G444" s="372">
        <v>11</v>
      </c>
      <c r="H444" s="372" t="s">
        <v>21</v>
      </c>
      <c r="I444" s="372" t="s">
        <v>36</v>
      </c>
      <c r="J444" s="21" t="s">
        <v>29</v>
      </c>
      <c r="K444" s="21"/>
      <c r="L444" s="21"/>
      <c r="M444" s="22" t="s">
        <v>30</v>
      </c>
      <c r="N444" s="23">
        <v>45761</v>
      </c>
      <c r="O444" s="21"/>
      <c r="P444" s="22" t="s">
        <v>30</v>
      </c>
      <c r="Q444" s="23">
        <v>45761</v>
      </c>
      <c r="R444" s="81" t="s">
        <v>48</v>
      </c>
      <c r="S444" s="22" t="s">
        <v>32</v>
      </c>
      <c r="T444" s="22">
        <v>11</v>
      </c>
      <c r="U444" s="22" t="s">
        <v>48</v>
      </c>
      <c r="V444" s="23">
        <v>45761</v>
      </c>
      <c r="W444" s="360" t="s">
        <v>30</v>
      </c>
    </row>
    <row r="445" spans="1:23">
      <c r="A445" s="358" t="s">
        <v>24</v>
      </c>
      <c r="B445" s="369">
        <v>442</v>
      </c>
      <c r="C445" s="372" t="s">
        <v>747</v>
      </c>
      <c r="D445" s="372" t="s">
        <v>64</v>
      </c>
      <c r="E445" s="373">
        <v>45745</v>
      </c>
      <c r="F445" s="372" t="s">
        <v>35</v>
      </c>
      <c r="G445" s="372">
        <v>11</v>
      </c>
      <c r="H445" s="372" t="s">
        <v>21</v>
      </c>
      <c r="I445" s="372" t="s">
        <v>36</v>
      </c>
      <c r="J445" s="21" t="s">
        <v>29</v>
      </c>
      <c r="K445" s="21"/>
      <c r="L445" s="21"/>
      <c r="M445" s="22" t="s">
        <v>30</v>
      </c>
      <c r="N445" s="23">
        <v>45755</v>
      </c>
      <c r="O445" s="21"/>
      <c r="P445" s="22" t="s">
        <v>30</v>
      </c>
      <c r="Q445" s="23">
        <v>45755</v>
      </c>
      <c r="R445" s="81" t="s">
        <v>48</v>
      </c>
      <c r="S445" s="22" t="s">
        <v>32</v>
      </c>
      <c r="T445" s="22">
        <v>11</v>
      </c>
      <c r="U445" s="22" t="s">
        <v>48</v>
      </c>
      <c r="V445" s="23">
        <v>45755</v>
      </c>
      <c r="W445" s="360" t="s">
        <v>30</v>
      </c>
    </row>
    <row r="446" spans="1:23">
      <c r="A446" s="358" t="s">
        <v>24</v>
      </c>
      <c r="B446" s="369">
        <v>443</v>
      </c>
      <c r="C446" s="372" t="s">
        <v>748</v>
      </c>
      <c r="D446" s="372" t="s">
        <v>432</v>
      </c>
      <c r="E446" s="373">
        <v>45745</v>
      </c>
      <c r="F446" s="372" t="s">
        <v>368</v>
      </c>
      <c r="G446" s="372">
        <v>7</v>
      </c>
      <c r="H446" s="372" t="s">
        <v>21</v>
      </c>
      <c r="I446" s="372" t="s">
        <v>36</v>
      </c>
      <c r="J446" s="21" t="s">
        <v>29</v>
      </c>
      <c r="K446" s="21"/>
      <c r="L446" s="21"/>
      <c r="M446" s="22" t="s">
        <v>30</v>
      </c>
      <c r="N446" s="23">
        <v>45760</v>
      </c>
      <c r="O446" s="21"/>
      <c r="P446" s="22" t="s">
        <v>30</v>
      </c>
      <c r="Q446" s="23">
        <v>45760</v>
      </c>
      <c r="R446" s="81" t="s">
        <v>48</v>
      </c>
      <c r="S446" s="22" t="s">
        <v>32</v>
      </c>
      <c r="T446" s="22">
        <v>6</v>
      </c>
      <c r="U446" s="22" t="s">
        <v>48</v>
      </c>
      <c r="V446" s="23">
        <v>45760</v>
      </c>
      <c r="W446" s="360" t="s">
        <v>32</v>
      </c>
    </row>
    <row r="447" spans="1:23">
      <c r="A447" s="358" t="s">
        <v>24</v>
      </c>
      <c r="B447" s="369">
        <v>444</v>
      </c>
      <c r="C447" s="372" t="s">
        <v>749</v>
      </c>
      <c r="D447" s="372" t="s">
        <v>406</v>
      </c>
      <c r="E447" s="373">
        <v>45745</v>
      </c>
      <c r="F447" s="372" t="s">
        <v>368</v>
      </c>
      <c r="G447" s="372">
        <v>7</v>
      </c>
      <c r="H447" s="372" t="s">
        <v>21</v>
      </c>
      <c r="I447" s="372" t="s">
        <v>36</v>
      </c>
      <c r="J447" s="21" t="s">
        <v>29</v>
      </c>
      <c r="K447" s="21"/>
      <c r="L447" s="21"/>
      <c r="M447" s="22" t="s">
        <v>30</v>
      </c>
      <c r="N447" s="23">
        <v>45760</v>
      </c>
      <c r="O447" s="21"/>
      <c r="P447" s="22" t="s">
        <v>30</v>
      </c>
      <c r="Q447" s="23">
        <v>45760</v>
      </c>
      <c r="R447" s="81" t="s">
        <v>48</v>
      </c>
      <c r="S447" s="22" t="s">
        <v>32</v>
      </c>
      <c r="T447" s="22">
        <v>6</v>
      </c>
      <c r="U447" s="22" t="s">
        <v>48</v>
      </c>
      <c r="V447" s="23">
        <v>45760</v>
      </c>
      <c r="W447" s="360" t="s">
        <v>32</v>
      </c>
    </row>
    <row r="448" spans="1:23">
      <c r="A448" s="358" t="s">
        <v>24</v>
      </c>
      <c r="B448" s="369">
        <v>445</v>
      </c>
      <c r="C448" s="372" t="s">
        <v>750</v>
      </c>
      <c r="D448" s="372" t="s">
        <v>751</v>
      </c>
      <c r="E448" s="373">
        <v>45745</v>
      </c>
      <c r="F448" s="372" t="s">
        <v>368</v>
      </c>
      <c r="G448" s="372">
        <v>9</v>
      </c>
      <c r="H448" s="372" t="s">
        <v>21</v>
      </c>
      <c r="I448" s="372" t="s">
        <v>36</v>
      </c>
      <c r="J448" s="21" t="s">
        <v>29</v>
      </c>
      <c r="K448" s="21"/>
      <c r="L448" s="21"/>
      <c r="M448" s="22" t="s">
        <v>30</v>
      </c>
      <c r="N448" s="23">
        <v>45755</v>
      </c>
      <c r="O448" s="21" t="s">
        <v>66</v>
      </c>
      <c r="P448" s="22" t="s">
        <v>30</v>
      </c>
      <c r="Q448" s="23">
        <v>45755</v>
      </c>
      <c r="R448" s="81" t="s">
        <v>48</v>
      </c>
      <c r="S448" s="22" t="s">
        <v>32</v>
      </c>
      <c r="T448" s="22">
        <v>9</v>
      </c>
      <c r="U448" s="22" t="s">
        <v>48</v>
      </c>
      <c r="V448" s="23">
        <v>45755</v>
      </c>
      <c r="W448" s="360" t="s">
        <v>32</v>
      </c>
    </row>
    <row r="449" spans="1:23">
      <c r="A449" s="358" t="s">
        <v>24</v>
      </c>
      <c r="B449" s="369">
        <v>446</v>
      </c>
      <c r="C449" s="372" t="s">
        <v>752</v>
      </c>
      <c r="D449" s="372" t="s">
        <v>178</v>
      </c>
      <c r="E449" s="373">
        <v>45745</v>
      </c>
      <c r="F449" s="372" t="s">
        <v>368</v>
      </c>
      <c r="G449" s="372">
        <v>9</v>
      </c>
      <c r="H449" s="372" t="s">
        <v>21</v>
      </c>
      <c r="I449" s="372" t="s">
        <v>36</v>
      </c>
      <c r="J449" s="21" t="s">
        <v>29</v>
      </c>
      <c r="K449" s="21"/>
      <c r="L449" s="21"/>
      <c r="M449" s="22" t="s">
        <v>30</v>
      </c>
      <c r="N449" s="23">
        <v>45755</v>
      </c>
      <c r="O449" s="21"/>
      <c r="P449" s="22" t="s">
        <v>30</v>
      </c>
      <c r="Q449" s="23">
        <v>45755</v>
      </c>
      <c r="R449" s="81" t="s">
        <v>48</v>
      </c>
      <c r="S449" s="22" t="s">
        <v>32</v>
      </c>
      <c r="T449" s="22">
        <v>9</v>
      </c>
      <c r="U449" s="22" t="s">
        <v>48</v>
      </c>
      <c r="V449" s="23">
        <v>45755</v>
      </c>
      <c r="W449" s="360" t="s">
        <v>32</v>
      </c>
    </row>
    <row r="450" spans="1:23">
      <c r="A450" s="358" t="s">
        <v>137</v>
      </c>
      <c r="B450" s="369">
        <v>447</v>
      </c>
      <c r="C450" s="21" t="s">
        <v>753</v>
      </c>
      <c r="D450" s="358" t="s">
        <v>754</v>
      </c>
      <c r="E450" s="373">
        <v>45719.375</v>
      </c>
      <c r="F450" s="372" t="s">
        <v>140</v>
      </c>
      <c r="G450" s="372">
        <v>1</v>
      </c>
      <c r="H450" s="372" t="s">
        <v>46</v>
      </c>
      <c r="I450" s="372" t="s">
        <v>47</v>
      </c>
      <c r="J450" s="21" t="s">
        <v>29</v>
      </c>
      <c r="K450" s="21"/>
      <c r="L450" s="21"/>
      <c r="M450" s="22" t="s">
        <v>30</v>
      </c>
      <c r="N450" s="23">
        <v>45777</v>
      </c>
      <c r="O450" s="21"/>
      <c r="P450" s="22" t="s">
        <v>30</v>
      </c>
      <c r="Q450" s="23">
        <v>45777</v>
      </c>
      <c r="R450" s="81" t="s">
        <v>67</v>
      </c>
      <c r="S450" s="22" t="s">
        <v>32</v>
      </c>
      <c r="T450" s="22">
        <v>1</v>
      </c>
      <c r="U450" s="22" t="s">
        <v>67</v>
      </c>
      <c r="V450" s="23">
        <v>45777</v>
      </c>
      <c r="W450" s="360"/>
    </row>
    <row r="451" spans="1:23">
      <c r="A451" s="358" t="s">
        <v>137</v>
      </c>
      <c r="B451" s="369">
        <v>448</v>
      </c>
      <c r="C451" s="21" t="s">
        <v>755</v>
      </c>
      <c r="D451" s="358" t="s">
        <v>756</v>
      </c>
      <c r="E451" s="373">
        <v>45719.375</v>
      </c>
      <c r="F451" s="372" t="s">
        <v>140</v>
      </c>
      <c r="G451" s="372">
        <v>1</v>
      </c>
      <c r="H451" s="372" t="s">
        <v>46</v>
      </c>
      <c r="I451" s="372" t="s">
        <v>47</v>
      </c>
      <c r="J451" s="21" t="s">
        <v>29</v>
      </c>
      <c r="K451" s="21"/>
      <c r="L451" s="21"/>
      <c r="M451" s="22" t="s">
        <v>30</v>
      </c>
      <c r="N451" s="23">
        <v>45777</v>
      </c>
      <c r="O451" s="21"/>
      <c r="P451" s="22" t="s">
        <v>30</v>
      </c>
      <c r="Q451" s="23">
        <v>45777</v>
      </c>
      <c r="R451" s="81" t="s">
        <v>67</v>
      </c>
      <c r="S451" s="22" t="s">
        <v>32</v>
      </c>
      <c r="T451" s="22">
        <v>1</v>
      </c>
      <c r="U451" s="22" t="s">
        <v>67</v>
      </c>
      <c r="V451" s="23">
        <v>45777</v>
      </c>
      <c r="W451" s="82"/>
    </row>
    <row r="452" spans="1:23">
      <c r="A452" s="358" t="s">
        <v>137</v>
      </c>
      <c r="B452" s="369">
        <v>449</v>
      </c>
      <c r="C452" s="21" t="s">
        <v>757</v>
      </c>
      <c r="D452" s="358" t="s">
        <v>758</v>
      </c>
      <c r="E452" s="373">
        <v>45719.375</v>
      </c>
      <c r="F452" s="372" t="s">
        <v>140</v>
      </c>
      <c r="G452" s="372">
        <v>2</v>
      </c>
      <c r="H452" s="372" t="s">
        <v>22</v>
      </c>
      <c r="I452" s="372" t="s">
        <v>28</v>
      </c>
      <c r="J452" s="21" t="s">
        <v>29</v>
      </c>
      <c r="K452" s="21"/>
      <c r="L452" s="21"/>
      <c r="M452" s="22" t="s">
        <v>30</v>
      </c>
      <c r="N452" s="23">
        <v>45777</v>
      </c>
      <c r="O452" s="21"/>
      <c r="P452" s="22" t="s">
        <v>30</v>
      </c>
      <c r="Q452" s="23">
        <v>45777</v>
      </c>
      <c r="R452" s="81" t="s">
        <v>67</v>
      </c>
      <c r="S452" s="22" t="s">
        <v>32</v>
      </c>
      <c r="T452" s="22">
        <v>2</v>
      </c>
      <c r="U452" s="22" t="s">
        <v>67</v>
      </c>
      <c r="V452" s="23">
        <v>45777</v>
      </c>
      <c r="W452" s="82"/>
    </row>
    <row r="453" spans="1:23">
      <c r="A453" s="358" t="s">
        <v>137</v>
      </c>
      <c r="B453" s="369">
        <v>450</v>
      </c>
      <c r="C453" s="21" t="s">
        <v>759</v>
      </c>
      <c r="D453" s="358" t="s">
        <v>564</v>
      </c>
      <c r="E453" s="373">
        <v>45719.375</v>
      </c>
      <c r="F453" s="372" t="s">
        <v>140</v>
      </c>
      <c r="G453" s="372">
        <v>4</v>
      </c>
      <c r="H453" s="372" t="s">
        <v>291</v>
      </c>
      <c r="I453" s="372" t="s">
        <v>760</v>
      </c>
      <c r="J453" s="21" t="s">
        <v>29</v>
      </c>
      <c r="K453" s="21"/>
      <c r="L453" s="21"/>
      <c r="M453" s="22" t="s">
        <v>30</v>
      </c>
      <c r="N453" s="23">
        <v>45777</v>
      </c>
      <c r="O453" s="21"/>
      <c r="P453" s="22" t="s">
        <v>30</v>
      </c>
      <c r="Q453" s="23">
        <v>45777</v>
      </c>
      <c r="R453" s="81" t="s">
        <v>67</v>
      </c>
      <c r="S453" s="22" t="s">
        <v>32</v>
      </c>
      <c r="T453" s="22">
        <v>4</v>
      </c>
      <c r="U453" s="22" t="s">
        <v>67</v>
      </c>
      <c r="V453" s="23">
        <v>45777</v>
      </c>
      <c r="W453" s="82"/>
    </row>
    <row r="454" spans="1:23">
      <c r="A454" s="358" t="s">
        <v>137</v>
      </c>
      <c r="B454" s="369">
        <v>451</v>
      </c>
      <c r="C454" s="21" t="s">
        <v>761</v>
      </c>
      <c r="D454" s="358" t="s">
        <v>762</v>
      </c>
      <c r="E454" s="373">
        <v>45719.375</v>
      </c>
      <c r="F454" s="372" t="s">
        <v>140</v>
      </c>
      <c r="G454" s="372">
        <v>10</v>
      </c>
      <c r="H454" s="372" t="s">
        <v>22</v>
      </c>
      <c r="I454" s="372" t="s">
        <v>28</v>
      </c>
      <c r="J454" s="21" t="s">
        <v>29</v>
      </c>
      <c r="K454" s="21"/>
      <c r="L454" s="21"/>
      <c r="M454" s="22" t="s">
        <v>30</v>
      </c>
      <c r="N454" s="23">
        <v>45777</v>
      </c>
      <c r="O454" s="21"/>
      <c r="P454" s="22" t="s">
        <v>30</v>
      </c>
      <c r="Q454" s="23">
        <v>45777</v>
      </c>
      <c r="R454" s="81" t="s">
        <v>67</v>
      </c>
      <c r="S454" s="22" t="s">
        <v>32</v>
      </c>
      <c r="T454" s="22">
        <v>10</v>
      </c>
      <c r="U454" s="22" t="s">
        <v>67</v>
      </c>
      <c r="V454" s="23">
        <v>45777</v>
      </c>
      <c r="W454" s="82"/>
    </row>
    <row r="455" spans="1:23">
      <c r="A455" s="358" t="s">
        <v>137</v>
      </c>
      <c r="B455" s="369">
        <v>452</v>
      </c>
      <c r="C455" s="21" t="s">
        <v>763</v>
      </c>
      <c r="D455" s="358" t="s">
        <v>306</v>
      </c>
      <c r="E455" s="373">
        <v>45719.375</v>
      </c>
      <c r="F455" s="372" t="s">
        <v>140</v>
      </c>
      <c r="G455" s="372">
        <v>16</v>
      </c>
      <c r="H455" s="372" t="s">
        <v>291</v>
      </c>
      <c r="I455" s="372" t="s">
        <v>760</v>
      </c>
      <c r="J455" s="21" t="s">
        <v>29</v>
      </c>
      <c r="K455" s="21"/>
      <c r="L455" s="21"/>
      <c r="M455" s="22" t="s">
        <v>30</v>
      </c>
      <c r="N455" s="23">
        <v>45777</v>
      </c>
      <c r="O455" s="21" t="s">
        <v>31</v>
      </c>
      <c r="P455" s="22" t="s">
        <v>30</v>
      </c>
      <c r="Q455" s="23">
        <v>45777</v>
      </c>
      <c r="R455" s="81" t="s">
        <v>67</v>
      </c>
      <c r="S455" s="22" t="s">
        <v>32</v>
      </c>
      <c r="T455" s="22">
        <v>16</v>
      </c>
      <c r="U455" s="22" t="s">
        <v>67</v>
      </c>
      <c r="V455" s="23">
        <v>45777</v>
      </c>
      <c r="W455" s="82"/>
    </row>
    <row r="456" spans="1:23">
      <c r="A456" s="358" t="s">
        <v>137</v>
      </c>
      <c r="B456" s="369">
        <v>453</v>
      </c>
      <c r="C456" s="21" t="s">
        <v>764</v>
      </c>
      <c r="D456" s="358" t="s">
        <v>765</v>
      </c>
      <c r="E456" s="373">
        <v>45719.458333333336</v>
      </c>
      <c r="F456" s="372" t="s">
        <v>140</v>
      </c>
      <c r="G456" s="372">
        <v>2</v>
      </c>
      <c r="H456" s="372" t="s">
        <v>22</v>
      </c>
      <c r="I456" s="372" t="s">
        <v>28</v>
      </c>
      <c r="J456" s="21" t="s">
        <v>29</v>
      </c>
      <c r="K456" s="21"/>
      <c r="L456" s="21"/>
      <c r="M456" s="22" t="s">
        <v>30</v>
      </c>
      <c r="N456" s="23">
        <v>45777</v>
      </c>
      <c r="O456" s="21"/>
      <c r="P456" s="22" t="s">
        <v>30</v>
      </c>
      <c r="Q456" s="23">
        <v>45777</v>
      </c>
      <c r="R456" s="81" t="s">
        <v>67</v>
      </c>
      <c r="S456" s="22" t="s">
        <v>32</v>
      </c>
      <c r="T456" s="22">
        <v>2</v>
      </c>
      <c r="U456" s="22" t="s">
        <v>67</v>
      </c>
      <c r="V456" s="23">
        <v>45777</v>
      </c>
      <c r="W456" s="360"/>
    </row>
    <row r="457" spans="1:23">
      <c r="A457" s="358" t="s">
        <v>137</v>
      </c>
      <c r="B457" s="369">
        <v>454</v>
      </c>
      <c r="C457" s="21" t="s">
        <v>766</v>
      </c>
      <c r="D457" s="358" t="s">
        <v>767</v>
      </c>
      <c r="E457" s="373">
        <v>45719.375</v>
      </c>
      <c r="F457" s="372" t="s">
        <v>140</v>
      </c>
      <c r="G457" s="372">
        <v>12</v>
      </c>
      <c r="H457" s="372" t="s">
        <v>301</v>
      </c>
      <c r="I457" s="372" t="s">
        <v>302</v>
      </c>
      <c r="J457" s="21" t="s">
        <v>29</v>
      </c>
      <c r="K457" s="21"/>
      <c r="L457" s="21"/>
      <c r="M457" s="22" t="s">
        <v>30</v>
      </c>
      <c r="N457" s="23">
        <v>45777</v>
      </c>
      <c r="O457" s="21"/>
      <c r="P457" s="22" t="s">
        <v>30</v>
      </c>
      <c r="Q457" s="23">
        <v>45777</v>
      </c>
      <c r="R457" s="81" t="s">
        <v>67</v>
      </c>
      <c r="S457" s="22" t="s">
        <v>32</v>
      </c>
      <c r="T457" s="22">
        <v>12</v>
      </c>
      <c r="U457" s="22" t="s">
        <v>67</v>
      </c>
      <c r="V457" s="23">
        <v>45777</v>
      </c>
      <c r="W457" s="82"/>
    </row>
    <row r="458" spans="1:23">
      <c r="A458" s="358" t="s">
        <v>137</v>
      </c>
      <c r="B458" s="369">
        <v>455</v>
      </c>
      <c r="C458" s="21" t="s">
        <v>768</v>
      </c>
      <c r="D458" s="358" t="s">
        <v>769</v>
      </c>
      <c r="E458" s="373">
        <v>45726.458333333336</v>
      </c>
      <c r="F458" s="372" t="s">
        <v>140</v>
      </c>
      <c r="G458" s="372">
        <v>3</v>
      </c>
      <c r="H458" s="372" t="s">
        <v>22</v>
      </c>
      <c r="I458" s="372" t="s">
        <v>28</v>
      </c>
      <c r="J458" s="21" t="s">
        <v>29</v>
      </c>
      <c r="K458" s="21"/>
      <c r="L458" s="21"/>
      <c r="M458" s="22" t="s">
        <v>30</v>
      </c>
      <c r="N458" s="23">
        <v>45777</v>
      </c>
      <c r="O458" s="21"/>
      <c r="P458" s="22" t="s">
        <v>30</v>
      </c>
      <c r="Q458" s="23">
        <v>45777</v>
      </c>
      <c r="R458" s="81" t="s">
        <v>67</v>
      </c>
      <c r="S458" s="22" t="s">
        <v>32</v>
      </c>
      <c r="T458" s="22">
        <v>3</v>
      </c>
      <c r="U458" s="22" t="s">
        <v>67</v>
      </c>
      <c r="V458" s="23">
        <v>45777</v>
      </c>
      <c r="W458" s="82"/>
    </row>
    <row r="459" spans="1:23">
      <c r="A459" s="358" t="s">
        <v>137</v>
      </c>
      <c r="B459" s="369">
        <v>456</v>
      </c>
      <c r="C459" s="21" t="s">
        <v>770</v>
      </c>
      <c r="D459" s="358" t="s">
        <v>771</v>
      </c>
      <c r="E459" s="373">
        <v>45726.375</v>
      </c>
      <c r="F459" s="372" t="s">
        <v>140</v>
      </c>
      <c r="G459" s="372">
        <v>1</v>
      </c>
      <c r="H459" s="372" t="s">
        <v>22</v>
      </c>
      <c r="I459" s="372" t="s">
        <v>28</v>
      </c>
      <c r="J459" s="21" t="s">
        <v>29</v>
      </c>
      <c r="K459" s="21"/>
      <c r="L459" s="21"/>
      <c r="M459" s="22" t="s">
        <v>30</v>
      </c>
      <c r="N459" s="23">
        <v>45777</v>
      </c>
      <c r="O459" s="21"/>
      <c r="P459" s="22" t="s">
        <v>30</v>
      </c>
      <c r="Q459" s="23">
        <v>45777</v>
      </c>
      <c r="R459" s="81" t="s">
        <v>67</v>
      </c>
      <c r="S459" s="22" t="s">
        <v>32</v>
      </c>
      <c r="T459" s="22">
        <v>1</v>
      </c>
      <c r="U459" s="22" t="s">
        <v>67</v>
      </c>
      <c r="V459" s="23">
        <v>45777</v>
      </c>
      <c r="W459" s="82"/>
    </row>
    <row r="460" spans="1:23">
      <c r="A460" s="358" t="s">
        <v>137</v>
      </c>
      <c r="B460" s="369">
        <v>457</v>
      </c>
      <c r="C460" s="21" t="s">
        <v>772</v>
      </c>
      <c r="D460" s="358" t="s">
        <v>773</v>
      </c>
      <c r="E460" s="373">
        <v>45726.375</v>
      </c>
      <c r="F460" s="372" t="s">
        <v>140</v>
      </c>
      <c r="G460" s="372">
        <v>18</v>
      </c>
      <c r="H460" s="372" t="s">
        <v>301</v>
      </c>
      <c r="I460" s="372" t="s">
        <v>302</v>
      </c>
      <c r="J460" s="21" t="s">
        <v>29</v>
      </c>
      <c r="K460" s="21"/>
      <c r="L460" s="21"/>
      <c r="M460" s="22" t="s">
        <v>30</v>
      </c>
      <c r="N460" s="23">
        <v>45777</v>
      </c>
      <c r="O460" s="21" t="s">
        <v>31</v>
      </c>
      <c r="P460" s="22" t="s">
        <v>30</v>
      </c>
      <c r="Q460" s="23">
        <v>45777</v>
      </c>
      <c r="R460" s="81" t="s">
        <v>67</v>
      </c>
      <c r="S460" s="22" t="s">
        <v>32</v>
      </c>
      <c r="T460" s="22">
        <v>18</v>
      </c>
      <c r="U460" s="22" t="s">
        <v>67</v>
      </c>
      <c r="V460" s="23"/>
      <c r="W460" s="82"/>
    </row>
    <row r="461" spans="1:23">
      <c r="A461" s="358" t="s">
        <v>137</v>
      </c>
      <c r="B461" s="369">
        <v>458</v>
      </c>
      <c r="C461" s="21" t="s">
        <v>774</v>
      </c>
      <c r="D461" s="358" t="s">
        <v>306</v>
      </c>
      <c r="E461" s="373">
        <v>45726.375</v>
      </c>
      <c r="F461" s="372" t="s">
        <v>140</v>
      </c>
      <c r="G461" s="372">
        <v>25</v>
      </c>
      <c r="H461" s="372" t="s">
        <v>301</v>
      </c>
      <c r="I461" s="372" t="s">
        <v>302</v>
      </c>
      <c r="J461" s="21" t="s">
        <v>29</v>
      </c>
      <c r="K461" s="21"/>
      <c r="L461" s="21"/>
      <c r="M461" s="22" t="s">
        <v>30</v>
      </c>
      <c r="N461" s="23">
        <v>45777</v>
      </c>
      <c r="O461" s="21" t="s">
        <v>31</v>
      </c>
      <c r="P461" s="22" t="s">
        <v>30</v>
      </c>
      <c r="Q461" s="23">
        <v>45777</v>
      </c>
      <c r="R461" s="81" t="s">
        <v>67</v>
      </c>
      <c r="S461" s="22" t="s">
        <v>32</v>
      </c>
      <c r="T461" s="22">
        <v>25</v>
      </c>
      <c r="U461" s="22" t="s">
        <v>67</v>
      </c>
      <c r="V461" s="23"/>
      <c r="W461" s="360"/>
    </row>
    <row r="462" spans="1:23">
      <c r="A462" s="358" t="s">
        <v>137</v>
      </c>
      <c r="B462" s="369">
        <v>459</v>
      </c>
      <c r="C462" s="21" t="s">
        <v>775</v>
      </c>
      <c r="D462" s="358" t="s">
        <v>762</v>
      </c>
      <c r="E462" s="373">
        <v>45726.375</v>
      </c>
      <c r="F462" s="372" t="s">
        <v>140</v>
      </c>
      <c r="G462" s="372">
        <v>18</v>
      </c>
      <c r="H462" s="372" t="s">
        <v>776</v>
      </c>
      <c r="I462" s="372" t="s">
        <v>777</v>
      </c>
      <c r="J462" s="21" t="s">
        <v>29</v>
      </c>
      <c r="K462" s="21"/>
      <c r="L462" s="21"/>
      <c r="M462" s="22" t="s">
        <v>30</v>
      </c>
      <c r="N462" s="23">
        <v>45777</v>
      </c>
      <c r="O462" s="21" t="s">
        <v>31</v>
      </c>
      <c r="P462" s="22" t="s">
        <v>30</v>
      </c>
      <c r="Q462" s="23">
        <v>45777</v>
      </c>
      <c r="R462" s="81" t="s">
        <v>67</v>
      </c>
      <c r="S462" s="22" t="s">
        <v>32</v>
      </c>
      <c r="T462" s="22">
        <v>18</v>
      </c>
      <c r="U462" s="22" t="s">
        <v>67</v>
      </c>
      <c r="V462" s="23">
        <v>45777</v>
      </c>
      <c r="W462" s="82"/>
    </row>
    <row r="463" spans="1:23">
      <c r="A463" s="358" t="s">
        <v>137</v>
      </c>
      <c r="B463" s="369">
        <v>460</v>
      </c>
      <c r="C463" s="21" t="s">
        <v>778</v>
      </c>
      <c r="D463" s="358" t="s">
        <v>779</v>
      </c>
      <c r="E463" s="373">
        <v>45726.375</v>
      </c>
      <c r="F463" s="372" t="s">
        <v>140</v>
      </c>
      <c r="G463" s="372">
        <v>6</v>
      </c>
      <c r="H463" s="372" t="s">
        <v>46</v>
      </c>
      <c r="I463" s="372" t="s">
        <v>47</v>
      </c>
      <c r="J463" s="21" t="s">
        <v>29</v>
      </c>
      <c r="K463" s="21"/>
      <c r="L463" s="21"/>
      <c r="M463" s="22" t="s">
        <v>30</v>
      </c>
      <c r="N463" s="23">
        <v>45777</v>
      </c>
      <c r="O463" s="21"/>
      <c r="P463" s="22" t="s">
        <v>30</v>
      </c>
      <c r="Q463" s="23">
        <v>45777</v>
      </c>
      <c r="R463" s="81" t="s">
        <v>67</v>
      </c>
      <c r="S463" s="22" t="s">
        <v>32</v>
      </c>
      <c r="T463" s="22">
        <v>6</v>
      </c>
      <c r="U463" s="22" t="s">
        <v>67</v>
      </c>
      <c r="V463" s="23">
        <v>45777</v>
      </c>
      <c r="W463" s="82"/>
    </row>
    <row r="464" spans="1:23">
      <c r="A464" s="358" t="s">
        <v>137</v>
      </c>
      <c r="B464" s="369">
        <v>461</v>
      </c>
      <c r="C464" s="21" t="s">
        <v>780</v>
      </c>
      <c r="D464" s="358" t="s">
        <v>781</v>
      </c>
      <c r="E464" s="373">
        <v>45726.375</v>
      </c>
      <c r="F464" s="372" t="s">
        <v>140</v>
      </c>
      <c r="G464" s="372">
        <v>7</v>
      </c>
      <c r="H464" s="372" t="s">
        <v>301</v>
      </c>
      <c r="I464" s="372" t="s">
        <v>302</v>
      </c>
      <c r="J464" s="21" t="s">
        <v>29</v>
      </c>
      <c r="K464" s="21"/>
      <c r="L464" s="21"/>
      <c r="M464" s="22" t="s">
        <v>30</v>
      </c>
      <c r="N464" s="23">
        <v>45777</v>
      </c>
      <c r="O464" s="21"/>
      <c r="P464" s="22" t="s">
        <v>30</v>
      </c>
      <c r="Q464" s="23">
        <v>45777</v>
      </c>
      <c r="R464" s="81" t="s">
        <v>67</v>
      </c>
      <c r="S464" s="22" t="s">
        <v>32</v>
      </c>
      <c r="T464" s="22">
        <v>7</v>
      </c>
      <c r="U464" s="22" t="s">
        <v>67</v>
      </c>
      <c r="V464" s="23">
        <v>45777</v>
      </c>
      <c r="W464" s="360"/>
    </row>
    <row r="465" spans="1:23">
      <c r="A465" s="358" t="s">
        <v>137</v>
      </c>
      <c r="B465" s="369">
        <v>462</v>
      </c>
      <c r="C465" s="21" t="s">
        <v>782</v>
      </c>
      <c r="D465" s="358" t="s">
        <v>526</v>
      </c>
      <c r="E465" s="373">
        <v>45726.375</v>
      </c>
      <c r="F465" s="372" t="s">
        <v>140</v>
      </c>
      <c r="G465" s="372">
        <v>12</v>
      </c>
      <c r="H465" s="372" t="s">
        <v>301</v>
      </c>
      <c r="I465" s="372" t="s">
        <v>302</v>
      </c>
      <c r="J465" s="21" t="s">
        <v>29</v>
      </c>
      <c r="K465" s="21"/>
      <c r="L465" s="21"/>
      <c r="M465" s="22" t="s">
        <v>30</v>
      </c>
      <c r="N465" s="23">
        <v>45777</v>
      </c>
      <c r="O465" s="21" t="s">
        <v>66</v>
      </c>
      <c r="P465" s="22" t="s">
        <v>30</v>
      </c>
      <c r="Q465" s="23">
        <v>45777</v>
      </c>
      <c r="R465" s="81" t="s">
        <v>67</v>
      </c>
      <c r="S465" s="22" t="s">
        <v>32</v>
      </c>
      <c r="T465" s="22">
        <v>12</v>
      </c>
      <c r="U465" s="22" t="s">
        <v>67</v>
      </c>
      <c r="V465" s="23">
        <v>45777</v>
      </c>
      <c r="W465" s="82"/>
    </row>
    <row r="466" spans="1:23">
      <c r="A466" s="358" t="s">
        <v>137</v>
      </c>
      <c r="B466" s="369">
        <v>463</v>
      </c>
      <c r="C466" s="21" t="s">
        <v>783</v>
      </c>
      <c r="D466" s="358" t="s">
        <v>784</v>
      </c>
      <c r="E466" s="373">
        <v>45726.375</v>
      </c>
      <c r="F466" s="372" t="s">
        <v>140</v>
      </c>
      <c r="G466" s="372">
        <v>2</v>
      </c>
      <c r="H466" s="372" t="s">
        <v>22</v>
      </c>
      <c r="I466" s="372" t="s">
        <v>28</v>
      </c>
      <c r="J466" s="21" t="s">
        <v>29</v>
      </c>
      <c r="K466" s="21"/>
      <c r="L466" s="21"/>
      <c r="M466" s="22" t="s">
        <v>30</v>
      </c>
      <c r="N466" s="23">
        <v>45777</v>
      </c>
      <c r="O466" s="21"/>
      <c r="P466" s="22" t="s">
        <v>30</v>
      </c>
      <c r="Q466" s="23">
        <v>45777</v>
      </c>
      <c r="R466" s="81" t="s">
        <v>67</v>
      </c>
      <c r="S466" s="22" t="s">
        <v>32</v>
      </c>
      <c r="T466" s="22">
        <v>2</v>
      </c>
      <c r="U466" s="22" t="s">
        <v>67</v>
      </c>
      <c r="V466" s="23">
        <v>45777</v>
      </c>
      <c r="W466" s="82"/>
    </row>
    <row r="467" spans="1:23">
      <c r="A467" s="358" t="s">
        <v>137</v>
      </c>
      <c r="B467" s="369">
        <v>464</v>
      </c>
      <c r="C467" s="372" t="s">
        <v>785</v>
      </c>
      <c r="D467" s="358" t="s">
        <v>564</v>
      </c>
      <c r="E467" s="373">
        <v>45733.375</v>
      </c>
      <c r="F467" s="372" t="s">
        <v>140</v>
      </c>
      <c r="G467" s="372">
        <v>6</v>
      </c>
      <c r="H467" s="372" t="s">
        <v>776</v>
      </c>
      <c r="I467" s="372" t="s">
        <v>777</v>
      </c>
      <c r="J467" s="21" t="s">
        <v>29</v>
      </c>
      <c r="K467" s="21"/>
      <c r="L467" s="21"/>
      <c r="M467" s="22"/>
      <c r="N467" s="23"/>
      <c r="O467" s="21"/>
      <c r="P467" s="22"/>
      <c r="Q467" s="23"/>
      <c r="R467" s="81" t="s">
        <v>37</v>
      </c>
      <c r="S467" s="22"/>
      <c r="T467" s="22"/>
      <c r="U467" s="24"/>
      <c r="V467" s="23"/>
      <c r="W467" s="82"/>
    </row>
    <row r="468" spans="1:23">
      <c r="A468" s="358" t="s">
        <v>137</v>
      </c>
      <c r="B468" s="369">
        <v>465</v>
      </c>
      <c r="C468" s="372" t="s">
        <v>786</v>
      </c>
      <c r="D468" s="358" t="s">
        <v>787</v>
      </c>
      <c r="E468" s="373">
        <v>45733.375</v>
      </c>
      <c r="F468" s="372" t="s">
        <v>140</v>
      </c>
      <c r="G468" s="372">
        <v>1</v>
      </c>
      <c r="H468" s="372" t="s">
        <v>46</v>
      </c>
      <c r="I468" s="372" t="s">
        <v>47</v>
      </c>
      <c r="J468" s="21" t="s">
        <v>29</v>
      </c>
      <c r="K468" s="21"/>
      <c r="L468" s="21"/>
      <c r="M468" s="22"/>
      <c r="N468" s="23"/>
      <c r="O468" s="21"/>
      <c r="P468" s="22"/>
      <c r="Q468" s="23"/>
      <c r="R468" s="81" t="s">
        <v>37</v>
      </c>
      <c r="S468" s="22"/>
      <c r="T468" s="22"/>
      <c r="U468" s="24"/>
      <c r="V468" s="23"/>
      <c r="W468" s="82"/>
    </row>
    <row r="469" spans="1:23">
      <c r="A469" s="358" t="s">
        <v>137</v>
      </c>
      <c r="B469" s="369">
        <v>466</v>
      </c>
      <c r="C469" s="372" t="s">
        <v>788</v>
      </c>
      <c r="D469" s="358" t="s">
        <v>789</v>
      </c>
      <c r="E469" s="373">
        <v>45733.458333333336</v>
      </c>
      <c r="F469" s="372" t="s">
        <v>140</v>
      </c>
      <c r="G469" s="372">
        <v>1</v>
      </c>
      <c r="H469" s="372" t="s">
        <v>21</v>
      </c>
      <c r="I469" s="372" t="s">
        <v>127</v>
      </c>
      <c r="J469" s="21" t="s">
        <v>29</v>
      </c>
      <c r="K469" s="21"/>
      <c r="L469" s="21"/>
      <c r="M469" s="22" t="s">
        <v>30</v>
      </c>
      <c r="N469" s="23">
        <v>45777</v>
      </c>
      <c r="O469" s="21"/>
      <c r="P469" s="22" t="s">
        <v>30</v>
      </c>
      <c r="Q469" s="23">
        <v>45777</v>
      </c>
      <c r="R469" s="81" t="s">
        <v>37</v>
      </c>
      <c r="S469" s="22" t="s">
        <v>32</v>
      </c>
      <c r="T469" s="22">
        <v>1</v>
      </c>
      <c r="U469" s="22" t="s">
        <v>37</v>
      </c>
      <c r="V469" s="23">
        <v>45777</v>
      </c>
      <c r="W469" s="360"/>
    </row>
    <row r="470" spans="1:23">
      <c r="A470" s="358" t="s">
        <v>137</v>
      </c>
      <c r="B470" s="369">
        <v>467</v>
      </c>
      <c r="C470" s="372" t="s">
        <v>790</v>
      </c>
      <c r="D470" s="358" t="s">
        <v>791</v>
      </c>
      <c r="E470" s="373">
        <v>45733.375</v>
      </c>
      <c r="F470" s="372" t="s">
        <v>140</v>
      </c>
      <c r="G470" s="372">
        <v>1</v>
      </c>
      <c r="H470" s="372" t="s">
        <v>21</v>
      </c>
      <c r="I470" s="372" t="s">
        <v>127</v>
      </c>
      <c r="J470" s="21" t="s">
        <v>29</v>
      </c>
      <c r="K470" s="21"/>
      <c r="L470" s="21"/>
      <c r="M470" s="22" t="s">
        <v>30</v>
      </c>
      <c r="N470" s="23">
        <v>45777</v>
      </c>
      <c r="O470" s="21"/>
      <c r="P470" s="22" t="s">
        <v>30</v>
      </c>
      <c r="Q470" s="23">
        <v>45777</v>
      </c>
      <c r="R470" s="81" t="s">
        <v>37</v>
      </c>
      <c r="S470" s="22" t="s">
        <v>32</v>
      </c>
      <c r="T470" s="22">
        <v>1</v>
      </c>
      <c r="U470" s="22" t="s">
        <v>37</v>
      </c>
      <c r="V470" s="23">
        <v>45777</v>
      </c>
      <c r="W470" s="360"/>
    </row>
    <row r="471" spans="1:23">
      <c r="A471" s="358" t="s">
        <v>137</v>
      </c>
      <c r="B471" s="369">
        <v>468</v>
      </c>
      <c r="C471" s="372" t="s">
        <v>792</v>
      </c>
      <c r="D471" s="358" t="s">
        <v>773</v>
      </c>
      <c r="E471" s="373">
        <v>45733.375</v>
      </c>
      <c r="F471" s="372" t="s">
        <v>140</v>
      </c>
      <c r="G471" s="372">
        <v>14</v>
      </c>
      <c r="H471" s="372" t="s">
        <v>776</v>
      </c>
      <c r="I471" s="372" t="s">
        <v>777</v>
      </c>
      <c r="J471" s="21" t="s">
        <v>29</v>
      </c>
      <c r="K471" s="21"/>
      <c r="L471" s="21"/>
      <c r="M471" s="22" t="s">
        <v>30</v>
      </c>
      <c r="N471" s="23">
        <v>45777</v>
      </c>
      <c r="O471" s="21"/>
      <c r="P471" s="22" t="s">
        <v>30</v>
      </c>
      <c r="Q471" s="23">
        <v>45777</v>
      </c>
      <c r="R471" s="81" t="s">
        <v>37</v>
      </c>
      <c r="S471" s="22" t="s">
        <v>32</v>
      </c>
      <c r="T471" s="22">
        <v>14</v>
      </c>
      <c r="U471" s="22" t="s">
        <v>37</v>
      </c>
      <c r="V471" s="23">
        <v>45777</v>
      </c>
      <c r="W471" s="360"/>
    </row>
    <row r="472" spans="1:23">
      <c r="A472" s="358" t="s">
        <v>137</v>
      </c>
      <c r="B472" s="369">
        <v>469</v>
      </c>
      <c r="C472" s="372" t="s">
        <v>793</v>
      </c>
      <c r="D472" s="358" t="s">
        <v>794</v>
      </c>
      <c r="E472" s="373">
        <v>45733.375</v>
      </c>
      <c r="F472" s="372" t="s">
        <v>140</v>
      </c>
      <c r="G472" s="372">
        <v>13</v>
      </c>
      <c r="H472" s="372" t="s">
        <v>291</v>
      </c>
      <c r="I472" s="372" t="s">
        <v>760</v>
      </c>
      <c r="J472" s="21" t="s">
        <v>29</v>
      </c>
      <c r="K472" s="21"/>
      <c r="L472" s="21"/>
      <c r="M472" s="22" t="s">
        <v>30</v>
      </c>
      <c r="N472" s="23">
        <v>45777</v>
      </c>
      <c r="O472" s="21" t="s">
        <v>66</v>
      </c>
      <c r="P472" s="22" t="s">
        <v>30</v>
      </c>
      <c r="Q472" s="23">
        <v>45777</v>
      </c>
      <c r="R472" s="81" t="s">
        <v>37</v>
      </c>
      <c r="S472" s="22" t="s">
        <v>32</v>
      </c>
      <c r="T472" s="22">
        <v>13</v>
      </c>
      <c r="U472" s="22" t="s">
        <v>37</v>
      </c>
      <c r="V472" s="23">
        <v>45777</v>
      </c>
      <c r="W472" s="360"/>
    </row>
    <row r="473" spans="1:23">
      <c r="A473" s="358" t="s">
        <v>137</v>
      </c>
      <c r="B473" s="369">
        <v>470</v>
      </c>
      <c r="C473" s="372" t="s">
        <v>795</v>
      </c>
      <c r="D473" s="358" t="s">
        <v>554</v>
      </c>
      <c r="E473" s="373">
        <v>45733.375</v>
      </c>
      <c r="F473" s="372" t="s">
        <v>140</v>
      </c>
      <c r="G473" s="372">
        <v>5</v>
      </c>
      <c r="H473" s="372" t="s">
        <v>301</v>
      </c>
      <c r="I473" s="372" t="s">
        <v>302</v>
      </c>
      <c r="J473" s="21" t="s">
        <v>29</v>
      </c>
      <c r="K473" s="21"/>
      <c r="L473" s="21"/>
      <c r="M473" s="22" t="s">
        <v>30</v>
      </c>
      <c r="N473" s="23">
        <v>45777</v>
      </c>
      <c r="O473" s="21"/>
      <c r="P473" s="22" t="s">
        <v>30</v>
      </c>
      <c r="Q473" s="23">
        <v>45777</v>
      </c>
      <c r="R473" s="81" t="s">
        <v>37</v>
      </c>
      <c r="S473" s="22" t="s">
        <v>32</v>
      </c>
      <c r="T473" s="22">
        <v>5</v>
      </c>
      <c r="U473" s="22" t="s">
        <v>37</v>
      </c>
      <c r="V473" s="23">
        <v>45777</v>
      </c>
      <c r="W473" s="360"/>
    </row>
    <row r="474" spans="1:23">
      <c r="A474" s="358" t="s">
        <v>137</v>
      </c>
      <c r="B474" s="369">
        <v>471</v>
      </c>
      <c r="C474" s="372" t="s">
        <v>796</v>
      </c>
      <c r="D474" s="358" t="s">
        <v>306</v>
      </c>
      <c r="E474" s="373">
        <v>45733.375</v>
      </c>
      <c r="F474" s="372" t="s">
        <v>140</v>
      </c>
      <c r="G474" s="372">
        <v>5</v>
      </c>
      <c r="H474" s="372" t="s">
        <v>46</v>
      </c>
      <c r="I474" s="372" t="s">
        <v>47</v>
      </c>
      <c r="J474" s="21" t="s">
        <v>29</v>
      </c>
      <c r="K474" s="21"/>
      <c r="L474" s="21"/>
      <c r="M474" s="22" t="s">
        <v>30</v>
      </c>
      <c r="N474" s="23">
        <v>45769</v>
      </c>
      <c r="O474" s="21"/>
      <c r="P474" s="22" t="s">
        <v>30</v>
      </c>
      <c r="Q474" s="23">
        <v>45769</v>
      </c>
      <c r="R474" s="81" t="s">
        <v>47</v>
      </c>
      <c r="S474" s="22" t="s">
        <v>32</v>
      </c>
      <c r="T474" s="22">
        <v>5</v>
      </c>
      <c r="U474" s="22" t="s">
        <v>47</v>
      </c>
      <c r="V474" s="23">
        <v>45769</v>
      </c>
      <c r="W474" s="360"/>
    </row>
    <row r="475" spans="1:23">
      <c r="A475" s="358" t="s">
        <v>137</v>
      </c>
      <c r="B475" s="369">
        <v>472</v>
      </c>
      <c r="C475" s="372" t="s">
        <v>797</v>
      </c>
      <c r="D475" s="358" t="s">
        <v>798</v>
      </c>
      <c r="E475" s="373">
        <v>45733.375</v>
      </c>
      <c r="F475" s="372" t="s">
        <v>140</v>
      </c>
      <c r="G475" s="372">
        <v>2</v>
      </c>
      <c r="H475" s="372" t="s">
        <v>46</v>
      </c>
      <c r="I475" s="372" t="s">
        <v>47</v>
      </c>
      <c r="J475" s="21" t="s">
        <v>29</v>
      </c>
      <c r="K475" s="21"/>
      <c r="L475" s="21"/>
      <c r="M475" s="22"/>
      <c r="N475" s="23"/>
      <c r="O475" s="21"/>
      <c r="P475" s="22"/>
      <c r="Q475" s="23"/>
      <c r="R475" s="81" t="s">
        <v>37</v>
      </c>
      <c r="S475" s="22"/>
      <c r="T475" s="22"/>
      <c r="U475" s="24"/>
      <c r="V475" s="23"/>
      <c r="W475" s="360"/>
    </row>
    <row r="476" spans="1:23">
      <c r="A476" s="358" t="s">
        <v>137</v>
      </c>
      <c r="B476" s="369">
        <v>473</v>
      </c>
      <c r="C476" s="372" t="s">
        <v>799</v>
      </c>
      <c r="D476" s="358" t="s">
        <v>800</v>
      </c>
      <c r="E476" s="373">
        <v>45733.375</v>
      </c>
      <c r="F476" s="372" t="s">
        <v>140</v>
      </c>
      <c r="G476" s="372">
        <v>11</v>
      </c>
      <c r="H476" s="372" t="s">
        <v>46</v>
      </c>
      <c r="I476" s="372" t="s">
        <v>47</v>
      </c>
      <c r="J476" s="21" t="s">
        <v>29</v>
      </c>
      <c r="K476" s="21"/>
      <c r="L476" s="21"/>
      <c r="M476" s="22"/>
      <c r="N476" s="23"/>
      <c r="O476" s="21"/>
      <c r="P476" s="22"/>
      <c r="Q476" s="23"/>
      <c r="R476" s="81" t="s">
        <v>37</v>
      </c>
      <c r="S476" s="22"/>
      <c r="T476" s="22"/>
      <c r="U476" s="22"/>
      <c r="V476" s="23"/>
      <c r="W476" s="360"/>
    </row>
    <row r="477" spans="1:23">
      <c r="A477" s="358" t="s">
        <v>137</v>
      </c>
      <c r="B477" s="369">
        <v>474</v>
      </c>
      <c r="C477" s="372" t="s">
        <v>801</v>
      </c>
      <c r="D477" s="358" t="s">
        <v>802</v>
      </c>
      <c r="E477" s="373">
        <v>45733.375</v>
      </c>
      <c r="F477" s="372" t="s">
        <v>140</v>
      </c>
      <c r="G477" s="372">
        <v>4</v>
      </c>
      <c r="H477" s="372" t="s">
        <v>22</v>
      </c>
      <c r="I477" s="372" t="s">
        <v>28</v>
      </c>
      <c r="J477" s="21" t="s">
        <v>29</v>
      </c>
      <c r="K477" s="21"/>
      <c r="L477" s="21"/>
      <c r="M477" s="22" t="s">
        <v>30</v>
      </c>
      <c r="N477" s="23">
        <v>45777</v>
      </c>
      <c r="O477" s="21"/>
      <c r="P477" s="22" t="s">
        <v>30</v>
      </c>
      <c r="Q477" s="23">
        <v>45777</v>
      </c>
      <c r="R477" s="81" t="s">
        <v>37</v>
      </c>
      <c r="S477" s="22" t="s">
        <v>32</v>
      </c>
      <c r="T477" s="22">
        <v>4</v>
      </c>
      <c r="U477" s="24" t="s">
        <v>37</v>
      </c>
      <c r="V477" s="23">
        <v>45777</v>
      </c>
      <c r="W477" s="82"/>
    </row>
    <row r="478" spans="1:23">
      <c r="A478" s="358" t="s">
        <v>137</v>
      </c>
      <c r="B478" s="369">
        <v>475</v>
      </c>
      <c r="C478" s="372" t="s">
        <v>803</v>
      </c>
      <c r="D478" s="358" t="s">
        <v>526</v>
      </c>
      <c r="E478" s="373">
        <v>45733.458333333336</v>
      </c>
      <c r="F478" s="372" t="s">
        <v>140</v>
      </c>
      <c r="G478" s="372">
        <v>1</v>
      </c>
      <c r="H478" s="372" t="s">
        <v>21</v>
      </c>
      <c r="I478" s="372" t="s">
        <v>127</v>
      </c>
      <c r="J478" s="21" t="s">
        <v>29</v>
      </c>
      <c r="K478" s="21"/>
      <c r="L478" s="21"/>
      <c r="M478" s="22" t="s">
        <v>30</v>
      </c>
      <c r="N478" s="23">
        <v>45777</v>
      </c>
      <c r="O478" s="21"/>
      <c r="P478" s="22" t="s">
        <v>30</v>
      </c>
      <c r="Q478" s="23">
        <v>45777</v>
      </c>
      <c r="R478" s="81" t="s">
        <v>37</v>
      </c>
      <c r="S478" s="22" t="s">
        <v>32</v>
      </c>
      <c r="T478" s="22">
        <v>1</v>
      </c>
      <c r="U478" s="24" t="s">
        <v>37</v>
      </c>
      <c r="V478" s="23">
        <v>45777</v>
      </c>
      <c r="W478" s="360"/>
    </row>
    <row r="479" spans="1:23">
      <c r="A479" s="358" t="s">
        <v>137</v>
      </c>
      <c r="B479" s="369">
        <v>476</v>
      </c>
      <c r="C479" s="372" t="s">
        <v>804</v>
      </c>
      <c r="D479" s="358" t="s">
        <v>779</v>
      </c>
      <c r="E479" s="373">
        <v>45733.375</v>
      </c>
      <c r="F479" s="372" t="s">
        <v>140</v>
      </c>
      <c r="G479" s="372">
        <v>3</v>
      </c>
      <c r="H479" s="372" t="s">
        <v>291</v>
      </c>
      <c r="I479" s="372" t="s">
        <v>760</v>
      </c>
      <c r="J479" s="21" t="s">
        <v>29</v>
      </c>
      <c r="K479" s="21"/>
      <c r="L479" s="21"/>
      <c r="M479" s="22" t="s">
        <v>30</v>
      </c>
      <c r="N479" s="23">
        <v>45782</v>
      </c>
      <c r="O479" s="21"/>
      <c r="P479" s="22" t="s">
        <v>30</v>
      </c>
      <c r="Q479" s="23">
        <v>45782</v>
      </c>
      <c r="R479" s="81" t="s">
        <v>37</v>
      </c>
      <c r="S479" s="22" t="s">
        <v>32</v>
      </c>
      <c r="T479" s="22">
        <v>3</v>
      </c>
      <c r="U479" s="22" t="s">
        <v>67</v>
      </c>
      <c r="V479" s="23">
        <v>45782</v>
      </c>
      <c r="W479" s="82"/>
    </row>
    <row r="480" spans="1:23">
      <c r="A480" s="358" t="s">
        <v>137</v>
      </c>
      <c r="B480" s="369">
        <v>477</v>
      </c>
      <c r="C480" s="372" t="s">
        <v>805</v>
      </c>
      <c r="D480" s="358" t="s">
        <v>519</v>
      </c>
      <c r="E480" s="373">
        <v>45740.375</v>
      </c>
      <c r="F480" s="372" t="s">
        <v>140</v>
      </c>
      <c r="G480" s="372">
        <v>9</v>
      </c>
      <c r="H480" s="372" t="s">
        <v>776</v>
      </c>
      <c r="I480" s="372" t="s">
        <v>777</v>
      </c>
      <c r="J480" s="21" t="s">
        <v>29</v>
      </c>
      <c r="K480" s="21"/>
      <c r="L480" s="21"/>
      <c r="M480" s="22"/>
      <c r="N480" s="23"/>
      <c r="O480" s="21"/>
      <c r="P480" s="22"/>
      <c r="Q480" s="23"/>
      <c r="R480" s="81" t="s">
        <v>37</v>
      </c>
      <c r="S480" s="22"/>
      <c r="T480" s="22"/>
      <c r="U480" s="22"/>
      <c r="V480" s="23"/>
      <c r="W480" s="82"/>
    </row>
    <row r="481" spans="1:23">
      <c r="A481" s="358" t="s">
        <v>137</v>
      </c>
      <c r="B481" s="369">
        <v>478</v>
      </c>
      <c r="C481" s="372" t="s">
        <v>806</v>
      </c>
      <c r="D481" s="358" t="s">
        <v>807</v>
      </c>
      <c r="E481" s="373">
        <v>45740.375</v>
      </c>
      <c r="F481" s="372" t="s">
        <v>140</v>
      </c>
      <c r="G481" s="372">
        <v>2</v>
      </c>
      <c r="H481" s="372" t="s">
        <v>46</v>
      </c>
      <c r="I481" s="372" t="s">
        <v>47</v>
      </c>
      <c r="J481" s="21" t="s">
        <v>29</v>
      </c>
      <c r="K481" s="21"/>
      <c r="L481" s="21"/>
      <c r="M481" s="22"/>
      <c r="N481" s="23"/>
      <c r="O481" s="21"/>
      <c r="P481" s="22"/>
      <c r="Q481" s="23"/>
      <c r="R481" s="81" t="s">
        <v>37</v>
      </c>
      <c r="S481" s="22"/>
      <c r="T481" s="22"/>
      <c r="U481" s="22"/>
      <c r="V481" s="23"/>
      <c r="W481" s="82"/>
    </row>
    <row r="482" spans="1:23">
      <c r="A482" s="358" t="s">
        <v>137</v>
      </c>
      <c r="B482" s="369">
        <v>479</v>
      </c>
      <c r="C482" s="372" t="s">
        <v>808</v>
      </c>
      <c r="D482" s="358" t="s">
        <v>809</v>
      </c>
      <c r="E482" s="373">
        <v>45740.375</v>
      </c>
      <c r="F482" s="372" t="s">
        <v>140</v>
      </c>
      <c r="G482" s="372">
        <v>2</v>
      </c>
      <c r="H482" s="372" t="s">
        <v>22</v>
      </c>
      <c r="I482" s="372" t="s">
        <v>28</v>
      </c>
      <c r="J482" s="21" t="s">
        <v>29</v>
      </c>
      <c r="K482" s="21"/>
      <c r="L482" s="21"/>
      <c r="M482" s="22"/>
      <c r="N482" s="23"/>
      <c r="O482" s="21"/>
      <c r="P482" s="22"/>
      <c r="Q482" s="23"/>
      <c r="R482" s="81" t="s">
        <v>37</v>
      </c>
      <c r="S482" s="22"/>
      <c r="T482" s="22"/>
      <c r="U482" s="22"/>
      <c r="V482" s="23"/>
      <c r="W482" s="82"/>
    </row>
    <row r="483" spans="1:23">
      <c r="A483" s="358" t="s">
        <v>137</v>
      </c>
      <c r="B483" s="369">
        <v>480</v>
      </c>
      <c r="C483" s="372" t="s">
        <v>810</v>
      </c>
      <c r="D483" s="358" t="s">
        <v>811</v>
      </c>
      <c r="E483" s="373">
        <v>45740.375</v>
      </c>
      <c r="F483" s="372" t="s">
        <v>140</v>
      </c>
      <c r="G483" s="372">
        <v>7</v>
      </c>
      <c r="H483" s="372" t="s">
        <v>22</v>
      </c>
      <c r="I483" s="372" t="s">
        <v>28</v>
      </c>
      <c r="J483" s="21" t="s">
        <v>29</v>
      </c>
      <c r="K483" s="21"/>
      <c r="L483" s="21"/>
      <c r="M483" s="22"/>
      <c r="N483" s="23"/>
      <c r="O483" s="21"/>
      <c r="P483" s="22"/>
      <c r="Q483" s="23"/>
      <c r="R483" s="81" t="s">
        <v>37</v>
      </c>
      <c r="S483" s="22"/>
      <c r="T483" s="22"/>
      <c r="U483" s="22"/>
      <c r="V483" s="23"/>
      <c r="W483" s="360"/>
    </row>
    <row r="484" spans="1:23">
      <c r="A484" s="358" t="s">
        <v>137</v>
      </c>
      <c r="B484" s="369">
        <v>481</v>
      </c>
      <c r="C484" s="372" t="s">
        <v>812</v>
      </c>
      <c r="D484" s="358" t="s">
        <v>813</v>
      </c>
      <c r="E484" s="373">
        <v>45740</v>
      </c>
      <c r="F484" s="372" t="s">
        <v>140</v>
      </c>
      <c r="G484" s="372">
        <v>5</v>
      </c>
      <c r="H484" s="372" t="s">
        <v>21</v>
      </c>
      <c r="I484" s="372" t="s">
        <v>36</v>
      </c>
      <c r="J484" s="21" t="s">
        <v>29</v>
      </c>
      <c r="K484" s="21"/>
      <c r="L484" s="21"/>
      <c r="M484" s="22" t="s">
        <v>30</v>
      </c>
      <c r="N484" s="23">
        <v>45777</v>
      </c>
      <c r="O484" s="21"/>
      <c r="P484" s="22" t="s">
        <v>30</v>
      </c>
      <c r="Q484" s="23">
        <v>45777</v>
      </c>
      <c r="R484" s="81" t="s">
        <v>67</v>
      </c>
      <c r="S484" s="22" t="s">
        <v>32</v>
      </c>
      <c r="T484" s="22">
        <v>5</v>
      </c>
      <c r="U484" s="22" t="s">
        <v>67</v>
      </c>
      <c r="V484" s="23">
        <v>45777</v>
      </c>
      <c r="W484" s="360"/>
    </row>
    <row r="485" spans="1:23">
      <c r="A485" s="358" t="s">
        <v>137</v>
      </c>
      <c r="B485" s="369">
        <v>482</v>
      </c>
      <c r="C485" s="372" t="s">
        <v>814</v>
      </c>
      <c r="D485" s="358" t="s">
        <v>575</v>
      </c>
      <c r="E485" s="373">
        <v>45740.375</v>
      </c>
      <c r="F485" s="372" t="s">
        <v>140</v>
      </c>
      <c r="G485" s="372">
        <v>2</v>
      </c>
      <c r="H485" s="372" t="s">
        <v>21</v>
      </c>
      <c r="I485" s="372" t="s">
        <v>36</v>
      </c>
      <c r="J485" s="21" t="s">
        <v>29</v>
      </c>
      <c r="K485" s="21"/>
      <c r="L485" s="21"/>
      <c r="M485" s="22"/>
      <c r="N485" s="23"/>
      <c r="O485" s="21"/>
      <c r="P485" s="22"/>
      <c r="Q485" s="23"/>
      <c r="R485" s="81" t="s">
        <v>37</v>
      </c>
      <c r="S485" s="22"/>
      <c r="T485" s="22"/>
      <c r="U485" s="24"/>
      <c r="V485" s="23"/>
      <c r="W485" s="360"/>
    </row>
    <row r="486" spans="1:23">
      <c r="A486" s="358" t="s">
        <v>137</v>
      </c>
      <c r="B486" s="369">
        <v>483</v>
      </c>
      <c r="C486" s="372" t="s">
        <v>815</v>
      </c>
      <c r="D486" s="358" t="s">
        <v>816</v>
      </c>
      <c r="E486" s="373">
        <v>45740.375</v>
      </c>
      <c r="F486" s="372" t="s">
        <v>140</v>
      </c>
      <c r="G486" s="372">
        <v>5</v>
      </c>
      <c r="H486" s="372" t="s">
        <v>210</v>
      </c>
      <c r="I486" s="372" t="s">
        <v>211</v>
      </c>
      <c r="J486" s="21" t="s">
        <v>29</v>
      </c>
      <c r="K486" s="21"/>
      <c r="L486" s="21"/>
      <c r="M486" s="22"/>
      <c r="N486" s="23"/>
      <c r="O486" s="21"/>
      <c r="P486" s="22"/>
      <c r="Q486" s="23"/>
      <c r="R486" s="81" t="s">
        <v>37</v>
      </c>
      <c r="S486" s="22"/>
      <c r="T486" s="22"/>
      <c r="U486" s="22"/>
      <c r="V486" s="23"/>
      <c r="W486" s="360"/>
    </row>
    <row r="487" spans="1:23">
      <c r="A487" s="358" t="s">
        <v>137</v>
      </c>
      <c r="B487" s="369">
        <v>484</v>
      </c>
      <c r="C487" s="372" t="s">
        <v>817</v>
      </c>
      <c r="D487" s="358" t="s">
        <v>818</v>
      </c>
      <c r="E487" s="373">
        <v>45740</v>
      </c>
      <c r="F487" s="372" t="s">
        <v>140</v>
      </c>
      <c r="G487" s="372">
        <v>2</v>
      </c>
      <c r="H487" s="372" t="s">
        <v>141</v>
      </c>
      <c r="I487" s="372" t="s">
        <v>819</v>
      </c>
      <c r="J487" s="21" t="s">
        <v>29</v>
      </c>
      <c r="K487" s="21"/>
      <c r="L487" s="21"/>
      <c r="M487" s="22" t="s">
        <v>30</v>
      </c>
      <c r="N487" s="23">
        <v>45777</v>
      </c>
      <c r="O487" s="21"/>
      <c r="P487" s="22" t="s">
        <v>30</v>
      </c>
      <c r="Q487" s="23">
        <v>45777</v>
      </c>
      <c r="R487" s="81" t="s">
        <v>37</v>
      </c>
      <c r="S487" s="22" t="s">
        <v>32</v>
      </c>
      <c r="T487" s="22">
        <v>2</v>
      </c>
      <c r="U487" s="24" t="s">
        <v>37</v>
      </c>
      <c r="V487" s="23">
        <v>45777</v>
      </c>
      <c r="W487" s="360"/>
    </row>
    <row r="488" spans="1:23">
      <c r="A488" s="358" t="s">
        <v>137</v>
      </c>
      <c r="B488" s="369">
        <v>485</v>
      </c>
      <c r="C488" s="372" t="s">
        <v>820</v>
      </c>
      <c r="D488" s="358" t="s">
        <v>821</v>
      </c>
      <c r="E488" s="373">
        <v>45740.375</v>
      </c>
      <c r="F488" s="372" t="s">
        <v>140</v>
      </c>
      <c r="G488" s="372">
        <v>9</v>
      </c>
      <c r="H488" s="372" t="s">
        <v>22</v>
      </c>
      <c r="I488" s="372" t="s">
        <v>28</v>
      </c>
      <c r="J488" s="21" t="s">
        <v>29</v>
      </c>
      <c r="K488" s="21"/>
      <c r="L488" s="21"/>
      <c r="M488" s="22" t="s">
        <v>30</v>
      </c>
      <c r="N488" s="23">
        <v>45777</v>
      </c>
      <c r="O488" s="21"/>
      <c r="P488" s="22" t="s">
        <v>30</v>
      </c>
      <c r="Q488" s="23">
        <v>45777</v>
      </c>
      <c r="R488" s="81" t="s">
        <v>67</v>
      </c>
      <c r="S488" s="22" t="s">
        <v>32</v>
      </c>
      <c r="T488" s="22">
        <v>9</v>
      </c>
      <c r="U488" s="22" t="s">
        <v>67</v>
      </c>
      <c r="V488" s="23">
        <v>45777</v>
      </c>
      <c r="W488" s="360"/>
    </row>
    <row r="489" spans="1:23">
      <c r="A489" s="358" t="s">
        <v>137</v>
      </c>
      <c r="B489" s="369">
        <v>486</v>
      </c>
      <c r="C489" s="372" t="s">
        <v>822</v>
      </c>
      <c r="D489" s="360" t="s">
        <v>823</v>
      </c>
      <c r="E489" s="373">
        <v>45740.375</v>
      </c>
      <c r="F489" s="372" t="s">
        <v>140</v>
      </c>
      <c r="G489" s="372">
        <v>4</v>
      </c>
      <c r="H489" s="372" t="s">
        <v>22</v>
      </c>
      <c r="I489" s="372" t="s">
        <v>28</v>
      </c>
      <c r="J489" s="21" t="s">
        <v>29</v>
      </c>
      <c r="K489" s="21"/>
      <c r="L489" s="21"/>
      <c r="M489" s="22" t="s">
        <v>30</v>
      </c>
      <c r="N489" s="23">
        <v>45777</v>
      </c>
      <c r="O489" s="21"/>
      <c r="P489" s="22" t="s">
        <v>30</v>
      </c>
      <c r="Q489" s="23">
        <v>45777</v>
      </c>
      <c r="R489" s="81" t="s">
        <v>67</v>
      </c>
      <c r="S489" s="22" t="s">
        <v>32</v>
      </c>
      <c r="T489" s="22">
        <v>4</v>
      </c>
      <c r="U489" s="22" t="s">
        <v>67</v>
      </c>
      <c r="V489" s="23">
        <v>45777</v>
      </c>
      <c r="W489" s="360"/>
    </row>
    <row r="490" spans="1:23">
      <c r="A490" s="358" t="s">
        <v>137</v>
      </c>
      <c r="B490" s="369">
        <v>487</v>
      </c>
      <c r="C490" s="372" t="s">
        <v>824</v>
      </c>
      <c r="D490" s="360" t="s">
        <v>147</v>
      </c>
      <c r="E490" s="373">
        <v>45740.375</v>
      </c>
      <c r="F490" s="372" t="s">
        <v>140</v>
      </c>
      <c r="G490" s="372">
        <v>8</v>
      </c>
      <c r="H490" s="372" t="s">
        <v>310</v>
      </c>
      <c r="I490" s="372" t="s">
        <v>825</v>
      </c>
      <c r="J490" s="21" t="s">
        <v>29</v>
      </c>
      <c r="K490" s="21"/>
      <c r="L490" s="21"/>
      <c r="M490" s="22" t="s">
        <v>30</v>
      </c>
      <c r="N490" s="23">
        <v>45777</v>
      </c>
      <c r="O490" s="21"/>
      <c r="P490" s="22" t="s">
        <v>30</v>
      </c>
      <c r="Q490" s="23">
        <v>45777</v>
      </c>
      <c r="R490" s="81" t="s">
        <v>67</v>
      </c>
      <c r="S490" s="22" t="s">
        <v>32</v>
      </c>
      <c r="T490" s="22">
        <v>8</v>
      </c>
      <c r="U490" s="22" t="s">
        <v>67</v>
      </c>
      <c r="V490" s="23">
        <v>45777</v>
      </c>
      <c r="W490" s="360"/>
    </row>
    <row r="491" spans="1:23">
      <c r="A491" s="358" t="s">
        <v>137</v>
      </c>
      <c r="B491" s="369">
        <v>488</v>
      </c>
      <c r="C491" s="372" t="s">
        <v>826</v>
      </c>
      <c r="D491" s="360" t="s">
        <v>827</v>
      </c>
      <c r="E491" s="373">
        <v>45740.375</v>
      </c>
      <c r="F491" s="372" t="s">
        <v>140</v>
      </c>
      <c r="G491" s="372">
        <v>8</v>
      </c>
      <c r="H491" s="372" t="s">
        <v>210</v>
      </c>
      <c r="I491" s="372" t="s">
        <v>211</v>
      </c>
      <c r="J491" s="21" t="s">
        <v>29</v>
      </c>
      <c r="K491" s="21"/>
      <c r="L491" s="21"/>
      <c r="M491" s="22" t="s">
        <v>30</v>
      </c>
      <c r="N491" s="23">
        <v>45777</v>
      </c>
      <c r="O491" s="21" t="s">
        <v>66</v>
      </c>
      <c r="P491" s="22" t="s">
        <v>30</v>
      </c>
      <c r="Q491" s="23">
        <v>45777</v>
      </c>
      <c r="R491" s="81" t="s">
        <v>67</v>
      </c>
      <c r="S491" s="22" t="s">
        <v>32</v>
      </c>
      <c r="T491" s="22">
        <v>8</v>
      </c>
      <c r="U491" s="22" t="s">
        <v>67</v>
      </c>
      <c r="V491" s="23">
        <v>45777</v>
      </c>
      <c r="W491" s="360"/>
    </row>
    <row r="492" spans="1:23">
      <c r="A492" s="358" t="s">
        <v>137</v>
      </c>
      <c r="B492" s="369">
        <v>489</v>
      </c>
      <c r="C492" s="372" t="s">
        <v>828</v>
      </c>
      <c r="D492" s="360" t="s">
        <v>829</v>
      </c>
      <c r="E492" s="373">
        <v>45740.375</v>
      </c>
      <c r="F492" s="372" t="s">
        <v>140</v>
      </c>
      <c r="G492" s="372">
        <v>13</v>
      </c>
      <c r="H492" s="372" t="s">
        <v>291</v>
      </c>
      <c r="I492" s="372" t="s">
        <v>830</v>
      </c>
      <c r="J492" s="21" t="s">
        <v>29</v>
      </c>
      <c r="K492" s="21"/>
      <c r="L492" s="21"/>
      <c r="M492" s="22" t="s">
        <v>30</v>
      </c>
      <c r="N492" s="23">
        <v>45777</v>
      </c>
      <c r="O492" s="21"/>
      <c r="P492" s="22" t="s">
        <v>30</v>
      </c>
      <c r="Q492" s="23">
        <v>45777</v>
      </c>
      <c r="R492" s="81" t="s">
        <v>67</v>
      </c>
      <c r="S492" s="22" t="s">
        <v>32</v>
      </c>
      <c r="T492" s="22">
        <v>13</v>
      </c>
      <c r="U492" s="22" t="s">
        <v>67</v>
      </c>
      <c r="V492" s="23">
        <v>45777</v>
      </c>
      <c r="W492" s="360"/>
    </row>
    <row r="493" spans="1:23">
      <c r="A493" s="358" t="s">
        <v>137</v>
      </c>
      <c r="B493" s="369">
        <v>490</v>
      </c>
      <c r="C493" s="372" t="s">
        <v>831</v>
      </c>
      <c r="D493" s="360" t="s">
        <v>526</v>
      </c>
      <c r="E493" s="373">
        <v>45747.375</v>
      </c>
      <c r="F493" s="372" t="s">
        <v>140</v>
      </c>
      <c r="G493" s="372">
        <v>4</v>
      </c>
      <c r="H493" s="372" t="s">
        <v>46</v>
      </c>
      <c r="I493" s="372" t="s">
        <v>47</v>
      </c>
      <c r="J493" s="21" t="s">
        <v>29</v>
      </c>
      <c r="K493" s="21"/>
      <c r="L493" s="21"/>
      <c r="M493" s="22" t="s">
        <v>30</v>
      </c>
      <c r="N493" s="23">
        <v>45777</v>
      </c>
      <c r="O493" s="21"/>
      <c r="P493" s="22" t="s">
        <v>30</v>
      </c>
      <c r="Q493" s="23">
        <v>45777</v>
      </c>
      <c r="R493" s="81" t="s">
        <v>67</v>
      </c>
      <c r="S493" s="22" t="s">
        <v>32</v>
      </c>
      <c r="T493" s="22">
        <v>13</v>
      </c>
      <c r="U493" s="22" t="s">
        <v>67</v>
      </c>
      <c r="V493" s="23">
        <v>45777</v>
      </c>
      <c r="W493" s="360"/>
    </row>
    <row r="494" spans="1:23">
      <c r="A494" s="358" t="s">
        <v>137</v>
      </c>
      <c r="B494" s="369">
        <v>491</v>
      </c>
      <c r="C494" s="372" t="s">
        <v>832</v>
      </c>
      <c r="D494" s="360" t="s">
        <v>833</v>
      </c>
      <c r="E494" s="373">
        <v>45747.458333333336</v>
      </c>
      <c r="F494" s="372" t="s">
        <v>140</v>
      </c>
      <c r="G494" s="372">
        <v>1</v>
      </c>
      <c r="H494" s="372" t="s">
        <v>21</v>
      </c>
      <c r="I494" s="372" t="s">
        <v>127</v>
      </c>
      <c r="J494" s="21" t="s">
        <v>29</v>
      </c>
      <c r="K494" s="21"/>
      <c r="L494" s="21"/>
      <c r="M494" s="22" t="s">
        <v>30</v>
      </c>
      <c r="N494" s="23">
        <v>45777</v>
      </c>
      <c r="O494" s="21"/>
      <c r="P494" s="22" t="s">
        <v>30</v>
      </c>
      <c r="Q494" s="23">
        <v>45777</v>
      </c>
      <c r="R494" s="81" t="s">
        <v>67</v>
      </c>
      <c r="S494" s="22" t="s">
        <v>32</v>
      </c>
      <c r="T494" s="22">
        <v>1</v>
      </c>
      <c r="U494" s="22" t="s">
        <v>67</v>
      </c>
      <c r="V494" s="23">
        <v>45777</v>
      </c>
      <c r="W494" s="360"/>
    </row>
    <row r="495" spans="1:23">
      <c r="A495" s="358" t="s">
        <v>137</v>
      </c>
      <c r="B495" s="369">
        <v>492</v>
      </c>
      <c r="C495" s="372" t="s">
        <v>834</v>
      </c>
      <c r="D495" s="360" t="s">
        <v>523</v>
      </c>
      <c r="E495" s="373">
        <v>45747.375</v>
      </c>
      <c r="F495" s="372" t="s">
        <v>140</v>
      </c>
      <c r="G495" s="372">
        <v>6</v>
      </c>
      <c r="H495" s="372" t="s">
        <v>310</v>
      </c>
      <c r="I495" s="372" t="s">
        <v>825</v>
      </c>
      <c r="J495" s="21" t="s">
        <v>29</v>
      </c>
      <c r="K495" s="21"/>
      <c r="L495" s="21"/>
      <c r="M495" s="22" t="s">
        <v>30</v>
      </c>
      <c r="N495" s="23">
        <v>45777</v>
      </c>
      <c r="O495" s="21"/>
      <c r="P495" s="22" t="s">
        <v>30</v>
      </c>
      <c r="Q495" s="23">
        <v>45777</v>
      </c>
      <c r="R495" s="81" t="s">
        <v>67</v>
      </c>
      <c r="S495" s="22" t="s">
        <v>32</v>
      </c>
      <c r="T495" s="22">
        <v>6</v>
      </c>
      <c r="U495" s="22" t="s">
        <v>67</v>
      </c>
      <c r="V495" s="23">
        <v>45777</v>
      </c>
      <c r="W495" s="360"/>
    </row>
    <row r="496" spans="1:23">
      <c r="A496" s="358" t="s">
        <v>137</v>
      </c>
      <c r="B496" s="369">
        <v>493</v>
      </c>
      <c r="C496" s="372" t="s">
        <v>835</v>
      </c>
      <c r="D496" s="358" t="s">
        <v>215</v>
      </c>
      <c r="E496" s="373">
        <v>45747.375</v>
      </c>
      <c r="F496" s="372" t="s">
        <v>140</v>
      </c>
      <c r="G496" s="372">
        <v>19</v>
      </c>
      <c r="H496" s="372" t="s">
        <v>310</v>
      </c>
      <c r="I496" s="372" t="s">
        <v>825</v>
      </c>
      <c r="J496" s="21" t="s">
        <v>29</v>
      </c>
      <c r="K496" s="21"/>
      <c r="L496" s="21"/>
      <c r="M496" s="22" t="s">
        <v>30</v>
      </c>
      <c r="N496" s="23">
        <v>45777</v>
      </c>
      <c r="O496" s="21" t="s">
        <v>31</v>
      </c>
      <c r="P496" s="22" t="s">
        <v>30</v>
      </c>
      <c r="Q496" s="23">
        <v>45777</v>
      </c>
      <c r="R496" s="81" t="s">
        <v>67</v>
      </c>
      <c r="S496" s="22" t="s">
        <v>32</v>
      </c>
      <c r="T496" s="22">
        <v>19</v>
      </c>
      <c r="U496" s="22" t="s">
        <v>67</v>
      </c>
      <c r="V496" s="23">
        <v>45777</v>
      </c>
      <c r="W496" s="82"/>
    </row>
    <row r="497" spans="1:23">
      <c r="A497" s="358" t="s">
        <v>137</v>
      </c>
      <c r="B497" s="369">
        <v>494</v>
      </c>
      <c r="C497" s="372" t="s">
        <v>836</v>
      </c>
      <c r="D497" s="358" t="s">
        <v>519</v>
      </c>
      <c r="E497" s="373">
        <v>45747.375</v>
      </c>
      <c r="F497" s="372" t="s">
        <v>140</v>
      </c>
      <c r="G497" s="372">
        <v>14</v>
      </c>
      <c r="H497" s="372" t="s">
        <v>291</v>
      </c>
      <c r="I497" s="372" t="s">
        <v>837</v>
      </c>
      <c r="J497" s="21" t="s">
        <v>29</v>
      </c>
      <c r="K497" s="21"/>
      <c r="L497" s="21"/>
      <c r="M497" s="22" t="s">
        <v>30</v>
      </c>
      <c r="N497" s="23">
        <v>45777</v>
      </c>
      <c r="O497" s="21"/>
      <c r="P497" s="22" t="s">
        <v>30</v>
      </c>
      <c r="Q497" s="23">
        <v>45777</v>
      </c>
      <c r="R497" s="81" t="s">
        <v>67</v>
      </c>
      <c r="S497" s="22" t="s">
        <v>32</v>
      </c>
      <c r="T497" s="22">
        <v>14</v>
      </c>
      <c r="U497" s="22" t="s">
        <v>67</v>
      </c>
      <c r="V497" s="23">
        <v>45777</v>
      </c>
      <c r="W497" s="360"/>
    </row>
    <row r="498" spans="1:23">
      <c r="A498" s="358" t="s">
        <v>137</v>
      </c>
      <c r="B498" s="369">
        <v>495</v>
      </c>
      <c r="C498" s="372" t="s">
        <v>838</v>
      </c>
      <c r="D498" s="358" t="s">
        <v>839</v>
      </c>
      <c r="E498" s="373">
        <v>45747.375</v>
      </c>
      <c r="F498" s="372" t="s">
        <v>140</v>
      </c>
      <c r="G498" s="372">
        <v>1</v>
      </c>
      <c r="H498" s="372" t="s">
        <v>46</v>
      </c>
      <c r="I498" s="372" t="s">
        <v>47</v>
      </c>
      <c r="J498" s="21" t="s">
        <v>29</v>
      </c>
      <c r="K498" s="21"/>
      <c r="L498" s="21"/>
      <c r="M498" s="22" t="s">
        <v>30</v>
      </c>
      <c r="N498" s="23">
        <v>45777</v>
      </c>
      <c r="O498" s="21"/>
      <c r="P498" s="22" t="s">
        <v>30</v>
      </c>
      <c r="Q498" s="23">
        <v>45777</v>
      </c>
      <c r="R498" s="81" t="s">
        <v>67</v>
      </c>
      <c r="S498" s="22" t="s">
        <v>32</v>
      </c>
      <c r="T498" s="22">
        <v>1</v>
      </c>
      <c r="U498" s="22" t="s">
        <v>67</v>
      </c>
      <c r="V498" s="23">
        <v>45777</v>
      </c>
      <c r="W498" s="82"/>
    </row>
    <row r="499" spans="1:23">
      <c r="A499" s="358" t="s">
        <v>137</v>
      </c>
      <c r="B499" s="369">
        <v>496</v>
      </c>
      <c r="C499" s="372" t="s">
        <v>840</v>
      </c>
      <c r="D499" s="358" t="s">
        <v>841</v>
      </c>
      <c r="E499" s="373">
        <v>45747.375</v>
      </c>
      <c r="F499" s="372" t="s">
        <v>140</v>
      </c>
      <c r="G499" s="372">
        <v>4</v>
      </c>
      <c r="H499" s="372" t="s">
        <v>22</v>
      </c>
      <c r="I499" s="372" t="s">
        <v>28</v>
      </c>
      <c r="J499" s="21" t="s">
        <v>29</v>
      </c>
      <c r="K499" s="21"/>
      <c r="L499" s="21"/>
      <c r="M499" s="22" t="s">
        <v>30</v>
      </c>
      <c r="N499" s="23">
        <v>45777</v>
      </c>
      <c r="O499" s="21"/>
      <c r="P499" s="22" t="s">
        <v>30</v>
      </c>
      <c r="Q499" s="23">
        <v>45777</v>
      </c>
      <c r="R499" s="81" t="s">
        <v>67</v>
      </c>
      <c r="S499" s="22" t="s">
        <v>32</v>
      </c>
      <c r="T499" s="22">
        <v>4</v>
      </c>
      <c r="U499" s="22" t="s">
        <v>67</v>
      </c>
      <c r="V499" s="23">
        <v>45777</v>
      </c>
      <c r="W499" s="82"/>
    </row>
    <row r="500" spans="1:23">
      <c r="A500" s="358" t="s">
        <v>137</v>
      </c>
      <c r="B500" s="369">
        <v>497</v>
      </c>
      <c r="C500" s="372" t="s">
        <v>842</v>
      </c>
      <c r="D500" s="358" t="s">
        <v>159</v>
      </c>
      <c r="E500" s="373">
        <v>45747.458333333336</v>
      </c>
      <c r="F500" s="372" t="s">
        <v>140</v>
      </c>
      <c r="G500" s="372">
        <v>1</v>
      </c>
      <c r="H500" s="372" t="s">
        <v>21</v>
      </c>
      <c r="I500" s="372" t="s">
        <v>127</v>
      </c>
      <c r="J500" s="21" t="s">
        <v>29</v>
      </c>
      <c r="K500" s="21"/>
      <c r="L500" s="21"/>
      <c r="M500" s="22" t="s">
        <v>30</v>
      </c>
      <c r="N500" s="23">
        <v>45777</v>
      </c>
      <c r="O500" s="21"/>
      <c r="P500" s="22" t="s">
        <v>30</v>
      </c>
      <c r="Q500" s="23">
        <v>45777</v>
      </c>
      <c r="R500" s="81" t="s">
        <v>67</v>
      </c>
      <c r="S500" s="22" t="s">
        <v>32</v>
      </c>
      <c r="T500" s="22">
        <v>1</v>
      </c>
      <c r="U500" s="22" t="s">
        <v>67</v>
      </c>
      <c r="V500" s="23">
        <v>45777</v>
      </c>
      <c r="W500" s="82"/>
    </row>
    <row r="501" spans="1:23">
      <c r="A501" s="358" t="s">
        <v>137</v>
      </c>
      <c r="B501" s="369">
        <v>498</v>
      </c>
      <c r="C501" s="372" t="s">
        <v>843</v>
      </c>
      <c r="D501" s="358" t="s">
        <v>779</v>
      </c>
      <c r="E501" s="373">
        <v>45747.375</v>
      </c>
      <c r="F501" s="372" t="s">
        <v>140</v>
      </c>
      <c r="G501" s="372">
        <v>4</v>
      </c>
      <c r="H501" s="372" t="s">
        <v>301</v>
      </c>
      <c r="I501" s="372" t="s">
        <v>302</v>
      </c>
      <c r="J501" s="21" t="s">
        <v>29</v>
      </c>
      <c r="K501" s="21"/>
      <c r="L501" s="21"/>
      <c r="M501" s="22" t="s">
        <v>30</v>
      </c>
      <c r="N501" s="23">
        <v>45777</v>
      </c>
      <c r="O501" s="21"/>
      <c r="P501" s="22" t="s">
        <v>30</v>
      </c>
      <c r="Q501" s="23">
        <v>45777</v>
      </c>
      <c r="R501" s="81" t="s">
        <v>67</v>
      </c>
      <c r="S501" s="22" t="s">
        <v>32</v>
      </c>
      <c r="T501" s="22">
        <v>4</v>
      </c>
      <c r="U501" s="22" t="s">
        <v>67</v>
      </c>
      <c r="V501" s="23">
        <v>45777</v>
      </c>
      <c r="W501" s="82"/>
    </row>
    <row r="502" spans="1:23">
      <c r="A502" s="358" t="s">
        <v>137</v>
      </c>
      <c r="B502" s="369">
        <v>499</v>
      </c>
      <c r="C502" s="372" t="s">
        <v>844</v>
      </c>
      <c r="D502" s="358" t="s">
        <v>811</v>
      </c>
      <c r="E502" s="373">
        <v>45747.375</v>
      </c>
      <c r="F502" s="372" t="s">
        <v>140</v>
      </c>
      <c r="G502" s="372">
        <v>1</v>
      </c>
      <c r="H502" s="372" t="s">
        <v>46</v>
      </c>
      <c r="I502" s="372" t="s">
        <v>47</v>
      </c>
      <c r="J502" s="21" t="s">
        <v>29</v>
      </c>
      <c r="K502" s="21"/>
      <c r="L502" s="21"/>
      <c r="M502" s="22" t="s">
        <v>30</v>
      </c>
      <c r="N502" s="23">
        <v>45777</v>
      </c>
      <c r="O502" s="21"/>
      <c r="P502" s="22" t="s">
        <v>30</v>
      </c>
      <c r="Q502" s="23">
        <v>45777</v>
      </c>
      <c r="R502" s="81" t="s">
        <v>67</v>
      </c>
      <c r="S502" s="22" t="s">
        <v>32</v>
      </c>
      <c r="T502" s="22">
        <v>1</v>
      </c>
      <c r="U502" s="22" t="s">
        <v>67</v>
      </c>
      <c r="V502" s="23">
        <v>45777</v>
      </c>
      <c r="W502" s="360"/>
    </row>
    <row r="503" spans="1:23">
      <c r="A503" s="358" t="s">
        <v>137</v>
      </c>
      <c r="B503" s="369">
        <v>500</v>
      </c>
      <c r="C503" s="372" t="s">
        <v>845</v>
      </c>
      <c r="D503" s="358" t="s">
        <v>846</v>
      </c>
      <c r="E503" s="373">
        <v>45747.375</v>
      </c>
      <c r="F503" s="372" t="s">
        <v>140</v>
      </c>
      <c r="G503" s="372">
        <v>1</v>
      </c>
      <c r="H503" s="372" t="s">
        <v>46</v>
      </c>
      <c r="I503" s="372" t="s">
        <v>47</v>
      </c>
      <c r="J503" s="21" t="s">
        <v>29</v>
      </c>
      <c r="K503" s="21"/>
      <c r="L503" s="21"/>
      <c r="M503" s="22" t="s">
        <v>30</v>
      </c>
      <c r="N503" s="23">
        <v>45777</v>
      </c>
      <c r="O503" s="21"/>
      <c r="P503" s="22" t="s">
        <v>30</v>
      </c>
      <c r="Q503" s="23">
        <v>45777</v>
      </c>
      <c r="R503" s="81" t="s">
        <v>67</v>
      </c>
      <c r="S503" s="22" t="s">
        <v>32</v>
      </c>
      <c r="T503" s="22">
        <v>1</v>
      </c>
      <c r="U503" s="22" t="s">
        <v>67</v>
      </c>
      <c r="V503" s="23">
        <v>45777</v>
      </c>
      <c r="W503" s="360"/>
    </row>
    <row r="504" spans="1:23">
      <c r="A504" s="358" t="s">
        <v>137</v>
      </c>
      <c r="B504" s="369">
        <v>501</v>
      </c>
      <c r="C504" s="372" t="s">
        <v>847</v>
      </c>
      <c r="D504" s="358" t="s">
        <v>848</v>
      </c>
      <c r="E504" s="373">
        <v>45747.375</v>
      </c>
      <c r="F504" s="372" t="s">
        <v>140</v>
      </c>
      <c r="G504" s="372">
        <v>2</v>
      </c>
      <c r="H504" s="372" t="s">
        <v>46</v>
      </c>
      <c r="I504" s="372" t="s">
        <v>47</v>
      </c>
      <c r="J504" s="21" t="s">
        <v>29</v>
      </c>
      <c r="K504" s="21"/>
      <c r="L504" s="21"/>
      <c r="M504" s="22"/>
      <c r="N504" s="23"/>
      <c r="O504" s="21"/>
      <c r="P504" s="22"/>
      <c r="Q504" s="23"/>
      <c r="R504" s="81" t="s">
        <v>67</v>
      </c>
      <c r="S504" s="22"/>
      <c r="T504" s="22"/>
      <c r="U504" s="24"/>
      <c r="V504" s="23"/>
      <c r="W504" s="360"/>
    </row>
    <row r="505" spans="1:23">
      <c r="A505" s="358" t="s">
        <v>137</v>
      </c>
      <c r="B505" s="369">
        <v>502</v>
      </c>
      <c r="C505" s="372" t="s">
        <v>849</v>
      </c>
      <c r="D505" s="358" t="s">
        <v>850</v>
      </c>
      <c r="E505" s="373">
        <v>45747.375</v>
      </c>
      <c r="F505" s="372" t="s">
        <v>140</v>
      </c>
      <c r="G505" s="372">
        <v>7</v>
      </c>
      <c r="H505" s="372" t="s">
        <v>22</v>
      </c>
      <c r="I505" s="372" t="s">
        <v>28</v>
      </c>
      <c r="J505" s="21" t="s">
        <v>29</v>
      </c>
      <c r="K505" s="21"/>
      <c r="L505" s="21"/>
      <c r="M505" s="22" t="s">
        <v>30</v>
      </c>
      <c r="N505" s="23">
        <v>45777</v>
      </c>
      <c r="O505" s="21"/>
      <c r="P505" s="22" t="s">
        <v>30</v>
      </c>
      <c r="Q505" s="23">
        <v>45777</v>
      </c>
      <c r="R505" s="81" t="s">
        <v>67</v>
      </c>
      <c r="S505" s="22" t="s">
        <v>32</v>
      </c>
      <c r="T505" s="22">
        <v>7</v>
      </c>
      <c r="U505" s="22" t="s">
        <v>67</v>
      </c>
      <c r="V505" s="23">
        <v>45777</v>
      </c>
      <c r="W505" s="360"/>
    </row>
    <row r="506" spans="1:23">
      <c r="A506" s="358" t="s">
        <v>137</v>
      </c>
      <c r="B506" s="369">
        <v>503</v>
      </c>
      <c r="C506" s="372" t="s">
        <v>851</v>
      </c>
      <c r="D506" s="358" t="s">
        <v>159</v>
      </c>
      <c r="E506" s="373">
        <v>45719.375</v>
      </c>
      <c r="F506" s="372" t="s">
        <v>140</v>
      </c>
      <c r="G506" s="372">
        <v>4</v>
      </c>
      <c r="H506" s="372" t="s">
        <v>21</v>
      </c>
      <c r="I506" s="372" t="s">
        <v>127</v>
      </c>
      <c r="J506" s="21" t="s">
        <v>29</v>
      </c>
      <c r="K506" s="21"/>
      <c r="L506" s="21"/>
      <c r="M506" s="22" t="s">
        <v>30</v>
      </c>
      <c r="N506" s="23">
        <v>45777</v>
      </c>
      <c r="O506" s="21"/>
      <c r="P506" s="22" t="s">
        <v>30</v>
      </c>
      <c r="Q506" s="23">
        <v>45777</v>
      </c>
      <c r="R506" s="81" t="s">
        <v>67</v>
      </c>
      <c r="S506" s="22" t="s">
        <v>32</v>
      </c>
      <c r="T506" s="22">
        <v>4</v>
      </c>
      <c r="U506" s="24" t="s">
        <v>67</v>
      </c>
      <c r="V506" s="23">
        <v>45777</v>
      </c>
      <c r="W506" s="360"/>
    </row>
    <row r="507" spans="1:23">
      <c r="A507" s="358" t="s">
        <v>137</v>
      </c>
      <c r="B507" s="369">
        <v>504</v>
      </c>
      <c r="C507" s="372" t="s">
        <v>852</v>
      </c>
      <c r="D507" s="358" t="s">
        <v>588</v>
      </c>
      <c r="E507" s="373">
        <v>45719.375</v>
      </c>
      <c r="F507" s="372" t="s">
        <v>140</v>
      </c>
      <c r="G507" s="372">
        <v>2</v>
      </c>
      <c r="H507" s="372" t="s">
        <v>46</v>
      </c>
      <c r="I507" s="372" t="s">
        <v>47</v>
      </c>
      <c r="J507" s="21" t="s">
        <v>29</v>
      </c>
      <c r="K507" s="21"/>
      <c r="L507" s="21"/>
      <c r="M507" s="22" t="s">
        <v>30</v>
      </c>
      <c r="N507" s="23">
        <v>45777</v>
      </c>
      <c r="O507" s="21"/>
      <c r="P507" s="22" t="s">
        <v>30</v>
      </c>
      <c r="Q507" s="23">
        <v>45777</v>
      </c>
      <c r="R507" s="81" t="s">
        <v>67</v>
      </c>
      <c r="S507" s="22" t="s">
        <v>32</v>
      </c>
      <c r="T507" s="22">
        <v>2</v>
      </c>
      <c r="U507" s="24" t="s">
        <v>67</v>
      </c>
      <c r="V507" s="23">
        <v>45777</v>
      </c>
      <c r="W507" s="360"/>
    </row>
    <row r="508" spans="1:23">
      <c r="A508" s="358" t="s">
        <v>137</v>
      </c>
      <c r="B508" s="369">
        <v>505</v>
      </c>
      <c r="C508" s="372" t="s">
        <v>853</v>
      </c>
      <c r="D508" s="360" t="s">
        <v>854</v>
      </c>
      <c r="E508" s="373">
        <v>45719.375</v>
      </c>
      <c r="F508" s="372" t="s">
        <v>140</v>
      </c>
      <c r="G508" s="372">
        <v>4</v>
      </c>
      <c r="H508" s="372" t="s">
        <v>21</v>
      </c>
      <c r="I508" s="372" t="s">
        <v>127</v>
      </c>
      <c r="J508" s="21" t="s">
        <v>29</v>
      </c>
      <c r="K508" s="21"/>
      <c r="L508" s="21"/>
      <c r="M508" s="22" t="s">
        <v>30</v>
      </c>
      <c r="N508" s="23">
        <v>45777</v>
      </c>
      <c r="O508" s="21"/>
      <c r="P508" s="22" t="s">
        <v>30</v>
      </c>
      <c r="Q508" s="23">
        <v>45777</v>
      </c>
      <c r="R508" s="81" t="s">
        <v>67</v>
      </c>
      <c r="S508" s="22" t="s">
        <v>32</v>
      </c>
      <c r="T508" s="22">
        <v>4</v>
      </c>
      <c r="U508" s="24" t="s">
        <v>67</v>
      </c>
      <c r="V508" s="23">
        <v>45777</v>
      </c>
      <c r="W508" s="360"/>
    </row>
    <row r="509" spans="1:23">
      <c r="A509" s="358" t="s">
        <v>137</v>
      </c>
      <c r="B509" s="369">
        <v>506</v>
      </c>
      <c r="C509" s="372" t="s">
        <v>855</v>
      </c>
      <c r="D509" s="360" t="s">
        <v>856</v>
      </c>
      <c r="E509" s="373">
        <v>45726.375</v>
      </c>
      <c r="F509" s="372" t="s">
        <v>140</v>
      </c>
      <c r="G509" s="372">
        <v>4</v>
      </c>
      <c r="H509" s="372" t="s">
        <v>22</v>
      </c>
      <c r="I509" s="372" t="s">
        <v>28</v>
      </c>
      <c r="J509" s="21" t="s">
        <v>29</v>
      </c>
      <c r="K509" s="21"/>
      <c r="L509" s="21"/>
      <c r="M509" s="22" t="s">
        <v>30</v>
      </c>
      <c r="N509" s="23">
        <v>45777</v>
      </c>
      <c r="O509" s="21"/>
      <c r="P509" s="22" t="s">
        <v>30</v>
      </c>
      <c r="Q509" s="23">
        <v>45777</v>
      </c>
      <c r="R509" s="81" t="s">
        <v>67</v>
      </c>
      <c r="S509" s="22" t="s">
        <v>32</v>
      </c>
      <c r="T509" s="22">
        <v>4</v>
      </c>
      <c r="U509" s="22" t="s">
        <v>67</v>
      </c>
      <c r="V509" s="23">
        <v>45777</v>
      </c>
      <c r="W509" s="360"/>
    </row>
    <row r="510" spans="1:23">
      <c r="A510" s="358" t="s">
        <v>137</v>
      </c>
      <c r="B510" s="369">
        <v>507</v>
      </c>
      <c r="C510" s="372" t="s">
        <v>857</v>
      </c>
      <c r="D510" s="360" t="s">
        <v>588</v>
      </c>
      <c r="E510" s="373">
        <v>45726.375</v>
      </c>
      <c r="F510" s="372" t="s">
        <v>140</v>
      </c>
      <c r="G510" s="372">
        <v>2</v>
      </c>
      <c r="H510" s="372" t="s">
        <v>46</v>
      </c>
      <c r="I510" s="372" t="s">
        <v>47</v>
      </c>
      <c r="J510" s="21" t="s">
        <v>29</v>
      </c>
      <c r="K510" s="21"/>
      <c r="L510" s="21"/>
      <c r="M510" s="22"/>
      <c r="N510" s="23"/>
      <c r="O510" s="21"/>
      <c r="P510" s="22"/>
      <c r="Q510" s="23"/>
      <c r="R510" s="81" t="s">
        <v>67</v>
      </c>
      <c r="S510" s="22"/>
      <c r="T510" s="22"/>
      <c r="U510" s="24"/>
      <c r="V510" s="23"/>
      <c r="W510" s="360"/>
    </row>
    <row r="511" spans="1:23">
      <c r="A511" s="358" t="s">
        <v>137</v>
      </c>
      <c r="B511" s="369">
        <v>508</v>
      </c>
      <c r="C511" s="372" t="s">
        <v>858</v>
      </c>
      <c r="D511" s="360" t="s">
        <v>859</v>
      </c>
      <c r="E511" s="373">
        <v>45740.375</v>
      </c>
      <c r="F511" s="372" t="s">
        <v>140</v>
      </c>
      <c r="G511" s="372">
        <v>5</v>
      </c>
      <c r="H511" s="372" t="s">
        <v>22</v>
      </c>
      <c r="I511" s="372" t="s">
        <v>28</v>
      </c>
      <c r="J511" s="21" t="s">
        <v>29</v>
      </c>
      <c r="K511" s="21"/>
      <c r="L511" s="21"/>
      <c r="M511" s="22" t="s">
        <v>30</v>
      </c>
      <c r="N511" s="23">
        <v>45777</v>
      </c>
      <c r="O511" s="21"/>
      <c r="P511" s="22" t="s">
        <v>30</v>
      </c>
      <c r="Q511" s="23">
        <v>45777</v>
      </c>
      <c r="R511" s="81" t="s">
        <v>67</v>
      </c>
      <c r="S511" s="22" t="s">
        <v>32</v>
      </c>
      <c r="T511" s="22">
        <v>5</v>
      </c>
      <c r="U511" s="22" t="s">
        <v>67</v>
      </c>
      <c r="V511" s="23">
        <v>45777</v>
      </c>
      <c r="W511" s="360"/>
    </row>
    <row r="512" spans="1:23">
      <c r="A512" s="358" t="s">
        <v>137</v>
      </c>
      <c r="B512" s="369">
        <v>509</v>
      </c>
      <c r="C512" s="372" t="s">
        <v>860</v>
      </c>
      <c r="D512" s="360" t="s">
        <v>861</v>
      </c>
      <c r="E512" s="373">
        <v>45740.375</v>
      </c>
      <c r="F512" s="372" t="s">
        <v>140</v>
      </c>
      <c r="G512" s="372">
        <v>1</v>
      </c>
      <c r="H512" s="372" t="s">
        <v>46</v>
      </c>
      <c r="I512" s="372" t="s">
        <v>47</v>
      </c>
      <c r="J512" s="21" t="s">
        <v>29</v>
      </c>
      <c r="K512" s="21"/>
      <c r="L512" s="21"/>
      <c r="M512" s="22" t="s">
        <v>30</v>
      </c>
      <c r="N512" s="23">
        <v>45777</v>
      </c>
      <c r="O512" s="21"/>
      <c r="P512" s="22" t="s">
        <v>30</v>
      </c>
      <c r="Q512" s="23">
        <v>45777</v>
      </c>
      <c r="R512" s="81" t="s">
        <v>67</v>
      </c>
      <c r="S512" s="22" t="s">
        <v>32</v>
      </c>
      <c r="T512" s="22">
        <v>1</v>
      </c>
      <c r="U512" s="22" t="s">
        <v>67</v>
      </c>
      <c r="V512" s="23">
        <v>45777</v>
      </c>
      <c r="W512" s="360"/>
    </row>
    <row r="513" spans="1:27">
      <c r="A513" s="358" t="s">
        <v>137</v>
      </c>
      <c r="B513" s="369">
        <v>510</v>
      </c>
      <c r="C513" s="372" t="s">
        <v>862</v>
      </c>
      <c r="D513" s="360" t="s">
        <v>863</v>
      </c>
      <c r="E513" s="373">
        <v>45740.375</v>
      </c>
      <c r="F513" s="372" t="s">
        <v>140</v>
      </c>
      <c r="G513" s="372">
        <v>1</v>
      </c>
      <c r="H513" s="372" t="s">
        <v>22</v>
      </c>
      <c r="I513" s="372" t="s">
        <v>28</v>
      </c>
      <c r="J513" s="21" t="s">
        <v>29</v>
      </c>
      <c r="K513" s="21"/>
      <c r="L513" s="21"/>
      <c r="M513" s="22" t="s">
        <v>30</v>
      </c>
      <c r="N513" s="23">
        <v>45777</v>
      </c>
      <c r="O513" s="21"/>
      <c r="P513" s="22" t="s">
        <v>30</v>
      </c>
      <c r="Q513" s="23">
        <v>45777</v>
      </c>
      <c r="R513" s="81" t="s">
        <v>67</v>
      </c>
      <c r="S513" s="22" t="s">
        <v>32</v>
      </c>
      <c r="T513" s="22">
        <v>1</v>
      </c>
      <c r="U513" s="22" t="s">
        <v>67</v>
      </c>
      <c r="V513" s="23">
        <v>45777</v>
      </c>
      <c r="W513" s="360"/>
      <c r="Y513" s="412"/>
      <c r="Z513" s="412"/>
      <c r="AA513" s="412"/>
    </row>
    <row r="514" spans="1:27">
      <c r="A514" s="358" t="s">
        <v>137</v>
      </c>
      <c r="B514" s="369">
        <v>511</v>
      </c>
      <c r="C514" s="372" t="s">
        <v>864</v>
      </c>
      <c r="D514" s="360" t="s">
        <v>865</v>
      </c>
      <c r="E514" s="373">
        <v>45740</v>
      </c>
      <c r="F514" s="372" t="s">
        <v>140</v>
      </c>
      <c r="G514" s="372">
        <v>1</v>
      </c>
      <c r="H514" s="372" t="s">
        <v>22</v>
      </c>
      <c r="I514" s="372" t="s">
        <v>28</v>
      </c>
      <c r="J514" s="21" t="s">
        <v>29</v>
      </c>
      <c r="K514" s="21"/>
      <c r="L514" s="21"/>
      <c r="M514" s="22" t="s">
        <v>30</v>
      </c>
      <c r="N514" s="23">
        <v>45777</v>
      </c>
      <c r="O514" s="21"/>
      <c r="P514" s="22" t="s">
        <v>30</v>
      </c>
      <c r="Q514" s="23">
        <v>45777</v>
      </c>
      <c r="R514" s="81" t="s">
        <v>67</v>
      </c>
      <c r="S514" s="22" t="s">
        <v>32</v>
      </c>
      <c r="T514" s="22">
        <v>1</v>
      </c>
      <c r="U514" s="22" t="s">
        <v>67</v>
      </c>
      <c r="V514" s="23">
        <v>45777</v>
      </c>
      <c r="W514" s="360"/>
      <c r="Y514" s="412"/>
      <c r="Z514" s="412"/>
      <c r="AA514" s="412"/>
    </row>
    <row r="515" spans="1:27">
      <c r="A515" s="358" t="s">
        <v>137</v>
      </c>
      <c r="B515" s="369">
        <v>512</v>
      </c>
      <c r="C515" s="372" t="s">
        <v>866</v>
      </c>
      <c r="D515" s="358" t="s">
        <v>867</v>
      </c>
      <c r="E515" s="373">
        <v>45747.458333333336</v>
      </c>
      <c r="F515" s="372" t="s">
        <v>140</v>
      </c>
      <c r="G515" s="372">
        <v>15</v>
      </c>
      <c r="H515" s="372" t="s">
        <v>21</v>
      </c>
      <c r="I515" s="372" t="s">
        <v>127</v>
      </c>
      <c r="J515" s="21" t="s">
        <v>29</v>
      </c>
      <c r="K515" s="21"/>
      <c r="L515" s="21"/>
      <c r="M515" s="22"/>
      <c r="N515" s="23"/>
      <c r="O515" s="21" t="s">
        <v>31</v>
      </c>
      <c r="P515" s="23"/>
      <c r="Q515" s="23"/>
      <c r="R515" s="81" t="s">
        <v>67</v>
      </c>
      <c r="S515" s="22"/>
      <c r="T515" s="22"/>
      <c r="U515" s="24"/>
      <c r="V515" s="23"/>
      <c r="W515" s="360"/>
      <c r="Y515" s="412"/>
      <c r="Z515" s="412"/>
      <c r="AA515" s="412"/>
    </row>
    <row r="516" spans="1:27">
      <c r="A516" s="358" t="s">
        <v>137</v>
      </c>
      <c r="B516" s="369">
        <v>513</v>
      </c>
      <c r="C516" s="372" t="s">
        <v>868</v>
      </c>
      <c r="D516" s="358" t="s">
        <v>308</v>
      </c>
      <c r="E516" s="373">
        <v>45747.375</v>
      </c>
      <c r="F516" s="372" t="s">
        <v>140</v>
      </c>
      <c r="G516" s="372">
        <v>1</v>
      </c>
      <c r="H516" s="372" t="s">
        <v>22</v>
      </c>
      <c r="I516" s="372" t="s">
        <v>28</v>
      </c>
      <c r="J516" s="21" t="s">
        <v>29</v>
      </c>
      <c r="K516" s="21"/>
      <c r="L516" s="21"/>
      <c r="M516" s="22"/>
      <c r="N516" s="23"/>
      <c r="O516" s="62"/>
      <c r="P516" s="62"/>
      <c r="Q516" s="62"/>
      <c r="R516" s="81" t="s">
        <v>67</v>
      </c>
      <c r="S516" s="22"/>
      <c r="T516" s="22"/>
      <c r="U516" s="24"/>
      <c r="V516" s="23"/>
      <c r="W516" s="360"/>
      <c r="Y516" s="412"/>
      <c r="Z516" s="412"/>
      <c r="AA516" s="412"/>
    </row>
    <row r="517" spans="1:27">
      <c r="A517" s="358" t="s">
        <v>137</v>
      </c>
      <c r="B517" s="369">
        <v>514</v>
      </c>
      <c r="C517" s="372" t="s">
        <v>869</v>
      </c>
      <c r="D517" s="360" t="s">
        <v>588</v>
      </c>
      <c r="E517" s="373">
        <v>45747.375</v>
      </c>
      <c r="F517" s="372" t="s">
        <v>140</v>
      </c>
      <c r="G517" s="372">
        <v>1</v>
      </c>
      <c r="H517" s="372" t="s">
        <v>46</v>
      </c>
      <c r="I517" s="372" t="s">
        <v>47</v>
      </c>
      <c r="J517" s="21" t="s">
        <v>29</v>
      </c>
      <c r="K517" s="21"/>
      <c r="L517" s="21"/>
      <c r="M517" s="22"/>
      <c r="N517" s="23"/>
      <c r="O517" s="62"/>
      <c r="P517" s="62"/>
      <c r="Q517" s="62"/>
      <c r="R517" s="81" t="s">
        <v>67</v>
      </c>
      <c r="S517" s="22"/>
      <c r="T517" s="22"/>
      <c r="U517" s="24"/>
      <c r="V517" s="23"/>
      <c r="W517" s="360"/>
      <c r="Y517" s="412"/>
      <c r="Z517" s="412"/>
      <c r="AA517" s="412"/>
    </row>
    <row r="518" spans="1:27">
      <c r="A518" s="358" t="s">
        <v>24</v>
      </c>
      <c r="B518" s="369">
        <v>515</v>
      </c>
      <c r="C518" s="372" t="s">
        <v>870</v>
      </c>
      <c r="D518" s="372" t="s">
        <v>50</v>
      </c>
      <c r="E518" s="373">
        <v>45751</v>
      </c>
      <c r="F518" s="372" t="s">
        <v>646</v>
      </c>
      <c r="G518" s="372">
        <v>12</v>
      </c>
      <c r="H518" s="372" t="s">
        <v>46</v>
      </c>
      <c r="I518" s="372" t="s">
        <v>47</v>
      </c>
      <c r="J518" s="372" t="s">
        <v>871</v>
      </c>
      <c r="K518" s="372"/>
      <c r="L518" s="358"/>
      <c r="M518" s="358"/>
      <c r="N518" s="358"/>
      <c r="O518" s="380"/>
      <c r="P518" s="23" t="s">
        <v>30</v>
      </c>
      <c r="Q518" s="23">
        <v>45799</v>
      </c>
      <c r="R518" s="81" t="s">
        <v>47</v>
      </c>
      <c r="S518" s="22" t="s">
        <v>32</v>
      </c>
      <c r="T518" s="22">
        <v>8</v>
      </c>
      <c r="U518" s="24" t="s">
        <v>47</v>
      </c>
      <c r="V518" s="23">
        <v>45799</v>
      </c>
      <c r="W518" s="82" t="s">
        <v>30</v>
      </c>
      <c r="Y518" s="412"/>
      <c r="Z518" s="412"/>
      <c r="AA518" s="412"/>
    </row>
    <row r="519" spans="1:27">
      <c r="A519" s="358" t="s">
        <v>24</v>
      </c>
      <c r="B519" s="369">
        <v>516</v>
      </c>
      <c r="C519" s="372" t="s">
        <v>872</v>
      </c>
      <c r="D519" s="372" t="s">
        <v>102</v>
      </c>
      <c r="E519" s="373">
        <v>45751</v>
      </c>
      <c r="F519" s="372" t="s">
        <v>666</v>
      </c>
      <c r="G519" s="372">
        <v>13</v>
      </c>
      <c r="H519" s="372" t="s">
        <v>21</v>
      </c>
      <c r="I519" s="372" t="s">
        <v>36</v>
      </c>
      <c r="J519" s="372" t="s">
        <v>871</v>
      </c>
      <c r="K519" s="93"/>
      <c r="L519" s="358"/>
      <c r="M519" s="358"/>
      <c r="N519" s="358"/>
      <c r="O519" s="380"/>
      <c r="P519" s="23" t="s">
        <v>30</v>
      </c>
      <c r="Q519" s="23">
        <v>45797</v>
      </c>
      <c r="R519" s="81" t="s">
        <v>67</v>
      </c>
      <c r="S519" s="22" t="s">
        <v>32</v>
      </c>
      <c r="T519" s="22">
        <v>12</v>
      </c>
      <c r="U519" s="24" t="s">
        <v>67</v>
      </c>
      <c r="V519" s="23">
        <v>45797</v>
      </c>
      <c r="W519" s="82" t="s">
        <v>32</v>
      </c>
      <c r="Y519"/>
      <c r="Z519"/>
      <c r="AA519"/>
    </row>
    <row r="520" spans="1:27">
      <c r="A520" s="358" t="s">
        <v>24</v>
      </c>
      <c r="B520" s="369">
        <v>517</v>
      </c>
      <c r="C520" s="372" t="s">
        <v>873</v>
      </c>
      <c r="D520" s="372" t="s">
        <v>43</v>
      </c>
      <c r="E520" s="373">
        <v>45752</v>
      </c>
      <c r="F520" s="372" t="s">
        <v>165</v>
      </c>
      <c r="G520" s="372">
        <v>4</v>
      </c>
      <c r="H520" s="372" t="s">
        <v>46</v>
      </c>
      <c r="I520" s="372" t="s">
        <v>47</v>
      </c>
      <c r="J520" s="372" t="s">
        <v>871</v>
      </c>
      <c r="K520" s="372"/>
      <c r="L520" s="358"/>
      <c r="M520" s="358"/>
      <c r="N520" s="94"/>
      <c r="O520" s="380"/>
      <c r="P520" s="23" t="s">
        <v>30</v>
      </c>
      <c r="Q520" s="23">
        <v>45807</v>
      </c>
      <c r="R520" s="81" t="s">
        <v>47</v>
      </c>
      <c r="S520" s="22" t="s">
        <v>32</v>
      </c>
      <c r="T520" s="22">
        <v>4</v>
      </c>
      <c r="U520" s="24" t="s">
        <v>47</v>
      </c>
      <c r="V520" s="23">
        <v>45807</v>
      </c>
      <c r="W520" s="82" t="s">
        <v>30</v>
      </c>
      <c r="Y520" s="412"/>
      <c r="Z520" s="412"/>
      <c r="AA520" s="412"/>
    </row>
    <row r="521" spans="1:27">
      <c r="A521" s="358" t="s">
        <v>24</v>
      </c>
      <c r="B521" s="369">
        <v>518</v>
      </c>
      <c r="C521" s="372" t="s">
        <v>874</v>
      </c>
      <c r="D521" s="372" t="s">
        <v>26</v>
      </c>
      <c r="E521" s="373">
        <v>45752</v>
      </c>
      <c r="F521" s="372" t="s">
        <v>165</v>
      </c>
      <c r="G521" s="372">
        <v>4</v>
      </c>
      <c r="H521" s="372" t="s">
        <v>46</v>
      </c>
      <c r="I521" s="372" t="s">
        <v>47</v>
      </c>
      <c r="J521" s="372" t="s">
        <v>871</v>
      </c>
      <c r="K521" s="372"/>
      <c r="L521" s="358"/>
      <c r="M521" s="358"/>
      <c r="N521" s="380"/>
      <c r="O521" s="380"/>
      <c r="P521" s="23" t="s">
        <v>30</v>
      </c>
      <c r="Q521" s="23">
        <v>45807</v>
      </c>
      <c r="R521" s="81" t="s">
        <v>47</v>
      </c>
      <c r="S521" s="22" t="s">
        <v>32</v>
      </c>
      <c r="T521" s="22">
        <v>4</v>
      </c>
      <c r="U521" s="24" t="s">
        <v>47</v>
      </c>
      <c r="V521" s="23">
        <v>45807</v>
      </c>
      <c r="W521" s="82" t="s">
        <v>30</v>
      </c>
      <c r="Y521" s="412"/>
      <c r="Z521" s="412"/>
      <c r="AA521" s="412"/>
    </row>
    <row r="522" spans="1:27">
      <c r="A522" s="358" t="s">
        <v>24</v>
      </c>
      <c r="B522" s="369">
        <v>519</v>
      </c>
      <c r="C522" s="372" t="s">
        <v>875</v>
      </c>
      <c r="D522" s="372" t="s">
        <v>50</v>
      </c>
      <c r="E522" s="373">
        <v>45752</v>
      </c>
      <c r="F522" s="372" t="s">
        <v>165</v>
      </c>
      <c r="G522" s="372">
        <v>4</v>
      </c>
      <c r="H522" s="372" t="s">
        <v>46</v>
      </c>
      <c r="I522" s="372" t="s">
        <v>47</v>
      </c>
      <c r="J522" s="372" t="s">
        <v>871</v>
      </c>
      <c r="K522" s="372"/>
      <c r="L522" s="358"/>
      <c r="M522" s="358"/>
      <c r="N522" s="380"/>
      <c r="O522" s="380"/>
      <c r="P522" s="23" t="s">
        <v>30</v>
      </c>
      <c r="Q522" s="23">
        <v>45807</v>
      </c>
      <c r="R522" s="81" t="s">
        <v>47</v>
      </c>
      <c r="S522" s="22" t="s">
        <v>32</v>
      </c>
      <c r="T522" s="22">
        <v>4</v>
      </c>
      <c r="U522" s="24" t="s">
        <v>47</v>
      </c>
      <c r="V522" s="23">
        <v>45807</v>
      </c>
      <c r="W522" s="82" t="s">
        <v>30</v>
      </c>
      <c r="Y522" s="412"/>
      <c r="Z522" s="412"/>
      <c r="AA522" s="412"/>
    </row>
    <row r="523" spans="1:27">
      <c r="A523" s="358" t="s">
        <v>24</v>
      </c>
      <c r="B523" s="369">
        <v>520</v>
      </c>
      <c r="C523" s="372" t="s">
        <v>876</v>
      </c>
      <c r="D523" s="372" t="s">
        <v>34</v>
      </c>
      <c r="E523" s="373">
        <v>45752</v>
      </c>
      <c r="F523" s="372" t="s">
        <v>65</v>
      </c>
      <c r="G523" s="372">
        <v>6</v>
      </c>
      <c r="H523" s="372" t="s">
        <v>46</v>
      </c>
      <c r="I523" s="372" t="s">
        <v>47</v>
      </c>
      <c r="J523" s="372" t="s">
        <v>871</v>
      </c>
      <c r="K523" s="372"/>
      <c r="L523" s="358"/>
      <c r="M523" s="358"/>
      <c r="N523" s="94"/>
      <c r="O523" s="380" t="s">
        <v>66</v>
      </c>
      <c r="P523" s="23" t="s">
        <v>30</v>
      </c>
      <c r="Q523" s="23">
        <v>45808</v>
      </c>
      <c r="R523" s="81" t="s">
        <v>47</v>
      </c>
      <c r="S523" s="22" t="s">
        <v>32</v>
      </c>
      <c r="T523" s="22">
        <v>6</v>
      </c>
      <c r="U523" s="22" t="s">
        <v>47</v>
      </c>
      <c r="V523" s="23">
        <v>45808</v>
      </c>
      <c r="W523" s="82" t="s">
        <v>30</v>
      </c>
      <c r="Y523" s="412"/>
      <c r="Z523" s="412"/>
      <c r="AA523" s="412"/>
    </row>
    <row r="524" spans="1:27">
      <c r="A524" s="358" t="s">
        <v>24</v>
      </c>
      <c r="B524" s="369">
        <v>521</v>
      </c>
      <c r="C524" s="372" t="s">
        <v>877</v>
      </c>
      <c r="D524" s="372" t="s">
        <v>34</v>
      </c>
      <c r="E524" s="373">
        <v>45752</v>
      </c>
      <c r="F524" s="372" t="s">
        <v>65</v>
      </c>
      <c r="G524" s="372">
        <v>14</v>
      </c>
      <c r="H524" s="372" t="s">
        <v>46</v>
      </c>
      <c r="I524" s="372" t="s">
        <v>47</v>
      </c>
      <c r="J524" s="372" t="s">
        <v>871</v>
      </c>
      <c r="K524" s="372"/>
      <c r="L524" s="358"/>
      <c r="M524" s="358"/>
      <c r="N524" s="380"/>
      <c r="O524" s="380"/>
      <c r="P524" s="23" t="s">
        <v>30</v>
      </c>
      <c r="Q524" s="23">
        <v>45808</v>
      </c>
      <c r="R524" s="81" t="s">
        <v>47</v>
      </c>
      <c r="S524" s="22" t="s">
        <v>32</v>
      </c>
      <c r="T524" s="22">
        <v>14</v>
      </c>
      <c r="U524" s="22" t="s">
        <v>47</v>
      </c>
      <c r="V524" s="23">
        <v>45809</v>
      </c>
      <c r="W524" s="82" t="s">
        <v>30</v>
      </c>
      <c r="Y524" s="412"/>
      <c r="Z524" s="412"/>
      <c r="AA524" s="412"/>
    </row>
    <row r="525" spans="1:27">
      <c r="A525" s="358" t="s">
        <v>24</v>
      </c>
      <c r="B525" s="369">
        <v>522</v>
      </c>
      <c r="C525" s="372" t="s">
        <v>878</v>
      </c>
      <c r="D525" s="372" t="s">
        <v>879</v>
      </c>
      <c r="E525" s="373">
        <v>45752</v>
      </c>
      <c r="F525" s="372" t="s">
        <v>181</v>
      </c>
      <c r="G525" s="372">
        <v>24</v>
      </c>
      <c r="H525" s="372" t="s">
        <v>46</v>
      </c>
      <c r="I525" s="372" t="s">
        <v>47</v>
      </c>
      <c r="J525" s="372" t="s">
        <v>871</v>
      </c>
      <c r="K525" s="372"/>
      <c r="L525" s="358"/>
      <c r="M525" s="358"/>
      <c r="N525" s="94"/>
      <c r="O525" s="380" t="s">
        <v>31</v>
      </c>
      <c r="P525" s="23" t="s">
        <v>30</v>
      </c>
      <c r="Q525" s="23">
        <v>45807</v>
      </c>
      <c r="R525" s="81" t="s">
        <v>47</v>
      </c>
      <c r="S525" s="22" t="s">
        <v>32</v>
      </c>
      <c r="T525" s="22">
        <v>24</v>
      </c>
      <c r="U525" s="22" t="s">
        <v>47</v>
      </c>
      <c r="V525" s="23">
        <v>45807</v>
      </c>
      <c r="W525" s="82" t="s">
        <v>30</v>
      </c>
      <c r="Y525" s="412"/>
      <c r="Z525" s="412"/>
      <c r="AA525" s="412"/>
    </row>
    <row r="526" spans="1:27">
      <c r="A526" s="358" t="s">
        <v>24</v>
      </c>
      <c r="B526" s="369">
        <v>523</v>
      </c>
      <c r="C526" s="372" t="s">
        <v>880</v>
      </c>
      <c r="D526" s="372" t="s">
        <v>26</v>
      </c>
      <c r="E526" s="373">
        <v>45752</v>
      </c>
      <c r="F526" s="372" t="s">
        <v>881</v>
      </c>
      <c r="G526" s="372">
        <v>14</v>
      </c>
      <c r="H526" s="372" t="s">
        <v>46</v>
      </c>
      <c r="I526" s="372" t="s">
        <v>47</v>
      </c>
      <c r="J526" s="372" t="s">
        <v>871</v>
      </c>
      <c r="K526" s="372"/>
      <c r="L526" s="358"/>
      <c r="M526" s="358"/>
      <c r="N526" s="380"/>
      <c r="O526" s="380"/>
      <c r="P526" s="23" t="s">
        <v>30</v>
      </c>
      <c r="Q526" s="23">
        <v>45803</v>
      </c>
      <c r="R526" s="81" t="s">
        <v>37</v>
      </c>
      <c r="S526" s="22" t="s">
        <v>32</v>
      </c>
      <c r="T526" s="22">
        <v>14</v>
      </c>
      <c r="U526" s="24" t="s">
        <v>37</v>
      </c>
      <c r="V526" s="23">
        <v>45803</v>
      </c>
      <c r="W526" s="82" t="s">
        <v>30</v>
      </c>
      <c r="Y526" s="412"/>
      <c r="Z526" s="412"/>
      <c r="AA526" s="412"/>
    </row>
    <row r="527" spans="1:27">
      <c r="A527" s="358" t="s">
        <v>24</v>
      </c>
      <c r="B527" s="369">
        <v>524</v>
      </c>
      <c r="C527" s="372" t="s">
        <v>713</v>
      </c>
      <c r="D527" s="372" t="s">
        <v>882</v>
      </c>
      <c r="E527" s="373">
        <v>45752</v>
      </c>
      <c r="F527" s="372" t="s">
        <v>412</v>
      </c>
      <c r="G527" s="372">
        <v>11</v>
      </c>
      <c r="H527" s="372" t="s">
        <v>21</v>
      </c>
      <c r="I527" s="372" t="s">
        <v>127</v>
      </c>
      <c r="J527" s="372" t="s">
        <v>871</v>
      </c>
      <c r="K527" s="93"/>
      <c r="L527" s="358"/>
      <c r="M527" s="358"/>
      <c r="N527" s="94"/>
      <c r="O527" s="380"/>
      <c r="P527" s="23" t="s">
        <v>30</v>
      </c>
      <c r="Q527" s="23">
        <v>45762</v>
      </c>
      <c r="R527" s="81" t="s">
        <v>67</v>
      </c>
      <c r="S527" s="22" t="s">
        <v>32</v>
      </c>
      <c r="T527" s="22">
        <v>11</v>
      </c>
      <c r="U527" s="24" t="s">
        <v>67</v>
      </c>
      <c r="V527" s="23">
        <v>45762</v>
      </c>
      <c r="W527" s="82" t="s">
        <v>32</v>
      </c>
      <c r="Y527"/>
      <c r="Z527"/>
      <c r="AA527"/>
    </row>
    <row r="528" spans="1:27">
      <c r="A528" s="358" t="s">
        <v>24</v>
      </c>
      <c r="B528" s="369">
        <v>525</v>
      </c>
      <c r="C528" s="223" t="s">
        <v>883</v>
      </c>
      <c r="D528" s="223" t="s">
        <v>34</v>
      </c>
      <c r="E528" s="224">
        <v>45752</v>
      </c>
      <c r="F528" s="223" t="s">
        <v>202</v>
      </c>
      <c r="G528" s="223">
        <v>17</v>
      </c>
      <c r="H528" s="223" t="s">
        <v>22</v>
      </c>
      <c r="I528" s="223" t="s">
        <v>28</v>
      </c>
      <c r="J528" s="372" t="s">
        <v>871</v>
      </c>
      <c r="K528" s="93"/>
      <c r="L528" s="358"/>
      <c r="M528" s="358"/>
      <c r="N528" s="94"/>
      <c r="O528" s="380" t="s">
        <v>31</v>
      </c>
      <c r="P528" s="23" t="s">
        <v>30</v>
      </c>
      <c r="Q528" s="23">
        <v>45791</v>
      </c>
      <c r="R528" s="81" t="s">
        <v>28</v>
      </c>
      <c r="S528" s="22" t="s">
        <v>32</v>
      </c>
      <c r="T528" s="22">
        <v>17</v>
      </c>
      <c r="U528" s="22" t="s">
        <v>28</v>
      </c>
      <c r="V528" s="23">
        <v>45791</v>
      </c>
      <c r="W528" s="82" t="s">
        <v>30</v>
      </c>
      <c r="Y528"/>
      <c r="Z528"/>
      <c r="AA528"/>
    </row>
    <row r="529" spans="1:27">
      <c r="A529" s="358" t="s">
        <v>24</v>
      </c>
      <c r="B529" s="369">
        <v>526</v>
      </c>
      <c r="C529" s="223" t="s">
        <v>884</v>
      </c>
      <c r="D529" s="223" t="s">
        <v>34</v>
      </c>
      <c r="E529" s="224">
        <v>45752</v>
      </c>
      <c r="F529" s="223" t="s">
        <v>885</v>
      </c>
      <c r="G529" s="223">
        <v>12</v>
      </c>
      <c r="H529" s="223" t="s">
        <v>22</v>
      </c>
      <c r="I529" s="223" t="s">
        <v>28</v>
      </c>
      <c r="J529" s="372" t="s">
        <v>871</v>
      </c>
      <c r="K529" s="372"/>
      <c r="L529" s="358"/>
      <c r="M529" s="358"/>
      <c r="N529" s="380"/>
      <c r="O529" s="380"/>
      <c r="P529" s="23" t="s">
        <v>30</v>
      </c>
      <c r="Q529" s="23">
        <v>45789</v>
      </c>
      <c r="R529" s="81" t="s">
        <v>28</v>
      </c>
      <c r="S529" s="22" t="s">
        <v>32</v>
      </c>
      <c r="T529" s="22">
        <v>12</v>
      </c>
      <c r="U529" s="22" t="s">
        <v>28</v>
      </c>
      <c r="V529" s="23">
        <v>45789</v>
      </c>
      <c r="W529" s="82" t="s">
        <v>30</v>
      </c>
      <c r="Y529"/>
      <c r="Z529"/>
      <c r="AA529"/>
    </row>
    <row r="530" spans="1:27">
      <c r="A530" s="358" t="s">
        <v>24</v>
      </c>
      <c r="B530" s="369">
        <v>527</v>
      </c>
      <c r="C530" s="223" t="s">
        <v>886</v>
      </c>
      <c r="D530" s="223" t="s">
        <v>34</v>
      </c>
      <c r="E530" s="224">
        <v>45752</v>
      </c>
      <c r="F530" s="223" t="s">
        <v>743</v>
      </c>
      <c r="G530" s="223">
        <v>1</v>
      </c>
      <c r="H530" s="223" t="s">
        <v>21</v>
      </c>
      <c r="I530" s="223" t="s">
        <v>127</v>
      </c>
      <c r="J530" s="372" t="s">
        <v>871</v>
      </c>
      <c r="K530" s="372"/>
      <c r="L530" s="358"/>
      <c r="M530" s="358"/>
      <c r="N530" s="94"/>
      <c r="O530" s="380"/>
      <c r="P530" s="23" t="s">
        <v>30</v>
      </c>
      <c r="Q530" s="23">
        <v>45797</v>
      </c>
      <c r="R530" s="81" t="s">
        <v>67</v>
      </c>
      <c r="S530" s="22" t="s">
        <v>32</v>
      </c>
      <c r="T530" s="22">
        <v>1</v>
      </c>
      <c r="U530" s="24" t="s">
        <v>67</v>
      </c>
      <c r="V530" s="23">
        <v>45797</v>
      </c>
      <c r="W530" s="82" t="s">
        <v>30</v>
      </c>
      <c r="Y530"/>
      <c r="Z530"/>
      <c r="AA530"/>
    </row>
    <row r="531" spans="1:27">
      <c r="A531" s="358" t="s">
        <v>24</v>
      </c>
      <c r="B531" s="369">
        <v>528</v>
      </c>
      <c r="C531" s="231" t="s">
        <v>887</v>
      </c>
      <c r="D531" s="231" t="s">
        <v>34</v>
      </c>
      <c r="E531" s="224">
        <v>45752</v>
      </c>
      <c r="F531" s="231" t="s">
        <v>743</v>
      </c>
      <c r="G531" s="231">
        <v>11</v>
      </c>
      <c r="H531" s="231" t="s">
        <v>21</v>
      </c>
      <c r="I531" s="231" t="s">
        <v>127</v>
      </c>
      <c r="J531" s="372" t="s">
        <v>871</v>
      </c>
      <c r="K531" s="372"/>
      <c r="L531" s="358"/>
      <c r="M531" s="358"/>
      <c r="N531" s="380"/>
      <c r="O531" s="380"/>
      <c r="P531" s="23" t="s">
        <v>30</v>
      </c>
      <c r="Q531" s="23">
        <v>45804</v>
      </c>
      <c r="R531" s="81" t="s">
        <v>67</v>
      </c>
      <c r="S531" s="22" t="s">
        <v>32</v>
      </c>
      <c r="T531" s="22">
        <v>11</v>
      </c>
      <c r="U531" s="24" t="s">
        <v>67</v>
      </c>
      <c r="V531" s="23">
        <v>45804</v>
      </c>
      <c r="W531" s="82" t="s">
        <v>30</v>
      </c>
      <c r="Y531"/>
      <c r="Z531"/>
      <c r="AA531"/>
    </row>
    <row r="532" spans="1:27">
      <c r="A532" s="358" t="s">
        <v>24</v>
      </c>
      <c r="B532" s="369">
        <v>529</v>
      </c>
      <c r="C532" s="223" t="s">
        <v>888</v>
      </c>
      <c r="D532" s="223" t="s">
        <v>34</v>
      </c>
      <c r="E532" s="224">
        <v>45752</v>
      </c>
      <c r="F532" s="223" t="s">
        <v>87</v>
      </c>
      <c r="G532" s="223">
        <v>16</v>
      </c>
      <c r="H532" s="223" t="s">
        <v>21</v>
      </c>
      <c r="I532" s="223" t="s">
        <v>127</v>
      </c>
      <c r="J532" s="372" t="s">
        <v>871</v>
      </c>
      <c r="K532" s="372"/>
      <c r="L532" s="358"/>
      <c r="M532" s="358"/>
      <c r="N532" s="94"/>
      <c r="O532" s="380" t="s">
        <v>31</v>
      </c>
      <c r="P532" s="23" t="s">
        <v>30</v>
      </c>
      <c r="Q532" s="23">
        <v>45799</v>
      </c>
      <c r="R532" s="81" t="s">
        <v>67</v>
      </c>
      <c r="S532" s="22" t="s">
        <v>32</v>
      </c>
      <c r="T532" s="22">
        <v>16</v>
      </c>
      <c r="U532" s="24" t="s">
        <v>67</v>
      </c>
      <c r="V532" s="23">
        <v>45799</v>
      </c>
      <c r="W532" s="82" t="s">
        <v>32</v>
      </c>
      <c r="Y532"/>
      <c r="Z532"/>
      <c r="AA532"/>
    </row>
    <row r="533" spans="1:27">
      <c r="A533" s="358" t="s">
        <v>24</v>
      </c>
      <c r="B533" s="369">
        <v>530</v>
      </c>
      <c r="C533" s="223" t="s">
        <v>889</v>
      </c>
      <c r="D533" s="223" t="s">
        <v>193</v>
      </c>
      <c r="E533" s="224">
        <v>45757</v>
      </c>
      <c r="F533" s="223" t="s">
        <v>91</v>
      </c>
      <c r="G533" s="223">
        <v>15</v>
      </c>
      <c r="H533" s="223" t="s">
        <v>22</v>
      </c>
      <c r="I533" s="223" t="s">
        <v>28</v>
      </c>
      <c r="J533" s="372" t="s">
        <v>871</v>
      </c>
      <c r="K533" s="93"/>
      <c r="L533" s="358"/>
      <c r="M533" s="358"/>
      <c r="N533" s="380"/>
      <c r="O533" s="380" t="s">
        <v>31</v>
      </c>
      <c r="P533" s="23" t="s">
        <v>30</v>
      </c>
      <c r="Q533" s="23">
        <v>45799</v>
      </c>
      <c r="R533" s="81" t="s">
        <v>28</v>
      </c>
      <c r="S533" s="22" t="s">
        <v>32</v>
      </c>
      <c r="T533" s="22">
        <v>15</v>
      </c>
      <c r="U533" s="24" t="s">
        <v>28</v>
      </c>
      <c r="V533" s="23">
        <v>45799</v>
      </c>
      <c r="W533" s="82" t="s">
        <v>30</v>
      </c>
      <c r="Y533"/>
      <c r="Z533"/>
      <c r="AA533"/>
    </row>
    <row r="534" spans="1:27">
      <c r="A534" s="358" t="s">
        <v>24</v>
      </c>
      <c r="B534" s="369">
        <v>531</v>
      </c>
      <c r="C534" s="223" t="s">
        <v>890</v>
      </c>
      <c r="D534" s="223" t="s">
        <v>50</v>
      </c>
      <c r="E534" s="224">
        <v>45758</v>
      </c>
      <c r="F534" s="223" t="s">
        <v>683</v>
      </c>
      <c r="G534" s="223">
        <v>13</v>
      </c>
      <c r="H534" s="223" t="s">
        <v>21</v>
      </c>
      <c r="I534" s="223" t="s">
        <v>127</v>
      </c>
      <c r="J534" s="372" t="s">
        <v>871</v>
      </c>
      <c r="K534" s="372"/>
      <c r="L534" s="358"/>
      <c r="M534" s="22"/>
      <c r="N534" s="23"/>
      <c r="O534" s="380"/>
      <c r="P534" s="23" t="s">
        <v>30</v>
      </c>
      <c r="Q534" s="23">
        <v>45796</v>
      </c>
      <c r="R534" s="81" t="s">
        <v>67</v>
      </c>
      <c r="S534" s="22" t="s">
        <v>32</v>
      </c>
      <c r="T534" s="22">
        <v>13</v>
      </c>
      <c r="U534" s="24" t="s">
        <v>67</v>
      </c>
      <c r="V534" s="23">
        <v>45799</v>
      </c>
      <c r="W534" s="82" t="s">
        <v>30</v>
      </c>
      <c r="Y534"/>
      <c r="Z534"/>
      <c r="AA534"/>
    </row>
    <row r="535" spans="1:27">
      <c r="A535" s="358" t="s">
        <v>24</v>
      </c>
      <c r="B535" s="369">
        <v>532</v>
      </c>
      <c r="C535" s="223" t="s">
        <v>891</v>
      </c>
      <c r="D535" s="223" t="s">
        <v>64</v>
      </c>
      <c r="E535" s="224">
        <v>45758</v>
      </c>
      <c r="F535" s="223" t="s">
        <v>666</v>
      </c>
      <c r="G535" s="223">
        <v>15</v>
      </c>
      <c r="H535" s="223" t="s">
        <v>21</v>
      </c>
      <c r="I535" s="223" t="s">
        <v>127</v>
      </c>
      <c r="J535" s="372" t="s">
        <v>871</v>
      </c>
      <c r="K535" s="93"/>
      <c r="L535" s="358"/>
      <c r="M535" s="22"/>
      <c r="N535" s="23"/>
      <c r="O535" s="380" t="s">
        <v>31</v>
      </c>
      <c r="P535" s="23" t="s">
        <v>30</v>
      </c>
      <c r="Q535" s="23">
        <v>45797</v>
      </c>
      <c r="R535" s="81" t="s">
        <v>67</v>
      </c>
      <c r="S535" s="22" t="s">
        <v>32</v>
      </c>
      <c r="T535" s="22">
        <v>15</v>
      </c>
      <c r="U535" s="24" t="s">
        <v>67</v>
      </c>
      <c r="V535" s="23">
        <v>45797</v>
      </c>
      <c r="W535" s="82" t="s">
        <v>32</v>
      </c>
      <c r="Y535" s="412"/>
      <c r="Z535" s="412"/>
      <c r="AA535" s="412"/>
    </row>
    <row r="536" spans="1:27">
      <c r="A536" s="358" t="s">
        <v>24</v>
      </c>
      <c r="B536" s="369">
        <v>533</v>
      </c>
      <c r="C536" s="223" t="s">
        <v>892</v>
      </c>
      <c r="D536" s="223" t="s">
        <v>893</v>
      </c>
      <c r="E536" s="224">
        <v>45758</v>
      </c>
      <c r="F536" s="223" t="s">
        <v>894</v>
      </c>
      <c r="G536" s="223">
        <v>9</v>
      </c>
      <c r="H536" s="223" t="s">
        <v>21</v>
      </c>
      <c r="I536" s="223" t="s">
        <v>127</v>
      </c>
      <c r="J536" s="372" t="s">
        <v>871</v>
      </c>
      <c r="K536" s="93"/>
      <c r="L536" s="358"/>
      <c r="M536" s="22"/>
      <c r="N536" s="23"/>
      <c r="O536" s="380"/>
      <c r="P536" s="23" t="s">
        <v>30</v>
      </c>
      <c r="Q536" s="23">
        <v>45805</v>
      </c>
      <c r="R536" s="81" t="s">
        <v>67</v>
      </c>
      <c r="S536" s="22" t="s">
        <v>32</v>
      </c>
      <c r="T536" s="22">
        <v>9</v>
      </c>
      <c r="U536" s="24" t="s">
        <v>67</v>
      </c>
      <c r="V536" s="23">
        <v>45805</v>
      </c>
      <c r="W536" s="82" t="s">
        <v>32</v>
      </c>
      <c r="Y536" s="412"/>
      <c r="Z536" s="412"/>
      <c r="AA536" s="412"/>
    </row>
    <row r="537" spans="1:27">
      <c r="A537" s="358" t="s">
        <v>24</v>
      </c>
      <c r="B537" s="369">
        <v>534</v>
      </c>
      <c r="C537" s="223" t="s">
        <v>895</v>
      </c>
      <c r="D537" s="223" t="s">
        <v>34</v>
      </c>
      <c r="E537" s="224">
        <v>45758</v>
      </c>
      <c r="F537" s="223" t="s">
        <v>896</v>
      </c>
      <c r="G537" s="223">
        <v>14</v>
      </c>
      <c r="H537" s="223" t="s">
        <v>46</v>
      </c>
      <c r="I537" s="223" t="s">
        <v>47</v>
      </c>
      <c r="J537" s="372" t="s">
        <v>871</v>
      </c>
      <c r="K537" s="372"/>
      <c r="L537" s="358"/>
      <c r="M537" s="22"/>
      <c r="N537" s="23"/>
      <c r="O537" s="380"/>
      <c r="P537" s="23" t="s">
        <v>30</v>
      </c>
      <c r="Q537" s="23">
        <v>45808</v>
      </c>
      <c r="R537" s="81" t="s">
        <v>21</v>
      </c>
      <c r="S537" s="22" t="s">
        <v>32</v>
      </c>
      <c r="T537" s="22">
        <v>14</v>
      </c>
      <c r="U537" s="81" t="s">
        <v>21</v>
      </c>
      <c r="V537" s="23">
        <v>45807</v>
      </c>
      <c r="W537" s="82" t="s">
        <v>30</v>
      </c>
      <c r="Y537" s="412"/>
      <c r="Z537" s="412"/>
      <c r="AA537" s="412"/>
    </row>
    <row r="538" spans="1:27">
      <c r="A538" s="358" t="s">
        <v>24</v>
      </c>
      <c r="B538" s="369">
        <v>535</v>
      </c>
      <c r="C538" s="223" t="s">
        <v>897</v>
      </c>
      <c r="D538" s="223" t="s">
        <v>34</v>
      </c>
      <c r="E538" s="224">
        <v>45759</v>
      </c>
      <c r="F538" s="223" t="s">
        <v>898</v>
      </c>
      <c r="G538" s="223">
        <v>11</v>
      </c>
      <c r="H538" s="223" t="s">
        <v>46</v>
      </c>
      <c r="I538" s="223" t="s">
        <v>47</v>
      </c>
      <c r="J538" s="372" t="s">
        <v>871</v>
      </c>
      <c r="K538" s="372"/>
      <c r="L538" s="93"/>
      <c r="M538" s="22"/>
      <c r="N538" s="23"/>
      <c r="O538" s="380"/>
      <c r="P538" s="23" t="s">
        <v>30</v>
      </c>
      <c r="Q538" s="23">
        <v>45804</v>
      </c>
      <c r="R538" s="81" t="s">
        <v>67</v>
      </c>
      <c r="S538" s="22" t="s">
        <v>32</v>
      </c>
      <c r="T538" s="22">
        <v>11</v>
      </c>
      <c r="U538" s="24" t="s">
        <v>67</v>
      </c>
      <c r="V538" s="23">
        <v>45804</v>
      </c>
      <c r="W538" s="82" t="s">
        <v>30</v>
      </c>
      <c r="Y538"/>
      <c r="Z538"/>
      <c r="AA538"/>
    </row>
    <row r="539" spans="1:27">
      <c r="A539" s="358" t="s">
        <v>24</v>
      </c>
      <c r="B539" s="369">
        <v>536</v>
      </c>
      <c r="C539" s="223" t="s">
        <v>115</v>
      </c>
      <c r="D539" s="223" t="s">
        <v>34</v>
      </c>
      <c r="E539" s="224">
        <v>45759</v>
      </c>
      <c r="F539" s="223" t="s">
        <v>899</v>
      </c>
      <c r="G539" s="223">
        <v>11</v>
      </c>
      <c r="H539" s="223" t="s">
        <v>46</v>
      </c>
      <c r="I539" s="223" t="s">
        <v>47</v>
      </c>
      <c r="J539" s="372" t="s">
        <v>871</v>
      </c>
      <c r="K539" s="372"/>
      <c r="L539" s="93"/>
      <c r="M539" s="22"/>
      <c r="N539" s="23"/>
      <c r="O539" s="380"/>
      <c r="P539" s="23" t="s">
        <v>30</v>
      </c>
      <c r="Q539" s="23">
        <v>45805</v>
      </c>
      <c r="R539" s="81" t="s">
        <v>28</v>
      </c>
      <c r="S539" s="22" t="s">
        <v>32</v>
      </c>
      <c r="T539" s="22">
        <v>11</v>
      </c>
      <c r="U539" s="24" t="s">
        <v>28</v>
      </c>
      <c r="V539" s="23">
        <v>45805</v>
      </c>
      <c r="W539" s="82" t="s">
        <v>30</v>
      </c>
      <c r="Y539"/>
      <c r="Z539"/>
      <c r="AA539"/>
    </row>
    <row r="540" spans="1:27">
      <c r="A540" s="358" t="s">
        <v>24</v>
      </c>
      <c r="B540" s="369">
        <v>537</v>
      </c>
      <c r="C540" s="223" t="s">
        <v>900</v>
      </c>
      <c r="D540" s="223" t="s">
        <v>451</v>
      </c>
      <c r="E540" s="224">
        <v>45759</v>
      </c>
      <c r="F540" s="223" t="s">
        <v>181</v>
      </c>
      <c r="G540" s="223">
        <v>14</v>
      </c>
      <c r="H540" s="223" t="s">
        <v>46</v>
      </c>
      <c r="I540" s="223" t="s">
        <v>47</v>
      </c>
      <c r="J540" s="372" t="s">
        <v>871</v>
      </c>
      <c r="K540" s="372"/>
      <c r="L540" s="358"/>
      <c r="M540" s="22"/>
      <c r="N540" s="23"/>
      <c r="O540" s="380"/>
      <c r="P540" s="23" t="s">
        <v>30</v>
      </c>
      <c r="Q540" s="23">
        <v>45808</v>
      </c>
      <c r="R540" s="81" t="s">
        <v>47</v>
      </c>
      <c r="S540" s="22" t="s">
        <v>32</v>
      </c>
      <c r="T540" s="22">
        <v>14</v>
      </c>
      <c r="U540" s="24" t="s">
        <v>47</v>
      </c>
      <c r="V540" s="23">
        <v>45807</v>
      </c>
      <c r="W540" s="82" t="s">
        <v>30</v>
      </c>
      <c r="Y540"/>
      <c r="Z540"/>
      <c r="AA540"/>
    </row>
    <row r="541" spans="1:27">
      <c r="A541" s="358" t="s">
        <v>24</v>
      </c>
      <c r="B541" s="369">
        <v>538</v>
      </c>
      <c r="C541" s="223" t="s">
        <v>901</v>
      </c>
      <c r="D541" s="223" t="s">
        <v>34</v>
      </c>
      <c r="E541" s="224">
        <v>45759</v>
      </c>
      <c r="F541" s="223" t="s">
        <v>165</v>
      </c>
      <c r="G541" s="223">
        <v>12</v>
      </c>
      <c r="H541" s="223" t="s">
        <v>46</v>
      </c>
      <c r="I541" s="223" t="s">
        <v>47</v>
      </c>
      <c r="J541" s="372" t="s">
        <v>871</v>
      </c>
      <c r="K541" s="372"/>
      <c r="L541" s="93"/>
      <c r="M541" s="22"/>
      <c r="N541" s="23"/>
      <c r="O541" s="380"/>
      <c r="P541" s="23" t="s">
        <v>30</v>
      </c>
      <c r="Q541" s="23">
        <v>45795</v>
      </c>
      <c r="R541" s="81" t="s">
        <v>127</v>
      </c>
      <c r="S541" s="22" t="s">
        <v>32</v>
      </c>
      <c r="T541" s="22">
        <v>12</v>
      </c>
      <c r="U541" s="24" t="s">
        <v>127</v>
      </c>
      <c r="V541" s="23">
        <v>45795</v>
      </c>
      <c r="W541" s="82" t="s">
        <v>30</v>
      </c>
      <c r="Y541"/>
      <c r="Z541"/>
      <c r="AA541"/>
    </row>
    <row r="542" spans="1:27">
      <c r="A542" s="358" t="s">
        <v>24</v>
      </c>
      <c r="B542" s="369">
        <v>539</v>
      </c>
      <c r="C542" s="223" t="s">
        <v>902</v>
      </c>
      <c r="D542" s="223" t="s">
        <v>34</v>
      </c>
      <c r="E542" s="224">
        <v>45759</v>
      </c>
      <c r="F542" s="223" t="s">
        <v>165</v>
      </c>
      <c r="G542" s="223">
        <v>2</v>
      </c>
      <c r="H542" s="223" t="s">
        <v>46</v>
      </c>
      <c r="I542" s="223" t="s">
        <v>47</v>
      </c>
      <c r="J542" s="372" t="s">
        <v>871</v>
      </c>
      <c r="K542" s="372"/>
      <c r="L542" s="358"/>
      <c r="M542" s="22"/>
      <c r="N542" s="23"/>
      <c r="O542" s="380"/>
      <c r="P542" s="23" t="s">
        <v>30</v>
      </c>
      <c r="Q542" s="23">
        <v>45808</v>
      </c>
      <c r="R542" s="81" t="s">
        <v>48</v>
      </c>
      <c r="S542" s="22" t="s">
        <v>32</v>
      </c>
      <c r="T542" s="22">
        <v>2</v>
      </c>
      <c r="U542" s="24" t="s">
        <v>48</v>
      </c>
      <c r="V542" s="23">
        <v>45807</v>
      </c>
      <c r="W542" s="82" t="s">
        <v>30</v>
      </c>
      <c r="Y542"/>
      <c r="Z542"/>
      <c r="AA542"/>
    </row>
    <row r="543" spans="1:27">
      <c r="A543" s="358" t="s">
        <v>24</v>
      </c>
      <c r="B543" s="369">
        <v>540</v>
      </c>
      <c r="C543" s="223" t="s">
        <v>903</v>
      </c>
      <c r="D543" s="223" t="s">
        <v>34</v>
      </c>
      <c r="E543" s="224">
        <v>45759</v>
      </c>
      <c r="F543" s="223" t="s">
        <v>904</v>
      </c>
      <c r="G543" s="223">
        <v>12</v>
      </c>
      <c r="H543" s="223" t="s">
        <v>22</v>
      </c>
      <c r="I543" s="223" t="s">
        <v>28</v>
      </c>
      <c r="J543" s="372" t="s">
        <v>871</v>
      </c>
      <c r="K543" s="93"/>
      <c r="L543" s="372"/>
      <c r="M543" s="22"/>
      <c r="N543" s="23"/>
      <c r="O543" s="380"/>
      <c r="P543" s="23" t="s">
        <v>30</v>
      </c>
      <c r="Q543" s="23">
        <v>45799</v>
      </c>
      <c r="R543" s="81" t="s">
        <v>28</v>
      </c>
      <c r="S543" s="22" t="s">
        <v>32</v>
      </c>
      <c r="T543" s="22">
        <v>12</v>
      </c>
      <c r="U543" s="22" t="s">
        <v>28</v>
      </c>
      <c r="V543" s="23">
        <v>45799</v>
      </c>
      <c r="W543" s="82" t="s">
        <v>30</v>
      </c>
      <c r="Y543"/>
      <c r="Z543"/>
      <c r="AA543"/>
    </row>
    <row r="544" spans="1:27">
      <c r="A544" s="358" t="s">
        <v>24</v>
      </c>
      <c r="B544" s="369">
        <v>541</v>
      </c>
      <c r="C544" s="223" t="s">
        <v>905</v>
      </c>
      <c r="D544" s="223" t="s">
        <v>34</v>
      </c>
      <c r="E544" s="224">
        <v>45759</v>
      </c>
      <c r="F544" s="223" t="s">
        <v>97</v>
      </c>
      <c r="G544" s="223">
        <v>4</v>
      </c>
      <c r="H544" s="223" t="s">
        <v>22</v>
      </c>
      <c r="I544" s="223" t="s">
        <v>28</v>
      </c>
      <c r="J544" s="372" t="s">
        <v>871</v>
      </c>
      <c r="K544" s="372"/>
      <c r="L544" s="21"/>
      <c r="M544" s="22"/>
      <c r="N544" s="23"/>
      <c r="O544" s="380" t="s">
        <v>66</v>
      </c>
      <c r="P544" s="23" t="s">
        <v>30</v>
      </c>
      <c r="Q544" s="23">
        <v>45799</v>
      </c>
      <c r="R544" s="81" t="s">
        <v>28</v>
      </c>
      <c r="S544" s="22" t="s">
        <v>32</v>
      </c>
      <c r="T544" s="22">
        <v>4</v>
      </c>
      <c r="U544" s="24" t="s">
        <v>28</v>
      </c>
      <c r="V544" s="23">
        <v>45799</v>
      </c>
      <c r="W544" s="82" t="s">
        <v>30</v>
      </c>
      <c r="Y544"/>
      <c r="Z544"/>
      <c r="AA544"/>
    </row>
    <row r="545" spans="1:27">
      <c r="A545" s="358" t="s">
        <v>24</v>
      </c>
      <c r="B545" s="369">
        <v>542</v>
      </c>
      <c r="C545" s="223" t="s">
        <v>906</v>
      </c>
      <c r="D545" s="223" t="s">
        <v>234</v>
      </c>
      <c r="E545" s="224">
        <v>45759</v>
      </c>
      <c r="F545" s="223" t="s">
        <v>97</v>
      </c>
      <c r="G545" s="223">
        <v>7</v>
      </c>
      <c r="H545" s="223" t="s">
        <v>22</v>
      </c>
      <c r="I545" s="223" t="s">
        <v>28</v>
      </c>
      <c r="J545" s="372" t="s">
        <v>871</v>
      </c>
      <c r="K545" s="372"/>
      <c r="L545" s="358"/>
      <c r="M545" s="22"/>
      <c r="N545" s="23"/>
      <c r="O545" s="380"/>
      <c r="P545" s="23" t="s">
        <v>30</v>
      </c>
      <c r="Q545" s="23">
        <v>45791</v>
      </c>
      <c r="R545" s="81" t="s">
        <v>28</v>
      </c>
      <c r="S545" s="22" t="s">
        <v>32</v>
      </c>
      <c r="T545" s="22">
        <v>7</v>
      </c>
      <c r="U545" s="22" t="s">
        <v>28</v>
      </c>
      <c r="V545" s="23">
        <v>45791</v>
      </c>
      <c r="W545" s="82" t="s">
        <v>30</v>
      </c>
      <c r="Y545"/>
      <c r="Z545"/>
      <c r="AA545"/>
    </row>
    <row r="546" spans="1:27">
      <c r="A546" s="358" t="s">
        <v>24</v>
      </c>
      <c r="B546" s="369">
        <v>543</v>
      </c>
      <c r="C546" s="372" t="s">
        <v>907</v>
      </c>
      <c r="D546" s="372" t="s">
        <v>34</v>
      </c>
      <c r="E546" s="373">
        <v>45759</v>
      </c>
      <c r="F546" s="223" t="s">
        <v>97</v>
      </c>
      <c r="G546" s="372">
        <v>7</v>
      </c>
      <c r="H546" s="372" t="s">
        <v>22</v>
      </c>
      <c r="I546" s="372" t="s">
        <v>28</v>
      </c>
      <c r="J546" s="372" t="s">
        <v>871</v>
      </c>
      <c r="K546" s="372"/>
      <c r="L546" s="21"/>
      <c r="M546" s="22"/>
      <c r="N546" s="23"/>
      <c r="O546" s="380"/>
      <c r="P546" s="23" t="s">
        <v>30</v>
      </c>
      <c r="Q546" s="23">
        <v>45791</v>
      </c>
      <c r="R546" s="81" t="s">
        <v>28</v>
      </c>
      <c r="S546" s="22" t="s">
        <v>32</v>
      </c>
      <c r="T546" s="22">
        <v>7</v>
      </c>
      <c r="U546" s="22" t="s">
        <v>28</v>
      </c>
      <c r="V546" s="23">
        <v>45791</v>
      </c>
      <c r="W546" s="82" t="s">
        <v>30</v>
      </c>
      <c r="Y546"/>
      <c r="Z546"/>
      <c r="AA546"/>
    </row>
    <row r="547" spans="1:27">
      <c r="A547" s="358" t="s">
        <v>24</v>
      </c>
      <c r="B547" s="369">
        <v>544</v>
      </c>
      <c r="C547" s="372" t="s">
        <v>908</v>
      </c>
      <c r="D547" s="372" t="s">
        <v>34</v>
      </c>
      <c r="E547" s="373">
        <v>45759</v>
      </c>
      <c r="F547" s="372" t="s">
        <v>909</v>
      </c>
      <c r="G547" s="372">
        <v>11</v>
      </c>
      <c r="H547" s="372" t="s">
        <v>22</v>
      </c>
      <c r="I547" s="372" t="s">
        <v>28</v>
      </c>
      <c r="J547" s="372" t="s">
        <v>871</v>
      </c>
      <c r="K547" s="93"/>
      <c r="L547" s="372"/>
      <c r="M547" s="22"/>
      <c r="N547" s="23"/>
      <c r="O547" s="380" t="s">
        <v>66</v>
      </c>
      <c r="P547" s="23" t="s">
        <v>30</v>
      </c>
      <c r="Q547" s="23">
        <v>45791</v>
      </c>
      <c r="R547" s="81" t="s">
        <v>28</v>
      </c>
      <c r="S547" s="22" t="s">
        <v>32</v>
      </c>
      <c r="T547" s="22">
        <v>11</v>
      </c>
      <c r="U547" s="24" t="s">
        <v>28</v>
      </c>
      <c r="V547" s="23">
        <v>45791</v>
      </c>
      <c r="W547" s="82" t="s">
        <v>30</v>
      </c>
      <c r="Y547" s="412"/>
      <c r="Z547" s="412"/>
      <c r="AA547" s="412"/>
    </row>
    <row r="548" spans="1:27">
      <c r="A548" s="358" t="s">
        <v>24</v>
      </c>
      <c r="B548" s="369">
        <v>545</v>
      </c>
      <c r="C548" s="372" t="s">
        <v>910</v>
      </c>
      <c r="D548" s="372" t="s">
        <v>34</v>
      </c>
      <c r="E548" s="373">
        <v>45759</v>
      </c>
      <c r="F548" s="372" t="s">
        <v>909</v>
      </c>
      <c r="G548" s="372">
        <v>5</v>
      </c>
      <c r="H548" s="372" t="s">
        <v>22</v>
      </c>
      <c r="I548" s="372" t="s">
        <v>28</v>
      </c>
      <c r="J548" s="372" t="s">
        <v>871</v>
      </c>
      <c r="K548" s="93"/>
      <c r="L548" s="21"/>
      <c r="M548" s="22"/>
      <c r="N548" s="23"/>
      <c r="O548" s="380"/>
      <c r="P548" s="23" t="s">
        <v>30</v>
      </c>
      <c r="Q548" s="23">
        <v>45791</v>
      </c>
      <c r="R548" s="81" t="s">
        <v>28</v>
      </c>
      <c r="S548" s="22" t="s">
        <v>32</v>
      </c>
      <c r="T548" s="22">
        <v>5</v>
      </c>
      <c r="U548" s="24" t="s">
        <v>28</v>
      </c>
      <c r="V548" s="23">
        <v>45791</v>
      </c>
      <c r="W548" s="82" t="s">
        <v>30</v>
      </c>
      <c r="Y548" s="412"/>
      <c r="Z548" s="412"/>
      <c r="AA548" s="412"/>
    </row>
    <row r="549" spans="1:27">
      <c r="A549" s="358" t="s">
        <v>24</v>
      </c>
      <c r="B549" s="369">
        <v>546</v>
      </c>
      <c r="C549" s="372" t="s">
        <v>911</v>
      </c>
      <c r="D549" s="372" t="s">
        <v>43</v>
      </c>
      <c r="E549" s="373">
        <v>45759</v>
      </c>
      <c r="F549" s="372" t="s">
        <v>912</v>
      </c>
      <c r="G549" s="372">
        <v>13</v>
      </c>
      <c r="H549" s="372" t="s">
        <v>22</v>
      </c>
      <c r="I549" s="372" t="s">
        <v>28</v>
      </c>
      <c r="J549" s="372" t="s">
        <v>871</v>
      </c>
      <c r="K549" s="93"/>
      <c r="L549" s="358"/>
      <c r="M549" s="22"/>
      <c r="N549" s="23"/>
      <c r="O549" s="380"/>
      <c r="P549" s="23" t="s">
        <v>30</v>
      </c>
      <c r="Q549" s="23">
        <v>45796</v>
      </c>
      <c r="R549" s="81" t="s">
        <v>28</v>
      </c>
      <c r="S549" s="22" t="s">
        <v>32</v>
      </c>
      <c r="T549" s="22">
        <v>11</v>
      </c>
      <c r="U549" s="24" t="s">
        <v>28</v>
      </c>
      <c r="V549" s="23">
        <v>45796</v>
      </c>
      <c r="W549" s="82" t="s">
        <v>30</v>
      </c>
      <c r="Y549" s="412"/>
      <c r="Z549" s="412"/>
      <c r="AA549" s="412"/>
    </row>
    <row r="550" spans="1:27">
      <c r="A550" s="358" t="s">
        <v>24</v>
      </c>
      <c r="B550" s="369">
        <v>547</v>
      </c>
      <c r="C550" s="372" t="s">
        <v>913</v>
      </c>
      <c r="D550" s="372" t="s">
        <v>34</v>
      </c>
      <c r="E550" s="373">
        <v>45759</v>
      </c>
      <c r="F550" s="372" t="s">
        <v>914</v>
      </c>
      <c r="G550" s="372">
        <v>9</v>
      </c>
      <c r="H550" s="372" t="s">
        <v>21</v>
      </c>
      <c r="I550" s="372" t="s">
        <v>127</v>
      </c>
      <c r="J550" s="372" t="s">
        <v>871</v>
      </c>
      <c r="K550" s="21"/>
      <c r="L550" s="21"/>
      <c r="M550" s="22"/>
      <c r="N550" s="23"/>
      <c r="O550" s="380" t="s">
        <v>66</v>
      </c>
      <c r="P550" s="23" t="s">
        <v>30</v>
      </c>
      <c r="Q550" s="23">
        <v>45793</v>
      </c>
      <c r="R550" s="81" t="s">
        <v>67</v>
      </c>
      <c r="S550" s="22" t="s">
        <v>32</v>
      </c>
      <c r="T550" s="22">
        <v>9</v>
      </c>
      <c r="U550" s="24" t="s">
        <v>67</v>
      </c>
      <c r="V550" s="23">
        <v>45793</v>
      </c>
      <c r="W550" s="82" t="s">
        <v>30</v>
      </c>
      <c r="Y550" s="412"/>
      <c r="Z550" s="412"/>
      <c r="AA550" s="412"/>
    </row>
    <row r="551" spans="1:27">
      <c r="A551" s="358" t="s">
        <v>24</v>
      </c>
      <c r="B551" s="369">
        <v>548</v>
      </c>
      <c r="C551" s="372" t="s">
        <v>915</v>
      </c>
      <c r="D551" s="372" t="s">
        <v>34</v>
      </c>
      <c r="E551" s="373">
        <v>45759</v>
      </c>
      <c r="F551" s="372" t="s">
        <v>914</v>
      </c>
      <c r="G551" s="372">
        <v>10</v>
      </c>
      <c r="H551" s="372" t="s">
        <v>21</v>
      </c>
      <c r="I551" s="372" t="s">
        <v>127</v>
      </c>
      <c r="J551" s="372" t="s">
        <v>871</v>
      </c>
      <c r="K551" s="21"/>
      <c r="L551" s="21"/>
      <c r="M551" s="22"/>
      <c r="N551" s="23"/>
      <c r="O551" s="380"/>
      <c r="P551" s="23" t="s">
        <v>30</v>
      </c>
      <c r="Q551" s="23">
        <v>45804</v>
      </c>
      <c r="R551" s="81" t="s">
        <v>67</v>
      </c>
      <c r="S551" s="22" t="s">
        <v>32</v>
      </c>
      <c r="T551" s="22">
        <v>10</v>
      </c>
      <c r="U551" s="24" t="s">
        <v>67</v>
      </c>
      <c r="V551" s="23">
        <v>45804</v>
      </c>
      <c r="W551" s="82" t="s">
        <v>30</v>
      </c>
      <c r="Y551" s="412"/>
      <c r="Z551" s="412"/>
      <c r="AA551" s="412"/>
    </row>
    <row r="552" spans="1:27">
      <c r="A552" s="358" t="s">
        <v>24</v>
      </c>
      <c r="B552" s="369">
        <v>549</v>
      </c>
      <c r="C552" s="372" t="s">
        <v>94</v>
      </c>
      <c r="D552" s="372" t="s">
        <v>34</v>
      </c>
      <c r="E552" s="373">
        <v>45761</v>
      </c>
      <c r="F552" s="372" t="s">
        <v>916</v>
      </c>
      <c r="G552" s="372">
        <v>19</v>
      </c>
      <c r="H552" s="372" t="s">
        <v>21</v>
      </c>
      <c r="I552" s="372" t="s">
        <v>127</v>
      </c>
      <c r="J552" s="372" t="s">
        <v>871</v>
      </c>
      <c r="K552" s="93"/>
      <c r="L552" s="21"/>
      <c r="M552" s="22"/>
      <c r="N552" s="23"/>
      <c r="O552" s="380" t="s">
        <v>31</v>
      </c>
      <c r="P552" s="23" t="s">
        <v>30</v>
      </c>
      <c r="Q552" s="23">
        <v>45793</v>
      </c>
      <c r="R552" s="81" t="s">
        <v>127</v>
      </c>
      <c r="S552" s="22" t="s">
        <v>32</v>
      </c>
      <c r="T552" s="22">
        <v>19</v>
      </c>
      <c r="U552" s="24" t="s">
        <v>127</v>
      </c>
      <c r="V552" s="23">
        <v>45793</v>
      </c>
      <c r="W552" s="82" t="s">
        <v>30</v>
      </c>
      <c r="Y552" s="412"/>
      <c r="Z552" s="412"/>
      <c r="AA552" s="412"/>
    </row>
    <row r="553" spans="1:27">
      <c r="A553" s="358" t="s">
        <v>24</v>
      </c>
      <c r="B553" s="369">
        <v>550</v>
      </c>
      <c r="C553" s="372" t="s">
        <v>917</v>
      </c>
      <c r="D553" s="372" t="s">
        <v>34</v>
      </c>
      <c r="E553" s="373">
        <v>45763</v>
      </c>
      <c r="F553" s="372" t="s">
        <v>918</v>
      </c>
      <c r="G553" s="372">
        <v>16</v>
      </c>
      <c r="H553" s="375" t="s">
        <v>22</v>
      </c>
      <c r="I553" s="372" t="s">
        <v>28</v>
      </c>
      <c r="J553" s="372" t="s">
        <v>871</v>
      </c>
      <c r="K553" s="21"/>
      <c r="L553" s="21"/>
      <c r="M553" s="22"/>
      <c r="N553" s="23"/>
      <c r="O553" s="380" t="s">
        <v>31</v>
      </c>
      <c r="P553" s="23" t="s">
        <v>30</v>
      </c>
      <c r="Q553" s="23">
        <v>45803</v>
      </c>
      <c r="R553" s="81" t="s">
        <v>37</v>
      </c>
      <c r="S553" s="22" t="s">
        <v>32</v>
      </c>
      <c r="T553" s="22">
        <v>16</v>
      </c>
      <c r="U553" s="22" t="s">
        <v>37</v>
      </c>
      <c r="V553" s="23">
        <v>45803</v>
      </c>
      <c r="W553" s="82" t="s">
        <v>30</v>
      </c>
      <c r="Y553" s="412"/>
      <c r="Z553" s="412"/>
      <c r="AA553" s="412"/>
    </row>
    <row r="554" spans="1:27">
      <c r="A554" s="358" t="s">
        <v>24</v>
      </c>
      <c r="B554" s="369">
        <v>551</v>
      </c>
      <c r="C554" s="372" t="s">
        <v>919</v>
      </c>
      <c r="D554" s="372" t="s">
        <v>102</v>
      </c>
      <c r="E554" s="373">
        <v>45764</v>
      </c>
      <c r="F554" s="372" t="s">
        <v>698</v>
      </c>
      <c r="G554" s="372">
        <v>14</v>
      </c>
      <c r="H554" s="375" t="s">
        <v>21</v>
      </c>
      <c r="I554" s="372" t="s">
        <v>127</v>
      </c>
      <c r="J554" s="372" t="s">
        <v>871</v>
      </c>
      <c r="K554" s="21"/>
      <c r="L554" s="21"/>
      <c r="M554" s="22"/>
      <c r="N554" s="23"/>
      <c r="O554" s="380"/>
      <c r="P554" s="23" t="s">
        <v>30</v>
      </c>
      <c r="Q554" s="23">
        <v>45796</v>
      </c>
      <c r="R554" s="81" t="s">
        <v>127</v>
      </c>
      <c r="S554" s="22" t="s">
        <v>32</v>
      </c>
      <c r="T554" s="22">
        <v>14</v>
      </c>
      <c r="U554" s="24" t="s">
        <v>127</v>
      </c>
      <c r="V554" s="23">
        <v>45796</v>
      </c>
      <c r="W554" s="82" t="s">
        <v>30</v>
      </c>
      <c r="Y554" s="412"/>
      <c r="Z554" s="412"/>
      <c r="AA554" s="412"/>
    </row>
    <row r="555" spans="1:27">
      <c r="A555" s="358" t="s">
        <v>24</v>
      </c>
      <c r="B555" s="369">
        <v>552</v>
      </c>
      <c r="C555" s="372" t="s">
        <v>920</v>
      </c>
      <c r="D555" s="372" t="s">
        <v>34</v>
      </c>
      <c r="E555" s="373">
        <v>45764</v>
      </c>
      <c r="F555" s="372" t="s">
        <v>912</v>
      </c>
      <c r="G555" s="372">
        <v>15</v>
      </c>
      <c r="H555" s="372" t="s">
        <v>46</v>
      </c>
      <c r="I555" s="372" t="s">
        <v>47</v>
      </c>
      <c r="J555" s="372" t="s">
        <v>871</v>
      </c>
      <c r="K555" s="21"/>
      <c r="L555" s="93"/>
      <c r="M555" s="22"/>
      <c r="N555" s="23"/>
      <c r="O555" s="380" t="s">
        <v>31</v>
      </c>
      <c r="P555" s="23" t="s">
        <v>30</v>
      </c>
      <c r="Q555" s="23">
        <v>45799</v>
      </c>
      <c r="R555" s="81" t="s">
        <v>127</v>
      </c>
      <c r="S555" s="22" t="s">
        <v>32</v>
      </c>
      <c r="T555" s="22">
        <v>15</v>
      </c>
      <c r="U555" s="24" t="s">
        <v>127</v>
      </c>
      <c r="V555" s="23">
        <v>45799</v>
      </c>
      <c r="W555" s="82" t="s">
        <v>30</v>
      </c>
      <c r="Y555" s="412"/>
      <c r="Z555" s="412"/>
      <c r="AA555" s="412"/>
    </row>
    <row r="556" spans="1:27">
      <c r="A556" s="358" t="s">
        <v>24</v>
      </c>
      <c r="B556" s="369">
        <v>553</v>
      </c>
      <c r="C556" s="372" t="s">
        <v>921</v>
      </c>
      <c r="D556" s="372" t="s">
        <v>425</v>
      </c>
      <c r="E556" s="373">
        <v>45768</v>
      </c>
      <c r="F556" s="372" t="s">
        <v>324</v>
      </c>
      <c r="G556" s="372">
        <v>13</v>
      </c>
      <c r="H556" s="375" t="s">
        <v>21</v>
      </c>
      <c r="I556" s="372" t="s">
        <v>127</v>
      </c>
      <c r="J556" s="372" t="s">
        <v>871</v>
      </c>
      <c r="K556" s="21"/>
      <c r="L556" s="21"/>
      <c r="M556" s="22"/>
      <c r="N556" s="23"/>
      <c r="O556" s="380"/>
      <c r="P556" s="23" t="s">
        <v>30</v>
      </c>
      <c r="Q556" s="23">
        <v>45807</v>
      </c>
      <c r="R556" s="81" t="s">
        <v>127</v>
      </c>
      <c r="S556" s="22" t="s">
        <v>32</v>
      </c>
      <c r="T556" s="22">
        <v>13</v>
      </c>
      <c r="U556" s="24" t="s">
        <v>127</v>
      </c>
      <c r="V556" s="23">
        <v>45807</v>
      </c>
      <c r="W556" s="82" t="s">
        <v>30</v>
      </c>
      <c r="Y556"/>
      <c r="Z556"/>
      <c r="AA556"/>
    </row>
    <row r="557" spans="1:27">
      <c r="A557" s="358" t="s">
        <v>24</v>
      </c>
      <c r="B557" s="369">
        <v>554</v>
      </c>
      <c r="C557" s="372" t="s">
        <v>922</v>
      </c>
      <c r="D557" s="372" t="s">
        <v>923</v>
      </c>
      <c r="E557" s="373">
        <v>45768</v>
      </c>
      <c r="F557" s="372" t="s">
        <v>161</v>
      </c>
      <c r="G557" s="372">
        <v>14</v>
      </c>
      <c r="H557" s="375" t="s">
        <v>21</v>
      </c>
      <c r="I557" s="372" t="s">
        <v>127</v>
      </c>
      <c r="J557" s="372" t="s">
        <v>871</v>
      </c>
      <c r="K557" s="93"/>
      <c r="L557" s="21"/>
      <c r="M557" s="22"/>
      <c r="N557" s="23"/>
      <c r="O557" s="380" t="s">
        <v>66</v>
      </c>
      <c r="P557" s="23" t="s">
        <v>30</v>
      </c>
      <c r="Q557" s="23">
        <v>45791</v>
      </c>
      <c r="R557" s="81" t="s">
        <v>127</v>
      </c>
      <c r="S557" s="22" t="s">
        <v>32</v>
      </c>
      <c r="T557" s="22">
        <v>14</v>
      </c>
      <c r="U557" s="24" t="s">
        <v>127</v>
      </c>
      <c r="V557" s="23">
        <v>45791</v>
      </c>
      <c r="W557" s="82" t="s">
        <v>32</v>
      </c>
      <c r="Y557"/>
      <c r="Z557"/>
      <c r="AA557"/>
    </row>
    <row r="558" spans="1:27">
      <c r="A558" s="358" t="s">
        <v>24</v>
      </c>
      <c r="B558" s="369">
        <v>555</v>
      </c>
      <c r="C558" s="372" t="s">
        <v>924</v>
      </c>
      <c r="D558" s="372" t="s">
        <v>425</v>
      </c>
      <c r="E558" s="373">
        <v>45768</v>
      </c>
      <c r="F558" s="372" t="s">
        <v>161</v>
      </c>
      <c r="G558" s="372">
        <v>14</v>
      </c>
      <c r="H558" s="375" t="s">
        <v>21</v>
      </c>
      <c r="I558" s="372" t="s">
        <v>127</v>
      </c>
      <c r="J558" s="372" t="s">
        <v>871</v>
      </c>
      <c r="K558" s="93"/>
      <c r="L558" s="21"/>
      <c r="M558" s="22"/>
      <c r="N558" s="23"/>
      <c r="O558" s="380"/>
      <c r="P558" s="23" t="s">
        <v>30</v>
      </c>
      <c r="Q558" s="23">
        <v>45789</v>
      </c>
      <c r="R558" s="81" t="s">
        <v>127</v>
      </c>
      <c r="S558" s="22" t="s">
        <v>32</v>
      </c>
      <c r="T558" s="22">
        <v>14</v>
      </c>
      <c r="U558" s="24" t="s">
        <v>127</v>
      </c>
      <c r="V558" s="23">
        <v>45789</v>
      </c>
      <c r="W558" s="82" t="s">
        <v>32</v>
      </c>
      <c r="Y558"/>
      <c r="Z558"/>
      <c r="AA558"/>
    </row>
    <row r="559" spans="1:27">
      <c r="A559" s="358" t="s">
        <v>24</v>
      </c>
      <c r="B559" s="369">
        <v>556</v>
      </c>
      <c r="C559" s="372" t="s">
        <v>925</v>
      </c>
      <c r="D559" s="372" t="s">
        <v>129</v>
      </c>
      <c r="E559" s="373">
        <v>45770</v>
      </c>
      <c r="F559" s="372" t="s">
        <v>161</v>
      </c>
      <c r="G559" s="372">
        <v>16</v>
      </c>
      <c r="H559" s="375" t="s">
        <v>21</v>
      </c>
      <c r="I559" s="372" t="s">
        <v>127</v>
      </c>
      <c r="J559" s="372" t="s">
        <v>871</v>
      </c>
      <c r="K559" s="93"/>
      <c r="L559" s="21"/>
      <c r="M559" s="22"/>
      <c r="N559" s="23"/>
      <c r="O559" s="380" t="s">
        <v>31</v>
      </c>
      <c r="P559" s="23" t="s">
        <v>30</v>
      </c>
      <c r="Q559" s="23">
        <v>45789</v>
      </c>
      <c r="R559" s="81" t="s">
        <v>127</v>
      </c>
      <c r="S559" s="22" t="s">
        <v>32</v>
      </c>
      <c r="T559" s="22">
        <v>16</v>
      </c>
      <c r="U559" s="24" t="s">
        <v>127</v>
      </c>
      <c r="V559" s="23">
        <v>45789</v>
      </c>
      <c r="W559" s="82" t="s">
        <v>30</v>
      </c>
      <c r="Y559"/>
      <c r="Z559"/>
      <c r="AA559"/>
    </row>
    <row r="560" spans="1:27">
      <c r="A560" s="358" t="s">
        <v>24</v>
      </c>
      <c r="B560" s="369">
        <v>557</v>
      </c>
      <c r="C560" s="372" t="s">
        <v>926</v>
      </c>
      <c r="D560" s="372" t="s">
        <v>83</v>
      </c>
      <c r="E560" s="373">
        <v>45770</v>
      </c>
      <c r="F560" s="372" t="s">
        <v>927</v>
      </c>
      <c r="G560" s="372">
        <v>12</v>
      </c>
      <c r="H560" s="375" t="s">
        <v>46</v>
      </c>
      <c r="I560" s="372" t="s">
        <v>47</v>
      </c>
      <c r="J560" s="372" t="s">
        <v>871</v>
      </c>
      <c r="K560" s="21"/>
      <c r="L560" s="358"/>
      <c r="M560" s="22"/>
      <c r="N560" s="23"/>
      <c r="O560" s="380"/>
      <c r="P560" s="23" t="s">
        <v>30</v>
      </c>
      <c r="Q560" s="23">
        <v>45808</v>
      </c>
      <c r="R560" s="81" t="s">
        <v>67</v>
      </c>
      <c r="S560" s="22" t="s">
        <v>32</v>
      </c>
      <c r="T560" s="22">
        <v>12</v>
      </c>
      <c r="U560" s="24" t="s">
        <v>67</v>
      </c>
      <c r="V560" s="23">
        <v>45807</v>
      </c>
      <c r="W560" s="82" t="s">
        <v>30</v>
      </c>
      <c r="Y560"/>
      <c r="Z560"/>
      <c r="AA560"/>
    </row>
    <row r="561" spans="1:30">
      <c r="A561" s="358" t="s">
        <v>24</v>
      </c>
      <c r="B561" s="369">
        <v>558</v>
      </c>
      <c r="C561" s="372" t="s">
        <v>928</v>
      </c>
      <c r="D561" s="372" t="s">
        <v>34</v>
      </c>
      <c r="E561" s="373">
        <v>45770</v>
      </c>
      <c r="F561" s="372" t="s">
        <v>245</v>
      </c>
      <c r="G561" s="372">
        <v>13</v>
      </c>
      <c r="H561" s="375" t="s">
        <v>46</v>
      </c>
      <c r="I561" s="372" t="s">
        <v>47</v>
      </c>
      <c r="J561" s="372" t="s">
        <v>871</v>
      </c>
      <c r="K561" s="21"/>
      <c r="L561" s="358"/>
      <c r="M561" s="22"/>
      <c r="N561" s="23"/>
      <c r="O561" s="380"/>
      <c r="P561" s="23" t="s">
        <v>30</v>
      </c>
      <c r="Q561" s="23">
        <v>45808</v>
      </c>
      <c r="R561" s="81" t="s">
        <v>127</v>
      </c>
      <c r="S561" s="22" t="s">
        <v>32</v>
      </c>
      <c r="T561" s="22">
        <v>13</v>
      </c>
      <c r="U561" s="24" t="s">
        <v>127</v>
      </c>
      <c r="V561" s="23">
        <v>45807</v>
      </c>
      <c r="W561" s="82" t="s">
        <v>30</v>
      </c>
      <c r="Y561"/>
      <c r="Z561"/>
      <c r="AA561"/>
    </row>
    <row r="562" spans="1:30">
      <c r="A562" s="358" t="s">
        <v>24</v>
      </c>
      <c r="B562" s="369">
        <v>559</v>
      </c>
      <c r="C562" s="372" t="s">
        <v>929</v>
      </c>
      <c r="D562" s="372" t="s">
        <v>657</v>
      </c>
      <c r="E562" s="373">
        <v>45771</v>
      </c>
      <c r="F562" s="372" t="s">
        <v>104</v>
      </c>
      <c r="G562" s="372">
        <v>13</v>
      </c>
      <c r="H562" s="375" t="s">
        <v>22</v>
      </c>
      <c r="I562" s="372" t="s">
        <v>28</v>
      </c>
      <c r="J562" s="372" t="s">
        <v>871</v>
      </c>
      <c r="K562" s="21"/>
      <c r="L562" s="21"/>
      <c r="M562" s="22"/>
      <c r="N562" s="23"/>
      <c r="O562" s="380"/>
      <c r="P562" s="23" t="s">
        <v>30</v>
      </c>
      <c r="Q562" s="23">
        <v>45796</v>
      </c>
      <c r="R562" s="81" t="s">
        <v>37</v>
      </c>
      <c r="S562" s="22" t="s">
        <v>32</v>
      </c>
      <c r="T562" s="22">
        <v>13</v>
      </c>
      <c r="U562" s="22" t="s">
        <v>37</v>
      </c>
      <c r="V562" s="23">
        <v>45796</v>
      </c>
      <c r="W562" s="82" t="s">
        <v>32</v>
      </c>
      <c r="Y562"/>
      <c r="Z562"/>
      <c r="AA562"/>
    </row>
    <row r="563" spans="1:30">
      <c r="A563" s="358" t="s">
        <v>24</v>
      </c>
      <c r="B563" s="369">
        <v>560</v>
      </c>
      <c r="C563" s="372" t="s">
        <v>930</v>
      </c>
      <c r="D563" s="372" t="s">
        <v>43</v>
      </c>
      <c r="E563" s="373">
        <v>45773</v>
      </c>
      <c r="F563" s="372" t="s">
        <v>931</v>
      </c>
      <c r="G563" s="372">
        <v>13</v>
      </c>
      <c r="H563" s="375" t="s">
        <v>21</v>
      </c>
      <c r="I563" s="372" t="s">
        <v>127</v>
      </c>
      <c r="J563" s="372" t="s">
        <v>871</v>
      </c>
      <c r="K563" s="93"/>
      <c r="L563" s="21"/>
      <c r="M563" s="22"/>
      <c r="N563" s="23"/>
      <c r="O563" s="380"/>
      <c r="P563" s="23" t="s">
        <v>30</v>
      </c>
      <c r="Q563" s="23">
        <v>45791</v>
      </c>
      <c r="R563" s="81" t="s">
        <v>127</v>
      </c>
      <c r="S563" s="22" t="s">
        <v>32</v>
      </c>
      <c r="T563" s="22">
        <v>13</v>
      </c>
      <c r="U563" s="24" t="s">
        <v>127</v>
      </c>
      <c r="V563" s="23">
        <v>45791</v>
      </c>
      <c r="W563" s="82" t="s">
        <v>32</v>
      </c>
      <c r="Y563"/>
      <c r="Z563"/>
      <c r="AA563"/>
    </row>
    <row r="564" spans="1:30">
      <c r="A564" s="358" t="s">
        <v>24</v>
      </c>
      <c r="B564" s="369">
        <v>561</v>
      </c>
      <c r="C564" s="372" t="s">
        <v>932</v>
      </c>
      <c r="D564" s="372" t="s">
        <v>102</v>
      </c>
      <c r="E564" s="373">
        <v>45776</v>
      </c>
      <c r="F564" s="372" t="s">
        <v>885</v>
      </c>
      <c r="G564" s="372">
        <v>12</v>
      </c>
      <c r="H564" s="375" t="s">
        <v>22</v>
      </c>
      <c r="I564" s="372" t="s">
        <v>28</v>
      </c>
      <c r="J564" s="372" t="s">
        <v>871</v>
      </c>
      <c r="K564" s="21"/>
      <c r="L564" s="21"/>
      <c r="M564" s="22"/>
      <c r="N564" s="23"/>
      <c r="O564" s="380"/>
      <c r="P564" s="23" t="s">
        <v>30</v>
      </c>
      <c r="Q564" s="23">
        <v>45791</v>
      </c>
      <c r="R564" s="81" t="s">
        <v>37</v>
      </c>
      <c r="S564" s="22" t="s">
        <v>32</v>
      </c>
      <c r="T564" s="22">
        <v>12</v>
      </c>
      <c r="U564" s="22" t="s">
        <v>37</v>
      </c>
      <c r="V564" s="23">
        <v>45791</v>
      </c>
      <c r="W564" s="82" t="s">
        <v>30</v>
      </c>
      <c r="Y564" s="412"/>
      <c r="Z564" s="412"/>
      <c r="AA564" s="412"/>
    </row>
    <row r="565" spans="1:30">
      <c r="A565" s="358" t="s">
        <v>24</v>
      </c>
      <c r="B565" s="369">
        <v>562</v>
      </c>
      <c r="C565" s="372" t="s">
        <v>120</v>
      </c>
      <c r="D565" s="372" t="s">
        <v>34</v>
      </c>
      <c r="E565" s="373">
        <v>45777</v>
      </c>
      <c r="F565" s="372" t="s">
        <v>380</v>
      </c>
      <c r="G565" s="372">
        <v>12</v>
      </c>
      <c r="H565" s="375" t="s">
        <v>21</v>
      </c>
      <c r="I565" s="372" t="s">
        <v>127</v>
      </c>
      <c r="J565" s="372" t="s">
        <v>871</v>
      </c>
      <c r="K565" s="21"/>
      <c r="L565" s="21"/>
      <c r="M565" s="22"/>
      <c r="N565" s="23"/>
      <c r="O565" s="380"/>
      <c r="P565" s="23" t="s">
        <v>30</v>
      </c>
      <c r="Q565" s="23">
        <v>45784</v>
      </c>
      <c r="R565" s="81" t="s">
        <v>48</v>
      </c>
      <c r="S565" s="22" t="s">
        <v>32</v>
      </c>
      <c r="T565" s="22">
        <v>12</v>
      </c>
      <c r="U565" s="24" t="s">
        <v>48</v>
      </c>
      <c r="V565" s="23">
        <v>45784</v>
      </c>
      <c r="W565" s="82" t="s">
        <v>32</v>
      </c>
      <c r="Y565"/>
      <c r="Z565"/>
      <c r="AA565"/>
    </row>
    <row r="566" spans="1:30">
      <c r="A566" s="358" t="s">
        <v>137</v>
      </c>
      <c r="B566" s="369">
        <v>563</v>
      </c>
      <c r="C566" s="232" t="s">
        <v>933</v>
      </c>
      <c r="D566" s="232" t="s">
        <v>145</v>
      </c>
      <c r="E566" s="233">
        <v>45754.375</v>
      </c>
      <c r="F566" s="372" t="s">
        <v>140</v>
      </c>
      <c r="G566" s="234">
        <v>15</v>
      </c>
      <c r="H566" s="234" t="s">
        <v>22</v>
      </c>
      <c r="I566" s="234" t="s">
        <v>28</v>
      </c>
      <c r="J566" s="372" t="s">
        <v>871</v>
      </c>
      <c r="K566" s="21"/>
      <c r="L566" s="21"/>
      <c r="M566" s="22"/>
      <c r="N566" s="23"/>
      <c r="O566" s="23" t="s">
        <v>31</v>
      </c>
      <c r="P566" s="23" t="s">
        <v>30</v>
      </c>
      <c r="Q566" s="23"/>
      <c r="R566" s="81" t="s">
        <v>67</v>
      </c>
      <c r="S566" s="22"/>
      <c r="T566" s="22"/>
      <c r="U566" s="24"/>
      <c r="V566" s="23"/>
      <c r="W566" s="82"/>
      <c r="X566" s="91">
        <v>0</v>
      </c>
      <c r="Y566" s="88">
        <v>15</v>
      </c>
      <c r="Z566" s="92">
        <v>0</v>
      </c>
      <c r="AA566" s="88">
        <f>SUM(X566:Z566)</f>
        <v>15</v>
      </c>
      <c r="AB566" s="72">
        <f>+X566/$AA566*AC$1</f>
        <v>0</v>
      </c>
      <c r="AC566" s="72">
        <f>+Y566/$AA566*AD$1</f>
        <v>3</v>
      </c>
      <c r="AD566" s="72">
        <f>+Z566/$AA566*AD$1</f>
        <v>0</v>
      </c>
    </row>
    <row r="567" spans="1:30">
      <c r="A567" s="358" t="s">
        <v>137</v>
      </c>
      <c r="B567" s="369">
        <v>564</v>
      </c>
      <c r="C567" s="232" t="s">
        <v>934</v>
      </c>
      <c r="D567" s="232" t="s">
        <v>935</v>
      </c>
      <c r="E567" s="233">
        <v>45754.375</v>
      </c>
      <c r="F567" s="372" t="s">
        <v>140</v>
      </c>
      <c r="G567" s="234">
        <v>13</v>
      </c>
      <c r="H567" s="234" t="s">
        <v>22</v>
      </c>
      <c r="I567" s="234" t="s">
        <v>28</v>
      </c>
      <c r="J567" s="372" t="s">
        <v>871</v>
      </c>
      <c r="K567" s="21"/>
      <c r="L567" s="21"/>
      <c r="M567" s="22"/>
      <c r="N567" s="23"/>
      <c r="O567" s="23"/>
      <c r="P567" s="23" t="s">
        <v>30</v>
      </c>
      <c r="Q567" s="23"/>
      <c r="R567" s="81" t="s">
        <v>67</v>
      </c>
      <c r="S567" s="22"/>
      <c r="T567" s="22"/>
      <c r="U567" s="24"/>
      <c r="V567" s="23"/>
      <c r="W567" s="82"/>
      <c r="Y567"/>
      <c r="Z567"/>
      <c r="AA567"/>
    </row>
    <row r="568" spans="1:30">
      <c r="A568" s="358" t="s">
        <v>137</v>
      </c>
      <c r="B568" s="369">
        <v>565</v>
      </c>
      <c r="C568" s="232" t="s">
        <v>936</v>
      </c>
      <c r="D568" s="232" t="s">
        <v>937</v>
      </c>
      <c r="E568" s="233">
        <v>45754.375</v>
      </c>
      <c r="F568" s="372" t="s">
        <v>140</v>
      </c>
      <c r="G568" s="234">
        <v>43</v>
      </c>
      <c r="H568" s="234" t="s">
        <v>938</v>
      </c>
      <c r="I568" s="234" t="s">
        <v>939</v>
      </c>
      <c r="J568" s="372" t="s">
        <v>871</v>
      </c>
      <c r="K568" s="21"/>
      <c r="L568" s="21"/>
      <c r="M568" s="22"/>
      <c r="N568" s="23"/>
      <c r="O568" s="23" t="s">
        <v>31</v>
      </c>
      <c r="P568" s="23" t="s">
        <v>30</v>
      </c>
      <c r="Q568" s="23"/>
      <c r="R568" s="81" t="s">
        <v>67</v>
      </c>
      <c r="S568" s="22"/>
      <c r="T568" s="22"/>
      <c r="U568" s="24"/>
      <c r="V568" s="23"/>
      <c r="W568" s="82"/>
      <c r="X568">
        <v>14</v>
      </c>
      <c r="Y568">
        <v>23</v>
      </c>
      <c r="Z568">
        <v>6</v>
      </c>
      <c r="AA568" s="88">
        <f>SUM(X568:Z568)</f>
        <v>43</v>
      </c>
      <c r="AB568" s="72">
        <f>+X568/$AA568*AC$1</f>
        <v>1.9534883720930234</v>
      </c>
      <c r="AC568" s="72">
        <f>+Y568/$AA568*AD$1</f>
        <v>1.6046511627906974</v>
      </c>
      <c r="AD568" s="72">
        <f>+Z568/$AA568*AD$1</f>
        <v>0.41860465116279066</v>
      </c>
    </row>
    <row r="569" spans="1:30">
      <c r="A569" s="358" t="s">
        <v>137</v>
      </c>
      <c r="B569" s="369">
        <v>566</v>
      </c>
      <c r="C569" s="232" t="s">
        <v>940</v>
      </c>
      <c r="D569" s="232" t="s">
        <v>941</v>
      </c>
      <c r="E569" s="233">
        <v>45754.375</v>
      </c>
      <c r="F569" s="372" t="s">
        <v>140</v>
      </c>
      <c r="G569" s="234">
        <v>8</v>
      </c>
      <c r="H569" s="234" t="s">
        <v>22</v>
      </c>
      <c r="I569" s="234" t="s">
        <v>28</v>
      </c>
      <c r="J569" s="372" t="s">
        <v>871</v>
      </c>
      <c r="K569" s="21"/>
      <c r="L569" s="21"/>
      <c r="M569" s="22"/>
      <c r="N569" s="23"/>
      <c r="O569" s="23"/>
      <c r="P569" s="23" t="s">
        <v>30</v>
      </c>
      <c r="Q569" s="23"/>
      <c r="R569" s="81" t="s">
        <v>67</v>
      </c>
      <c r="S569" s="22"/>
      <c r="T569" s="22"/>
      <c r="U569" s="24"/>
      <c r="V569" s="23"/>
      <c r="W569" s="82"/>
      <c r="Y569"/>
      <c r="Z569"/>
      <c r="AA569"/>
    </row>
    <row r="570" spans="1:30">
      <c r="A570" s="358" t="s">
        <v>137</v>
      </c>
      <c r="B570" s="369">
        <v>567</v>
      </c>
      <c r="C570" s="232" t="s">
        <v>942</v>
      </c>
      <c r="D570" s="232" t="s">
        <v>519</v>
      </c>
      <c r="E570" s="233">
        <v>45754.375</v>
      </c>
      <c r="F570" s="372" t="s">
        <v>140</v>
      </c>
      <c r="G570" s="234">
        <v>23</v>
      </c>
      <c r="H570" s="234" t="s">
        <v>938</v>
      </c>
      <c r="I570" s="234" t="s">
        <v>939</v>
      </c>
      <c r="J570" s="372" t="s">
        <v>871</v>
      </c>
      <c r="K570" s="21"/>
      <c r="L570" s="21"/>
      <c r="M570" s="22"/>
      <c r="N570" s="23"/>
      <c r="O570" s="23" t="s">
        <v>31</v>
      </c>
      <c r="P570" s="23" t="s">
        <v>30</v>
      </c>
      <c r="Q570" s="23"/>
      <c r="R570" s="81" t="s">
        <v>67</v>
      </c>
      <c r="S570" s="22"/>
      <c r="T570" s="22"/>
      <c r="U570" s="22"/>
      <c r="V570" s="23"/>
      <c r="W570" s="82"/>
      <c r="X570">
        <v>14</v>
      </c>
      <c r="Y570">
        <v>8</v>
      </c>
      <c r="Z570">
        <v>1</v>
      </c>
      <c r="AA570" s="88">
        <f>SUM(X570:Z570)</f>
        <v>23</v>
      </c>
      <c r="AB570" s="72">
        <f>+X570/$AA570*AC$1</f>
        <v>3.6521739130434785</v>
      </c>
      <c r="AC570" s="72">
        <f>+Y570/$AA570*AD$1</f>
        <v>1.0434782608695652</v>
      </c>
      <c r="AD570" s="72">
        <f>+Z570/$AA570*AD$1</f>
        <v>0.13043478260869565</v>
      </c>
    </row>
    <row r="571" spans="1:30">
      <c r="A571" s="358" t="s">
        <v>137</v>
      </c>
      <c r="B571" s="369">
        <v>568</v>
      </c>
      <c r="C571" s="232" t="s">
        <v>943</v>
      </c>
      <c r="D571" s="232" t="s">
        <v>944</v>
      </c>
      <c r="E571" s="233">
        <v>45754.375</v>
      </c>
      <c r="F571" s="372" t="s">
        <v>140</v>
      </c>
      <c r="G571" s="234">
        <v>1</v>
      </c>
      <c r="H571" s="234" t="s">
        <v>21</v>
      </c>
      <c r="I571" s="234" t="s">
        <v>127</v>
      </c>
      <c r="J571" s="372" t="s">
        <v>871</v>
      </c>
      <c r="K571" s="21"/>
      <c r="L571" s="21"/>
      <c r="M571" s="22"/>
      <c r="N571" s="23"/>
      <c r="O571" s="23"/>
      <c r="P571" s="23" t="s">
        <v>30</v>
      </c>
      <c r="Q571" s="23"/>
      <c r="R571" s="81" t="s">
        <v>67</v>
      </c>
      <c r="S571" s="22"/>
      <c r="T571" s="22"/>
      <c r="U571" s="22"/>
      <c r="V571" s="23"/>
      <c r="W571" s="82"/>
      <c r="Y571"/>
      <c r="Z571"/>
      <c r="AA571"/>
    </row>
    <row r="572" spans="1:30">
      <c r="A572" s="358" t="s">
        <v>137</v>
      </c>
      <c r="B572" s="369">
        <v>569</v>
      </c>
      <c r="C572" s="232" t="s">
        <v>945</v>
      </c>
      <c r="D572" s="232" t="s">
        <v>946</v>
      </c>
      <c r="E572" s="233">
        <v>45754.375</v>
      </c>
      <c r="F572" s="372" t="s">
        <v>140</v>
      </c>
      <c r="G572" s="234">
        <v>2</v>
      </c>
      <c r="H572" s="234" t="s">
        <v>22</v>
      </c>
      <c r="I572" s="234" t="s">
        <v>28</v>
      </c>
      <c r="J572" s="372" t="s">
        <v>871</v>
      </c>
      <c r="K572" s="21"/>
      <c r="L572" s="21"/>
      <c r="M572" s="22"/>
      <c r="N572" s="23"/>
      <c r="O572" s="23"/>
      <c r="P572" s="23" t="s">
        <v>30</v>
      </c>
      <c r="Q572" s="23"/>
      <c r="R572" s="81" t="s">
        <v>67</v>
      </c>
      <c r="S572" s="22"/>
      <c r="T572" s="22"/>
      <c r="U572" s="24"/>
      <c r="V572" s="23"/>
      <c r="W572" s="82"/>
      <c r="Y572"/>
      <c r="Z572"/>
      <c r="AA572"/>
    </row>
    <row r="573" spans="1:30">
      <c r="A573" s="358" t="s">
        <v>137</v>
      </c>
      <c r="B573" s="369">
        <v>570</v>
      </c>
      <c r="C573" s="232" t="s">
        <v>947</v>
      </c>
      <c r="D573" s="232" t="s">
        <v>829</v>
      </c>
      <c r="E573" s="233">
        <v>45754</v>
      </c>
      <c r="F573" s="372" t="s">
        <v>140</v>
      </c>
      <c r="G573" s="234">
        <v>52</v>
      </c>
      <c r="H573" s="234" t="s">
        <v>111</v>
      </c>
      <c r="I573" s="234" t="s">
        <v>948</v>
      </c>
      <c r="J573" s="372" t="s">
        <v>871</v>
      </c>
      <c r="K573" s="21"/>
      <c r="L573" s="21"/>
      <c r="M573" s="22"/>
      <c r="N573" s="23"/>
      <c r="O573" s="23" t="s">
        <v>31</v>
      </c>
      <c r="P573" s="23" t="s">
        <v>30</v>
      </c>
      <c r="Q573" s="23"/>
      <c r="R573" s="81" t="s">
        <v>67</v>
      </c>
      <c r="S573" s="22"/>
      <c r="T573" s="22"/>
      <c r="U573" s="24"/>
      <c r="V573" s="23"/>
      <c r="W573" s="82"/>
      <c r="X573">
        <v>2</v>
      </c>
      <c r="Y573">
        <v>50</v>
      </c>
      <c r="Z573">
        <v>0</v>
      </c>
      <c r="AA573" s="88">
        <f>SUM(X573:Z573)</f>
        <v>52</v>
      </c>
      <c r="AB573" s="72">
        <f>+X573/$AA573*AC$1</f>
        <v>0.23076923076923078</v>
      </c>
      <c r="AC573" s="72">
        <f>+Y573/$AA573*AD$1</f>
        <v>2.8846153846153846</v>
      </c>
      <c r="AD573" s="72">
        <f>+Z573/$AA573*AD$1</f>
        <v>0</v>
      </c>
    </row>
    <row r="574" spans="1:30">
      <c r="A574" s="358" t="s">
        <v>137</v>
      </c>
      <c r="B574" s="369">
        <v>571</v>
      </c>
      <c r="C574" s="232" t="s">
        <v>949</v>
      </c>
      <c r="D574" s="232" t="s">
        <v>950</v>
      </c>
      <c r="E574" s="233">
        <v>45754.375</v>
      </c>
      <c r="F574" s="372" t="s">
        <v>140</v>
      </c>
      <c r="G574" s="234">
        <v>10</v>
      </c>
      <c r="H574" s="234" t="s">
        <v>46</v>
      </c>
      <c r="I574" s="234" t="s">
        <v>47</v>
      </c>
      <c r="J574" s="372" t="s">
        <v>871</v>
      </c>
      <c r="K574" s="21"/>
      <c r="L574" s="21"/>
      <c r="M574" s="22"/>
      <c r="N574" s="23"/>
      <c r="O574" s="23"/>
      <c r="P574" s="23" t="s">
        <v>30</v>
      </c>
      <c r="Q574" s="23"/>
      <c r="R574" s="81" t="s">
        <v>67</v>
      </c>
      <c r="S574" s="22"/>
      <c r="T574" s="22"/>
      <c r="U574" s="24"/>
      <c r="V574" s="23"/>
      <c r="W574" s="82"/>
      <c r="Y574"/>
      <c r="Z574"/>
      <c r="AA574"/>
    </row>
    <row r="575" spans="1:30">
      <c r="A575" s="358" t="s">
        <v>137</v>
      </c>
      <c r="B575" s="369">
        <v>572</v>
      </c>
      <c r="C575" s="232" t="s">
        <v>951</v>
      </c>
      <c r="D575" s="232" t="s">
        <v>794</v>
      </c>
      <c r="E575" s="233">
        <v>45754.375</v>
      </c>
      <c r="F575" s="372" t="s">
        <v>140</v>
      </c>
      <c r="G575" s="234">
        <v>2</v>
      </c>
      <c r="H575" s="234" t="s">
        <v>291</v>
      </c>
      <c r="I575" s="234" t="s">
        <v>760</v>
      </c>
      <c r="J575" s="372" t="s">
        <v>871</v>
      </c>
      <c r="K575" s="21"/>
      <c r="L575" s="21"/>
      <c r="M575" s="22"/>
      <c r="N575" s="23"/>
      <c r="O575" s="23"/>
      <c r="P575" s="23" t="s">
        <v>30</v>
      </c>
      <c r="Q575" s="23"/>
      <c r="R575" s="81" t="s">
        <v>67</v>
      </c>
      <c r="S575" s="22"/>
      <c r="T575" s="22"/>
      <c r="U575" s="22"/>
      <c r="V575" s="23"/>
      <c r="W575" s="82"/>
      <c r="Y575"/>
      <c r="Z575"/>
      <c r="AA575"/>
    </row>
    <row r="576" spans="1:30">
      <c r="A576" s="358" t="s">
        <v>137</v>
      </c>
      <c r="B576" s="369">
        <v>573</v>
      </c>
      <c r="C576" s="232" t="s">
        <v>952</v>
      </c>
      <c r="D576" s="232" t="s">
        <v>953</v>
      </c>
      <c r="E576" s="233">
        <v>45754.375</v>
      </c>
      <c r="F576" s="372" t="s">
        <v>140</v>
      </c>
      <c r="G576" s="234">
        <v>4</v>
      </c>
      <c r="H576" s="234" t="s">
        <v>22</v>
      </c>
      <c r="I576" s="234" t="s">
        <v>28</v>
      </c>
      <c r="J576" s="372" t="s">
        <v>871</v>
      </c>
      <c r="K576" s="21"/>
      <c r="L576" s="21"/>
      <c r="M576" s="22"/>
      <c r="N576" s="23"/>
      <c r="O576" s="23"/>
      <c r="P576" s="23" t="s">
        <v>30</v>
      </c>
      <c r="Q576" s="23"/>
      <c r="R576" s="81" t="s">
        <v>67</v>
      </c>
      <c r="S576" s="22"/>
      <c r="T576" s="22"/>
      <c r="U576" s="22"/>
      <c r="V576" s="23"/>
      <c r="W576" s="82"/>
      <c r="Y576"/>
      <c r="Z576"/>
      <c r="AA576"/>
    </row>
    <row r="577" spans="1:30">
      <c r="A577" s="358" t="s">
        <v>137</v>
      </c>
      <c r="B577" s="369">
        <v>574</v>
      </c>
      <c r="C577" s="232" t="s">
        <v>954</v>
      </c>
      <c r="D577" s="232" t="s">
        <v>955</v>
      </c>
      <c r="E577" s="233">
        <v>45754</v>
      </c>
      <c r="F577" s="372" t="s">
        <v>140</v>
      </c>
      <c r="G577" s="234">
        <v>16</v>
      </c>
      <c r="H577" s="234" t="s">
        <v>291</v>
      </c>
      <c r="I577" s="234" t="s">
        <v>760</v>
      </c>
      <c r="J577" s="372" t="s">
        <v>871</v>
      </c>
      <c r="K577" s="21"/>
      <c r="L577" s="21"/>
      <c r="M577" s="22"/>
      <c r="N577" s="23"/>
      <c r="O577" s="23" t="s">
        <v>31</v>
      </c>
      <c r="P577" s="23" t="s">
        <v>30</v>
      </c>
      <c r="Q577" s="23"/>
      <c r="R577" s="81" t="s">
        <v>67</v>
      </c>
      <c r="S577" s="22"/>
      <c r="T577" s="22"/>
      <c r="U577" s="24"/>
      <c r="V577" s="23"/>
      <c r="W577" s="82"/>
      <c r="X577">
        <v>1</v>
      </c>
      <c r="Y577">
        <v>0</v>
      </c>
      <c r="Z577">
        <v>15</v>
      </c>
      <c r="AA577" s="88">
        <f>SUM(X577:Z577)</f>
        <v>16</v>
      </c>
      <c r="AB577" s="72">
        <f>+X577/$AA577*AC$1</f>
        <v>0.375</v>
      </c>
      <c r="AC577" s="72">
        <f>+Y577/$AA577*AD$1</f>
        <v>0</v>
      </c>
      <c r="AD577" s="72">
        <f>+Z577/$AA577*AD$1</f>
        <v>2.8125</v>
      </c>
    </row>
    <row r="578" spans="1:30">
      <c r="A578" s="358" t="s">
        <v>137</v>
      </c>
      <c r="B578" s="369">
        <v>575</v>
      </c>
      <c r="C578" s="232" t="s">
        <v>956</v>
      </c>
      <c r="D578" s="232" t="s">
        <v>818</v>
      </c>
      <c r="E578" s="233">
        <v>45754.375</v>
      </c>
      <c r="F578" s="372" t="s">
        <v>140</v>
      </c>
      <c r="G578" s="234">
        <v>9</v>
      </c>
      <c r="H578" s="234" t="s">
        <v>21</v>
      </c>
      <c r="I578" s="234" t="s">
        <v>127</v>
      </c>
      <c r="J578" s="372" t="s">
        <v>871</v>
      </c>
      <c r="K578" s="21"/>
      <c r="L578" s="21"/>
      <c r="M578" s="22"/>
      <c r="N578" s="23"/>
      <c r="O578" s="23"/>
      <c r="P578" s="23" t="s">
        <v>30</v>
      </c>
      <c r="Q578" s="23"/>
      <c r="R578" s="81" t="s">
        <v>67</v>
      </c>
      <c r="S578" s="22"/>
      <c r="T578" s="22"/>
      <c r="U578" s="24"/>
      <c r="V578" s="23"/>
      <c r="W578" s="82"/>
      <c r="Y578" s="412"/>
      <c r="Z578" s="412"/>
      <c r="AA578" s="412"/>
    </row>
    <row r="579" spans="1:30">
      <c r="A579" s="358" t="s">
        <v>137</v>
      </c>
      <c r="B579" s="369">
        <v>576</v>
      </c>
      <c r="C579" s="232" t="s">
        <v>957</v>
      </c>
      <c r="D579" s="232" t="s">
        <v>958</v>
      </c>
      <c r="E579" s="233">
        <v>45754.375</v>
      </c>
      <c r="F579" s="372" t="s">
        <v>140</v>
      </c>
      <c r="G579" s="234">
        <v>2</v>
      </c>
      <c r="H579" s="234" t="s">
        <v>22</v>
      </c>
      <c r="I579" s="234" t="s">
        <v>28</v>
      </c>
      <c r="J579" s="372" t="s">
        <v>871</v>
      </c>
      <c r="K579" s="21"/>
      <c r="L579" s="21"/>
      <c r="M579" s="22"/>
      <c r="N579" s="23"/>
      <c r="O579" s="23"/>
      <c r="P579" s="23" t="s">
        <v>30</v>
      </c>
      <c r="Q579" s="23"/>
      <c r="R579" s="81" t="s">
        <v>67</v>
      </c>
      <c r="S579" s="22"/>
      <c r="T579" s="22"/>
      <c r="U579" s="24"/>
      <c r="V579" s="23"/>
      <c r="W579" s="82"/>
      <c r="Y579" s="412"/>
      <c r="Z579" s="412"/>
      <c r="AA579" s="412"/>
    </row>
    <row r="580" spans="1:30">
      <c r="A580" s="358" t="s">
        <v>137</v>
      </c>
      <c r="B580" s="369">
        <v>577</v>
      </c>
      <c r="C580" s="232" t="s">
        <v>959</v>
      </c>
      <c r="D580" s="232" t="s">
        <v>960</v>
      </c>
      <c r="E580" s="233">
        <v>45754</v>
      </c>
      <c r="F580" s="372" t="s">
        <v>140</v>
      </c>
      <c r="G580" s="234">
        <v>1</v>
      </c>
      <c r="H580" s="234" t="s">
        <v>22</v>
      </c>
      <c r="I580" s="234" t="s">
        <v>28</v>
      </c>
      <c r="J580" s="372" t="s">
        <v>871</v>
      </c>
      <c r="K580" s="21"/>
      <c r="L580" s="21"/>
      <c r="M580" s="22"/>
      <c r="N580" s="23"/>
      <c r="O580" s="23"/>
      <c r="P580" s="23" t="s">
        <v>30</v>
      </c>
      <c r="Q580" s="23"/>
      <c r="R580" s="81" t="s">
        <v>67</v>
      </c>
      <c r="S580" s="22"/>
      <c r="T580" s="22"/>
      <c r="U580" s="24"/>
      <c r="V580" s="23"/>
      <c r="W580" s="82"/>
      <c r="Y580" s="412"/>
      <c r="Z580" s="412"/>
      <c r="AA580" s="412"/>
    </row>
    <row r="581" spans="1:30">
      <c r="A581" s="358" t="s">
        <v>137</v>
      </c>
      <c r="B581" s="369">
        <v>578</v>
      </c>
      <c r="C581" s="232" t="s">
        <v>961</v>
      </c>
      <c r="D581" s="232" t="s">
        <v>962</v>
      </c>
      <c r="E581" s="233">
        <v>45754.375</v>
      </c>
      <c r="F581" s="372" t="s">
        <v>140</v>
      </c>
      <c r="G581" s="234">
        <v>1</v>
      </c>
      <c r="H581" s="234" t="s">
        <v>22</v>
      </c>
      <c r="I581" s="234" t="s">
        <v>28</v>
      </c>
      <c r="J581" s="372" t="s">
        <v>871</v>
      </c>
      <c r="K581" s="21"/>
      <c r="L581" s="21"/>
      <c r="M581" s="22"/>
      <c r="N581" s="23"/>
      <c r="O581" s="23"/>
      <c r="P581" s="23" t="s">
        <v>30</v>
      </c>
      <c r="Q581" s="23"/>
      <c r="R581" s="81" t="s">
        <v>67</v>
      </c>
      <c r="S581" s="22"/>
      <c r="T581" s="22"/>
      <c r="U581" s="22"/>
      <c r="V581" s="23"/>
      <c r="W581" s="82"/>
      <c r="Y581" s="412"/>
      <c r="Z581" s="412"/>
      <c r="AA581" s="412"/>
    </row>
    <row r="582" spans="1:30">
      <c r="A582" s="358" t="s">
        <v>137</v>
      </c>
      <c r="B582" s="369">
        <v>579</v>
      </c>
      <c r="C582" s="232" t="s">
        <v>963</v>
      </c>
      <c r="D582" s="232" t="s">
        <v>964</v>
      </c>
      <c r="E582" s="233">
        <v>45754.375</v>
      </c>
      <c r="F582" s="372" t="s">
        <v>140</v>
      </c>
      <c r="G582" s="234">
        <v>1</v>
      </c>
      <c r="H582" s="234" t="s">
        <v>21</v>
      </c>
      <c r="I582" s="234" t="s">
        <v>127</v>
      </c>
      <c r="J582" s="372" t="s">
        <v>871</v>
      </c>
      <c r="K582" s="21"/>
      <c r="L582" s="21"/>
      <c r="M582" s="22"/>
      <c r="N582" s="23"/>
      <c r="O582" s="23"/>
      <c r="P582" s="23" t="s">
        <v>30</v>
      </c>
      <c r="Q582" s="23"/>
      <c r="R582" s="81" t="s">
        <v>67</v>
      </c>
      <c r="S582" s="22"/>
      <c r="T582" s="22"/>
      <c r="U582" s="22"/>
      <c r="V582" s="23"/>
      <c r="W582" s="82"/>
      <c r="Y582" s="412"/>
      <c r="Z582" s="412"/>
      <c r="AA582" s="412"/>
    </row>
    <row r="583" spans="1:30">
      <c r="A583" s="358" t="s">
        <v>137</v>
      </c>
      <c r="B583" s="369">
        <v>580</v>
      </c>
      <c r="C583" s="232" t="s">
        <v>965</v>
      </c>
      <c r="D583" s="232" t="s">
        <v>966</v>
      </c>
      <c r="E583" s="233">
        <v>45754.458333333336</v>
      </c>
      <c r="F583" s="372" t="s">
        <v>140</v>
      </c>
      <c r="G583" s="234">
        <v>1</v>
      </c>
      <c r="H583" s="234" t="s">
        <v>21</v>
      </c>
      <c r="I583" s="234" t="s">
        <v>127</v>
      </c>
      <c r="J583" s="372" t="s">
        <v>871</v>
      </c>
      <c r="K583" s="21"/>
      <c r="L583" s="21"/>
      <c r="M583" s="22"/>
      <c r="N583" s="23"/>
      <c r="O583" s="23"/>
      <c r="P583" s="23" t="s">
        <v>30</v>
      </c>
      <c r="Q583" s="23"/>
      <c r="R583" s="81" t="s">
        <v>67</v>
      </c>
      <c r="S583" s="22"/>
      <c r="T583" s="22"/>
      <c r="U583" s="22"/>
      <c r="V583" s="23"/>
      <c r="W583" s="82"/>
      <c r="Y583" s="412"/>
      <c r="Z583" s="412"/>
      <c r="AA583" s="412"/>
    </row>
    <row r="584" spans="1:30">
      <c r="A584" s="358" t="s">
        <v>137</v>
      </c>
      <c r="B584" s="369">
        <v>581</v>
      </c>
      <c r="C584" s="232" t="s">
        <v>967</v>
      </c>
      <c r="D584" s="232" t="s">
        <v>784</v>
      </c>
      <c r="E584" s="233">
        <v>45754.375</v>
      </c>
      <c r="F584" s="372" t="s">
        <v>140</v>
      </c>
      <c r="G584" s="234">
        <v>14</v>
      </c>
      <c r="H584" s="234" t="s">
        <v>21</v>
      </c>
      <c r="I584" s="234" t="s">
        <v>127</v>
      </c>
      <c r="J584" s="372" t="s">
        <v>871</v>
      </c>
      <c r="K584" s="21"/>
      <c r="L584" s="21"/>
      <c r="M584" s="22"/>
      <c r="N584" s="23"/>
      <c r="O584" s="23"/>
      <c r="P584" s="23" t="s">
        <v>30</v>
      </c>
      <c r="Q584" s="23"/>
      <c r="R584" s="81" t="s">
        <v>67</v>
      </c>
      <c r="S584" s="22"/>
      <c r="T584" s="22"/>
      <c r="U584" s="22"/>
      <c r="V584" s="23"/>
      <c r="W584" s="82"/>
      <c r="Y584" s="412"/>
      <c r="Z584" s="412"/>
      <c r="AA584" s="412"/>
    </row>
    <row r="585" spans="1:30">
      <c r="A585" s="358" t="s">
        <v>137</v>
      </c>
      <c r="B585" s="369">
        <v>582</v>
      </c>
      <c r="C585" s="232" t="s">
        <v>968</v>
      </c>
      <c r="D585" s="232" t="s">
        <v>969</v>
      </c>
      <c r="E585" s="233">
        <v>45754.375</v>
      </c>
      <c r="F585" s="372" t="s">
        <v>140</v>
      </c>
      <c r="G585" s="234">
        <v>2</v>
      </c>
      <c r="H585" s="234" t="s">
        <v>22</v>
      </c>
      <c r="I585" s="234" t="s">
        <v>28</v>
      </c>
      <c r="J585" s="372" t="s">
        <v>871</v>
      </c>
      <c r="K585" s="21"/>
      <c r="L585" s="21"/>
      <c r="M585" s="22"/>
      <c r="N585" s="23"/>
      <c r="O585" s="23"/>
      <c r="P585" s="23" t="s">
        <v>30</v>
      </c>
      <c r="Q585" s="23"/>
      <c r="R585" s="81" t="s">
        <v>67</v>
      </c>
      <c r="S585" s="22"/>
      <c r="T585" s="22"/>
      <c r="U585" s="22"/>
      <c r="V585" s="23"/>
      <c r="W585" s="82"/>
      <c r="Y585" s="412"/>
      <c r="Z585" s="412"/>
      <c r="AA585" s="412"/>
    </row>
    <row r="586" spans="1:30">
      <c r="A586" s="358" t="s">
        <v>137</v>
      </c>
      <c r="B586" s="369">
        <v>583</v>
      </c>
      <c r="C586" s="232" t="s">
        <v>970</v>
      </c>
      <c r="D586" s="232" t="s">
        <v>971</v>
      </c>
      <c r="E586" s="233">
        <v>45754</v>
      </c>
      <c r="F586" s="372" t="s">
        <v>140</v>
      </c>
      <c r="G586" s="234">
        <v>1</v>
      </c>
      <c r="H586" s="234" t="s">
        <v>21</v>
      </c>
      <c r="I586" s="234" t="s">
        <v>127</v>
      </c>
      <c r="J586" s="372" t="s">
        <v>871</v>
      </c>
      <c r="K586" s="21"/>
      <c r="L586" s="21"/>
      <c r="M586" s="22"/>
      <c r="N586" s="23"/>
      <c r="O586" s="23"/>
      <c r="P586" s="23" t="s">
        <v>30</v>
      </c>
      <c r="Q586" s="23"/>
      <c r="R586" s="81" t="s">
        <v>67</v>
      </c>
      <c r="S586" s="22"/>
      <c r="T586" s="22"/>
      <c r="U586" s="22"/>
      <c r="V586" s="23"/>
      <c r="W586" s="82"/>
      <c r="Y586" s="412"/>
      <c r="Z586" s="412"/>
      <c r="AA586" s="412"/>
    </row>
    <row r="587" spans="1:30">
      <c r="A587" s="358" t="s">
        <v>137</v>
      </c>
      <c r="B587" s="369">
        <v>584</v>
      </c>
      <c r="C587" s="232" t="s">
        <v>972</v>
      </c>
      <c r="D587" s="232" t="s">
        <v>973</v>
      </c>
      <c r="E587" s="233">
        <v>45754.375</v>
      </c>
      <c r="F587" s="372" t="s">
        <v>140</v>
      </c>
      <c r="G587" s="234">
        <v>1</v>
      </c>
      <c r="H587" s="234" t="s">
        <v>46</v>
      </c>
      <c r="I587" s="234" t="s">
        <v>47</v>
      </c>
      <c r="J587" s="372" t="s">
        <v>871</v>
      </c>
      <c r="K587" s="21"/>
      <c r="L587" s="21"/>
      <c r="M587" s="22"/>
      <c r="N587" s="23"/>
      <c r="O587" s="23"/>
      <c r="P587" s="23" t="s">
        <v>30</v>
      </c>
      <c r="Q587" s="23"/>
      <c r="R587" s="81" t="s">
        <v>67</v>
      </c>
      <c r="S587" s="22"/>
      <c r="T587" s="22"/>
      <c r="U587" s="22"/>
      <c r="V587" s="23"/>
      <c r="W587" s="82"/>
      <c r="Y587" s="412"/>
      <c r="Z587" s="412"/>
      <c r="AA587" s="412"/>
    </row>
    <row r="588" spans="1:30">
      <c r="A588" s="358" t="s">
        <v>137</v>
      </c>
      <c r="B588" s="369">
        <v>585</v>
      </c>
      <c r="C588" s="232" t="s">
        <v>974</v>
      </c>
      <c r="D588" s="232" t="s">
        <v>334</v>
      </c>
      <c r="E588" s="233">
        <v>45761.375</v>
      </c>
      <c r="F588" s="372" t="s">
        <v>140</v>
      </c>
      <c r="G588" s="234">
        <v>2</v>
      </c>
      <c r="H588" s="234" t="s">
        <v>22</v>
      </c>
      <c r="I588" s="234" t="s">
        <v>28</v>
      </c>
      <c r="J588" s="372" t="s">
        <v>871</v>
      </c>
      <c r="K588" s="21"/>
      <c r="L588" s="21"/>
      <c r="M588" s="22"/>
      <c r="N588" s="23"/>
      <c r="O588" s="23"/>
      <c r="P588" s="23" t="s">
        <v>30</v>
      </c>
      <c r="Q588" s="23"/>
      <c r="R588" s="81" t="s">
        <v>67</v>
      </c>
      <c r="S588" s="22"/>
      <c r="T588" s="22"/>
      <c r="U588" s="24"/>
      <c r="V588" s="23"/>
      <c r="W588" s="82"/>
      <c r="Y588"/>
      <c r="Z588"/>
      <c r="AA588"/>
    </row>
    <row r="589" spans="1:30">
      <c r="A589" s="358" t="s">
        <v>137</v>
      </c>
      <c r="B589" s="369">
        <v>586</v>
      </c>
      <c r="C589" s="232" t="s">
        <v>975</v>
      </c>
      <c r="D589" s="232" t="s">
        <v>564</v>
      </c>
      <c r="E589" s="233">
        <v>45761.375</v>
      </c>
      <c r="F589" s="372" t="s">
        <v>140</v>
      </c>
      <c r="G589" s="234">
        <v>7</v>
      </c>
      <c r="H589" s="234" t="s">
        <v>46</v>
      </c>
      <c r="I589" s="234" t="s">
        <v>47</v>
      </c>
      <c r="J589" s="372" t="s">
        <v>871</v>
      </c>
      <c r="K589" s="21"/>
      <c r="L589" s="21"/>
      <c r="M589" s="22"/>
      <c r="N589" s="23"/>
      <c r="O589" s="23"/>
      <c r="P589" s="23" t="s">
        <v>30</v>
      </c>
      <c r="Q589" s="23"/>
      <c r="R589" s="81" t="s">
        <v>67</v>
      </c>
      <c r="S589" s="22"/>
      <c r="T589" s="22"/>
      <c r="U589" s="24"/>
      <c r="V589" s="23"/>
      <c r="W589" s="82"/>
      <c r="Y589"/>
      <c r="Z589"/>
      <c r="AA589"/>
    </row>
    <row r="590" spans="1:30">
      <c r="A590" s="358" t="s">
        <v>137</v>
      </c>
      <c r="B590" s="369">
        <v>587</v>
      </c>
      <c r="C590" s="232" t="s">
        <v>976</v>
      </c>
      <c r="D590" s="232" t="s">
        <v>841</v>
      </c>
      <c r="E590" s="233">
        <v>45761.375</v>
      </c>
      <c r="F590" s="372" t="s">
        <v>140</v>
      </c>
      <c r="G590" s="234">
        <v>17</v>
      </c>
      <c r="H590" s="234" t="s">
        <v>210</v>
      </c>
      <c r="I590" s="234" t="s">
        <v>211</v>
      </c>
      <c r="J590" s="372" t="s">
        <v>871</v>
      </c>
      <c r="K590" s="21"/>
      <c r="L590" s="21"/>
      <c r="M590" s="22"/>
      <c r="N590" s="23"/>
      <c r="O590" s="23" t="s">
        <v>31</v>
      </c>
      <c r="P590" s="23" t="s">
        <v>30</v>
      </c>
      <c r="Q590" s="23"/>
      <c r="R590" s="81" t="s">
        <v>67</v>
      </c>
      <c r="S590" s="22"/>
      <c r="T590" s="22"/>
      <c r="U590" s="22"/>
      <c r="V590" s="23"/>
      <c r="W590" s="82"/>
      <c r="X590">
        <v>0</v>
      </c>
      <c r="Y590" s="89">
        <v>10</v>
      </c>
      <c r="Z590" s="89">
        <v>7</v>
      </c>
      <c r="AA590" s="88">
        <f>SUM(X590:Z590)</f>
        <v>17</v>
      </c>
      <c r="AB590" s="72">
        <f>+X590/$AA590*AC$1</f>
        <v>0</v>
      </c>
      <c r="AC590" s="72">
        <f>+Y590/$AA590*AD$1</f>
        <v>1.7647058823529411</v>
      </c>
      <c r="AD590" s="72">
        <f>+Z590/$AA590*AD$1</f>
        <v>1.2352941176470589</v>
      </c>
    </row>
    <row r="591" spans="1:30">
      <c r="A591" s="358" t="s">
        <v>137</v>
      </c>
      <c r="B591" s="369">
        <v>588</v>
      </c>
      <c r="C591" s="232" t="s">
        <v>977</v>
      </c>
      <c r="D591" s="232" t="s">
        <v>157</v>
      </c>
      <c r="E591" s="233">
        <v>45761.458333333336</v>
      </c>
      <c r="F591" s="372" t="s">
        <v>140</v>
      </c>
      <c r="G591" s="234">
        <v>1</v>
      </c>
      <c r="H591" s="234" t="s">
        <v>21</v>
      </c>
      <c r="I591" s="234" t="s">
        <v>127</v>
      </c>
      <c r="J591" s="372" t="s">
        <v>871</v>
      </c>
      <c r="K591" s="21"/>
      <c r="L591" s="21"/>
      <c r="M591" s="22"/>
      <c r="N591" s="23"/>
      <c r="O591" s="23"/>
      <c r="P591" s="23" t="s">
        <v>30</v>
      </c>
      <c r="Q591" s="23"/>
      <c r="R591" s="81" t="s">
        <v>67</v>
      </c>
      <c r="S591" s="22"/>
      <c r="T591" s="22"/>
      <c r="U591" s="24"/>
      <c r="V591" s="23"/>
      <c r="W591" s="82"/>
      <c r="Y591"/>
      <c r="Z591"/>
      <c r="AA591"/>
    </row>
    <row r="592" spans="1:30">
      <c r="A592" s="358" t="s">
        <v>137</v>
      </c>
      <c r="B592" s="369">
        <v>589</v>
      </c>
      <c r="C592" s="232" t="s">
        <v>978</v>
      </c>
      <c r="D592" s="232" t="s">
        <v>773</v>
      </c>
      <c r="E592" s="233">
        <v>45761.375</v>
      </c>
      <c r="F592" s="372" t="s">
        <v>140</v>
      </c>
      <c r="G592" s="234">
        <v>8</v>
      </c>
      <c r="H592" s="234" t="s">
        <v>210</v>
      </c>
      <c r="I592" s="234" t="s">
        <v>211</v>
      </c>
      <c r="J592" s="372" t="s">
        <v>871</v>
      </c>
      <c r="K592" s="21"/>
      <c r="L592" s="21"/>
      <c r="M592" s="22"/>
      <c r="N592" s="23"/>
      <c r="O592" s="23"/>
      <c r="P592" s="23" t="s">
        <v>30</v>
      </c>
      <c r="Q592" s="23"/>
      <c r="R592" s="81" t="s">
        <v>67</v>
      </c>
      <c r="S592" s="22"/>
      <c r="T592" s="22"/>
      <c r="U592" s="24"/>
      <c r="V592" s="23"/>
      <c r="W592" s="82"/>
      <c r="Y592"/>
      <c r="Z592"/>
      <c r="AA592"/>
    </row>
    <row r="593" spans="1:30">
      <c r="A593" s="358" t="s">
        <v>137</v>
      </c>
      <c r="B593" s="369">
        <v>590</v>
      </c>
      <c r="C593" s="232" t="s">
        <v>979</v>
      </c>
      <c r="D593" s="232" t="s">
        <v>829</v>
      </c>
      <c r="E593" s="233">
        <v>45761.375</v>
      </c>
      <c r="F593" s="372" t="s">
        <v>140</v>
      </c>
      <c r="G593" s="234">
        <v>7</v>
      </c>
      <c r="H593" s="234" t="s">
        <v>210</v>
      </c>
      <c r="I593" s="234" t="s">
        <v>211</v>
      </c>
      <c r="J593" s="372" t="s">
        <v>871</v>
      </c>
      <c r="K593" s="21"/>
      <c r="L593" s="21"/>
      <c r="M593" s="22"/>
      <c r="N593" s="23"/>
      <c r="O593" s="23"/>
      <c r="P593" s="23" t="s">
        <v>30</v>
      </c>
      <c r="Q593" s="23"/>
      <c r="R593" s="81" t="s">
        <v>67</v>
      </c>
      <c r="S593" s="22"/>
      <c r="T593" s="22"/>
      <c r="U593" s="24"/>
      <c r="V593" s="23"/>
      <c r="W593" s="82"/>
      <c r="Y593"/>
      <c r="Z593"/>
      <c r="AA593"/>
    </row>
    <row r="594" spans="1:30">
      <c r="A594" s="358" t="s">
        <v>137</v>
      </c>
      <c r="B594" s="369">
        <v>591</v>
      </c>
      <c r="C594" s="232" t="s">
        <v>980</v>
      </c>
      <c r="D594" s="232" t="s">
        <v>981</v>
      </c>
      <c r="E594" s="233">
        <v>45761.375</v>
      </c>
      <c r="F594" s="372" t="s">
        <v>140</v>
      </c>
      <c r="G594" s="234">
        <v>4</v>
      </c>
      <c r="H594" s="234" t="s">
        <v>46</v>
      </c>
      <c r="I594" s="234" t="s">
        <v>47</v>
      </c>
      <c r="J594" s="372" t="s">
        <v>871</v>
      </c>
      <c r="K594" s="21"/>
      <c r="L594" s="21"/>
      <c r="M594" s="22"/>
      <c r="N594" s="23"/>
      <c r="O594" s="23"/>
      <c r="P594" s="23" t="s">
        <v>30</v>
      </c>
      <c r="Q594" s="23"/>
      <c r="R594" s="81" t="s">
        <v>67</v>
      </c>
      <c r="S594" s="22"/>
      <c r="T594" s="22"/>
      <c r="U594" s="24"/>
      <c r="V594" s="23"/>
      <c r="W594" s="82"/>
      <c r="Y594"/>
      <c r="Z594"/>
      <c r="AA594"/>
    </row>
    <row r="595" spans="1:30">
      <c r="A595" s="358" t="s">
        <v>137</v>
      </c>
      <c r="B595" s="369">
        <v>592</v>
      </c>
      <c r="C595" s="232" t="s">
        <v>982</v>
      </c>
      <c r="D595" s="232" t="s">
        <v>983</v>
      </c>
      <c r="E595" s="233">
        <v>45761</v>
      </c>
      <c r="F595" s="372" t="s">
        <v>140</v>
      </c>
      <c r="G595" s="234">
        <v>5</v>
      </c>
      <c r="H595" s="234" t="s">
        <v>210</v>
      </c>
      <c r="I595" s="234" t="s">
        <v>211</v>
      </c>
      <c r="J595" s="372" t="s">
        <v>871</v>
      </c>
      <c r="K595" s="21"/>
      <c r="L595" s="21"/>
      <c r="M595" s="22"/>
      <c r="N595" s="23"/>
      <c r="O595" s="23"/>
      <c r="P595" s="23" t="s">
        <v>30</v>
      </c>
      <c r="Q595" s="23"/>
      <c r="R595" s="81" t="s">
        <v>67</v>
      </c>
      <c r="S595" s="22"/>
      <c r="T595" s="22"/>
      <c r="U595" s="22"/>
      <c r="V595" s="23"/>
      <c r="W595" s="82"/>
      <c r="Y595"/>
      <c r="Z595"/>
      <c r="AA595"/>
    </row>
    <row r="596" spans="1:30">
      <c r="A596" s="358" t="s">
        <v>137</v>
      </c>
      <c r="B596" s="369">
        <v>593</v>
      </c>
      <c r="C596" s="232" t="s">
        <v>984</v>
      </c>
      <c r="D596" s="232" t="s">
        <v>985</v>
      </c>
      <c r="E596" s="233">
        <v>45761</v>
      </c>
      <c r="F596" s="372" t="s">
        <v>140</v>
      </c>
      <c r="G596" s="234">
        <v>11</v>
      </c>
      <c r="H596" s="234" t="s">
        <v>141</v>
      </c>
      <c r="I596" s="234" t="s">
        <v>819</v>
      </c>
      <c r="J596" s="372" t="s">
        <v>871</v>
      </c>
      <c r="K596" s="21"/>
      <c r="L596" s="21"/>
      <c r="M596" s="22"/>
      <c r="N596" s="23"/>
      <c r="O596" s="23"/>
      <c r="P596" s="23" t="s">
        <v>30</v>
      </c>
      <c r="Q596" s="23"/>
      <c r="R596" s="81" t="s">
        <v>67</v>
      </c>
      <c r="S596" s="22"/>
      <c r="T596" s="22"/>
      <c r="U596" s="22"/>
      <c r="V596" s="23"/>
      <c r="W596" s="82"/>
      <c r="Y596"/>
      <c r="Z596"/>
      <c r="AA596"/>
    </row>
    <row r="597" spans="1:30">
      <c r="A597" s="358" t="s">
        <v>137</v>
      </c>
      <c r="B597" s="369">
        <v>594</v>
      </c>
      <c r="C597" s="232" t="s">
        <v>986</v>
      </c>
      <c r="D597" s="232" t="s">
        <v>987</v>
      </c>
      <c r="E597" s="233">
        <v>45761.375</v>
      </c>
      <c r="F597" s="372" t="s">
        <v>140</v>
      </c>
      <c r="G597" s="234">
        <v>1</v>
      </c>
      <c r="H597" s="234" t="s">
        <v>22</v>
      </c>
      <c r="I597" s="234" t="s">
        <v>28</v>
      </c>
      <c r="J597" s="372" t="s">
        <v>871</v>
      </c>
      <c r="K597" s="21"/>
      <c r="L597" s="21"/>
      <c r="M597" s="22"/>
      <c r="N597" s="23"/>
      <c r="O597" s="62"/>
      <c r="P597" s="23" t="s">
        <v>30</v>
      </c>
      <c r="Q597" s="62"/>
      <c r="R597" s="81" t="s">
        <v>67</v>
      </c>
      <c r="S597" s="22"/>
      <c r="T597" s="22"/>
      <c r="U597" s="22"/>
      <c r="V597" s="23"/>
      <c r="W597" s="82"/>
      <c r="Y597" s="412"/>
      <c r="Z597" s="412"/>
      <c r="AA597" s="412"/>
    </row>
    <row r="598" spans="1:30">
      <c r="A598" s="358" t="s">
        <v>137</v>
      </c>
      <c r="B598" s="369">
        <v>595</v>
      </c>
      <c r="C598" s="232" t="s">
        <v>988</v>
      </c>
      <c r="D598" s="232" t="s">
        <v>989</v>
      </c>
      <c r="E598" s="233">
        <v>45761.375</v>
      </c>
      <c r="F598" s="372" t="s">
        <v>140</v>
      </c>
      <c r="G598" s="234">
        <v>1</v>
      </c>
      <c r="H598" s="234" t="s">
        <v>22</v>
      </c>
      <c r="I598" s="234" t="s">
        <v>28</v>
      </c>
      <c r="J598" s="372" t="s">
        <v>871</v>
      </c>
      <c r="K598" s="21"/>
      <c r="L598" s="21"/>
      <c r="M598" s="22"/>
      <c r="N598" s="23"/>
      <c r="O598" s="23"/>
      <c r="P598" s="23" t="s">
        <v>30</v>
      </c>
      <c r="Q598" s="23"/>
      <c r="R598" s="81" t="s">
        <v>67</v>
      </c>
      <c r="S598" s="22"/>
      <c r="T598" s="22"/>
      <c r="U598" s="22"/>
      <c r="V598" s="23"/>
      <c r="W598" s="82"/>
      <c r="Y598" s="412"/>
      <c r="Z598" s="412"/>
      <c r="AA598" s="412"/>
    </row>
    <row r="599" spans="1:30">
      <c r="A599" s="358" t="s">
        <v>137</v>
      </c>
      <c r="B599" s="369">
        <v>596</v>
      </c>
      <c r="C599" s="232" t="s">
        <v>990</v>
      </c>
      <c r="D599" s="232" t="s">
        <v>846</v>
      </c>
      <c r="E599" s="233">
        <v>45761.375</v>
      </c>
      <c r="F599" s="372" t="s">
        <v>140</v>
      </c>
      <c r="G599" s="234">
        <v>1</v>
      </c>
      <c r="H599" s="234" t="s">
        <v>22</v>
      </c>
      <c r="I599" s="234" t="s">
        <v>28</v>
      </c>
      <c r="J599" s="372" t="s">
        <v>871</v>
      </c>
      <c r="K599" s="21"/>
      <c r="L599" s="21"/>
      <c r="M599" s="22"/>
      <c r="N599" s="23"/>
      <c r="O599" s="23"/>
      <c r="P599" s="23" t="s">
        <v>30</v>
      </c>
      <c r="Q599" s="23"/>
      <c r="R599" s="81" t="s">
        <v>67</v>
      </c>
      <c r="S599" s="22"/>
      <c r="T599" s="22"/>
      <c r="U599" s="24"/>
      <c r="V599" s="23"/>
      <c r="W599" s="82"/>
      <c r="Y599"/>
      <c r="Z599"/>
      <c r="AA599"/>
    </row>
    <row r="600" spans="1:30">
      <c r="A600" s="358" t="s">
        <v>137</v>
      </c>
      <c r="B600" s="369">
        <v>597</v>
      </c>
      <c r="C600" s="232" t="s">
        <v>991</v>
      </c>
      <c r="D600" s="232" t="s">
        <v>992</v>
      </c>
      <c r="E600" s="233">
        <v>45761.375</v>
      </c>
      <c r="F600" s="372" t="s">
        <v>140</v>
      </c>
      <c r="G600" s="234">
        <v>8</v>
      </c>
      <c r="H600" s="234" t="s">
        <v>22</v>
      </c>
      <c r="I600" s="234" t="s">
        <v>28</v>
      </c>
      <c r="J600" s="372" t="s">
        <v>871</v>
      </c>
      <c r="K600" s="21"/>
      <c r="L600" s="21"/>
      <c r="M600" s="22"/>
      <c r="N600" s="23"/>
      <c r="O600" s="62"/>
      <c r="P600" s="23" t="s">
        <v>30</v>
      </c>
      <c r="Q600" s="62"/>
      <c r="R600" s="81" t="s">
        <v>67</v>
      </c>
      <c r="S600" s="22"/>
      <c r="T600" s="22"/>
      <c r="U600" s="24"/>
      <c r="V600" s="23"/>
      <c r="W600" s="82"/>
      <c r="Y600"/>
      <c r="Z600"/>
      <c r="AA600"/>
    </row>
    <row r="601" spans="1:30">
      <c r="A601" s="358" t="s">
        <v>137</v>
      </c>
      <c r="B601" s="369">
        <v>598</v>
      </c>
      <c r="C601" s="232" t="s">
        <v>993</v>
      </c>
      <c r="D601" s="232" t="s">
        <v>994</v>
      </c>
      <c r="E601" s="233">
        <v>45761.375</v>
      </c>
      <c r="F601" s="372" t="s">
        <v>140</v>
      </c>
      <c r="G601" s="234">
        <v>2</v>
      </c>
      <c r="H601" s="234" t="s">
        <v>46</v>
      </c>
      <c r="I601" s="234" t="s">
        <v>47</v>
      </c>
      <c r="J601" s="372" t="s">
        <v>871</v>
      </c>
      <c r="K601" s="21"/>
      <c r="L601" s="21"/>
      <c r="M601" s="22"/>
      <c r="N601" s="23"/>
      <c r="O601" s="23"/>
      <c r="P601" s="23" t="s">
        <v>30</v>
      </c>
      <c r="Q601" s="23"/>
      <c r="R601" s="81" t="s">
        <v>67</v>
      </c>
      <c r="S601" s="22"/>
      <c r="T601" s="22"/>
      <c r="U601" s="22"/>
      <c r="V601" s="23"/>
      <c r="W601" s="82"/>
      <c r="Y601"/>
      <c r="Z601"/>
      <c r="AA601"/>
    </row>
    <row r="602" spans="1:30">
      <c r="A602" s="358" t="s">
        <v>137</v>
      </c>
      <c r="B602" s="369">
        <v>599</v>
      </c>
      <c r="C602" s="232" t="s">
        <v>995</v>
      </c>
      <c r="D602" s="232" t="s">
        <v>996</v>
      </c>
      <c r="E602" s="233">
        <v>45754.375</v>
      </c>
      <c r="F602" s="372" t="s">
        <v>140</v>
      </c>
      <c r="G602" s="234">
        <v>1</v>
      </c>
      <c r="H602" s="234" t="s">
        <v>22</v>
      </c>
      <c r="I602" s="234" t="s">
        <v>28</v>
      </c>
      <c r="J602" s="372" t="s">
        <v>871</v>
      </c>
      <c r="K602" s="21"/>
      <c r="L602" s="21"/>
      <c r="M602" s="22"/>
      <c r="N602" s="23"/>
      <c r="O602" s="62"/>
      <c r="P602" s="23" t="s">
        <v>30</v>
      </c>
      <c r="Q602" s="62"/>
      <c r="R602" s="81" t="s">
        <v>67</v>
      </c>
      <c r="S602" s="22"/>
      <c r="T602" s="22"/>
      <c r="U602" s="22"/>
      <c r="V602" s="23"/>
      <c r="W602" s="82"/>
      <c r="Y602"/>
      <c r="Z602"/>
      <c r="AA602"/>
    </row>
    <row r="603" spans="1:30">
      <c r="A603" s="358" t="s">
        <v>137</v>
      </c>
      <c r="B603" s="369">
        <v>600</v>
      </c>
      <c r="C603" s="232" t="s">
        <v>997</v>
      </c>
      <c r="D603" s="232" t="s">
        <v>998</v>
      </c>
      <c r="E603" s="233">
        <v>45761.375</v>
      </c>
      <c r="F603" s="372" t="s">
        <v>140</v>
      </c>
      <c r="G603" s="234">
        <v>11</v>
      </c>
      <c r="H603" s="234" t="s">
        <v>46</v>
      </c>
      <c r="I603" s="234" t="s">
        <v>47</v>
      </c>
      <c r="J603" s="372" t="s">
        <v>871</v>
      </c>
      <c r="K603" s="21"/>
      <c r="L603" s="21"/>
      <c r="M603" s="22"/>
      <c r="N603" s="23"/>
      <c r="O603" s="62"/>
      <c r="P603" s="23" t="s">
        <v>30</v>
      </c>
      <c r="Q603" s="62"/>
      <c r="R603" s="81" t="s">
        <v>67</v>
      </c>
      <c r="S603" s="22"/>
      <c r="T603" s="22"/>
      <c r="U603" s="22"/>
      <c r="V603" s="23"/>
      <c r="W603" s="82"/>
      <c r="Y603"/>
      <c r="Z603"/>
      <c r="AA603"/>
    </row>
    <row r="604" spans="1:30">
      <c r="A604" s="358" t="s">
        <v>137</v>
      </c>
      <c r="B604" s="369">
        <v>601</v>
      </c>
      <c r="C604" s="232" t="s">
        <v>999</v>
      </c>
      <c r="D604" s="232" t="s">
        <v>1000</v>
      </c>
      <c r="E604" s="233">
        <v>45761.375</v>
      </c>
      <c r="F604" s="372" t="s">
        <v>140</v>
      </c>
      <c r="G604" s="234">
        <v>1</v>
      </c>
      <c r="H604" s="234" t="s">
        <v>21</v>
      </c>
      <c r="I604" s="234" t="s">
        <v>127</v>
      </c>
      <c r="J604" s="372" t="s">
        <v>871</v>
      </c>
      <c r="K604" s="21"/>
      <c r="L604" s="21"/>
      <c r="M604" s="22"/>
      <c r="N604" s="23"/>
      <c r="O604" s="62"/>
      <c r="P604" s="23" t="s">
        <v>30</v>
      </c>
      <c r="Q604" s="62"/>
      <c r="R604" s="81" t="s">
        <v>67</v>
      </c>
      <c r="S604" s="22"/>
      <c r="T604" s="22"/>
      <c r="U604" s="22"/>
      <c r="V604" s="23"/>
      <c r="W604" s="82"/>
      <c r="Y604"/>
      <c r="Z604"/>
      <c r="AA604"/>
    </row>
    <row r="605" spans="1:30">
      <c r="A605" s="358" t="s">
        <v>137</v>
      </c>
      <c r="B605" s="369">
        <v>602</v>
      </c>
      <c r="C605" s="232" t="s">
        <v>1001</v>
      </c>
      <c r="D605" s="232" t="s">
        <v>841</v>
      </c>
      <c r="E605" s="233">
        <v>45768.375</v>
      </c>
      <c r="F605" s="372" t="s">
        <v>140</v>
      </c>
      <c r="G605" s="234">
        <v>35</v>
      </c>
      <c r="H605" s="234" t="s">
        <v>210</v>
      </c>
      <c r="I605" s="234" t="s">
        <v>211</v>
      </c>
      <c r="J605" s="372" t="s">
        <v>871</v>
      </c>
      <c r="K605" s="21"/>
      <c r="L605" s="21"/>
      <c r="M605" s="22"/>
      <c r="N605" s="23"/>
      <c r="O605" s="23" t="s">
        <v>31</v>
      </c>
      <c r="P605" s="23" t="s">
        <v>30</v>
      </c>
      <c r="Q605" s="62"/>
      <c r="R605" s="81" t="s">
        <v>67</v>
      </c>
      <c r="S605" s="22"/>
      <c r="T605" s="22"/>
      <c r="U605" s="22"/>
      <c r="V605" s="23"/>
      <c r="W605" s="82"/>
      <c r="X605">
        <v>0</v>
      </c>
      <c r="Y605" s="89">
        <v>23</v>
      </c>
      <c r="Z605" s="89">
        <v>12</v>
      </c>
      <c r="AA605" s="88">
        <f>SUM(X605:Z605)</f>
        <v>35</v>
      </c>
      <c r="AB605" s="72">
        <f>+X605/$AA605*AC$1</f>
        <v>0</v>
      </c>
      <c r="AC605" s="72">
        <f>+Y605/$AA605*AD$1</f>
        <v>1.9714285714285715</v>
      </c>
      <c r="AD605" s="72">
        <f>+Z605/$AA605*AD$1</f>
        <v>1.0285714285714285</v>
      </c>
    </row>
    <row r="606" spans="1:30">
      <c r="A606" s="358" t="s">
        <v>137</v>
      </c>
      <c r="B606" s="369">
        <v>603</v>
      </c>
      <c r="C606" s="232" t="s">
        <v>1002</v>
      </c>
      <c r="D606" s="232" t="s">
        <v>839</v>
      </c>
      <c r="E606" s="233">
        <v>45768.375</v>
      </c>
      <c r="F606" s="372" t="s">
        <v>140</v>
      </c>
      <c r="G606" s="234">
        <v>2</v>
      </c>
      <c r="H606" s="234" t="s">
        <v>46</v>
      </c>
      <c r="I606" s="234" t="s">
        <v>47</v>
      </c>
      <c r="J606" s="372" t="s">
        <v>871</v>
      </c>
      <c r="K606" s="21"/>
      <c r="L606" s="21"/>
      <c r="M606" s="22"/>
      <c r="N606" s="23"/>
      <c r="O606" s="62"/>
      <c r="P606" s="23" t="s">
        <v>30</v>
      </c>
      <c r="Q606" s="62"/>
      <c r="R606" s="81" t="s">
        <v>67</v>
      </c>
      <c r="S606" s="22"/>
      <c r="T606" s="22"/>
      <c r="U606" s="22"/>
      <c r="V606" s="23"/>
      <c r="W606" s="82"/>
      <c r="Y606" s="412"/>
      <c r="Z606" s="412"/>
      <c r="AA606" s="412"/>
    </row>
    <row r="607" spans="1:30">
      <c r="A607" s="358" t="s">
        <v>137</v>
      </c>
      <c r="B607" s="369">
        <v>604</v>
      </c>
      <c r="C607" s="232" t="s">
        <v>1003</v>
      </c>
      <c r="D607" s="232" t="s">
        <v>829</v>
      </c>
      <c r="E607" s="233">
        <v>45768</v>
      </c>
      <c r="F607" s="372" t="s">
        <v>140</v>
      </c>
      <c r="G607" s="234">
        <v>25</v>
      </c>
      <c r="H607" s="234" t="s">
        <v>210</v>
      </c>
      <c r="I607" s="234" t="s">
        <v>211</v>
      </c>
      <c r="J607" s="372" t="s">
        <v>871</v>
      </c>
      <c r="K607" s="21"/>
      <c r="L607" s="21"/>
      <c r="M607" s="22"/>
      <c r="N607" s="23"/>
      <c r="O607" s="23" t="s">
        <v>31</v>
      </c>
      <c r="P607" s="23" t="s">
        <v>30</v>
      </c>
      <c r="Q607" s="62"/>
      <c r="R607" s="81" t="s">
        <v>67</v>
      </c>
      <c r="S607" s="22"/>
      <c r="T607" s="22"/>
      <c r="U607" s="24"/>
      <c r="V607" s="23"/>
      <c r="W607" s="82"/>
      <c r="X607">
        <v>0</v>
      </c>
      <c r="Y607" s="90">
        <v>1</v>
      </c>
      <c r="Z607" s="90">
        <v>24</v>
      </c>
      <c r="AA607" s="88">
        <f>SUM(X607:Z607)</f>
        <v>25</v>
      </c>
      <c r="AB607" s="72">
        <f>+X607/$AA607*AC$1</f>
        <v>0</v>
      </c>
      <c r="AC607" s="72">
        <f>+Y607/$AA607*AD$1</f>
        <v>0.12</v>
      </c>
      <c r="AD607" s="72">
        <f>+Z607/$AA607*AD$1</f>
        <v>2.88</v>
      </c>
    </row>
    <row r="608" spans="1:30">
      <c r="A608" s="358" t="s">
        <v>137</v>
      </c>
      <c r="B608" s="369">
        <v>605</v>
      </c>
      <c r="C608" s="232" t="s">
        <v>1004</v>
      </c>
      <c r="D608" s="232" t="s">
        <v>145</v>
      </c>
      <c r="E608" s="233">
        <v>45768.375</v>
      </c>
      <c r="F608" s="372" t="s">
        <v>140</v>
      </c>
      <c r="G608" s="234">
        <v>9</v>
      </c>
      <c r="H608" s="234" t="s">
        <v>22</v>
      </c>
      <c r="I608" s="234" t="s">
        <v>28</v>
      </c>
      <c r="J608" s="372" t="s">
        <v>871</v>
      </c>
      <c r="K608" s="21"/>
      <c r="L608" s="21"/>
      <c r="M608" s="22"/>
      <c r="N608" s="23"/>
      <c r="O608" s="23"/>
      <c r="P608" s="23" t="s">
        <v>30</v>
      </c>
      <c r="Q608" s="23"/>
      <c r="R608" s="81" t="s">
        <v>67</v>
      </c>
      <c r="S608" s="22"/>
      <c r="T608" s="22"/>
      <c r="U608" s="22"/>
      <c r="V608" s="23"/>
      <c r="W608" s="82"/>
      <c r="Y608" s="412"/>
      <c r="Z608" s="412"/>
      <c r="AA608" s="412"/>
    </row>
    <row r="609" spans="1:30">
      <c r="A609" s="358" t="s">
        <v>137</v>
      </c>
      <c r="B609" s="369">
        <v>606</v>
      </c>
      <c r="C609" s="232" t="s">
        <v>1005</v>
      </c>
      <c r="D609" s="232" t="s">
        <v>153</v>
      </c>
      <c r="E609" s="233">
        <v>45768.375</v>
      </c>
      <c r="F609" s="372" t="s">
        <v>140</v>
      </c>
      <c r="G609" s="234">
        <v>1</v>
      </c>
      <c r="H609" s="234" t="s">
        <v>46</v>
      </c>
      <c r="I609" s="234" t="s">
        <v>47</v>
      </c>
      <c r="J609" s="372" t="s">
        <v>871</v>
      </c>
      <c r="K609" s="21"/>
      <c r="L609" s="21"/>
      <c r="M609" s="22"/>
      <c r="N609" s="23"/>
      <c r="O609" s="23"/>
      <c r="P609" s="23" t="s">
        <v>30</v>
      </c>
      <c r="Q609" s="23"/>
      <c r="R609" s="81" t="s">
        <v>67</v>
      </c>
      <c r="S609" s="22"/>
      <c r="T609" s="22"/>
      <c r="U609" s="22"/>
      <c r="V609" s="23"/>
      <c r="W609" s="82"/>
      <c r="Y609" s="412"/>
      <c r="Z609" s="412"/>
      <c r="AA609" s="412"/>
    </row>
    <row r="610" spans="1:30">
      <c r="A610" s="358" t="s">
        <v>137</v>
      </c>
      <c r="B610" s="369">
        <v>607</v>
      </c>
      <c r="C610" s="232" t="s">
        <v>1006</v>
      </c>
      <c r="D610" s="232" t="s">
        <v>994</v>
      </c>
      <c r="E610" s="233">
        <v>45768.375</v>
      </c>
      <c r="F610" s="372" t="s">
        <v>140</v>
      </c>
      <c r="G610" s="234">
        <v>2</v>
      </c>
      <c r="H610" s="234" t="s">
        <v>46</v>
      </c>
      <c r="I610" s="234" t="s">
        <v>47</v>
      </c>
      <c r="J610" s="372" t="s">
        <v>871</v>
      </c>
      <c r="K610" s="21"/>
      <c r="L610" s="21"/>
      <c r="M610" s="22"/>
      <c r="N610" s="23"/>
      <c r="O610" s="23"/>
      <c r="P610" s="23" t="s">
        <v>30</v>
      </c>
      <c r="Q610" s="23"/>
      <c r="R610" s="81" t="s">
        <v>67</v>
      </c>
      <c r="S610" s="22"/>
      <c r="T610" s="22"/>
      <c r="U610" s="22"/>
      <c r="V610" s="23"/>
      <c r="W610" s="82"/>
      <c r="Y610" s="412"/>
      <c r="Z610" s="412"/>
      <c r="AA610" s="412"/>
    </row>
    <row r="611" spans="1:30">
      <c r="A611" s="358" t="s">
        <v>137</v>
      </c>
      <c r="B611" s="369">
        <v>608</v>
      </c>
      <c r="C611" s="232" t="s">
        <v>1007</v>
      </c>
      <c r="D611" s="232" t="s">
        <v>1008</v>
      </c>
      <c r="E611" s="233">
        <v>45768.375</v>
      </c>
      <c r="F611" s="372" t="s">
        <v>140</v>
      </c>
      <c r="G611" s="234">
        <v>11</v>
      </c>
      <c r="H611" s="234" t="s">
        <v>210</v>
      </c>
      <c r="I611" s="234" t="s">
        <v>211</v>
      </c>
      <c r="J611" s="372" t="s">
        <v>871</v>
      </c>
      <c r="K611" s="21"/>
      <c r="L611" s="21"/>
      <c r="M611" s="22"/>
      <c r="N611" s="23"/>
      <c r="O611" s="23"/>
      <c r="P611" s="23" t="s">
        <v>30</v>
      </c>
      <c r="Q611" s="23"/>
      <c r="R611" s="81" t="s">
        <v>67</v>
      </c>
      <c r="S611" s="22"/>
      <c r="T611" s="22"/>
      <c r="U611" s="22"/>
      <c r="V611" s="23"/>
      <c r="W611" s="82"/>
      <c r="Y611" s="412"/>
      <c r="Z611" s="412"/>
      <c r="AA611" s="412"/>
    </row>
    <row r="612" spans="1:30">
      <c r="A612" s="358" t="s">
        <v>137</v>
      </c>
      <c r="B612" s="369">
        <v>609</v>
      </c>
      <c r="C612" s="232" t="s">
        <v>1009</v>
      </c>
      <c r="D612" s="232" t="s">
        <v>779</v>
      </c>
      <c r="E612" s="233">
        <v>45768.375</v>
      </c>
      <c r="F612" s="372" t="s">
        <v>140</v>
      </c>
      <c r="G612" s="234">
        <v>4</v>
      </c>
      <c r="H612" s="234" t="s">
        <v>46</v>
      </c>
      <c r="I612" s="234" t="s">
        <v>47</v>
      </c>
      <c r="J612" s="372" t="s">
        <v>871</v>
      </c>
      <c r="K612" s="21"/>
      <c r="L612" s="21"/>
      <c r="M612" s="22"/>
      <c r="N612" s="23"/>
      <c r="O612" s="23"/>
      <c r="P612" s="23" t="s">
        <v>30</v>
      </c>
      <c r="Q612" s="23"/>
      <c r="R612" s="81" t="s">
        <v>67</v>
      </c>
      <c r="S612" s="22"/>
      <c r="T612" s="22"/>
      <c r="U612" s="22"/>
      <c r="V612" s="23"/>
      <c r="W612" s="82"/>
      <c r="Y612" s="412"/>
      <c r="Z612" s="412"/>
      <c r="AA612" s="412"/>
    </row>
    <row r="613" spans="1:30">
      <c r="A613" s="358" t="s">
        <v>137</v>
      </c>
      <c r="B613" s="369">
        <v>610</v>
      </c>
      <c r="C613" s="232" t="s">
        <v>1010</v>
      </c>
      <c r="D613" s="232" t="s">
        <v>1011</v>
      </c>
      <c r="E613" s="233">
        <v>45768.458333333336</v>
      </c>
      <c r="F613" s="372" t="s">
        <v>140</v>
      </c>
      <c r="G613" s="234">
        <v>1</v>
      </c>
      <c r="H613" s="234" t="s">
        <v>21</v>
      </c>
      <c r="I613" s="234" t="s">
        <v>127</v>
      </c>
      <c r="J613" s="372" t="s">
        <v>871</v>
      </c>
      <c r="K613" s="21"/>
      <c r="L613" s="21"/>
      <c r="M613" s="22"/>
      <c r="N613" s="23"/>
      <c r="O613" s="23"/>
      <c r="P613" s="23" t="s">
        <v>30</v>
      </c>
      <c r="Q613" s="23"/>
      <c r="R613" s="81" t="s">
        <v>67</v>
      </c>
      <c r="S613" s="22"/>
      <c r="T613" s="22"/>
      <c r="U613" s="22"/>
      <c r="V613" s="23"/>
      <c r="W613" s="82"/>
      <c r="Y613"/>
      <c r="Z613"/>
      <c r="AA613"/>
    </row>
    <row r="614" spans="1:30">
      <c r="A614" s="358" t="s">
        <v>137</v>
      </c>
      <c r="B614" s="369">
        <v>611</v>
      </c>
      <c r="C614" s="232" t="s">
        <v>1012</v>
      </c>
      <c r="D614" s="232" t="s">
        <v>1013</v>
      </c>
      <c r="E614" s="233">
        <v>45768.375</v>
      </c>
      <c r="F614" s="372" t="s">
        <v>140</v>
      </c>
      <c r="G614" s="234">
        <v>7</v>
      </c>
      <c r="H614" s="234" t="s">
        <v>22</v>
      </c>
      <c r="I614" s="234" t="s">
        <v>28</v>
      </c>
      <c r="J614" s="372" t="s">
        <v>871</v>
      </c>
      <c r="K614" s="21"/>
      <c r="L614" s="21"/>
      <c r="M614" s="22"/>
      <c r="N614" s="23"/>
      <c r="O614" s="23"/>
      <c r="P614" s="23" t="s">
        <v>30</v>
      </c>
      <c r="Q614" s="23"/>
      <c r="R614" s="81" t="s">
        <v>67</v>
      </c>
      <c r="S614" s="22"/>
      <c r="T614" s="22"/>
      <c r="U614" s="24"/>
      <c r="V614" s="23"/>
      <c r="W614" s="82"/>
      <c r="Y614"/>
      <c r="Z614"/>
      <c r="AA614"/>
    </row>
    <row r="615" spans="1:30">
      <c r="A615" s="358" t="s">
        <v>137</v>
      </c>
      <c r="B615" s="369">
        <v>612</v>
      </c>
      <c r="C615" s="232" t="s">
        <v>1014</v>
      </c>
      <c r="D615" s="232" t="s">
        <v>523</v>
      </c>
      <c r="E615" s="233">
        <v>45768.375</v>
      </c>
      <c r="F615" s="372" t="s">
        <v>140</v>
      </c>
      <c r="G615" s="234">
        <v>2</v>
      </c>
      <c r="H615" s="234" t="s">
        <v>46</v>
      </c>
      <c r="I615" s="234" t="s">
        <v>47</v>
      </c>
      <c r="J615" s="372" t="s">
        <v>871</v>
      </c>
      <c r="K615" s="21"/>
      <c r="L615" s="21"/>
      <c r="M615" s="22"/>
      <c r="N615" s="23"/>
      <c r="O615" s="23"/>
      <c r="P615" s="23" t="s">
        <v>30</v>
      </c>
      <c r="Q615" s="23"/>
      <c r="R615" s="81" t="s">
        <v>67</v>
      </c>
      <c r="S615" s="22"/>
      <c r="T615" s="22"/>
      <c r="U615" s="24"/>
      <c r="V615" s="23"/>
      <c r="W615" s="82"/>
      <c r="Y615"/>
      <c r="Z615"/>
      <c r="AA615"/>
    </row>
    <row r="616" spans="1:30">
      <c r="A616" s="358" t="s">
        <v>137</v>
      </c>
      <c r="B616" s="369">
        <v>613</v>
      </c>
      <c r="C616" s="232" t="s">
        <v>1015</v>
      </c>
      <c r="D616" s="232" t="s">
        <v>526</v>
      </c>
      <c r="E616" s="233">
        <v>45768.375</v>
      </c>
      <c r="F616" s="372" t="s">
        <v>140</v>
      </c>
      <c r="G616" s="234">
        <v>2</v>
      </c>
      <c r="H616" s="234" t="s">
        <v>46</v>
      </c>
      <c r="I616" s="234" t="s">
        <v>47</v>
      </c>
      <c r="J616" s="372" t="s">
        <v>871</v>
      </c>
      <c r="K616" s="21"/>
      <c r="L616" s="21"/>
      <c r="M616" s="22"/>
      <c r="N616" s="23"/>
      <c r="O616" s="23"/>
      <c r="P616" s="23" t="s">
        <v>30</v>
      </c>
      <c r="Q616" s="23"/>
      <c r="R616" s="81" t="s">
        <v>67</v>
      </c>
      <c r="S616" s="22"/>
      <c r="T616" s="22"/>
      <c r="U616" s="24"/>
      <c r="V616" s="23"/>
      <c r="W616" s="82"/>
      <c r="Y616"/>
      <c r="Z616"/>
      <c r="AA616"/>
    </row>
    <row r="617" spans="1:30">
      <c r="A617" s="358" t="s">
        <v>137</v>
      </c>
      <c r="B617" s="369">
        <v>614</v>
      </c>
      <c r="C617" s="232" t="s">
        <v>1016</v>
      </c>
      <c r="D617" s="232" t="s">
        <v>1017</v>
      </c>
      <c r="E617" s="233">
        <v>45768.375</v>
      </c>
      <c r="F617" s="372" t="s">
        <v>140</v>
      </c>
      <c r="G617" s="234">
        <v>1</v>
      </c>
      <c r="H617" s="234" t="s">
        <v>21</v>
      </c>
      <c r="I617" s="234" t="s">
        <v>127</v>
      </c>
      <c r="J617" s="372" t="s">
        <v>871</v>
      </c>
      <c r="K617" s="21"/>
      <c r="L617" s="21"/>
      <c r="M617" s="22"/>
      <c r="N617" s="23"/>
      <c r="O617" s="23"/>
      <c r="P617" s="23" t="s">
        <v>30</v>
      </c>
      <c r="Q617" s="23"/>
      <c r="R617" s="81" t="s">
        <v>67</v>
      </c>
      <c r="S617" s="22"/>
      <c r="T617" s="22"/>
      <c r="U617" s="22"/>
      <c r="V617" s="23"/>
      <c r="W617" s="82"/>
      <c r="Y617"/>
      <c r="Z617"/>
      <c r="AA617"/>
    </row>
    <row r="618" spans="1:30">
      <c r="A618" s="358" t="s">
        <v>137</v>
      </c>
      <c r="B618" s="369">
        <v>615</v>
      </c>
      <c r="C618" s="232" t="s">
        <v>1018</v>
      </c>
      <c r="D618" s="232" t="s">
        <v>1019</v>
      </c>
      <c r="E618" s="233">
        <v>45775.375</v>
      </c>
      <c r="F618" s="372" t="s">
        <v>140</v>
      </c>
      <c r="G618" s="234">
        <v>7</v>
      </c>
      <c r="H618" s="234" t="s">
        <v>22</v>
      </c>
      <c r="I618" s="234" t="s">
        <v>28</v>
      </c>
      <c r="J618" s="372" t="s">
        <v>871</v>
      </c>
      <c r="K618" s="21"/>
      <c r="L618" s="21"/>
      <c r="M618" s="22"/>
      <c r="N618" s="23"/>
      <c r="O618" s="23"/>
      <c r="P618" s="23" t="s">
        <v>30</v>
      </c>
      <c r="Q618" s="23"/>
      <c r="R618" s="81" t="s">
        <v>67</v>
      </c>
      <c r="S618" s="22"/>
      <c r="T618" s="22"/>
      <c r="U618" s="22"/>
      <c r="V618" s="23"/>
      <c r="W618" s="82"/>
      <c r="Y618"/>
      <c r="Z618"/>
      <c r="AA618"/>
      <c r="AB618" s="75" t="e">
        <f>+X618/$AA618*AB$1</f>
        <v>#DIV/0!</v>
      </c>
      <c r="AC618" s="75" t="e">
        <f>+Y618/$AA618*AC$1</f>
        <v>#DIV/0!</v>
      </c>
      <c r="AD618" s="75" t="e">
        <f>+Z618/$AA618*AD$1</f>
        <v>#DIV/0!</v>
      </c>
    </row>
    <row r="619" spans="1:30">
      <c r="A619" s="358" t="s">
        <v>137</v>
      </c>
      <c r="B619" s="369">
        <v>616</v>
      </c>
      <c r="C619" s="232" t="s">
        <v>1020</v>
      </c>
      <c r="D619" s="232" t="s">
        <v>994</v>
      </c>
      <c r="E619" s="233">
        <v>45775.375</v>
      </c>
      <c r="F619" s="372" t="s">
        <v>140</v>
      </c>
      <c r="G619" s="234">
        <v>3</v>
      </c>
      <c r="H619" s="234" t="s">
        <v>46</v>
      </c>
      <c r="I619" s="234" t="s">
        <v>47</v>
      </c>
      <c r="J619" s="372" t="s">
        <v>871</v>
      </c>
      <c r="K619" s="21"/>
      <c r="L619" s="21"/>
      <c r="M619" s="22"/>
      <c r="N619" s="23"/>
      <c r="O619" s="62"/>
      <c r="P619" s="23" t="s">
        <v>30</v>
      </c>
      <c r="Q619" s="62"/>
      <c r="R619" s="81" t="s">
        <v>67</v>
      </c>
      <c r="S619" s="22"/>
      <c r="T619" s="22"/>
      <c r="U619" s="22"/>
      <c r="V619" s="23"/>
      <c r="W619" s="82"/>
      <c r="Y619" s="412"/>
      <c r="Z619" s="412"/>
      <c r="AA619" s="412"/>
    </row>
    <row r="620" spans="1:30">
      <c r="A620" s="358" t="s">
        <v>137</v>
      </c>
      <c r="B620" s="369">
        <v>617</v>
      </c>
      <c r="C620" s="232" t="s">
        <v>1021</v>
      </c>
      <c r="D620" s="232" t="s">
        <v>213</v>
      </c>
      <c r="E620" s="233">
        <v>45775.375</v>
      </c>
      <c r="F620" s="372" t="s">
        <v>140</v>
      </c>
      <c r="G620" s="234">
        <v>22</v>
      </c>
      <c r="H620" s="234" t="s">
        <v>938</v>
      </c>
      <c r="I620" s="234" t="s">
        <v>939</v>
      </c>
      <c r="J620" s="372" t="s">
        <v>871</v>
      </c>
      <c r="K620" s="21"/>
      <c r="L620" s="21"/>
      <c r="M620" s="22"/>
      <c r="N620" s="23"/>
      <c r="O620" s="23" t="s">
        <v>31</v>
      </c>
      <c r="P620" s="23" t="s">
        <v>30</v>
      </c>
      <c r="Q620" s="23"/>
      <c r="R620" s="81" t="s">
        <v>67</v>
      </c>
      <c r="S620" s="22"/>
      <c r="T620" s="22"/>
      <c r="U620" s="22"/>
      <c r="V620" s="23"/>
      <c r="W620" s="360"/>
      <c r="X620">
        <v>8</v>
      </c>
      <c r="Y620" s="90">
        <v>11</v>
      </c>
      <c r="Z620" s="90">
        <v>3</v>
      </c>
      <c r="AA620" s="88">
        <f>SUM(X620:Z620)</f>
        <v>22</v>
      </c>
      <c r="AB620" s="72">
        <f>+X620/$AA620*AC$1</f>
        <v>2.1818181818181817</v>
      </c>
      <c r="AC620" s="72">
        <f>+Y620/$AA620*AD$1</f>
        <v>1.5</v>
      </c>
      <c r="AD620" s="72">
        <f>+Z620/$AA620*AD$1</f>
        <v>0.40909090909090906</v>
      </c>
    </row>
    <row r="621" spans="1:30">
      <c r="A621" s="358" t="s">
        <v>137</v>
      </c>
      <c r="B621" s="369">
        <v>618</v>
      </c>
      <c r="C621" s="232" t="s">
        <v>1022</v>
      </c>
      <c r="D621" s="232" t="s">
        <v>969</v>
      </c>
      <c r="E621" s="233">
        <v>45775</v>
      </c>
      <c r="F621" s="372" t="s">
        <v>140</v>
      </c>
      <c r="G621" s="234">
        <v>1</v>
      </c>
      <c r="H621" s="234" t="s">
        <v>21</v>
      </c>
      <c r="I621" s="234" t="s">
        <v>127</v>
      </c>
      <c r="J621" s="372" t="s">
        <v>871</v>
      </c>
      <c r="K621" s="21"/>
      <c r="L621" s="21"/>
      <c r="M621" s="22"/>
      <c r="N621" s="23"/>
      <c r="O621" s="23"/>
      <c r="P621" s="23" t="s">
        <v>30</v>
      </c>
      <c r="Q621" s="23"/>
      <c r="R621" s="81" t="s">
        <v>67</v>
      </c>
      <c r="S621" s="22"/>
      <c r="T621" s="22"/>
      <c r="U621" s="24"/>
      <c r="V621" s="23"/>
      <c r="W621" s="360"/>
      <c r="Y621"/>
      <c r="Z621"/>
      <c r="AA621"/>
    </row>
    <row r="622" spans="1:30">
      <c r="A622" s="358" t="s">
        <v>137</v>
      </c>
      <c r="B622" s="369">
        <v>619</v>
      </c>
      <c r="C622" s="232" t="s">
        <v>1023</v>
      </c>
      <c r="D622" s="232" t="s">
        <v>829</v>
      </c>
      <c r="E622" s="233">
        <v>45775.375</v>
      </c>
      <c r="F622" s="372" t="s">
        <v>140</v>
      </c>
      <c r="G622" s="234">
        <v>21</v>
      </c>
      <c r="H622" s="234" t="s">
        <v>301</v>
      </c>
      <c r="I622" s="234" t="s">
        <v>302</v>
      </c>
      <c r="J622" s="372" t="s">
        <v>871</v>
      </c>
      <c r="K622" s="21"/>
      <c r="L622" s="21"/>
      <c r="M622" s="22"/>
      <c r="N622" s="23"/>
      <c r="O622" s="23" t="s">
        <v>31</v>
      </c>
      <c r="P622" s="23" t="s">
        <v>30</v>
      </c>
      <c r="Q622" s="62"/>
      <c r="R622" s="81" t="s">
        <v>67</v>
      </c>
      <c r="S622" s="22"/>
      <c r="T622" s="22"/>
      <c r="U622" s="24"/>
      <c r="V622" s="23"/>
      <c r="W622" s="82"/>
      <c r="X622">
        <v>0</v>
      </c>
      <c r="Y622" s="89">
        <v>10</v>
      </c>
      <c r="Z622" s="89">
        <v>11</v>
      </c>
      <c r="AA622" s="88">
        <f>SUM(X622:Z622)</f>
        <v>21</v>
      </c>
      <c r="AB622" s="72">
        <f>+X622/$AA622*AC$1</f>
        <v>0</v>
      </c>
      <c r="AC622" s="72">
        <f>+Y622/$AA622*AD$1</f>
        <v>1.4285714285714284</v>
      </c>
      <c r="AD622" s="72">
        <f>+Z622/$AA622*AD$1</f>
        <v>1.5714285714285716</v>
      </c>
    </row>
    <row r="623" spans="1:30">
      <c r="A623" s="358" t="s">
        <v>137</v>
      </c>
      <c r="B623" s="369">
        <v>620</v>
      </c>
      <c r="C623" s="232" t="s">
        <v>1024</v>
      </c>
      <c r="D623" s="232" t="s">
        <v>1025</v>
      </c>
      <c r="E623" s="233">
        <v>45775.375</v>
      </c>
      <c r="F623" s="372" t="s">
        <v>140</v>
      </c>
      <c r="G623" s="234">
        <v>1</v>
      </c>
      <c r="H623" s="234" t="s">
        <v>46</v>
      </c>
      <c r="I623" s="234" t="s">
        <v>47</v>
      </c>
      <c r="J623" s="372" t="s">
        <v>871</v>
      </c>
      <c r="K623" s="21"/>
      <c r="L623" s="21"/>
      <c r="M623" s="22"/>
      <c r="N623" s="23"/>
      <c r="O623" s="23"/>
      <c r="P623" s="23" t="s">
        <v>30</v>
      </c>
      <c r="Q623" s="23"/>
      <c r="R623" s="81" t="s">
        <v>67</v>
      </c>
      <c r="S623" s="22"/>
      <c r="T623" s="22"/>
      <c r="U623" s="22"/>
      <c r="V623" s="23"/>
      <c r="W623" s="360"/>
      <c r="Y623"/>
      <c r="Z623"/>
      <c r="AA623"/>
    </row>
    <row r="624" spans="1:30">
      <c r="A624" s="358" t="s">
        <v>137</v>
      </c>
      <c r="B624" s="369">
        <v>621</v>
      </c>
      <c r="C624" s="232" t="s">
        <v>1026</v>
      </c>
      <c r="D624" s="232" t="s">
        <v>1027</v>
      </c>
      <c r="E624" s="233">
        <v>45775.375</v>
      </c>
      <c r="F624" s="372" t="s">
        <v>140</v>
      </c>
      <c r="G624" s="234">
        <v>7</v>
      </c>
      <c r="H624" s="234" t="s">
        <v>22</v>
      </c>
      <c r="I624" s="234" t="s">
        <v>28</v>
      </c>
      <c r="J624" s="372" t="s">
        <v>871</v>
      </c>
      <c r="K624" s="21"/>
      <c r="L624" s="21"/>
      <c r="M624" s="22"/>
      <c r="N624" s="23"/>
      <c r="O624" s="62"/>
      <c r="P624" s="23" t="s">
        <v>30</v>
      </c>
      <c r="Q624" s="62"/>
      <c r="R624" s="81" t="s">
        <v>67</v>
      </c>
      <c r="S624" s="22"/>
      <c r="T624" s="22"/>
      <c r="U624" s="22"/>
      <c r="V624" s="23"/>
      <c r="W624" s="360"/>
      <c r="Y624"/>
      <c r="Z624"/>
      <c r="AA624"/>
    </row>
    <row r="625" spans="1:27">
      <c r="A625" s="358" t="s">
        <v>137</v>
      </c>
      <c r="B625" s="369">
        <v>622</v>
      </c>
      <c r="C625" s="232" t="s">
        <v>1028</v>
      </c>
      <c r="D625" s="232" t="s">
        <v>1029</v>
      </c>
      <c r="E625" s="233">
        <v>45775.375</v>
      </c>
      <c r="F625" s="372" t="s">
        <v>140</v>
      </c>
      <c r="G625" s="234">
        <v>8</v>
      </c>
      <c r="H625" s="234" t="s">
        <v>22</v>
      </c>
      <c r="I625" s="234" t="s">
        <v>28</v>
      </c>
      <c r="J625" s="372" t="s">
        <v>871</v>
      </c>
      <c r="K625" s="21"/>
      <c r="L625" s="21"/>
      <c r="M625" s="22"/>
      <c r="N625" s="23"/>
      <c r="O625" s="62"/>
      <c r="P625" s="23" t="s">
        <v>30</v>
      </c>
      <c r="Q625" s="62"/>
      <c r="R625" s="81" t="s">
        <v>67</v>
      </c>
      <c r="S625" s="22"/>
      <c r="T625" s="22"/>
      <c r="U625" s="22"/>
      <c r="V625" s="23"/>
      <c r="W625" s="82"/>
      <c r="Y625"/>
      <c r="Z625"/>
      <c r="AA625"/>
    </row>
    <row r="626" spans="1:27">
      <c r="A626" s="358" t="s">
        <v>137</v>
      </c>
      <c r="B626" s="369">
        <v>623</v>
      </c>
      <c r="C626" s="232" t="s">
        <v>1030</v>
      </c>
      <c r="D626" s="232" t="s">
        <v>1031</v>
      </c>
      <c r="E626" s="233">
        <v>45775.375</v>
      </c>
      <c r="F626" s="372" t="s">
        <v>140</v>
      </c>
      <c r="G626" s="234">
        <v>5</v>
      </c>
      <c r="H626" s="234" t="s">
        <v>22</v>
      </c>
      <c r="I626" s="234" t="s">
        <v>28</v>
      </c>
      <c r="J626" s="372" t="s">
        <v>871</v>
      </c>
      <c r="K626" s="21"/>
      <c r="L626" s="21"/>
      <c r="M626" s="22"/>
      <c r="N626" s="23"/>
      <c r="O626" s="62"/>
      <c r="P626" s="23" t="s">
        <v>30</v>
      </c>
      <c r="Q626" s="62"/>
      <c r="R626" s="81" t="s">
        <v>67</v>
      </c>
      <c r="S626" s="22"/>
      <c r="T626" s="22"/>
      <c r="U626" s="22"/>
      <c r="V626" s="23"/>
      <c r="W626" s="82"/>
      <c r="Y626"/>
      <c r="Z626"/>
      <c r="AA626"/>
    </row>
    <row r="627" spans="1:27">
      <c r="A627" s="358" t="s">
        <v>137</v>
      </c>
      <c r="B627" s="369">
        <v>624</v>
      </c>
      <c r="C627" s="232" t="s">
        <v>1032</v>
      </c>
      <c r="D627" s="232" t="s">
        <v>535</v>
      </c>
      <c r="E627" s="233">
        <v>45775.375</v>
      </c>
      <c r="F627" s="372" t="s">
        <v>140</v>
      </c>
      <c r="G627" s="234">
        <v>10</v>
      </c>
      <c r="H627" s="234" t="s">
        <v>22</v>
      </c>
      <c r="I627" s="234" t="s">
        <v>28</v>
      </c>
      <c r="J627" s="372" t="s">
        <v>871</v>
      </c>
      <c r="K627" s="21"/>
      <c r="L627" s="21"/>
      <c r="M627" s="22"/>
      <c r="N627" s="23"/>
      <c r="O627" s="62"/>
      <c r="P627" s="23" t="s">
        <v>30</v>
      </c>
      <c r="Q627" s="62"/>
      <c r="R627" s="81" t="s">
        <v>67</v>
      </c>
      <c r="S627" s="22"/>
      <c r="T627" s="22"/>
      <c r="U627" s="22"/>
      <c r="V627" s="23"/>
      <c r="W627" s="82"/>
      <c r="Y627"/>
      <c r="Z627"/>
      <c r="AA627"/>
    </row>
    <row r="628" spans="1:27">
      <c r="A628" s="358" t="s">
        <v>137</v>
      </c>
      <c r="B628" s="369">
        <v>625</v>
      </c>
      <c r="C628" s="232" t="s">
        <v>1033</v>
      </c>
      <c r="D628" s="232" t="s">
        <v>523</v>
      </c>
      <c r="E628" s="233">
        <v>45775.375</v>
      </c>
      <c r="F628" s="372" t="s">
        <v>140</v>
      </c>
      <c r="G628" s="234">
        <v>1</v>
      </c>
      <c r="H628" s="234" t="s">
        <v>46</v>
      </c>
      <c r="I628" s="234" t="s">
        <v>47</v>
      </c>
      <c r="J628" s="372" t="s">
        <v>871</v>
      </c>
      <c r="K628" s="21"/>
      <c r="L628" s="21"/>
      <c r="M628" s="22"/>
      <c r="N628" s="23"/>
      <c r="O628" s="62"/>
      <c r="P628" s="23" t="s">
        <v>30</v>
      </c>
      <c r="Q628" s="62"/>
      <c r="R628" s="81" t="s">
        <v>67</v>
      </c>
      <c r="S628" s="22"/>
      <c r="T628" s="22"/>
      <c r="U628" s="22"/>
      <c r="V628" s="23"/>
      <c r="W628" s="82"/>
      <c r="Y628" s="412"/>
      <c r="Z628" s="412"/>
      <c r="AA628" s="412"/>
    </row>
    <row r="629" spans="1:27">
      <c r="A629" s="358" t="s">
        <v>137</v>
      </c>
      <c r="B629" s="369">
        <v>626</v>
      </c>
      <c r="C629" s="232" t="s">
        <v>1034</v>
      </c>
      <c r="D629" s="232" t="s">
        <v>526</v>
      </c>
      <c r="E629" s="233">
        <v>45775.375</v>
      </c>
      <c r="F629" s="372" t="s">
        <v>140</v>
      </c>
      <c r="G629" s="234">
        <v>1</v>
      </c>
      <c r="H629" s="234" t="s">
        <v>46</v>
      </c>
      <c r="I629" s="234" t="s">
        <v>47</v>
      </c>
      <c r="J629" s="372" t="s">
        <v>871</v>
      </c>
      <c r="K629" s="21"/>
      <c r="L629" s="21"/>
      <c r="M629" s="22"/>
      <c r="N629" s="23"/>
      <c r="O629" s="62"/>
      <c r="P629" s="23" t="s">
        <v>30</v>
      </c>
      <c r="Q629" s="62"/>
      <c r="R629" s="81" t="s">
        <v>67</v>
      </c>
      <c r="S629" s="22"/>
      <c r="T629" s="22"/>
      <c r="U629" s="24"/>
      <c r="V629" s="23"/>
      <c r="W629" s="82"/>
      <c r="Y629" s="412"/>
      <c r="Z629" s="412"/>
      <c r="AA629" s="412"/>
    </row>
    <row r="630" spans="1:27">
      <c r="A630" s="358" t="s">
        <v>137</v>
      </c>
      <c r="B630" s="369">
        <v>627</v>
      </c>
      <c r="C630" s="232" t="s">
        <v>1035</v>
      </c>
      <c r="D630" s="232" t="s">
        <v>1036</v>
      </c>
      <c r="E630" s="233">
        <v>45775.375</v>
      </c>
      <c r="F630" s="372" t="s">
        <v>140</v>
      </c>
      <c r="G630" s="234">
        <v>1</v>
      </c>
      <c r="H630" s="234" t="s">
        <v>46</v>
      </c>
      <c r="I630" s="234" t="s">
        <v>47</v>
      </c>
      <c r="J630" s="372" t="s">
        <v>871</v>
      </c>
      <c r="K630" s="21"/>
      <c r="L630" s="21"/>
      <c r="M630" s="22"/>
      <c r="N630" s="23"/>
      <c r="O630" s="23"/>
      <c r="P630" s="23" t="s">
        <v>30</v>
      </c>
      <c r="Q630" s="23"/>
      <c r="R630" s="81" t="s">
        <v>67</v>
      </c>
      <c r="S630" s="22"/>
      <c r="T630" s="22"/>
      <c r="U630" s="22"/>
      <c r="V630" s="23"/>
      <c r="W630" s="360"/>
      <c r="Y630" s="412"/>
      <c r="Z630" s="412"/>
      <c r="AA630" s="412"/>
    </row>
    <row r="631" spans="1:27">
      <c r="A631" s="358" t="s">
        <v>137</v>
      </c>
      <c r="B631" s="369">
        <v>628</v>
      </c>
      <c r="C631" s="232" t="s">
        <v>1037</v>
      </c>
      <c r="D631" s="232" t="s">
        <v>1038</v>
      </c>
      <c r="E631" s="233">
        <v>45754.375</v>
      </c>
      <c r="F631" s="372" t="s">
        <v>140</v>
      </c>
      <c r="G631" s="234">
        <v>1</v>
      </c>
      <c r="H631" s="234" t="s">
        <v>46</v>
      </c>
      <c r="I631" s="234" t="s">
        <v>47</v>
      </c>
      <c r="J631" s="372" t="s">
        <v>871</v>
      </c>
      <c r="K631" s="21"/>
      <c r="L631" s="21"/>
      <c r="M631" s="22"/>
      <c r="N631" s="23"/>
      <c r="O631" s="23"/>
      <c r="P631" s="23" t="s">
        <v>30</v>
      </c>
      <c r="Q631" s="23"/>
      <c r="R631" s="81" t="s">
        <v>67</v>
      </c>
      <c r="S631" s="22"/>
      <c r="T631" s="22"/>
      <c r="U631" s="24"/>
      <c r="V631" s="23"/>
      <c r="W631" s="82"/>
      <c r="Y631"/>
      <c r="Z631"/>
      <c r="AA631"/>
    </row>
    <row r="632" spans="1:27">
      <c r="A632" s="358" t="s">
        <v>137</v>
      </c>
      <c r="B632" s="369">
        <v>629</v>
      </c>
      <c r="C632" s="232" t="s">
        <v>1039</v>
      </c>
      <c r="D632" s="232" t="s">
        <v>1040</v>
      </c>
      <c r="E632" s="233">
        <v>45775.375</v>
      </c>
      <c r="F632" s="372" t="s">
        <v>140</v>
      </c>
      <c r="G632" s="234">
        <v>1</v>
      </c>
      <c r="H632" s="234" t="s">
        <v>46</v>
      </c>
      <c r="I632" s="234" t="s">
        <v>47</v>
      </c>
      <c r="J632" s="372" t="s">
        <v>871</v>
      </c>
      <c r="K632" s="21"/>
      <c r="L632" s="21"/>
      <c r="M632" s="22"/>
      <c r="N632" s="23"/>
      <c r="O632" s="62"/>
      <c r="P632" s="23" t="s">
        <v>30</v>
      </c>
      <c r="Q632" s="62"/>
      <c r="R632" s="81" t="s">
        <v>67</v>
      </c>
      <c r="S632" s="22"/>
      <c r="T632" s="22"/>
      <c r="U632" s="24"/>
      <c r="V632" s="23"/>
      <c r="W632" s="82"/>
      <c r="Y632"/>
      <c r="Z632"/>
      <c r="AA632"/>
    </row>
    <row r="633" spans="1:27">
      <c r="A633" s="358" t="s">
        <v>137</v>
      </c>
      <c r="B633" s="369">
        <v>630</v>
      </c>
      <c r="C633" s="232" t="s">
        <v>1041</v>
      </c>
      <c r="D633" s="232" t="s">
        <v>1042</v>
      </c>
      <c r="E633" s="233">
        <v>45775.375</v>
      </c>
      <c r="F633" s="372" t="s">
        <v>140</v>
      </c>
      <c r="G633" s="234">
        <v>1</v>
      </c>
      <c r="H633" s="234" t="s">
        <v>22</v>
      </c>
      <c r="I633" s="234" t="s">
        <v>28</v>
      </c>
      <c r="J633" s="372" t="s">
        <v>871</v>
      </c>
      <c r="K633" s="21"/>
      <c r="L633" s="21"/>
      <c r="M633" s="22"/>
      <c r="N633" s="23"/>
      <c r="O633" s="23"/>
      <c r="P633" s="23" t="s">
        <v>30</v>
      </c>
      <c r="Q633" s="23"/>
      <c r="R633" s="81" t="s">
        <v>67</v>
      </c>
      <c r="S633" s="22"/>
      <c r="T633" s="22"/>
      <c r="U633" s="22"/>
      <c r="V633" s="23"/>
      <c r="W633" s="82"/>
      <c r="Y633"/>
      <c r="Z633"/>
      <c r="AA633"/>
    </row>
    <row r="634" spans="1:27">
      <c r="A634" s="358" t="s">
        <v>137</v>
      </c>
      <c r="B634" s="369">
        <v>631</v>
      </c>
      <c r="C634" s="232" t="s">
        <v>1043</v>
      </c>
      <c r="D634" s="232" t="s">
        <v>1044</v>
      </c>
      <c r="E634" s="233">
        <v>45754.375</v>
      </c>
      <c r="F634" s="372" t="s">
        <v>140</v>
      </c>
      <c r="G634" s="234">
        <v>1</v>
      </c>
      <c r="H634" s="234" t="s">
        <v>46</v>
      </c>
      <c r="I634" s="234" t="s">
        <v>47</v>
      </c>
      <c r="J634" s="372" t="s">
        <v>871</v>
      </c>
      <c r="K634" s="21"/>
      <c r="L634" s="21"/>
      <c r="M634" s="22"/>
      <c r="N634" s="23"/>
      <c r="O634" s="62"/>
      <c r="P634" s="23" t="s">
        <v>30</v>
      </c>
      <c r="Q634" s="62"/>
      <c r="R634" s="81" t="s">
        <v>67</v>
      </c>
      <c r="S634" s="22"/>
      <c r="T634" s="22"/>
      <c r="U634" s="22"/>
      <c r="V634" s="23"/>
      <c r="W634" s="82"/>
      <c r="Y634"/>
      <c r="Z634"/>
      <c r="AA634"/>
    </row>
    <row r="635" spans="1:27">
      <c r="A635" s="358" t="s">
        <v>137</v>
      </c>
      <c r="B635" s="369">
        <v>632</v>
      </c>
      <c r="C635" s="232" t="s">
        <v>1045</v>
      </c>
      <c r="D635" s="232" t="s">
        <v>779</v>
      </c>
      <c r="E635" s="233">
        <v>45754.375</v>
      </c>
      <c r="F635" s="372" t="s">
        <v>140</v>
      </c>
      <c r="G635" s="234">
        <v>1</v>
      </c>
      <c r="H635" s="234" t="s">
        <v>21</v>
      </c>
      <c r="I635" s="234" t="s">
        <v>127</v>
      </c>
      <c r="J635" s="372" t="s">
        <v>871</v>
      </c>
      <c r="K635" s="21"/>
      <c r="L635" s="21"/>
      <c r="M635" s="22"/>
      <c r="N635" s="23"/>
      <c r="O635" s="62"/>
      <c r="P635" s="23" t="s">
        <v>30</v>
      </c>
      <c r="Q635" s="62"/>
      <c r="R635" s="81" t="s">
        <v>67</v>
      </c>
      <c r="S635" s="22"/>
      <c r="T635" s="22"/>
      <c r="U635" s="22"/>
      <c r="V635" s="23"/>
      <c r="W635" s="360"/>
      <c r="Y635"/>
      <c r="Z635"/>
      <c r="AA635"/>
    </row>
    <row r="636" spans="1:27">
      <c r="A636" s="358" t="s">
        <v>137</v>
      </c>
      <c r="B636" s="369">
        <v>633</v>
      </c>
      <c r="C636" s="232" t="s">
        <v>1046</v>
      </c>
      <c r="D636" s="232" t="s">
        <v>1047</v>
      </c>
      <c r="E636" s="233">
        <v>45754.375</v>
      </c>
      <c r="F636" s="372" t="s">
        <v>140</v>
      </c>
      <c r="G636" s="234">
        <v>2</v>
      </c>
      <c r="H636" s="234" t="s">
        <v>21</v>
      </c>
      <c r="I636" s="234" t="s">
        <v>127</v>
      </c>
      <c r="J636" s="372" t="s">
        <v>871</v>
      </c>
      <c r="K636" s="21"/>
      <c r="L636" s="21"/>
      <c r="M636" s="22"/>
      <c r="N636" s="23"/>
      <c r="O636" s="62"/>
      <c r="P636" s="23" t="s">
        <v>30</v>
      </c>
      <c r="Q636" s="62"/>
      <c r="R636" s="81" t="s">
        <v>67</v>
      </c>
      <c r="S636" s="22"/>
      <c r="T636" s="22"/>
      <c r="U636" s="22"/>
      <c r="V636" s="23"/>
      <c r="W636" s="360"/>
      <c r="Y636"/>
      <c r="Z636"/>
      <c r="AA636"/>
    </row>
    <row r="637" spans="1:27">
      <c r="A637" s="358" t="s">
        <v>137</v>
      </c>
      <c r="B637" s="369">
        <v>634</v>
      </c>
      <c r="C637" s="232" t="s">
        <v>1048</v>
      </c>
      <c r="D637" s="232" t="s">
        <v>856</v>
      </c>
      <c r="E637" s="233">
        <v>45754.375</v>
      </c>
      <c r="F637" s="372" t="s">
        <v>140</v>
      </c>
      <c r="G637" s="234">
        <v>4</v>
      </c>
      <c r="H637" s="234" t="s">
        <v>22</v>
      </c>
      <c r="I637" s="234" t="s">
        <v>28</v>
      </c>
      <c r="J637" s="372" t="s">
        <v>871</v>
      </c>
      <c r="K637" s="21"/>
      <c r="L637" s="21"/>
      <c r="M637" s="22"/>
      <c r="N637" s="23"/>
      <c r="O637" s="62"/>
      <c r="P637" s="23" t="s">
        <v>30</v>
      </c>
      <c r="Q637" s="62"/>
      <c r="R637" s="81" t="s">
        <v>67</v>
      </c>
      <c r="S637" s="22"/>
      <c r="T637" s="22"/>
      <c r="U637" s="22"/>
      <c r="V637" s="23"/>
      <c r="W637" s="360"/>
      <c r="Y637"/>
      <c r="Z637"/>
      <c r="AA637"/>
    </row>
    <row r="638" spans="1:27">
      <c r="A638" s="358" t="s">
        <v>137</v>
      </c>
      <c r="B638" s="369">
        <v>635</v>
      </c>
      <c r="C638" s="232" t="s">
        <v>1049</v>
      </c>
      <c r="D638" s="232" t="s">
        <v>829</v>
      </c>
      <c r="E638" s="233">
        <v>45761.375</v>
      </c>
      <c r="F638" s="372" t="s">
        <v>140</v>
      </c>
      <c r="G638" s="234">
        <v>3</v>
      </c>
      <c r="H638" s="234" t="s">
        <v>22</v>
      </c>
      <c r="I638" s="234" t="s">
        <v>28</v>
      </c>
      <c r="J638" s="372" t="s">
        <v>871</v>
      </c>
      <c r="K638" s="21"/>
      <c r="L638" s="21"/>
      <c r="M638" s="22"/>
      <c r="N638" s="23"/>
      <c r="O638" s="62"/>
      <c r="P638" s="23" t="s">
        <v>30</v>
      </c>
      <c r="Q638" s="62"/>
      <c r="R638" s="81" t="s">
        <v>67</v>
      </c>
      <c r="S638" s="22"/>
      <c r="T638" s="22"/>
      <c r="U638" s="22"/>
      <c r="V638" s="23"/>
      <c r="W638" s="360"/>
      <c r="Y638" s="412"/>
      <c r="Z638" s="412"/>
      <c r="AA638" s="412"/>
    </row>
    <row r="639" spans="1:27">
      <c r="A639" s="358" t="s">
        <v>137</v>
      </c>
      <c r="B639" s="369">
        <v>636</v>
      </c>
      <c r="C639" s="232" t="s">
        <v>1050</v>
      </c>
      <c r="D639" s="232" t="s">
        <v>829</v>
      </c>
      <c r="E639" s="233">
        <v>45768.375</v>
      </c>
      <c r="F639" s="372" t="s">
        <v>140</v>
      </c>
      <c r="G639" s="234">
        <v>9</v>
      </c>
      <c r="H639" s="234" t="s">
        <v>22</v>
      </c>
      <c r="I639" s="234" t="s">
        <v>28</v>
      </c>
      <c r="J639" s="372" t="s">
        <v>871</v>
      </c>
      <c r="K639" s="21"/>
      <c r="L639" s="21"/>
      <c r="M639" s="22"/>
      <c r="N639" s="23"/>
      <c r="O639" s="62"/>
      <c r="P639" s="23" t="s">
        <v>30</v>
      </c>
      <c r="Q639" s="62"/>
      <c r="R639" s="81" t="s">
        <v>67</v>
      </c>
      <c r="S639" s="22"/>
      <c r="T639" s="22"/>
      <c r="U639" s="24"/>
      <c r="V639" s="23"/>
      <c r="W639" s="82"/>
      <c r="Y639" s="412"/>
      <c r="Z639" s="412"/>
      <c r="AA639" s="412"/>
    </row>
    <row r="640" spans="1:27">
      <c r="A640" s="358" t="s">
        <v>137</v>
      </c>
      <c r="B640" s="369">
        <v>637</v>
      </c>
      <c r="C640" s="232" t="s">
        <v>1051</v>
      </c>
      <c r="D640" s="232" t="s">
        <v>937</v>
      </c>
      <c r="E640" s="233">
        <v>45768.375</v>
      </c>
      <c r="F640" s="372" t="s">
        <v>140</v>
      </c>
      <c r="G640" s="234">
        <v>1</v>
      </c>
      <c r="H640" s="234" t="s">
        <v>22</v>
      </c>
      <c r="I640" s="234" t="s">
        <v>28</v>
      </c>
      <c r="J640" s="372" t="s">
        <v>871</v>
      </c>
      <c r="K640" s="21"/>
      <c r="L640" s="21"/>
      <c r="M640" s="22"/>
      <c r="N640" s="23"/>
      <c r="O640" s="23"/>
      <c r="P640" s="23" t="s">
        <v>30</v>
      </c>
      <c r="Q640" s="23"/>
      <c r="R640" s="81" t="s">
        <v>67</v>
      </c>
      <c r="S640" s="22"/>
      <c r="T640" s="22"/>
      <c r="U640" s="22"/>
      <c r="V640" s="23"/>
      <c r="W640" s="82"/>
      <c r="Y640" s="412"/>
      <c r="Z640" s="412"/>
      <c r="AA640" s="412"/>
    </row>
    <row r="641" spans="1:30">
      <c r="A641" s="358" t="s">
        <v>137</v>
      </c>
      <c r="B641" s="369">
        <v>638</v>
      </c>
      <c r="C641" s="232" t="s">
        <v>1052</v>
      </c>
      <c r="D641" s="232" t="s">
        <v>794</v>
      </c>
      <c r="E641" s="233">
        <v>45768.375</v>
      </c>
      <c r="F641" s="372" t="s">
        <v>140</v>
      </c>
      <c r="G641" s="234">
        <v>20</v>
      </c>
      <c r="H641" s="234" t="s">
        <v>291</v>
      </c>
      <c r="I641" s="234" t="s">
        <v>760</v>
      </c>
      <c r="J641" s="372" t="s">
        <v>871</v>
      </c>
      <c r="K641" s="21"/>
      <c r="L641" s="21"/>
      <c r="M641" s="22"/>
      <c r="N641" s="23"/>
      <c r="O641" s="23" t="s">
        <v>31</v>
      </c>
      <c r="P641" s="23" t="s">
        <v>30</v>
      </c>
      <c r="Q641" s="23"/>
      <c r="R641" s="81" t="s">
        <v>67</v>
      </c>
      <c r="S641" s="22"/>
      <c r="T641" s="22"/>
      <c r="U641" s="24"/>
      <c r="V641" s="23"/>
      <c r="W641" s="82"/>
      <c r="X641">
        <v>8</v>
      </c>
      <c r="Y641" s="89">
        <v>12</v>
      </c>
      <c r="Z641" s="89">
        <v>0</v>
      </c>
      <c r="AA641" s="88">
        <f>SUM(X641:Z641)</f>
        <v>20</v>
      </c>
      <c r="AB641" s="72">
        <f>+X641/$AA641*AC$1</f>
        <v>2.4000000000000004</v>
      </c>
      <c r="AC641" s="72">
        <f>+Y641/$AA641*AD$1</f>
        <v>1.7999999999999998</v>
      </c>
      <c r="AD641" s="72">
        <f>+Z641/$AA641*AD$1</f>
        <v>0</v>
      </c>
    </row>
    <row r="642" spans="1:30">
      <c r="A642" s="358" t="s">
        <v>24</v>
      </c>
      <c r="B642" s="369">
        <v>639</v>
      </c>
      <c r="C642" s="372" t="s">
        <v>1053</v>
      </c>
      <c r="D642" s="372" t="s">
        <v>50</v>
      </c>
      <c r="E642" s="373">
        <v>45779</v>
      </c>
      <c r="F642" s="372" t="s">
        <v>1054</v>
      </c>
      <c r="G642" s="372">
        <v>14</v>
      </c>
      <c r="H642" s="372" t="s">
        <v>21</v>
      </c>
      <c r="I642" s="372" t="s">
        <v>127</v>
      </c>
      <c r="J642" s="372" t="s">
        <v>29</v>
      </c>
      <c r="K642" s="21" t="s">
        <v>238</v>
      </c>
      <c r="L642" s="358"/>
      <c r="M642" s="358"/>
      <c r="N642" s="358"/>
      <c r="O642" s="380"/>
      <c r="P642" s="380" t="s">
        <v>30</v>
      </c>
      <c r="Q642" s="23">
        <v>45813</v>
      </c>
      <c r="R642" s="81" t="s">
        <v>127</v>
      </c>
      <c r="S642" s="22" t="s">
        <v>1055</v>
      </c>
      <c r="T642" s="22">
        <v>14</v>
      </c>
      <c r="U642" s="24" t="s">
        <v>127</v>
      </c>
      <c r="V642" s="23">
        <v>45813</v>
      </c>
      <c r="W642" s="82" t="s">
        <v>32</v>
      </c>
      <c r="X642" s="235"/>
      <c r="Y642"/>
      <c r="Z642" s="412"/>
      <c r="AA642" s="412"/>
      <c r="AB642" s="412"/>
    </row>
    <row r="643" spans="1:30">
      <c r="A643" s="358" t="s">
        <v>24</v>
      </c>
      <c r="B643" s="369">
        <v>640</v>
      </c>
      <c r="C643" s="372" t="s">
        <v>1056</v>
      </c>
      <c r="D643" s="372" t="s">
        <v>102</v>
      </c>
      <c r="E643" s="373">
        <v>45779</v>
      </c>
      <c r="F643" s="372" t="s">
        <v>106</v>
      </c>
      <c r="G643" s="372">
        <v>12</v>
      </c>
      <c r="H643" s="372" t="s">
        <v>22</v>
      </c>
      <c r="I643" s="372" t="s">
        <v>28</v>
      </c>
      <c r="J643" s="372" t="s">
        <v>29</v>
      </c>
      <c r="K643" s="372"/>
      <c r="L643" s="358"/>
      <c r="M643" s="358"/>
      <c r="N643" s="358"/>
      <c r="O643" s="380"/>
      <c r="P643" s="380" t="s">
        <v>1057</v>
      </c>
      <c r="Q643" s="23">
        <v>45814</v>
      </c>
      <c r="R643" s="81" t="s">
        <v>28</v>
      </c>
      <c r="S643" s="22" t="s">
        <v>1055</v>
      </c>
      <c r="T643" s="22">
        <v>11</v>
      </c>
      <c r="U643" s="24" t="s">
        <v>28</v>
      </c>
      <c r="V643" s="23">
        <v>45814</v>
      </c>
      <c r="W643" s="82" t="s">
        <v>30</v>
      </c>
      <c r="X643" s="85"/>
      <c r="Y643"/>
      <c r="Z643" s="412"/>
      <c r="AA643" s="412"/>
      <c r="AB643" s="412"/>
    </row>
    <row r="644" spans="1:30">
      <c r="A644" s="358" t="s">
        <v>24</v>
      </c>
      <c r="B644" s="369">
        <v>641</v>
      </c>
      <c r="C644" s="372" t="s">
        <v>1058</v>
      </c>
      <c r="D644" s="372" t="s">
        <v>34</v>
      </c>
      <c r="E644" s="373">
        <v>45780</v>
      </c>
      <c r="F644" s="372" t="s">
        <v>187</v>
      </c>
      <c r="G644" s="372">
        <v>20</v>
      </c>
      <c r="H644" s="372" t="s">
        <v>21</v>
      </c>
      <c r="I644" s="372" t="s">
        <v>127</v>
      </c>
      <c r="J644" s="372" t="s">
        <v>29</v>
      </c>
      <c r="K644" s="372"/>
      <c r="L644" s="358"/>
      <c r="M644" s="358"/>
      <c r="N644" s="358"/>
      <c r="O644" s="380" t="s">
        <v>31</v>
      </c>
      <c r="P644" s="380" t="s">
        <v>1057</v>
      </c>
      <c r="Q644" s="23">
        <v>45819</v>
      </c>
      <c r="R644" s="81" t="s">
        <v>127</v>
      </c>
      <c r="S644" s="22" t="s">
        <v>1055</v>
      </c>
      <c r="T644" s="22">
        <v>20</v>
      </c>
      <c r="U644" s="24" t="s">
        <v>127</v>
      </c>
      <c r="V644" s="23">
        <v>45819</v>
      </c>
      <c r="W644" s="82" t="s">
        <v>30</v>
      </c>
      <c r="X644" s="85"/>
      <c r="Y644"/>
      <c r="Z644" s="412"/>
      <c r="AA644" s="412"/>
      <c r="AB644" s="412"/>
    </row>
    <row r="645" spans="1:30">
      <c r="A645" s="358" t="s">
        <v>24</v>
      </c>
      <c r="B645" s="369">
        <v>642</v>
      </c>
      <c r="C645" s="372" t="s">
        <v>1059</v>
      </c>
      <c r="D645" s="372" t="s">
        <v>34</v>
      </c>
      <c r="E645" s="373">
        <v>45780</v>
      </c>
      <c r="F645" s="372" t="s">
        <v>614</v>
      </c>
      <c r="G645" s="372">
        <v>24</v>
      </c>
      <c r="H645" s="372" t="s">
        <v>46</v>
      </c>
      <c r="I645" s="372" t="s">
        <v>47</v>
      </c>
      <c r="J645" s="372" t="s">
        <v>29</v>
      </c>
      <c r="K645" s="372"/>
      <c r="L645" s="358"/>
      <c r="M645" s="358"/>
      <c r="N645" s="358"/>
      <c r="O645" s="380" t="s">
        <v>31</v>
      </c>
      <c r="P645" s="23" t="s">
        <v>1057</v>
      </c>
      <c r="Q645" s="23">
        <v>45833</v>
      </c>
      <c r="R645" s="81" t="s">
        <v>46</v>
      </c>
      <c r="S645" s="22" t="s">
        <v>1055</v>
      </c>
      <c r="T645" s="22">
        <v>24</v>
      </c>
      <c r="U645" s="24" t="s">
        <v>46</v>
      </c>
      <c r="V645" s="23">
        <v>45833</v>
      </c>
      <c r="W645" s="82" t="s">
        <v>30</v>
      </c>
      <c r="X645" s="85"/>
      <c r="Y645"/>
      <c r="Z645" s="412"/>
      <c r="AA645" s="412"/>
      <c r="AB645" s="412"/>
    </row>
    <row r="646" spans="1:30">
      <c r="A646" s="358" t="s">
        <v>24</v>
      </c>
      <c r="B646" s="369">
        <v>643</v>
      </c>
      <c r="C646" s="372" t="s">
        <v>1060</v>
      </c>
      <c r="D646" s="372" t="s">
        <v>34</v>
      </c>
      <c r="E646" s="373">
        <v>45780</v>
      </c>
      <c r="F646" s="372" t="s">
        <v>1061</v>
      </c>
      <c r="G646" s="372">
        <v>14</v>
      </c>
      <c r="H646" s="372" t="s">
        <v>21</v>
      </c>
      <c r="I646" s="372" t="s">
        <v>127</v>
      </c>
      <c r="J646" s="372" t="s">
        <v>29</v>
      </c>
      <c r="K646" s="93"/>
      <c r="L646" s="358"/>
      <c r="M646" s="358"/>
      <c r="N646" s="358"/>
      <c r="O646" s="380"/>
      <c r="P646" s="23" t="s">
        <v>1057</v>
      </c>
      <c r="Q646" s="23">
        <v>45819</v>
      </c>
      <c r="R646" s="81" t="s">
        <v>127</v>
      </c>
      <c r="S646" s="22" t="s">
        <v>1055</v>
      </c>
      <c r="T646" s="22">
        <v>14</v>
      </c>
      <c r="U646" s="24" t="s">
        <v>127</v>
      </c>
      <c r="V646" s="23">
        <v>45819</v>
      </c>
      <c r="W646" s="82" t="s">
        <v>30</v>
      </c>
      <c r="X646" s="85"/>
      <c r="Y646"/>
      <c r="Z646"/>
      <c r="AA646"/>
    </row>
    <row r="647" spans="1:30">
      <c r="A647" s="358" t="s">
        <v>24</v>
      </c>
      <c r="B647" s="369">
        <v>644</v>
      </c>
      <c r="C647" s="372" t="s">
        <v>1062</v>
      </c>
      <c r="D647" s="372" t="s">
        <v>34</v>
      </c>
      <c r="E647" s="373">
        <v>45780</v>
      </c>
      <c r="F647" s="372" t="s">
        <v>688</v>
      </c>
      <c r="G647" s="372">
        <v>10</v>
      </c>
      <c r="H647" s="372" t="s">
        <v>21</v>
      </c>
      <c r="I647" s="372" t="s">
        <v>127</v>
      </c>
      <c r="J647" s="372" t="s">
        <v>29</v>
      </c>
      <c r="K647" s="372"/>
      <c r="L647" s="358"/>
      <c r="M647" s="358"/>
      <c r="N647" s="94"/>
      <c r="O647" s="380"/>
      <c r="P647" s="23" t="s">
        <v>1057</v>
      </c>
      <c r="Q647" s="23">
        <v>45819</v>
      </c>
      <c r="R647" s="81" t="s">
        <v>127</v>
      </c>
      <c r="S647" s="22" t="s">
        <v>1063</v>
      </c>
      <c r="T647" s="22">
        <v>10</v>
      </c>
      <c r="U647" s="24" t="s">
        <v>127</v>
      </c>
      <c r="V647" s="23">
        <v>45819</v>
      </c>
      <c r="W647" s="82" t="s">
        <v>30</v>
      </c>
      <c r="X647" s="85"/>
      <c r="Y647"/>
      <c r="Z647" s="412"/>
      <c r="AA647" s="412"/>
      <c r="AB647" s="412"/>
    </row>
    <row r="648" spans="1:30">
      <c r="A648" s="358" t="s">
        <v>24</v>
      </c>
      <c r="B648" s="369">
        <v>645</v>
      </c>
      <c r="C648" s="372" t="s">
        <v>1064</v>
      </c>
      <c r="D648" s="372" t="s">
        <v>234</v>
      </c>
      <c r="E648" s="373">
        <v>45780</v>
      </c>
      <c r="F648" s="372" t="s">
        <v>1065</v>
      </c>
      <c r="G648" s="372">
        <v>7</v>
      </c>
      <c r="H648" s="372" t="s">
        <v>21</v>
      </c>
      <c r="I648" s="372" t="s">
        <v>127</v>
      </c>
      <c r="J648" s="372" t="s">
        <v>29</v>
      </c>
      <c r="K648" s="372"/>
      <c r="L648" s="358"/>
      <c r="M648" s="358"/>
      <c r="N648" s="380"/>
      <c r="O648" s="380"/>
      <c r="P648" s="23" t="s">
        <v>1057</v>
      </c>
      <c r="Q648" s="23">
        <v>45825</v>
      </c>
      <c r="R648" s="81" t="s">
        <v>37</v>
      </c>
      <c r="S648" s="22" t="s">
        <v>32</v>
      </c>
      <c r="T648" s="22">
        <v>7</v>
      </c>
      <c r="U648" s="22" t="s">
        <v>37</v>
      </c>
      <c r="V648" s="23">
        <v>45825</v>
      </c>
      <c r="W648" s="82" t="s">
        <v>30</v>
      </c>
      <c r="X648" s="85"/>
      <c r="Y648"/>
      <c r="Z648" s="412"/>
      <c r="AA648" s="412"/>
      <c r="AB648" s="412"/>
    </row>
    <row r="649" spans="1:30">
      <c r="A649" s="358" t="s">
        <v>24</v>
      </c>
      <c r="B649" s="369">
        <v>646</v>
      </c>
      <c r="C649" s="372" t="s">
        <v>1066</v>
      </c>
      <c r="D649" s="372" t="s">
        <v>34</v>
      </c>
      <c r="E649" s="373">
        <v>45780</v>
      </c>
      <c r="F649" s="372" t="s">
        <v>1065</v>
      </c>
      <c r="G649" s="372">
        <v>4</v>
      </c>
      <c r="H649" s="372" t="s">
        <v>21</v>
      </c>
      <c r="I649" s="372" t="s">
        <v>127</v>
      </c>
      <c r="J649" s="372" t="s">
        <v>29</v>
      </c>
      <c r="K649" s="372"/>
      <c r="L649" s="358"/>
      <c r="M649" s="358"/>
      <c r="N649" s="380"/>
      <c r="O649" s="380"/>
      <c r="P649" s="23" t="s">
        <v>1057</v>
      </c>
      <c r="Q649" s="23">
        <v>45838</v>
      </c>
      <c r="R649" s="81" t="s">
        <v>37</v>
      </c>
      <c r="S649" s="23" t="s">
        <v>1055</v>
      </c>
      <c r="T649" s="22">
        <v>4</v>
      </c>
      <c r="U649" s="22" t="s">
        <v>37</v>
      </c>
      <c r="V649" s="23">
        <v>45838</v>
      </c>
      <c r="W649" s="82" t="s">
        <v>30</v>
      </c>
      <c r="X649" s="85"/>
      <c r="Y649"/>
      <c r="Z649" s="412"/>
      <c r="AA649" s="412"/>
      <c r="AB649" s="412"/>
    </row>
    <row r="650" spans="1:30">
      <c r="A650" s="358" t="s">
        <v>24</v>
      </c>
      <c r="B650" s="369">
        <v>647</v>
      </c>
      <c r="C650" s="372" t="s">
        <v>1067</v>
      </c>
      <c r="D650" s="372" t="s">
        <v>469</v>
      </c>
      <c r="E650" s="373">
        <v>45780</v>
      </c>
      <c r="F650" s="372" t="s">
        <v>1068</v>
      </c>
      <c r="G650" s="372">
        <v>15</v>
      </c>
      <c r="H650" s="372" t="s">
        <v>22</v>
      </c>
      <c r="I650" s="372" t="s">
        <v>28</v>
      </c>
      <c r="J650" s="372" t="s">
        <v>29</v>
      </c>
      <c r="K650" s="21" t="s">
        <v>1069</v>
      </c>
      <c r="L650" s="358"/>
      <c r="M650" s="358"/>
      <c r="N650" s="94"/>
      <c r="O650" s="380" t="s">
        <v>31</v>
      </c>
      <c r="P650" s="23" t="s">
        <v>1057</v>
      </c>
      <c r="Q650" s="23">
        <v>45828</v>
      </c>
      <c r="R650" s="81" t="s">
        <v>28</v>
      </c>
      <c r="S650" s="22" t="s">
        <v>1055</v>
      </c>
      <c r="T650" s="22">
        <v>14</v>
      </c>
      <c r="U650" s="24" t="s">
        <v>28</v>
      </c>
      <c r="V650" s="23">
        <v>45828</v>
      </c>
      <c r="W650" s="82" t="s">
        <v>30</v>
      </c>
      <c r="X650" s="85"/>
      <c r="Y650"/>
      <c r="Z650" s="412"/>
      <c r="AA650" s="412"/>
      <c r="AB650" s="412"/>
    </row>
    <row r="651" spans="1:30">
      <c r="A651" s="358" t="s">
        <v>24</v>
      </c>
      <c r="B651" s="369">
        <v>648</v>
      </c>
      <c r="C651" s="372" t="s">
        <v>1070</v>
      </c>
      <c r="D651" s="372" t="s">
        <v>34</v>
      </c>
      <c r="E651" s="373">
        <v>45780</v>
      </c>
      <c r="F651" s="372" t="s">
        <v>701</v>
      </c>
      <c r="G651" s="372">
        <v>12</v>
      </c>
      <c r="H651" s="372" t="s">
        <v>22</v>
      </c>
      <c r="I651" s="372" t="s">
        <v>28</v>
      </c>
      <c r="J651" s="372" t="s">
        <v>29</v>
      </c>
      <c r="K651" s="372"/>
      <c r="L651" s="358"/>
      <c r="M651" s="358"/>
      <c r="N651" s="380"/>
      <c r="O651" s="380"/>
      <c r="P651" s="23" t="s">
        <v>1057</v>
      </c>
      <c r="Q651" s="23">
        <v>45819</v>
      </c>
      <c r="R651" s="81" t="s">
        <v>28</v>
      </c>
      <c r="S651" s="22" t="s">
        <v>1055</v>
      </c>
      <c r="T651" s="22">
        <v>12</v>
      </c>
      <c r="U651" s="24" t="s">
        <v>28</v>
      </c>
      <c r="V651" s="23">
        <v>45819</v>
      </c>
      <c r="W651" s="82" t="s">
        <v>30</v>
      </c>
      <c r="X651" s="85"/>
      <c r="Y651"/>
      <c r="Z651" s="412"/>
      <c r="AA651" s="412"/>
      <c r="AB651" s="412"/>
    </row>
    <row r="652" spans="1:30">
      <c r="A652" s="358" t="s">
        <v>24</v>
      </c>
      <c r="B652" s="369">
        <v>649</v>
      </c>
      <c r="C652" s="372" t="s">
        <v>1071</v>
      </c>
      <c r="D652" s="372" t="s">
        <v>26</v>
      </c>
      <c r="E652" s="373">
        <v>45780</v>
      </c>
      <c r="F652" s="372" t="s">
        <v>97</v>
      </c>
      <c r="G652" s="372">
        <v>18</v>
      </c>
      <c r="H652" s="372" t="s">
        <v>22</v>
      </c>
      <c r="I652" s="372" t="s">
        <v>28</v>
      </c>
      <c r="J652" s="372" t="s">
        <v>29</v>
      </c>
      <c r="K652" s="372"/>
      <c r="L652" s="358"/>
      <c r="M652" s="358"/>
      <c r="N652" s="94"/>
      <c r="O652" s="380" t="s">
        <v>31</v>
      </c>
      <c r="P652" s="23" t="s">
        <v>1057</v>
      </c>
      <c r="Q652" s="23">
        <v>45813</v>
      </c>
      <c r="R652" s="81" t="s">
        <v>28</v>
      </c>
      <c r="S652" s="22" t="s">
        <v>1055</v>
      </c>
      <c r="T652" s="22">
        <v>19</v>
      </c>
      <c r="U652" s="24" t="s">
        <v>28</v>
      </c>
      <c r="V652" s="23">
        <v>45813</v>
      </c>
      <c r="W652" s="82" t="s">
        <v>30</v>
      </c>
      <c r="X652" s="85"/>
      <c r="Y652"/>
      <c r="Z652" s="412"/>
      <c r="AA652" s="412"/>
      <c r="AB652" s="412"/>
    </row>
    <row r="653" spans="1:30">
      <c r="A653" s="358" t="s">
        <v>24</v>
      </c>
      <c r="B653" s="369">
        <v>650</v>
      </c>
      <c r="C653" s="372" t="s">
        <v>1072</v>
      </c>
      <c r="D653" s="372" t="s">
        <v>26</v>
      </c>
      <c r="E653" s="373">
        <v>45780</v>
      </c>
      <c r="F653" s="372" t="s">
        <v>1073</v>
      </c>
      <c r="G653" s="372">
        <v>10</v>
      </c>
      <c r="H653" s="372" t="s">
        <v>22</v>
      </c>
      <c r="I653" s="372" t="s">
        <v>28</v>
      </c>
      <c r="J653" s="372" t="s">
        <v>29</v>
      </c>
      <c r="K653" s="372"/>
      <c r="L653" s="358"/>
      <c r="M653" s="358"/>
      <c r="N653" s="380"/>
      <c r="O653" s="380"/>
      <c r="P653" s="23" t="s">
        <v>1057</v>
      </c>
      <c r="Q653" s="23">
        <v>45814</v>
      </c>
      <c r="R653" s="81" t="s">
        <v>28</v>
      </c>
      <c r="S653" s="22" t="s">
        <v>1055</v>
      </c>
      <c r="T653" s="22">
        <v>8</v>
      </c>
      <c r="U653" s="24" t="s">
        <v>28</v>
      </c>
      <c r="V653" s="23">
        <v>45814</v>
      </c>
      <c r="W653" s="82" t="s">
        <v>30</v>
      </c>
      <c r="X653" s="85"/>
      <c r="Y653"/>
      <c r="Z653" s="412"/>
      <c r="AA653" s="412"/>
      <c r="AB653" s="412"/>
    </row>
    <row r="654" spans="1:30">
      <c r="A654" s="358" t="s">
        <v>24</v>
      </c>
      <c r="B654" s="369">
        <v>651</v>
      </c>
      <c r="C654" s="372" t="s">
        <v>1074</v>
      </c>
      <c r="D654" s="372" t="s">
        <v>34</v>
      </c>
      <c r="E654" s="373">
        <v>45780</v>
      </c>
      <c r="F654" s="372" t="s">
        <v>927</v>
      </c>
      <c r="G654" s="372">
        <v>14</v>
      </c>
      <c r="H654" s="372" t="s">
        <v>46</v>
      </c>
      <c r="I654" s="372" t="s">
        <v>47</v>
      </c>
      <c r="J654" s="372" t="s">
        <v>29</v>
      </c>
      <c r="K654" s="93"/>
      <c r="L654" s="358"/>
      <c r="M654" s="358"/>
      <c r="N654" s="94"/>
      <c r="O654" s="380"/>
      <c r="P654" s="23" t="s">
        <v>1057</v>
      </c>
      <c r="Q654" s="23">
        <v>45825</v>
      </c>
      <c r="R654" s="81" t="s">
        <v>46</v>
      </c>
      <c r="S654" s="22" t="s">
        <v>1055</v>
      </c>
      <c r="T654" s="22">
        <v>14</v>
      </c>
      <c r="U654" s="24" t="s">
        <v>46</v>
      </c>
      <c r="V654" s="23">
        <v>45825</v>
      </c>
      <c r="W654" s="82" t="s">
        <v>30</v>
      </c>
      <c r="X654" s="85"/>
      <c r="Y654"/>
      <c r="Z654"/>
      <c r="AA654"/>
    </row>
    <row r="655" spans="1:30">
      <c r="A655" s="358" t="s">
        <v>24</v>
      </c>
      <c r="B655" s="369">
        <v>652</v>
      </c>
      <c r="C655" s="223" t="s">
        <v>1075</v>
      </c>
      <c r="D655" s="223" t="s">
        <v>374</v>
      </c>
      <c r="E655" s="224">
        <v>45783</v>
      </c>
      <c r="F655" s="223" t="s">
        <v>202</v>
      </c>
      <c r="G655" s="223">
        <v>7</v>
      </c>
      <c r="H655" s="223" t="s">
        <v>22</v>
      </c>
      <c r="I655" s="223" t="s">
        <v>28</v>
      </c>
      <c r="J655" s="372" t="s">
        <v>29</v>
      </c>
      <c r="K655" s="21" t="s">
        <v>1076</v>
      </c>
      <c r="L655" s="358"/>
      <c r="M655" s="358"/>
      <c r="N655" s="94"/>
      <c r="O655" s="380"/>
      <c r="P655" s="23" t="s">
        <v>30</v>
      </c>
      <c r="Q655" s="23">
        <v>45831</v>
      </c>
      <c r="R655" s="81" t="s">
        <v>1077</v>
      </c>
      <c r="S655" s="22" t="s">
        <v>1055</v>
      </c>
      <c r="T655" s="22">
        <v>7</v>
      </c>
      <c r="U655" s="22" t="s">
        <v>1077</v>
      </c>
      <c r="V655" s="23">
        <v>45831</v>
      </c>
      <c r="W655" s="82" t="s">
        <v>32</v>
      </c>
      <c r="X655" s="235"/>
      <c r="Y655"/>
      <c r="Z655"/>
      <c r="AA655"/>
    </row>
    <row r="656" spans="1:30">
      <c r="A656" s="358" t="s">
        <v>24</v>
      </c>
      <c r="B656" s="369">
        <v>653</v>
      </c>
      <c r="C656" s="223" t="s">
        <v>1078</v>
      </c>
      <c r="D656" s="223" t="s">
        <v>43</v>
      </c>
      <c r="E656" s="224">
        <v>45783</v>
      </c>
      <c r="F656" s="223" t="s">
        <v>202</v>
      </c>
      <c r="G656" s="223">
        <v>7</v>
      </c>
      <c r="H656" s="223" t="s">
        <v>22</v>
      </c>
      <c r="I656" s="223" t="s">
        <v>28</v>
      </c>
      <c r="J656" s="372" t="s">
        <v>29</v>
      </c>
      <c r="K656" s="21" t="s">
        <v>1076</v>
      </c>
      <c r="L656" s="358"/>
      <c r="M656" s="358"/>
      <c r="N656" s="380"/>
      <c r="O656" s="380"/>
      <c r="P656" s="23" t="s">
        <v>30</v>
      </c>
      <c r="Q656" s="23">
        <v>45831</v>
      </c>
      <c r="R656" s="81" t="s">
        <v>28</v>
      </c>
      <c r="S656" s="22" t="s">
        <v>1055</v>
      </c>
      <c r="T656" s="22">
        <v>7</v>
      </c>
      <c r="U656" s="24" t="s">
        <v>28</v>
      </c>
      <c r="V656" s="23">
        <v>45831</v>
      </c>
      <c r="W656" s="82" t="s">
        <v>32</v>
      </c>
      <c r="X656" s="235"/>
      <c r="Y656"/>
      <c r="Z656"/>
      <c r="AA656"/>
    </row>
    <row r="657" spans="1:28">
      <c r="A657" s="358" t="s">
        <v>24</v>
      </c>
      <c r="B657" s="369">
        <v>654</v>
      </c>
      <c r="C657" s="223" t="s">
        <v>1079</v>
      </c>
      <c r="D657" s="223" t="s">
        <v>50</v>
      </c>
      <c r="E657" s="224">
        <v>45783</v>
      </c>
      <c r="F657" s="223" t="s">
        <v>202</v>
      </c>
      <c r="G657" s="223">
        <v>7</v>
      </c>
      <c r="H657" s="223" t="s">
        <v>22</v>
      </c>
      <c r="I657" s="223" t="s">
        <v>28</v>
      </c>
      <c r="J657" s="372" t="s">
        <v>29</v>
      </c>
      <c r="K657" s="21" t="s">
        <v>1076</v>
      </c>
      <c r="L657" s="358"/>
      <c r="M657" s="358"/>
      <c r="N657" s="94"/>
      <c r="O657" s="380"/>
      <c r="P657" s="23" t="s">
        <v>30</v>
      </c>
      <c r="Q657" s="23">
        <v>45832</v>
      </c>
      <c r="R657" s="81" t="s">
        <v>28</v>
      </c>
      <c r="S657" s="22" t="s">
        <v>1055</v>
      </c>
      <c r="T657" s="22">
        <v>7</v>
      </c>
      <c r="U657" s="24" t="s">
        <v>28</v>
      </c>
      <c r="V657" s="23">
        <v>45832</v>
      </c>
      <c r="W657" s="82" t="s">
        <v>32</v>
      </c>
      <c r="X657" s="235"/>
      <c r="Y657"/>
      <c r="Z657"/>
      <c r="AA657"/>
    </row>
    <row r="658" spans="1:28">
      <c r="A658" s="358" t="s">
        <v>24</v>
      </c>
      <c r="B658" s="369">
        <v>655</v>
      </c>
      <c r="C658" s="231" t="s">
        <v>1080</v>
      </c>
      <c r="D658" s="231" t="s">
        <v>64</v>
      </c>
      <c r="E658" s="224">
        <v>45783</v>
      </c>
      <c r="F658" s="231" t="s">
        <v>1081</v>
      </c>
      <c r="G658" s="231">
        <v>12</v>
      </c>
      <c r="H658" s="231" t="s">
        <v>21</v>
      </c>
      <c r="I658" s="231" t="s">
        <v>127</v>
      </c>
      <c r="J658" s="372" t="s">
        <v>29</v>
      </c>
      <c r="K658" s="372"/>
      <c r="L658" s="358"/>
      <c r="M658" s="358"/>
      <c r="N658" s="380"/>
      <c r="O658" s="380"/>
      <c r="P658" s="23" t="s">
        <v>1057</v>
      </c>
      <c r="Q658" s="23">
        <v>45813</v>
      </c>
      <c r="R658" s="81" t="s">
        <v>127</v>
      </c>
      <c r="S658" s="22" t="s">
        <v>1055</v>
      </c>
      <c r="T658" s="22">
        <v>12</v>
      </c>
      <c r="U658" s="24" t="s">
        <v>127</v>
      </c>
      <c r="V658" s="23">
        <v>45813</v>
      </c>
      <c r="W658" s="82" t="s">
        <v>30</v>
      </c>
      <c r="X658" s="85"/>
      <c r="Y658"/>
      <c r="Z658"/>
      <c r="AA658"/>
    </row>
    <row r="659" spans="1:28">
      <c r="A659" s="358" t="s">
        <v>24</v>
      </c>
      <c r="B659" s="369">
        <v>656</v>
      </c>
      <c r="C659" s="223" t="s">
        <v>1082</v>
      </c>
      <c r="D659" s="223" t="s">
        <v>43</v>
      </c>
      <c r="E659" s="224">
        <v>45786</v>
      </c>
      <c r="F659" s="223" t="s">
        <v>659</v>
      </c>
      <c r="G659" s="223">
        <v>16</v>
      </c>
      <c r="H659" s="223" t="s">
        <v>22</v>
      </c>
      <c r="I659" s="223" t="s">
        <v>28</v>
      </c>
      <c r="J659" s="372" t="s">
        <v>29</v>
      </c>
      <c r="K659" s="372"/>
      <c r="L659" s="358"/>
      <c r="M659" s="358"/>
      <c r="N659" s="94"/>
      <c r="O659" s="380" t="s">
        <v>31</v>
      </c>
      <c r="P659" s="23" t="s">
        <v>1057</v>
      </c>
      <c r="Q659" s="23">
        <v>45813</v>
      </c>
      <c r="R659" s="81" t="s">
        <v>28</v>
      </c>
      <c r="S659" s="22" t="s">
        <v>1055</v>
      </c>
      <c r="T659" s="22">
        <v>16</v>
      </c>
      <c r="U659" s="24" t="s">
        <v>28</v>
      </c>
      <c r="V659" s="23">
        <v>45813</v>
      </c>
      <c r="W659" s="82" t="s">
        <v>30</v>
      </c>
      <c r="X659" s="85"/>
      <c r="Y659"/>
      <c r="Z659"/>
      <c r="AA659"/>
    </row>
    <row r="660" spans="1:28">
      <c r="A660" s="358" t="s">
        <v>24</v>
      </c>
      <c r="B660" s="369">
        <v>657</v>
      </c>
      <c r="C660" s="223" t="s">
        <v>1083</v>
      </c>
      <c r="D660" s="223" t="s">
        <v>64</v>
      </c>
      <c r="E660" s="224">
        <v>45786</v>
      </c>
      <c r="F660" s="223" t="s">
        <v>395</v>
      </c>
      <c r="G660" s="223">
        <v>19</v>
      </c>
      <c r="H660" s="223" t="s">
        <v>22</v>
      </c>
      <c r="I660" s="223" t="s">
        <v>28</v>
      </c>
      <c r="J660" s="372" t="s">
        <v>29</v>
      </c>
      <c r="K660" s="101"/>
      <c r="L660" s="358"/>
      <c r="M660" s="358"/>
      <c r="N660" s="380"/>
      <c r="O660" s="380" t="s">
        <v>31</v>
      </c>
      <c r="P660" s="23" t="s">
        <v>30</v>
      </c>
      <c r="Q660" s="23">
        <v>45842</v>
      </c>
      <c r="R660" s="81" t="s">
        <v>28</v>
      </c>
      <c r="S660" s="22" t="s">
        <v>32</v>
      </c>
      <c r="T660" s="22">
        <v>16</v>
      </c>
      <c r="U660" s="24" t="s">
        <v>28</v>
      </c>
      <c r="V660" s="23">
        <v>45842</v>
      </c>
      <c r="W660" s="82" t="s">
        <v>30</v>
      </c>
      <c r="X660" s="85"/>
      <c r="Y660"/>
      <c r="Z660"/>
      <c r="AA660"/>
    </row>
    <row r="661" spans="1:28">
      <c r="A661" s="358" t="s">
        <v>24</v>
      </c>
      <c r="B661" s="369">
        <v>658</v>
      </c>
      <c r="C661" s="223" t="s">
        <v>1084</v>
      </c>
      <c r="D661" s="223" t="s">
        <v>34</v>
      </c>
      <c r="E661" s="224">
        <v>45787</v>
      </c>
      <c r="F661" s="223" t="s">
        <v>106</v>
      </c>
      <c r="G661" s="223">
        <v>13</v>
      </c>
      <c r="H661" s="223" t="s">
        <v>22</v>
      </c>
      <c r="I661" s="223" t="s">
        <v>28</v>
      </c>
      <c r="J661" s="372" t="s">
        <v>29</v>
      </c>
      <c r="K661" s="23"/>
      <c r="L661" s="358"/>
      <c r="M661" s="22"/>
      <c r="N661" s="23"/>
      <c r="O661" s="380"/>
      <c r="P661" s="23" t="s">
        <v>30</v>
      </c>
      <c r="Q661" s="23">
        <v>45834</v>
      </c>
      <c r="R661" s="81" t="s">
        <v>28</v>
      </c>
      <c r="S661" s="22" t="s">
        <v>32</v>
      </c>
      <c r="T661" s="22">
        <v>13</v>
      </c>
      <c r="U661" s="24" t="s">
        <v>28</v>
      </c>
      <c r="V661" s="23">
        <v>45833</v>
      </c>
      <c r="W661" s="100" t="s">
        <v>30</v>
      </c>
      <c r="X661" s="235"/>
      <c r="Y661"/>
      <c r="Z661"/>
      <c r="AA661"/>
    </row>
    <row r="662" spans="1:28">
      <c r="A662" s="358" t="s">
        <v>24</v>
      </c>
      <c r="B662" s="369">
        <v>659</v>
      </c>
      <c r="C662" s="223" t="s">
        <v>1085</v>
      </c>
      <c r="D662" s="223" t="s">
        <v>34</v>
      </c>
      <c r="E662" s="224">
        <v>45787</v>
      </c>
      <c r="F662" s="223" t="s">
        <v>885</v>
      </c>
      <c r="G662" s="223">
        <v>11</v>
      </c>
      <c r="H662" s="223" t="s">
        <v>22</v>
      </c>
      <c r="I662" s="223" t="s">
        <v>28</v>
      </c>
      <c r="J662" s="372" t="s">
        <v>29</v>
      </c>
      <c r="K662" s="23"/>
      <c r="L662" s="358"/>
      <c r="M662" s="22"/>
      <c r="N662" s="23"/>
      <c r="O662" s="380"/>
      <c r="P662" s="23" t="s">
        <v>1057</v>
      </c>
      <c r="Q662" s="23">
        <v>45825</v>
      </c>
      <c r="R662" s="81" t="s">
        <v>28</v>
      </c>
      <c r="S662" s="22" t="s">
        <v>1055</v>
      </c>
      <c r="T662" s="22">
        <v>12</v>
      </c>
      <c r="U662" s="24" t="s">
        <v>28</v>
      </c>
      <c r="V662" s="23">
        <v>45825</v>
      </c>
      <c r="W662" s="82" t="s">
        <v>30</v>
      </c>
      <c r="X662" s="85"/>
      <c r="Y662"/>
      <c r="Z662" s="412"/>
      <c r="AA662" s="412"/>
      <c r="AB662" s="412"/>
    </row>
    <row r="663" spans="1:28">
      <c r="A663" s="358" t="s">
        <v>24</v>
      </c>
      <c r="B663" s="369">
        <v>660</v>
      </c>
      <c r="C663" s="223" t="s">
        <v>1086</v>
      </c>
      <c r="D663" s="223" t="s">
        <v>34</v>
      </c>
      <c r="E663" s="224">
        <v>45787</v>
      </c>
      <c r="F663" s="223" t="s">
        <v>1087</v>
      </c>
      <c r="G663" s="223">
        <v>12</v>
      </c>
      <c r="H663" s="223" t="s">
        <v>22</v>
      </c>
      <c r="I663" s="223" t="s">
        <v>28</v>
      </c>
      <c r="J663" s="372" t="s">
        <v>29</v>
      </c>
      <c r="K663" s="23"/>
      <c r="L663" s="358"/>
      <c r="M663" s="22"/>
      <c r="N663" s="23"/>
      <c r="O663" s="380"/>
      <c r="P663" s="23" t="s">
        <v>1057</v>
      </c>
      <c r="Q663" s="23">
        <v>45834</v>
      </c>
      <c r="R663" s="81" t="s">
        <v>37</v>
      </c>
      <c r="S663" s="22" t="s">
        <v>1055</v>
      </c>
      <c r="T663" s="22">
        <v>12</v>
      </c>
      <c r="U663" s="22" t="s">
        <v>37</v>
      </c>
      <c r="V663" s="23">
        <v>45834</v>
      </c>
      <c r="W663" s="82" t="s">
        <v>30</v>
      </c>
      <c r="X663" s="85"/>
      <c r="Y663"/>
      <c r="Z663" s="412"/>
      <c r="AA663" s="412"/>
      <c r="AB663" s="412"/>
    </row>
    <row r="664" spans="1:28">
      <c r="A664" s="358" t="s">
        <v>24</v>
      </c>
      <c r="B664" s="369">
        <v>661</v>
      </c>
      <c r="C664" s="223" t="s">
        <v>1088</v>
      </c>
      <c r="D664" s="223" t="s">
        <v>64</v>
      </c>
      <c r="E664" s="224">
        <v>45787</v>
      </c>
      <c r="F664" s="223" t="s">
        <v>701</v>
      </c>
      <c r="G664" s="223">
        <v>13</v>
      </c>
      <c r="H664" s="223" t="s">
        <v>22</v>
      </c>
      <c r="I664" s="223" t="s">
        <v>28</v>
      </c>
      <c r="J664" s="372" t="s">
        <v>29</v>
      </c>
      <c r="K664" s="23"/>
      <c r="L664" s="358"/>
      <c r="M664" s="22"/>
      <c r="N664" s="23"/>
      <c r="O664" s="380"/>
      <c r="P664" s="23" t="s">
        <v>1057</v>
      </c>
      <c r="Q664" s="23">
        <v>45828</v>
      </c>
      <c r="R664" s="81" t="s">
        <v>1077</v>
      </c>
      <c r="S664" s="22" t="s">
        <v>1055</v>
      </c>
      <c r="T664" s="22">
        <v>10</v>
      </c>
      <c r="U664" s="22" t="s">
        <v>1077</v>
      </c>
      <c r="V664" s="23">
        <v>45828</v>
      </c>
      <c r="W664" s="82" t="s">
        <v>30</v>
      </c>
      <c r="X664" s="85"/>
      <c r="Y664"/>
      <c r="Z664" s="412"/>
      <c r="AA664" s="412"/>
      <c r="AB664" s="412"/>
    </row>
    <row r="665" spans="1:28">
      <c r="A665" s="358" t="s">
        <v>24</v>
      </c>
      <c r="B665" s="369">
        <v>662</v>
      </c>
      <c r="C665" s="223" t="s">
        <v>1089</v>
      </c>
      <c r="D665" s="223" t="s">
        <v>178</v>
      </c>
      <c r="E665" s="224">
        <v>45787</v>
      </c>
      <c r="F665" s="223" t="s">
        <v>701</v>
      </c>
      <c r="G665" s="223">
        <v>18</v>
      </c>
      <c r="H665" s="223" t="s">
        <v>22</v>
      </c>
      <c r="I665" s="223" t="s">
        <v>28</v>
      </c>
      <c r="J665" s="372" t="s">
        <v>29</v>
      </c>
      <c r="K665" s="23"/>
      <c r="L665" s="93"/>
      <c r="M665" s="22"/>
      <c r="N665" s="23"/>
      <c r="O665" s="380" t="s">
        <v>31</v>
      </c>
      <c r="P665" s="23" t="s">
        <v>1063</v>
      </c>
      <c r="Q665" s="23">
        <v>45828</v>
      </c>
      <c r="R665" s="81" t="s">
        <v>48</v>
      </c>
      <c r="S665" s="22" t="s">
        <v>32</v>
      </c>
      <c r="T665" s="22">
        <v>16</v>
      </c>
      <c r="U665" s="24" t="s">
        <v>48</v>
      </c>
      <c r="V665" s="23">
        <v>45828</v>
      </c>
      <c r="W665" s="82" t="s">
        <v>30</v>
      </c>
      <c r="X665" s="85"/>
      <c r="Y665"/>
      <c r="Z665"/>
      <c r="AA665"/>
    </row>
    <row r="666" spans="1:28">
      <c r="A666" s="358" t="s">
        <v>24</v>
      </c>
      <c r="B666" s="369">
        <v>663</v>
      </c>
      <c r="C666" s="223" t="s">
        <v>1090</v>
      </c>
      <c r="D666" s="223" t="s">
        <v>34</v>
      </c>
      <c r="E666" s="224">
        <v>45787</v>
      </c>
      <c r="F666" s="223" t="s">
        <v>93</v>
      </c>
      <c r="G666" s="223">
        <v>12</v>
      </c>
      <c r="H666" s="223" t="s">
        <v>22</v>
      </c>
      <c r="I666" s="223" t="s">
        <v>28</v>
      </c>
      <c r="J666" s="372" t="s">
        <v>29</v>
      </c>
      <c r="K666" s="101"/>
      <c r="L666" s="93"/>
      <c r="M666" s="22"/>
      <c r="N666" s="23"/>
      <c r="O666" s="380"/>
      <c r="P666" s="23" t="s">
        <v>32</v>
      </c>
      <c r="Q666" s="23">
        <v>45842</v>
      </c>
      <c r="R666" s="81" t="s">
        <v>28</v>
      </c>
      <c r="S666" s="22" t="s">
        <v>1091</v>
      </c>
      <c r="T666" s="22">
        <v>12</v>
      </c>
      <c r="U666" s="22" t="s">
        <v>28</v>
      </c>
      <c r="V666" s="23">
        <v>45842</v>
      </c>
      <c r="W666" s="82" t="s">
        <v>30</v>
      </c>
      <c r="X666" s="85"/>
      <c r="Y666"/>
      <c r="Z666"/>
      <c r="AA666"/>
    </row>
    <row r="667" spans="1:28">
      <c r="A667" s="358" t="s">
        <v>24</v>
      </c>
      <c r="B667" s="369">
        <v>664</v>
      </c>
      <c r="C667" s="223" t="s">
        <v>1092</v>
      </c>
      <c r="D667" s="223" t="s">
        <v>34</v>
      </c>
      <c r="E667" s="224">
        <v>45787</v>
      </c>
      <c r="F667" s="223" t="s">
        <v>126</v>
      </c>
      <c r="G667" s="223">
        <v>5</v>
      </c>
      <c r="H667" s="223" t="s">
        <v>111</v>
      </c>
      <c r="I667" s="223" t="s">
        <v>28</v>
      </c>
      <c r="J667" s="372" t="s">
        <v>29</v>
      </c>
      <c r="K667" s="23"/>
      <c r="L667" s="358"/>
      <c r="M667" s="22"/>
      <c r="N667" s="23"/>
      <c r="O667" s="380"/>
      <c r="P667" s="23" t="s">
        <v>1063</v>
      </c>
      <c r="Q667" s="23">
        <v>45812</v>
      </c>
      <c r="R667" s="81" t="s">
        <v>67</v>
      </c>
      <c r="S667" s="22" t="s">
        <v>1057</v>
      </c>
      <c r="T667" s="22">
        <v>5</v>
      </c>
      <c r="U667" s="24" t="s">
        <v>67</v>
      </c>
      <c r="V667" s="23">
        <v>45812</v>
      </c>
      <c r="W667" s="82" t="s">
        <v>30</v>
      </c>
      <c r="X667" s="85"/>
      <c r="Y667"/>
      <c r="Z667"/>
      <c r="AA667"/>
    </row>
    <row r="668" spans="1:28">
      <c r="A668" s="358" t="s">
        <v>24</v>
      </c>
      <c r="B668" s="369">
        <v>665</v>
      </c>
      <c r="C668" s="223" t="s">
        <v>1093</v>
      </c>
      <c r="D668" s="223" t="s">
        <v>102</v>
      </c>
      <c r="E668" s="224">
        <v>45787</v>
      </c>
      <c r="F668" s="223" t="s">
        <v>646</v>
      </c>
      <c r="G668" s="223">
        <v>10</v>
      </c>
      <c r="H668" s="223" t="s">
        <v>46</v>
      </c>
      <c r="I668" s="223" t="s">
        <v>47</v>
      </c>
      <c r="J668" s="372" t="s">
        <v>29</v>
      </c>
      <c r="K668" s="23"/>
      <c r="L668" s="93"/>
      <c r="M668" s="22"/>
      <c r="N668" s="23"/>
      <c r="O668" s="380"/>
      <c r="P668" s="23" t="s">
        <v>30</v>
      </c>
      <c r="Q668" s="23">
        <v>45807</v>
      </c>
      <c r="R668" s="81" t="s">
        <v>47</v>
      </c>
      <c r="S668" s="22" t="s">
        <v>32</v>
      </c>
      <c r="T668" s="22">
        <v>10</v>
      </c>
      <c r="U668" s="24" t="s">
        <v>47</v>
      </c>
      <c r="V668" s="23">
        <v>45807</v>
      </c>
      <c r="W668" s="82" t="s">
        <v>30</v>
      </c>
      <c r="X668" s="85"/>
      <c r="Y668"/>
      <c r="Z668"/>
      <c r="AA668"/>
    </row>
    <row r="669" spans="1:28">
      <c r="A669" s="358" t="s">
        <v>24</v>
      </c>
      <c r="B669" s="369">
        <v>666</v>
      </c>
      <c r="C669" s="223" t="s">
        <v>1094</v>
      </c>
      <c r="D669" s="223" t="s">
        <v>34</v>
      </c>
      <c r="E669" s="224">
        <v>45787</v>
      </c>
      <c r="F669" s="223" t="s">
        <v>1095</v>
      </c>
      <c r="G669" s="223">
        <v>20</v>
      </c>
      <c r="H669" s="223" t="s">
        <v>46</v>
      </c>
      <c r="I669" s="223" t="s">
        <v>47</v>
      </c>
      <c r="J669" s="372" t="s">
        <v>29</v>
      </c>
      <c r="K669" s="23" t="s">
        <v>1096</v>
      </c>
      <c r="L669" s="358"/>
      <c r="M669" s="22"/>
      <c r="N669" s="23"/>
      <c r="O669" s="380" t="s">
        <v>31</v>
      </c>
      <c r="P669" s="23" t="s">
        <v>30</v>
      </c>
      <c r="Q669" s="23">
        <v>45814</v>
      </c>
      <c r="R669" s="81" t="s">
        <v>47</v>
      </c>
      <c r="S669" s="22" t="s">
        <v>32</v>
      </c>
      <c r="T669" s="22">
        <v>20</v>
      </c>
      <c r="U669" s="24" t="s">
        <v>47</v>
      </c>
      <c r="V669" s="23">
        <v>45814</v>
      </c>
      <c r="W669" s="95" t="s">
        <v>30</v>
      </c>
      <c r="X669" s="235"/>
      <c r="Y669"/>
      <c r="Z669"/>
      <c r="AA669"/>
    </row>
    <row r="670" spans="1:28">
      <c r="A670" s="358" t="s">
        <v>24</v>
      </c>
      <c r="B670" s="369">
        <v>667</v>
      </c>
      <c r="C670" s="223" t="s">
        <v>1097</v>
      </c>
      <c r="D670" s="223" t="s">
        <v>34</v>
      </c>
      <c r="E670" s="224">
        <v>45787</v>
      </c>
      <c r="F670" s="223" t="s">
        <v>65</v>
      </c>
      <c r="G670" s="223">
        <v>12</v>
      </c>
      <c r="H670" s="223" t="s">
        <v>46</v>
      </c>
      <c r="I670" s="223" t="s">
        <v>47</v>
      </c>
      <c r="J670" s="372" t="s">
        <v>29</v>
      </c>
      <c r="K670" s="23"/>
      <c r="L670" s="372"/>
      <c r="M670" s="22"/>
      <c r="N670" s="23"/>
      <c r="O670" s="380"/>
      <c r="P670" s="23" t="s">
        <v>30</v>
      </c>
      <c r="Q670" s="23">
        <v>45817</v>
      </c>
      <c r="R670" s="81" t="s">
        <v>47</v>
      </c>
      <c r="S670" s="22" t="s">
        <v>32</v>
      </c>
      <c r="T670" s="22">
        <v>12</v>
      </c>
      <c r="U670" s="24" t="s">
        <v>47</v>
      </c>
      <c r="V670" s="23">
        <v>45817</v>
      </c>
      <c r="W670" s="82" t="s">
        <v>30</v>
      </c>
      <c r="X670" s="85"/>
      <c r="Y670"/>
      <c r="Z670"/>
      <c r="AA670"/>
    </row>
    <row r="671" spans="1:28">
      <c r="A671" s="358" t="s">
        <v>24</v>
      </c>
      <c r="B671" s="369">
        <v>668</v>
      </c>
      <c r="C671" s="223" t="s">
        <v>1098</v>
      </c>
      <c r="D671" s="223" t="s">
        <v>374</v>
      </c>
      <c r="E671" s="224">
        <v>45787</v>
      </c>
      <c r="F671" s="223" t="s">
        <v>914</v>
      </c>
      <c r="G671" s="223">
        <v>16</v>
      </c>
      <c r="H671" s="223" t="s">
        <v>21</v>
      </c>
      <c r="I671" s="223" t="s">
        <v>127</v>
      </c>
      <c r="J671" s="372" t="s">
        <v>29</v>
      </c>
      <c r="K671" s="23"/>
      <c r="L671" s="21"/>
      <c r="M671" s="22"/>
      <c r="N671" s="23"/>
      <c r="O671" s="380" t="s">
        <v>31</v>
      </c>
      <c r="P671" s="23" t="s">
        <v>1057</v>
      </c>
      <c r="Q671" s="23">
        <v>45819</v>
      </c>
      <c r="R671" s="81" t="s">
        <v>127</v>
      </c>
      <c r="S671" s="22" t="s">
        <v>1055</v>
      </c>
      <c r="T671" s="22">
        <v>16</v>
      </c>
      <c r="U671" s="24" t="s">
        <v>127</v>
      </c>
      <c r="V671" s="23">
        <v>45819</v>
      </c>
      <c r="W671" s="82" t="s">
        <v>30</v>
      </c>
      <c r="X671" s="85"/>
      <c r="Y671"/>
      <c r="Z671"/>
      <c r="AA671"/>
    </row>
    <row r="672" spans="1:28">
      <c r="A672" s="358" t="s">
        <v>24</v>
      </c>
      <c r="B672" s="369">
        <v>669</v>
      </c>
      <c r="C672" s="223" t="s">
        <v>1099</v>
      </c>
      <c r="D672" s="223" t="s">
        <v>34</v>
      </c>
      <c r="E672" s="224">
        <v>45787</v>
      </c>
      <c r="F672" s="223" t="s">
        <v>87</v>
      </c>
      <c r="G672" s="223">
        <v>6</v>
      </c>
      <c r="H672" s="223" t="s">
        <v>21</v>
      </c>
      <c r="I672" s="223" t="s">
        <v>127</v>
      </c>
      <c r="J672" s="372" t="s">
        <v>29</v>
      </c>
      <c r="K672" s="23"/>
      <c r="L672" s="358"/>
      <c r="M672" s="22"/>
      <c r="N672" s="23"/>
      <c r="O672" s="380" t="s">
        <v>66</v>
      </c>
      <c r="P672" s="23" t="s">
        <v>1057</v>
      </c>
      <c r="Q672" s="23">
        <v>45838</v>
      </c>
      <c r="R672" s="81" t="s">
        <v>127</v>
      </c>
      <c r="S672" s="22" t="s">
        <v>1055</v>
      </c>
      <c r="T672" s="22">
        <v>6</v>
      </c>
      <c r="U672" s="24" t="s">
        <v>127</v>
      </c>
      <c r="V672" s="23">
        <v>45838</v>
      </c>
      <c r="W672" s="82" t="s">
        <v>30</v>
      </c>
      <c r="X672" s="85"/>
      <c r="Y672"/>
      <c r="Z672"/>
      <c r="AA672"/>
    </row>
    <row r="673" spans="1:28">
      <c r="A673" s="358" t="s">
        <v>24</v>
      </c>
      <c r="B673" s="369">
        <v>670</v>
      </c>
      <c r="C673" s="372" t="s">
        <v>1100</v>
      </c>
      <c r="D673" s="372" t="s">
        <v>34</v>
      </c>
      <c r="E673" s="373">
        <v>45787</v>
      </c>
      <c r="F673" s="223" t="s">
        <v>87</v>
      </c>
      <c r="G673" s="372">
        <v>12</v>
      </c>
      <c r="H673" s="372" t="s">
        <v>21</v>
      </c>
      <c r="I673" s="372" t="s">
        <v>127</v>
      </c>
      <c r="J673" s="372" t="s">
        <v>29</v>
      </c>
      <c r="K673" s="23"/>
      <c r="L673" s="21"/>
      <c r="M673" s="22"/>
      <c r="N673" s="23"/>
      <c r="O673" s="380"/>
      <c r="P673" s="23" t="s">
        <v>1057</v>
      </c>
      <c r="Q673" s="23">
        <v>45819</v>
      </c>
      <c r="R673" s="81" t="s">
        <v>127</v>
      </c>
      <c r="S673" s="22" t="s">
        <v>1057</v>
      </c>
      <c r="T673" s="22">
        <v>12</v>
      </c>
      <c r="U673" s="24" t="s">
        <v>127</v>
      </c>
      <c r="V673" s="23">
        <v>45819</v>
      </c>
      <c r="W673" s="82" t="s">
        <v>30</v>
      </c>
      <c r="X673" s="85"/>
      <c r="Y673"/>
      <c r="Z673"/>
      <c r="AA673"/>
    </row>
    <row r="674" spans="1:28">
      <c r="A674" s="358" t="s">
        <v>24</v>
      </c>
      <c r="B674" s="369">
        <v>671</v>
      </c>
      <c r="C674" s="372" t="s">
        <v>1101</v>
      </c>
      <c r="D674" s="372" t="s">
        <v>34</v>
      </c>
      <c r="E674" s="373">
        <v>45787</v>
      </c>
      <c r="F674" s="372" t="s">
        <v>187</v>
      </c>
      <c r="G674" s="372">
        <v>10</v>
      </c>
      <c r="H674" s="372" t="s">
        <v>21</v>
      </c>
      <c r="I674" s="372" t="s">
        <v>127</v>
      </c>
      <c r="J674" s="372" t="s">
        <v>29</v>
      </c>
      <c r="K674" s="23" t="s">
        <v>273</v>
      </c>
      <c r="L674" s="372"/>
      <c r="M674" s="22"/>
      <c r="N674" s="23"/>
      <c r="O674" s="380"/>
      <c r="P674" s="23" t="s">
        <v>30</v>
      </c>
      <c r="Q674" s="23">
        <v>45819</v>
      </c>
      <c r="R674" s="81" t="s">
        <v>127</v>
      </c>
      <c r="S674" s="22" t="s">
        <v>1055</v>
      </c>
      <c r="T674" s="22">
        <v>10</v>
      </c>
      <c r="U674" s="24" t="s">
        <v>127</v>
      </c>
      <c r="V674" s="23">
        <v>45819</v>
      </c>
      <c r="W674" s="95" t="s">
        <v>30</v>
      </c>
      <c r="X674" s="235"/>
      <c r="Y674"/>
      <c r="Z674" s="412"/>
      <c r="AA674" s="412"/>
      <c r="AB674" s="412"/>
    </row>
    <row r="675" spans="1:28">
      <c r="A675" s="358" t="s">
        <v>24</v>
      </c>
      <c r="B675" s="369">
        <v>672</v>
      </c>
      <c r="C675" s="372" t="s">
        <v>1102</v>
      </c>
      <c r="D675" s="372" t="s">
        <v>34</v>
      </c>
      <c r="E675" s="373">
        <v>45787</v>
      </c>
      <c r="F675" s="372" t="s">
        <v>35</v>
      </c>
      <c r="G675" s="372">
        <v>10</v>
      </c>
      <c r="H675" s="372" t="s">
        <v>21</v>
      </c>
      <c r="I675" s="372" t="s">
        <v>127</v>
      </c>
      <c r="J675" s="372" t="s">
        <v>29</v>
      </c>
      <c r="K675" s="23"/>
      <c r="L675" s="21"/>
      <c r="M675" s="22"/>
      <c r="N675" s="23"/>
      <c r="O675" s="380"/>
      <c r="P675" s="23" t="s">
        <v>1057</v>
      </c>
      <c r="Q675" s="23">
        <v>45819</v>
      </c>
      <c r="R675" s="81" t="s">
        <v>127</v>
      </c>
      <c r="S675" s="22" t="s">
        <v>1063</v>
      </c>
      <c r="T675" s="22">
        <v>10</v>
      </c>
      <c r="U675" s="24" t="s">
        <v>127</v>
      </c>
      <c r="V675" s="23">
        <v>45819</v>
      </c>
      <c r="W675" s="82" t="s">
        <v>30</v>
      </c>
      <c r="X675" s="85"/>
      <c r="Y675"/>
      <c r="Z675" s="412"/>
      <c r="AA675" s="412"/>
      <c r="AB675" s="412"/>
    </row>
    <row r="676" spans="1:28">
      <c r="A676" s="358" t="s">
        <v>24</v>
      </c>
      <c r="B676" s="369">
        <v>673</v>
      </c>
      <c r="C676" s="372" t="s">
        <v>1103</v>
      </c>
      <c r="D676" s="372" t="s">
        <v>34</v>
      </c>
      <c r="E676" s="373">
        <v>45789</v>
      </c>
      <c r="F676" s="372" t="s">
        <v>1095</v>
      </c>
      <c r="G676" s="372">
        <v>14</v>
      </c>
      <c r="H676" s="372" t="s">
        <v>46</v>
      </c>
      <c r="I676" s="372" t="s">
        <v>47</v>
      </c>
      <c r="J676" s="372" t="s">
        <v>29</v>
      </c>
      <c r="K676" s="23" t="s">
        <v>1096</v>
      </c>
      <c r="L676" s="358"/>
      <c r="M676" s="22"/>
      <c r="N676" s="23"/>
      <c r="O676" s="380"/>
      <c r="P676" s="23" t="s">
        <v>30</v>
      </c>
      <c r="Q676" s="23">
        <v>45819</v>
      </c>
      <c r="R676" s="81" t="s">
        <v>47</v>
      </c>
      <c r="S676" s="22" t="s">
        <v>32</v>
      </c>
      <c r="T676" s="22">
        <v>13</v>
      </c>
      <c r="U676" s="24" t="s">
        <v>47</v>
      </c>
      <c r="V676" s="23">
        <v>45819</v>
      </c>
      <c r="W676" s="95" t="s">
        <v>1057</v>
      </c>
      <c r="X676" s="235"/>
      <c r="Y676"/>
      <c r="Z676" s="412"/>
      <c r="AA676" s="412"/>
      <c r="AB676" s="412"/>
    </row>
    <row r="677" spans="1:28">
      <c r="A677" s="358" t="s">
        <v>24</v>
      </c>
      <c r="B677" s="369">
        <v>674</v>
      </c>
      <c r="C677" s="372" t="s">
        <v>1104</v>
      </c>
      <c r="D677" s="372" t="s">
        <v>178</v>
      </c>
      <c r="E677" s="373">
        <v>45790</v>
      </c>
      <c r="F677" s="372" t="s">
        <v>1105</v>
      </c>
      <c r="G677" s="372">
        <v>31</v>
      </c>
      <c r="H677" s="372" t="s">
        <v>22</v>
      </c>
      <c r="I677" s="372" t="s">
        <v>28</v>
      </c>
      <c r="J677" s="372" t="s">
        <v>29</v>
      </c>
      <c r="K677" s="23" t="s">
        <v>1069</v>
      </c>
      <c r="L677" s="21"/>
      <c r="M677" s="22"/>
      <c r="N677" s="23"/>
      <c r="O677" s="380" t="s">
        <v>31</v>
      </c>
      <c r="P677" s="23" t="s">
        <v>1057</v>
      </c>
      <c r="Q677" s="23">
        <v>45833</v>
      </c>
      <c r="R677" s="81" t="s">
        <v>46</v>
      </c>
      <c r="S677" s="22" t="s">
        <v>1055</v>
      </c>
      <c r="T677" s="22">
        <v>11</v>
      </c>
      <c r="U677" s="24" t="s">
        <v>46</v>
      </c>
      <c r="V677" s="23">
        <v>45833</v>
      </c>
      <c r="W677" s="82" t="s">
        <v>30</v>
      </c>
      <c r="X677" s="85"/>
      <c r="Y677"/>
      <c r="Z677" s="412"/>
      <c r="AA677" s="412"/>
      <c r="AB677" s="412"/>
    </row>
    <row r="678" spans="1:28">
      <c r="A678" s="358" t="s">
        <v>24</v>
      </c>
      <c r="B678" s="369">
        <v>675</v>
      </c>
      <c r="C678" s="372" t="s">
        <v>1106</v>
      </c>
      <c r="D678" s="372" t="s">
        <v>129</v>
      </c>
      <c r="E678" s="373">
        <v>45791</v>
      </c>
      <c r="F678" s="372" t="s">
        <v>1105</v>
      </c>
      <c r="G678" s="372">
        <v>11</v>
      </c>
      <c r="H678" s="372" t="s">
        <v>22</v>
      </c>
      <c r="I678" s="372" t="s">
        <v>28</v>
      </c>
      <c r="J678" s="372" t="s">
        <v>29</v>
      </c>
      <c r="K678" s="101"/>
      <c r="L678" s="21"/>
      <c r="M678" s="22"/>
      <c r="N678" s="23"/>
      <c r="O678" s="380"/>
      <c r="P678" s="23" t="s">
        <v>30</v>
      </c>
      <c r="Q678" s="23">
        <v>45842</v>
      </c>
      <c r="R678" s="81" t="s">
        <v>28</v>
      </c>
      <c r="S678" s="22" t="s">
        <v>32</v>
      </c>
      <c r="T678" s="22">
        <v>11</v>
      </c>
      <c r="U678" s="22" t="s">
        <v>28</v>
      </c>
      <c r="V678" s="23">
        <v>45842</v>
      </c>
      <c r="W678" s="82" t="s">
        <v>30</v>
      </c>
      <c r="X678" s="85"/>
      <c r="Y678"/>
      <c r="Z678" s="412"/>
      <c r="AA678" s="412"/>
      <c r="AB678" s="412"/>
    </row>
    <row r="679" spans="1:28">
      <c r="A679" s="358" t="s">
        <v>24</v>
      </c>
      <c r="B679" s="369">
        <v>676</v>
      </c>
      <c r="C679" s="372" t="s">
        <v>1107</v>
      </c>
      <c r="D679" s="372" t="s">
        <v>50</v>
      </c>
      <c r="E679" s="373">
        <v>45791</v>
      </c>
      <c r="F679" s="372" t="s">
        <v>1081</v>
      </c>
      <c r="G679" s="372">
        <v>12</v>
      </c>
      <c r="H679" s="372" t="s">
        <v>21</v>
      </c>
      <c r="I679" s="372" t="s">
        <v>127</v>
      </c>
      <c r="J679" s="372" t="s">
        <v>29</v>
      </c>
      <c r="K679" s="93"/>
      <c r="L679" s="21"/>
      <c r="M679" s="22"/>
      <c r="N679" s="23"/>
      <c r="O679" s="380"/>
      <c r="P679" s="23" t="s">
        <v>1057</v>
      </c>
      <c r="Q679" s="23">
        <v>45813</v>
      </c>
      <c r="R679" s="81" t="s">
        <v>127</v>
      </c>
      <c r="S679" s="22" t="s">
        <v>1055</v>
      </c>
      <c r="T679" s="22">
        <v>12</v>
      </c>
      <c r="U679" s="24" t="s">
        <v>127</v>
      </c>
      <c r="V679" s="23">
        <v>45813</v>
      </c>
      <c r="W679" s="82" t="s">
        <v>30</v>
      </c>
      <c r="X679" s="85"/>
      <c r="Y679"/>
      <c r="Z679" s="412"/>
      <c r="AA679" s="412"/>
      <c r="AB679" s="412"/>
    </row>
    <row r="680" spans="1:28">
      <c r="A680" s="358" t="s">
        <v>24</v>
      </c>
      <c r="B680" s="369">
        <v>677</v>
      </c>
      <c r="C680" s="372" t="s">
        <v>1108</v>
      </c>
      <c r="D680" s="372" t="s">
        <v>34</v>
      </c>
      <c r="E680" s="373">
        <v>45794</v>
      </c>
      <c r="F680" s="372" t="s">
        <v>324</v>
      </c>
      <c r="G680" s="372">
        <v>12</v>
      </c>
      <c r="H680" s="375" t="s">
        <v>21</v>
      </c>
      <c r="I680" s="372" t="s">
        <v>127</v>
      </c>
      <c r="J680" s="372" t="s">
        <v>29</v>
      </c>
      <c r="K680" s="21"/>
      <c r="L680" s="21"/>
      <c r="M680" s="22"/>
      <c r="N680" s="23"/>
      <c r="O680" s="380"/>
      <c r="P680" s="23" t="s">
        <v>1057</v>
      </c>
      <c r="Q680" s="23">
        <v>45819</v>
      </c>
      <c r="R680" s="81" t="s">
        <v>127</v>
      </c>
      <c r="S680" s="22" t="s">
        <v>1055</v>
      </c>
      <c r="T680" s="22">
        <v>12</v>
      </c>
      <c r="U680" s="24" t="s">
        <v>127</v>
      </c>
      <c r="V680" s="23">
        <v>45819</v>
      </c>
      <c r="W680" s="82" t="s">
        <v>30</v>
      </c>
      <c r="X680" s="85"/>
      <c r="Y680"/>
      <c r="Z680" s="412"/>
      <c r="AA680" s="412"/>
      <c r="AB680" s="412"/>
    </row>
    <row r="681" spans="1:28">
      <c r="A681" s="358" t="s">
        <v>24</v>
      </c>
      <c r="B681" s="369">
        <v>678</v>
      </c>
      <c r="C681" s="372" t="s">
        <v>1109</v>
      </c>
      <c r="D681" s="372" t="s">
        <v>50</v>
      </c>
      <c r="E681" s="373">
        <v>45794</v>
      </c>
      <c r="F681" s="372" t="s">
        <v>1110</v>
      </c>
      <c r="G681" s="372">
        <v>12</v>
      </c>
      <c r="H681" s="375" t="s">
        <v>21</v>
      </c>
      <c r="I681" s="372" t="s">
        <v>127</v>
      </c>
      <c r="J681" s="372" t="s">
        <v>29</v>
      </c>
      <c r="K681" s="21"/>
      <c r="L681" s="21"/>
      <c r="M681" s="22"/>
      <c r="N681" s="23"/>
      <c r="O681" s="380"/>
      <c r="P681" s="23" t="s">
        <v>1057</v>
      </c>
      <c r="Q681" s="23">
        <v>45811</v>
      </c>
      <c r="R681" s="81" t="s">
        <v>127</v>
      </c>
      <c r="S681" s="22" t="s">
        <v>1055</v>
      </c>
      <c r="T681" s="22">
        <v>12</v>
      </c>
      <c r="U681" s="24" t="s">
        <v>127</v>
      </c>
      <c r="V681" s="23">
        <v>45811</v>
      </c>
      <c r="W681" s="82" t="s">
        <v>30</v>
      </c>
      <c r="X681" s="85"/>
      <c r="Y681"/>
      <c r="Z681" s="412"/>
      <c r="AA681" s="412"/>
      <c r="AB681" s="412"/>
    </row>
    <row r="682" spans="1:28">
      <c r="A682" s="358" t="s">
        <v>24</v>
      </c>
      <c r="B682" s="369">
        <v>679</v>
      </c>
      <c r="C682" s="372" t="s">
        <v>1111</v>
      </c>
      <c r="D682" s="372" t="s">
        <v>34</v>
      </c>
      <c r="E682" s="373">
        <v>45794</v>
      </c>
      <c r="F682" s="372" t="s">
        <v>35</v>
      </c>
      <c r="G682" s="372">
        <v>9</v>
      </c>
      <c r="H682" s="372" t="s">
        <v>21</v>
      </c>
      <c r="I682" s="372" t="s">
        <v>127</v>
      </c>
      <c r="J682" s="372" t="s">
        <v>29</v>
      </c>
      <c r="K682" s="21"/>
      <c r="L682" s="93"/>
      <c r="M682" s="22"/>
      <c r="N682" s="23"/>
      <c r="O682" s="380"/>
      <c r="P682" s="23" t="s">
        <v>1057</v>
      </c>
      <c r="Q682" s="23">
        <v>45813</v>
      </c>
      <c r="R682" s="81" t="s">
        <v>21</v>
      </c>
      <c r="S682" s="22" t="s">
        <v>1055</v>
      </c>
      <c r="T682" s="22">
        <v>9</v>
      </c>
      <c r="U682" s="24" t="s">
        <v>21</v>
      </c>
      <c r="V682" s="23">
        <v>45813</v>
      </c>
      <c r="W682" s="82" t="s">
        <v>30</v>
      </c>
      <c r="X682" s="85"/>
      <c r="Y682"/>
      <c r="Z682" s="412"/>
      <c r="AA682" s="412"/>
      <c r="AB682" s="412"/>
    </row>
    <row r="683" spans="1:28">
      <c r="A683" s="358" t="s">
        <v>24</v>
      </c>
      <c r="B683" s="369">
        <v>680</v>
      </c>
      <c r="C683" s="372" t="s">
        <v>1112</v>
      </c>
      <c r="D683" s="372" t="s">
        <v>34</v>
      </c>
      <c r="E683" s="373">
        <v>45794</v>
      </c>
      <c r="F683" s="372" t="s">
        <v>1113</v>
      </c>
      <c r="G683" s="372">
        <v>6</v>
      </c>
      <c r="H683" s="375" t="s">
        <v>21</v>
      </c>
      <c r="I683" s="372" t="s">
        <v>127</v>
      </c>
      <c r="J683" s="372" t="s">
        <v>29</v>
      </c>
      <c r="K683" s="21"/>
      <c r="L683" s="21"/>
      <c r="M683" s="22"/>
      <c r="N683" s="23"/>
      <c r="O683" s="380"/>
      <c r="P683" s="23" t="s">
        <v>1057</v>
      </c>
      <c r="Q683" s="23">
        <v>45811</v>
      </c>
      <c r="R683" s="81" t="s">
        <v>21</v>
      </c>
      <c r="S683" s="22" t="s">
        <v>1055</v>
      </c>
      <c r="T683" s="22">
        <v>6</v>
      </c>
      <c r="U683" s="24" t="s">
        <v>21</v>
      </c>
      <c r="V683" s="23">
        <v>45811</v>
      </c>
      <c r="W683" s="82" t="s">
        <v>30</v>
      </c>
      <c r="X683" s="85"/>
      <c r="Y683"/>
      <c r="Z683"/>
      <c r="AA683"/>
    </row>
    <row r="684" spans="1:28">
      <c r="A684" s="358" t="s">
        <v>24</v>
      </c>
      <c r="B684" s="369">
        <v>681</v>
      </c>
      <c r="C684" s="372" t="s">
        <v>1114</v>
      </c>
      <c r="D684" s="372" t="s">
        <v>234</v>
      </c>
      <c r="E684" s="373">
        <v>45794</v>
      </c>
      <c r="F684" s="372" t="s">
        <v>1113</v>
      </c>
      <c r="G684" s="372">
        <v>6</v>
      </c>
      <c r="H684" s="375" t="s">
        <v>21</v>
      </c>
      <c r="I684" s="372" t="s">
        <v>127</v>
      </c>
      <c r="J684" s="372" t="s">
        <v>29</v>
      </c>
      <c r="K684" s="93"/>
      <c r="L684" s="21"/>
      <c r="M684" s="22"/>
      <c r="N684" s="23"/>
      <c r="O684" s="380"/>
      <c r="P684" s="23" t="s">
        <v>1057</v>
      </c>
      <c r="Q684" s="23">
        <v>45812</v>
      </c>
      <c r="R684" s="81" t="s">
        <v>21</v>
      </c>
      <c r="S684" s="22" t="s">
        <v>1055</v>
      </c>
      <c r="T684" s="22">
        <v>6</v>
      </c>
      <c r="U684" s="24" t="s">
        <v>21</v>
      </c>
      <c r="V684" s="23">
        <v>45812</v>
      </c>
      <c r="W684" s="82" t="s">
        <v>30</v>
      </c>
      <c r="X684" s="85"/>
      <c r="Y684"/>
      <c r="Z684"/>
      <c r="AA684"/>
    </row>
    <row r="685" spans="1:28">
      <c r="A685" s="358" t="s">
        <v>24</v>
      </c>
      <c r="B685" s="369">
        <v>682</v>
      </c>
      <c r="C685" s="372" t="s">
        <v>1115</v>
      </c>
      <c r="D685" s="372" t="s">
        <v>34</v>
      </c>
      <c r="E685" s="373">
        <v>45794</v>
      </c>
      <c r="F685" s="372" t="s">
        <v>117</v>
      </c>
      <c r="G685" s="372">
        <v>10</v>
      </c>
      <c r="H685" s="375" t="s">
        <v>22</v>
      </c>
      <c r="I685" s="372" t="s">
        <v>28</v>
      </c>
      <c r="J685" s="372" t="s">
        <v>29</v>
      </c>
      <c r="K685" s="93"/>
      <c r="L685" s="21"/>
      <c r="M685" s="22"/>
      <c r="N685" s="23"/>
      <c r="O685" s="380"/>
      <c r="P685" s="23" t="s">
        <v>1063</v>
      </c>
      <c r="Q685" s="23">
        <v>45828</v>
      </c>
      <c r="R685" s="81" t="s">
        <v>48</v>
      </c>
      <c r="S685" s="22" t="s">
        <v>1063</v>
      </c>
      <c r="T685" s="22">
        <v>13</v>
      </c>
      <c r="U685" s="24" t="s">
        <v>48</v>
      </c>
      <c r="V685" s="23">
        <v>45828</v>
      </c>
      <c r="W685" s="82" t="s">
        <v>30</v>
      </c>
      <c r="X685" s="85"/>
      <c r="Y685"/>
      <c r="Z685"/>
      <c r="AA685"/>
    </row>
    <row r="686" spans="1:28">
      <c r="A686" s="358" t="s">
        <v>24</v>
      </c>
      <c r="B686" s="369">
        <v>683</v>
      </c>
      <c r="C686" s="372" t="s">
        <v>1116</v>
      </c>
      <c r="D686" s="372" t="s">
        <v>34</v>
      </c>
      <c r="E686" s="373">
        <v>45794</v>
      </c>
      <c r="F686" s="372" t="s">
        <v>93</v>
      </c>
      <c r="G686" s="372">
        <v>12</v>
      </c>
      <c r="H686" s="375" t="s">
        <v>22</v>
      </c>
      <c r="I686" s="372" t="s">
        <v>28</v>
      </c>
      <c r="J686" s="372" t="s">
        <v>29</v>
      </c>
      <c r="K686" s="21" t="s">
        <v>283</v>
      </c>
      <c r="L686" s="21"/>
      <c r="M686" s="22"/>
      <c r="N686" s="23"/>
      <c r="O686" s="380"/>
      <c r="P686" s="23" t="s">
        <v>1057</v>
      </c>
      <c r="Q686" s="23">
        <v>45835</v>
      </c>
      <c r="R686" s="81" t="s">
        <v>48</v>
      </c>
      <c r="S686" s="22" t="s">
        <v>1055</v>
      </c>
      <c r="T686" s="22">
        <v>12</v>
      </c>
      <c r="U686" s="24" t="s">
        <v>48</v>
      </c>
      <c r="V686" s="23">
        <v>45835</v>
      </c>
      <c r="W686" s="100" t="s">
        <v>30</v>
      </c>
      <c r="X686" s="235"/>
      <c r="Y686"/>
      <c r="Z686"/>
      <c r="AA686"/>
    </row>
    <row r="687" spans="1:28">
      <c r="A687" s="358" t="s">
        <v>24</v>
      </c>
      <c r="B687" s="369">
        <v>684</v>
      </c>
      <c r="C687" s="372" t="s">
        <v>1117</v>
      </c>
      <c r="D687" s="372" t="s">
        <v>26</v>
      </c>
      <c r="E687" s="373">
        <v>45794</v>
      </c>
      <c r="F687" s="372" t="s">
        <v>912</v>
      </c>
      <c r="G687" s="372">
        <v>12</v>
      </c>
      <c r="H687" s="375" t="s">
        <v>22</v>
      </c>
      <c r="I687" s="372" t="s">
        <v>28</v>
      </c>
      <c r="J687" s="372" t="s">
        <v>29</v>
      </c>
      <c r="K687" s="21"/>
      <c r="L687" s="358"/>
      <c r="M687" s="22"/>
      <c r="N687" s="23"/>
      <c r="O687" s="380"/>
      <c r="P687" s="23" t="s">
        <v>1057</v>
      </c>
      <c r="Q687" s="23">
        <v>45826</v>
      </c>
      <c r="R687" s="81" t="s">
        <v>1077</v>
      </c>
      <c r="S687" s="22" t="s">
        <v>1055</v>
      </c>
      <c r="T687" s="22">
        <v>10</v>
      </c>
      <c r="U687" s="22" t="s">
        <v>1077</v>
      </c>
      <c r="V687" s="23">
        <v>45826</v>
      </c>
      <c r="W687" s="100" t="s">
        <v>30</v>
      </c>
      <c r="X687" s="85"/>
      <c r="Y687"/>
      <c r="Z687"/>
      <c r="AA687"/>
    </row>
    <row r="688" spans="1:28">
      <c r="A688" s="358" t="s">
        <v>24</v>
      </c>
      <c r="B688" s="369">
        <v>685</v>
      </c>
      <c r="C688" s="372" t="s">
        <v>1118</v>
      </c>
      <c r="D688" s="372" t="s">
        <v>34</v>
      </c>
      <c r="E688" s="373">
        <v>45794</v>
      </c>
      <c r="F688" s="372" t="s">
        <v>206</v>
      </c>
      <c r="G688" s="372">
        <v>16</v>
      </c>
      <c r="H688" s="375" t="s">
        <v>22</v>
      </c>
      <c r="I688" s="372" t="s">
        <v>28</v>
      </c>
      <c r="J688" s="372" t="s">
        <v>29</v>
      </c>
      <c r="K688" s="101"/>
      <c r="L688" s="358"/>
      <c r="M688" s="22"/>
      <c r="N688" s="23"/>
      <c r="O688" s="380" t="s">
        <v>31</v>
      </c>
      <c r="P688" s="23" t="s">
        <v>30</v>
      </c>
      <c r="Q688" s="23">
        <v>45842</v>
      </c>
      <c r="R688" s="81" t="s">
        <v>28</v>
      </c>
      <c r="S688" s="23" t="s">
        <v>30</v>
      </c>
      <c r="T688" s="22"/>
      <c r="U688" s="24" t="s">
        <v>28</v>
      </c>
      <c r="V688" s="23">
        <v>45842</v>
      </c>
      <c r="W688" s="100" t="s">
        <v>30</v>
      </c>
      <c r="X688" s="235"/>
      <c r="Y688"/>
      <c r="Z688"/>
      <c r="AA688"/>
    </row>
    <row r="689" spans="1:31">
      <c r="A689" s="358" t="s">
        <v>24</v>
      </c>
      <c r="B689" s="369">
        <v>686</v>
      </c>
      <c r="C689" s="372" t="s">
        <v>1119</v>
      </c>
      <c r="D689" s="372" t="s">
        <v>34</v>
      </c>
      <c r="E689" s="373">
        <v>45794</v>
      </c>
      <c r="F689" s="372" t="s">
        <v>165</v>
      </c>
      <c r="G689" s="372">
        <v>5</v>
      </c>
      <c r="H689" s="375" t="s">
        <v>46</v>
      </c>
      <c r="I689" s="372" t="s">
        <v>47</v>
      </c>
      <c r="J689" s="372" t="s">
        <v>29</v>
      </c>
      <c r="K689" s="21"/>
      <c r="L689" s="21"/>
      <c r="M689" s="22"/>
      <c r="N689" s="23"/>
      <c r="O689" s="380" t="s">
        <v>66</v>
      </c>
      <c r="P689" s="23" t="s">
        <v>30</v>
      </c>
      <c r="Q689" s="23">
        <v>45819</v>
      </c>
      <c r="R689" s="81" t="s">
        <v>47</v>
      </c>
      <c r="S689" s="22" t="s">
        <v>32</v>
      </c>
      <c r="T689" s="22">
        <v>5</v>
      </c>
      <c r="U689" s="24" t="s">
        <v>47</v>
      </c>
      <c r="V689" s="23">
        <v>45819</v>
      </c>
      <c r="W689" s="82" t="s">
        <v>30</v>
      </c>
      <c r="X689" s="85"/>
      <c r="Y689"/>
      <c r="Z689"/>
      <c r="AA689"/>
    </row>
    <row r="690" spans="1:31">
      <c r="A690" s="358" t="s">
        <v>24</v>
      </c>
      <c r="B690" s="369">
        <v>687</v>
      </c>
      <c r="C690" s="372" t="s">
        <v>1120</v>
      </c>
      <c r="D690" s="372" t="s">
        <v>34</v>
      </c>
      <c r="E690" s="373">
        <v>45794</v>
      </c>
      <c r="F690" s="372" t="s">
        <v>165</v>
      </c>
      <c r="G690" s="372">
        <v>14</v>
      </c>
      <c r="H690" s="375" t="s">
        <v>46</v>
      </c>
      <c r="I690" s="372" t="s">
        <v>47</v>
      </c>
      <c r="J690" s="372" t="s">
        <v>29</v>
      </c>
      <c r="K690" s="93"/>
      <c r="L690" s="21"/>
      <c r="M690" s="22"/>
      <c r="N690" s="23"/>
      <c r="O690" s="380"/>
      <c r="P690" s="23" t="s">
        <v>30</v>
      </c>
      <c r="Q690" s="23">
        <v>45842</v>
      </c>
      <c r="R690" s="81" t="s">
        <v>47</v>
      </c>
      <c r="S690" s="22" t="s">
        <v>1055</v>
      </c>
      <c r="T690" s="22">
        <v>14</v>
      </c>
      <c r="U690" s="24" t="s">
        <v>47</v>
      </c>
      <c r="V690" s="23">
        <v>45842</v>
      </c>
      <c r="W690" s="82" t="s">
        <v>30</v>
      </c>
      <c r="X690" s="85"/>
      <c r="Y690"/>
      <c r="Z690"/>
      <c r="AA690"/>
    </row>
    <row r="691" spans="1:31">
      <c r="A691" s="358" t="s">
        <v>24</v>
      </c>
      <c r="B691" s="369">
        <v>688</v>
      </c>
      <c r="C691" s="372" t="s">
        <v>1121</v>
      </c>
      <c r="D691" s="372" t="s">
        <v>34</v>
      </c>
      <c r="E691" s="373">
        <v>45794</v>
      </c>
      <c r="F691" s="372" t="s">
        <v>1122</v>
      </c>
      <c r="G691" s="372">
        <v>12</v>
      </c>
      <c r="H691" s="375" t="s">
        <v>46</v>
      </c>
      <c r="I691" s="372" t="s">
        <v>47</v>
      </c>
      <c r="J691" s="372" t="s">
        <v>29</v>
      </c>
      <c r="K691" s="21"/>
      <c r="L691" s="21"/>
      <c r="M691" s="22"/>
      <c r="N691" s="23"/>
      <c r="O691" s="380"/>
      <c r="P691" s="23" t="s">
        <v>30</v>
      </c>
      <c r="Q691" s="23">
        <v>45826</v>
      </c>
      <c r="R691" s="81" t="s">
        <v>47</v>
      </c>
      <c r="S691" s="22" t="s">
        <v>32</v>
      </c>
      <c r="T691" s="22">
        <v>12</v>
      </c>
      <c r="U691" s="24" t="s">
        <v>47</v>
      </c>
      <c r="V691" s="23">
        <v>45826</v>
      </c>
      <c r="W691" s="82" t="s">
        <v>30</v>
      </c>
      <c r="X691" s="85"/>
      <c r="Y691"/>
      <c r="Z691" s="412"/>
      <c r="AA691" s="412"/>
      <c r="AB691" s="412"/>
    </row>
    <row r="692" spans="1:31">
      <c r="A692" s="358" t="s">
        <v>24</v>
      </c>
      <c r="B692" s="369">
        <v>689</v>
      </c>
      <c r="C692" s="372" t="s">
        <v>1123</v>
      </c>
      <c r="D692" s="372" t="s">
        <v>406</v>
      </c>
      <c r="E692" s="373">
        <v>45794</v>
      </c>
      <c r="F692" s="372" t="s">
        <v>1124</v>
      </c>
      <c r="G692" s="372">
        <v>6</v>
      </c>
      <c r="H692" s="375" t="s">
        <v>46</v>
      </c>
      <c r="I692" s="372" t="s">
        <v>47</v>
      </c>
      <c r="J692" s="372" t="s">
        <v>29</v>
      </c>
      <c r="K692" s="21" t="s">
        <v>1125</v>
      </c>
      <c r="L692" s="21"/>
      <c r="M692" s="22"/>
      <c r="N692" s="23"/>
      <c r="O692" s="380"/>
      <c r="P692" s="23" t="s">
        <v>30</v>
      </c>
      <c r="Q692" s="23">
        <v>45825</v>
      </c>
      <c r="R692" s="81" t="s">
        <v>48</v>
      </c>
      <c r="S692" s="22" t="s">
        <v>32</v>
      </c>
      <c r="T692" s="22">
        <v>6</v>
      </c>
      <c r="U692" s="24" t="s">
        <v>48</v>
      </c>
      <c r="V692" s="23">
        <v>45825</v>
      </c>
      <c r="W692" s="82" t="s">
        <v>32</v>
      </c>
      <c r="X692" s="235"/>
      <c r="Y692"/>
      <c r="Z692"/>
      <c r="AA692"/>
    </row>
    <row r="693" spans="1:31">
      <c r="A693" s="358" t="s">
        <v>24</v>
      </c>
      <c r="B693" s="369">
        <v>690</v>
      </c>
      <c r="C693" s="234" t="s">
        <v>1126</v>
      </c>
      <c r="D693" s="234" t="s">
        <v>716</v>
      </c>
      <c r="E693" s="233">
        <v>45794</v>
      </c>
      <c r="F693" s="372" t="s">
        <v>1124</v>
      </c>
      <c r="G693" s="234">
        <v>6</v>
      </c>
      <c r="H693" s="234" t="s">
        <v>46</v>
      </c>
      <c r="I693" s="234" t="s">
        <v>47</v>
      </c>
      <c r="J693" s="372" t="s">
        <v>29</v>
      </c>
      <c r="K693" s="21" t="s">
        <v>1125</v>
      </c>
      <c r="L693" s="21"/>
      <c r="M693" s="22"/>
      <c r="N693" s="23"/>
      <c r="O693" s="23"/>
      <c r="P693" s="23" t="s">
        <v>30</v>
      </c>
      <c r="Q693" s="23">
        <v>45825</v>
      </c>
      <c r="R693" s="81" t="s">
        <v>48</v>
      </c>
      <c r="S693" s="22" t="s">
        <v>32</v>
      </c>
      <c r="T693" s="22">
        <v>6</v>
      </c>
      <c r="U693" s="24" t="s">
        <v>48</v>
      </c>
      <c r="V693" s="23">
        <v>45825</v>
      </c>
      <c r="W693" s="82" t="s">
        <v>32</v>
      </c>
      <c r="X693" s="235"/>
      <c r="Y693" s="91"/>
      <c r="Z693" s="88"/>
      <c r="AA693" s="92"/>
      <c r="AB693" s="88"/>
      <c r="AC693" s="72"/>
      <c r="AD693" s="72"/>
      <c r="AE693" s="72"/>
    </row>
    <row r="694" spans="1:31">
      <c r="A694" s="358" t="s">
        <v>24</v>
      </c>
      <c r="B694" s="369">
        <v>691</v>
      </c>
      <c r="C694" s="234" t="s">
        <v>1127</v>
      </c>
      <c r="D694" s="234" t="s">
        <v>34</v>
      </c>
      <c r="E694" s="233">
        <v>45794</v>
      </c>
      <c r="F694" s="372" t="s">
        <v>1128</v>
      </c>
      <c r="G694" s="234">
        <v>8</v>
      </c>
      <c r="H694" s="234" t="s">
        <v>46</v>
      </c>
      <c r="I694" s="234" t="s">
        <v>47</v>
      </c>
      <c r="J694" s="372" t="s">
        <v>29</v>
      </c>
      <c r="K694" s="21"/>
      <c r="L694" s="21"/>
      <c r="M694" s="22"/>
      <c r="N694" s="23"/>
      <c r="O694" s="23"/>
      <c r="P694" s="23" t="s">
        <v>30</v>
      </c>
      <c r="Q694" s="23">
        <v>45826</v>
      </c>
      <c r="R694" s="81" t="s">
        <v>47</v>
      </c>
      <c r="S694" s="22" t="s">
        <v>32</v>
      </c>
      <c r="T694" s="22">
        <v>8</v>
      </c>
      <c r="U694" s="24" t="s">
        <v>47</v>
      </c>
      <c r="V694" s="23">
        <v>45826</v>
      </c>
      <c r="W694" s="82" t="s">
        <v>30</v>
      </c>
      <c r="X694" s="85"/>
      <c r="Y694"/>
      <c r="Z694"/>
      <c r="AA694"/>
    </row>
    <row r="695" spans="1:31">
      <c r="A695" s="358" t="s">
        <v>24</v>
      </c>
      <c r="B695" s="369">
        <v>692</v>
      </c>
      <c r="C695" s="234" t="s">
        <v>1129</v>
      </c>
      <c r="D695" s="234" t="s">
        <v>34</v>
      </c>
      <c r="E695" s="233">
        <v>45794</v>
      </c>
      <c r="F695" s="372" t="s">
        <v>494</v>
      </c>
      <c r="G695" s="234">
        <v>12</v>
      </c>
      <c r="H695" s="234" t="s">
        <v>46</v>
      </c>
      <c r="I695" s="234" t="s">
        <v>47</v>
      </c>
      <c r="J695" s="372" t="s">
        <v>29</v>
      </c>
      <c r="K695" s="21"/>
      <c r="L695" s="21"/>
      <c r="M695" s="22"/>
      <c r="N695" s="23"/>
      <c r="O695" s="23"/>
      <c r="P695" s="23" t="s">
        <v>30</v>
      </c>
      <c r="Q695" s="23">
        <v>45832</v>
      </c>
      <c r="R695" s="81" t="s">
        <v>47</v>
      </c>
      <c r="S695" s="22" t="s">
        <v>32</v>
      </c>
      <c r="T695" s="22">
        <v>12</v>
      </c>
      <c r="U695" s="24" t="s">
        <v>47</v>
      </c>
      <c r="V695" s="23">
        <v>45832</v>
      </c>
      <c r="W695" s="82" t="s">
        <v>30</v>
      </c>
      <c r="X695" s="85"/>
      <c r="Y695"/>
      <c r="Z695"/>
      <c r="AA695"/>
      <c r="AB695" s="88"/>
      <c r="AC695" s="72"/>
      <c r="AD695" s="72"/>
      <c r="AE695" s="72"/>
    </row>
    <row r="696" spans="1:31">
      <c r="A696" s="358" t="s">
        <v>24</v>
      </c>
      <c r="B696" s="369">
        <v>693</v>
      </c>
      <c r="C696" s="234" t="s">
        <v>1130</v>
      </c>
      <c r="D696" s="234" t="s">
        <v>1131</v>
      </c>
      <c r="E696" s="233">
        <v>45796</v>
      </c>
      <c r="F696" s="372" t="s">
        <v>1132</v>
      </c>
      <c r="G696" s="234">
        <v>13</v>
      </c>
      <c r="H696" s="234" t="s">
        <v>21</v>
      </c>
      <c r="I696" s="234" t="s">
        <v>127</v>
      </c>
      <c r="J696" s="372" t="s">
        <v>29</v>
      </c>
      <c r="K696" s="21"/>
      <c r="L696" s="21"/>
      <c r="M696" s="22"/>
      <c r="N696" s="23"/>
      <c r="O696" s="23"/>
      <c r="P696" s="23" t="s">
        <v>1057</v>
      </c>
      <c r="Q696" s="23">
        <v>45812</v>
      </c>
      <c r="R696" s="81" t="s">
        <v>21</v>
      </c>
      <c r="S696" s="22" t="s">
        <v>1055</v>
      </c>
      <c r="T696" s="22">
        <v>13</v>
      </c>
      <c r="U696" s="24" t="s">
        <v>21</v>
      </c>
      <c r="V696" s="23">
        <v>45812</v>
      </c>
      <c r="W696" s="82" t="s">
        <v>30</v>
      </c>
      <c r="X696" s="85"/>
      <c r="Y696"/>
      <c r="Z696"/>
      <c r="AA696"/>
    </row>
    <row r="697" spans="1:31">
      <c r="A697" s="358" t="s">
        <v>24</v>
      </c>
      <c r="B697" s="369">
        <v>694</v>
      </c>
      <c r="C697" s="381" t="s">
        <v>1133</v>
      </c>
      <c r="D697" s="234" t="s">
        <v>102</v>
      </c>
      <c r="E697" s="233">
        <v>45796</v>
      </c>
      <c r="F697" s="372" t="s">
        <v>439</v>
      </c>
      <c r="G697" s="234">
        <v>15</v>
      </c>
      <c r="H697" s="234" t="s">
        <v>22</v>
      </c>
      <c r="I697" s="234" t="s">
        <v>28</v>
      </c>
      <c r="J697" s="372" t="s">
        <v>29</v>
      </c>
      <c r="K697" s="21" t="s">
        <v>1069</v>
      </c>
      <c r="L697" s="21"/>
      <c r="M697" s="22"/>
      <c r="N697" s="23"/>
      <c r="O697" s="380" t="s">
        <v>31</v>
      </c>
      <c r="P697" s="23" t="s">
        <v>1057</v>
      </c>
      <c r="Q697" s="23">
        <v>45833</v>
      </c>
      <c r="R697" s="81" t="s">
        <v>37</v>
      </c>
      <c r="S697" s="22" t="s">
        <v>1055</v>
      </c>
      <c r="T697" s="22">
        <v>13</v>
      </c>
      <c r="U697" s="22" t="s">
        <v>37</v>
      </c>
      <c r="V697" s="23">
        <v>45833</v>
      </c>
      <c r="W697" s="82" t="s">
        <v>30</v>
      </c>
      <c r="X697" s="85"/>
      <c r="Y697"/>
      <c r="Z697"/>
      <c r="AA697"/>
      <c r="AB697" s="88"/>
      <c r="AC697" s="72"/>
      <c r="AD697" s="72"/>
      <c r="AE697" s="72"/>
    </row>
    <row r="698" spans="1:31">
      <c r="A698" s="358" t="s">
        <v>24</v>
      </c>
      <c r="B698" s="369">
        <v>695</v>
      </c>
      <c r="C698" s="234" t="s">
        <v>1134</v>
      </c>
      <c r="D698" s="234" t="s">
        <v>43</v>
      </c>
      <c r="E698" s="233">
        <v>45796</v>
      </c>
      <c r="F698" s="372" t="s">
        <v>1135</v>
      </c>
      <c r="G698" s="234">
        <v>17</v>
      </c>
      <c r="H698" s="234" t="s">
        <v>21</v>
      </c>
      <c r="I698" s="234" t="s">
        <v>127</v>
      </c>
      <c r="J698" s="372" t="s">
        <v>29</v>
      </c>
      <c r="K698" s="21"/>
      <c r="L698" s="21"/>
      <c r="M698" s="22"/>
      <c r="N698" s="23"/>
      <c r="O698" s="380" t="s">
        <v>31</v>
      </c>
      <c r="P698" s="23" t="s">
        <v>1057</v>
      </c>
      <c r="Q698" s="23">
        <v>45810</v>
      </c>
      <c r="R698" s="81" t="s">
        <v>21</v>
      </c>
      <c r="S698" s="22" t="s">
        <v>1055</v>
      </c>
      <c r="T698" s="22">
        <v>17</v>
      </c>
      <c r="U698" s="24" t="s">
        <v>21</v>
      </c>
      <c r="V698" s="23">
        <v>45810</v>
      </c>
      <c r="W698" s="82" t="s">
        <v>30</v>
      </c>
      <c r="X698" s="85"/>
      <c r="Y698"/>
      <c r="Z698"/>
      <c r="AA698"/>
    </row>
    <row r="699" spans="1:31">
      <c r="A699" s="358" t="s">
        <v>24</v>
      </c>
      <c r="B699" s="369">
        <v>696</v>
      </c>
      <c r="C699" s="381" t="s">
        <v>1136</v>
      </c>
      <c r="D699" s="234" t="s">
        <v>102</v>
      </c>
      <c r="E699" s="233">
        <v>45797</v>
      </c>
      <c r="F699" s="372" t="s">
        <v>1137</v>
      </c>
      <c r="G699" s="234">
        <v>8</v>
      </c>
      <c r="H699" s="234" t="s">
        <v>22</v>
      </c>
      <c r="I699" s="234" t="s">
        <v>28</v>
      </c>
      <c r="J699" s="372" t="s">
        <v>29</v>
      </c>
      <c r="K699" s="21" t="s">
        <v>283</v>
      </c>
      <c r="L699" s="21"/>
      <c r="M699" s="22"/>
      <c r="N699" s="23"/>
      <c r="O699" s="23"/>
      <c r="P699" s="23" t="s">
        <v>30</v>
      </c>
      <c r="Q699" s="23">
        <v>45833</v>
      </c>
      <c r="R699" s="81" t="s">
        <v>1138</v>
      </c>
      <c r="S699" s="22" t="s">
        <v>1055</v>
      </c>
      <c r="T699" s="22">
        <v>10</v>
      </c>
      <c r="U699" s="22" t="s">
        <v>1138</v>
      </c>
      <c r="V699" s="23">
        <v>45833</v>
      </c>
      <c r="W699" s="95" t="s">
        <v>30</v>
      </c>
      <c r="X699" s="85"/>
      <c r="Y699"/>
      <c r="Z699"/>
      <c r="AA699"/>
    </row>
    <row r="700" spans="1:31">
      <c r="A700" s="358" t="s">
        <v>24</v>
      </c>
      <c r="B700" s="369">
        <v>697</v>
      </c>
      <c r="C700" s="381" t="s">
        <v>1139</v>
      </c>
      <c r="D700" s="234" t="s">
        <v>374</v>
      </c>
      <c r="E700" s="233">
        <v>45798</v>
      </c>
      <c r="F700" s="372" t="s">
        <v>202</v>
      </c>
      <c r="G700" s="234">
        <v>8</v>
      </c>
      <c r="H700" s="234" t="s">
        <v>22</v>
      </c>
      <c r="I700" s="234" t="s">
        <v>28</v>
      </c>
      <c r="J700" s="372" t="s">
        <v>29</v>
      </c>
      <c r="K700" s="21"/>
      <c r="L700" s="21"/>
      <c r="M700" s="22"/>
      <c r="N700" s="23"/>
      <c r="O700" s="380" t="s">
        <v>31</v>
      </c>
      <c r="P700" s="23" t="s">
        <v>1057</v>
      </c>
      <c r="Q700" s="23">
        <v>45831</v>
      </c>
      <c r="R700" s="81" t="s">
        <v>37</v>
      </c>
      <c r="S700" s="22" t="s">
        <v>1140</v>
      </c>
      <c r="T700" s="22">
        <v>8</v>
      </c>
      <c r="U700" s="22" t="s">
        <v>37</v>
      </c>
      <c r="V700" s="23">
        <v>45831</v>
      </c>
      <c r="W700" s="82" t="s">
        <v>30</v>
      </c>
      <c r="X700" s="85"/>
      <c r="Y700"/>
      <c r="Z700"/>
      <c r="AA700"/>
      <c r="AB700" s="88"/>
      <c r="AC700" s="72"/>
      <c r="AD700" s="72"/>
      <c r="AE700" s="72"/>
    </row>
    <row r="701" spans="1:31">
      <c r="A701" s="358" t="s">
        <v>24</v>
      </c>
      <c r="B701" s="369">
        <v>698</v>
      </c>
      <c r="C701" s="234" t="s">
        <v>1141</v>
      </c>
      <c r="D701" s="234" t="s">
        <v>43</v>
      </c>
      <c r="E701" s="233">
        <v>45798</v>
      </c>
      <c r="F701" s="372" t="s">
        <v>202</v>
      </c>
      <c r="G701" s="234">
        <v>8</v>
      </c>
      <c r="H701" s="234" t="s">
        <v>22</v>
      </c>
      <c r="I701" s="234" t="s">
        <v>28</v>
      </c>
      <c r="J701" s="372" t="s">
        <v>29</v>
      </c>
      <c r="K701" s="21"/>
      <c r="L701" s="21"/>
      <c r="M701" s="22"/>
      <c r="N701" s="23"/>
      <c r="O701" s="23"/>
      <c r="P701" s="23" t="s">
        <v>1057</v>
      </c>
      <c r="Q701" s="23">
        <v>45831</v>
      </c>
      <c r="R701" s="81" t="s">
        <v>37</v>
      </c>
      <c r="S701" s="22" t="s">
        <v>1140</v>
      </c>
      <c r="T701" s="22">
        <v>8</v>
      </c>
      <c r="U701" s="22" t="s">
        <v>37</v>
      </c>
      <c r="V701" s="23">
        <v>45831</v>
      </c>
      <c r="W701" s="82" t="s">
        <v>30</v>
      </c>
      <c r="X701" s="85"/>
      <c r="Y701"/>
      <c r="Z701"/>
      <c r="AA701"/>
    </row>
    <row r="702" spans="1:31">
      <c r="A702" s="358" t="s">
        <v>24</v>
      </c>
      <c r="B702" s="369">
        <v>699</v>
      </c>
      <c r="C702" s="234" t="s">
        <v>1142</v>
      </c>
      <c r="D702" s="234" t="s">
        <v>50</v>
      </c>
      <c r="E702" s="233">
        <v>45798</v>
      </c>
      <c r="F702" s="372" t="s">
        <v>202</v>
      </c>
      <c r="G702" s="234">
        <v>8</v>
      </c>
      <c r="H702" s="234" t="s">
        <v>22</v>
      </c>
      <c r="I702" s="234" t="s">
        <v>28</v>
      </c>
      <c r="J702" s="372" t="s">
        <v>29</v>
      </c>
      <c r="K702" s="21"/>
      <c r="L702" s="21"/>
      <c r="M702" s="22"/>
      <c r="N702" s="23"/>
      <c r="O702" s="23"/>
      <c r="P702" s="23" t="s">
        <v>1057</v>
      </c>
      <c r="Q702" s="23">
        <v>45831</v>
      </c>
      <c r="R702" s="81" t="s">
        <v>37</v>
      </c>
      <c r="S702" s="22" t="s">
        <v>1140</v>
      </c>
      <c r="T702" s="22">
        <v>8</v>
      </c>
      <c r="U702" s="22" t="s">
        <v>37</v>
      </c>
      <c r="V702" s="23">
        <v>45831</v>
      </c>
      <c r="W702" s="82" t="s">
        <v>30</v>
      </c>
      <c r="X702" s="85"/>
      <c r="Y702"/>
      <c r="Z702"/>
      <c r="AA702"/>
    </row>
    <row r="703" spans="1:31">
      <c r="A703" s="358" t="s">
        <v>24</v>
      </c>
      <c r="B703" s="369">
        <v>700</v>
      </c>
      <c r="C703" s="234" t="s">
        <v>1143</v>
      </c>
      <c r="D703" s="234" t="s">
        <v>64</v>
      </c>
      <c r="E703" s="233">
        <v>45800</v>
      </c>
      <c r="F703" s="372" t="s">
        <v>683</v>
      </c>
      <c r="G703" s="234">
        <v>13</v>
      </c>
      <c r="H703" s="234" t="s">
        <v>21</v>
      </c>
      <c r="I703" s="234" t="s">
        <v>127</v>
      </c>
      <c r="J703" s="372" t="s">
        <v>29</v>
      </c>
      <c r="K703" s="21" t="s">
        <v>238</v>
      </c>
      <c r="L703" s="21"/>
      <c r="M703" s="22"/>
      <c r="N703" s="23"/>
      <c r="O703" s="23"/>
      <c r="P703" s="23" t="s">
        <v>1057</v>
      </c>
      <c r="Q703" s="23">
        <v>45811</v>
      </c>
      <c r="R703" s="81" t="s">
        <v>21</v>
      </c>
      <c r="S703" s="22" t="s">
        <v>1055</v>
      </c>
      <c r="T703" s="22">
        <v>13</v>
      </c>
      <c r="U703" s="24" t="s">
        <v>21</v>
      </c>
      <c r="V703" s="23">
        <v>45811</v>
      </c>
      <c r="W703" s="82" t="s">
        <v>30</v>
      </c>
      <c r="X703" s="85"/>
      <c r="Y703"/>
      <c r="Z703"/>
      <c r="AA703"/>
    </row>
    <row r="704" spans="1:31">
      <c r="A704" s="358" t="s">
        <v>24</v>
      </c>
      <c r="B704" s="369">
        <v>701</v>
      </c>
      <c r="C704" s="234" t="s">
        <v>1144</v>
      </c>
      <c r="D704" s="234" t="s">
        <v>50</v>
      </c>
      <c r="E704" s="233">
        <v>45800</v>
      </c>
      <c r="F704" s="372" t="s">
        <v>395</v>
      </c>
      <c r="G704" s="234">
        <v>22</v>
      </c>
      <c r="H704" s="234" t="s">
        <v>22</v>
      </c>
      <c r="I704" s="234" t="s">
        <v>28</v>
      </c>
      <c r="J704" s="372" t="s">
        <v>29</v>
      </c>
      <c r="K704" s="21"/>
      <c r="L704" s="21"/>
      <c r="M704" s="22"/>
      <c r="N704" s="23"/>
      <c r="O704" s="380" t="s">
        <v>31</v>
      </c>
      <c r="P704" s="23" t="s">
        <v>30</v>
      </c>
      <c r="Q704" s="23">
        <v>45840</v>
      </c>
      <c r="R704" s="81" t="s">
        <v>46</v>
      </c>
      <c r="S704" s="22" t="s">
        <v>30</v>
      </c>
      <c r="T704" s="22">
        <v>22</v>
      </c>
      <c r="U704" s="24" t="s">
        <v>46</v>
      </c>
      <c r="V704" s="23">
        <v>45840</v>
      </c>
      <c r="W704" s="82" t="s">
        <v>30</v>
      </c>
      <c r="X704" s="85"/>
      <c r="Y704"/>
      <c r="Z704"/>
      <c r="AA704"/>
      <c r="AB704" s="88"/>
      <c r="AC704" s="72"/>
      <c r="AD704" s="72"/>
      <c r="AE704" s="72"/>
    </row>
    <row r="705" spans="1:31">
      <c r="A705" s="358" t="s">
        <v>24</v>
      </c>
      <c r="B705" s="369">
        <v>702</v>
      </c>
      <c r="C705" s="234" t="s">
        <v>1145</v>
      </c>
      <c r="D705" s="234" t="s">
        <v>34</v>
      </c>
      <c r="E705" s="233">
        <v>45801</v>
      </c>
      <c r="F705" s="372" t="s">
        <v>927</v>
      </c>
      <c r="G705" s="234">
        <v>25</v>
      </c>
      <c r="H705" s="234" t="s">
        <v>46</v>
      </c>
      <c r="I705" s="234" t="s">
        <v>47</v>
      </c>
      <c r="J705" s="372" t="s">
        <v>29</v>
      </c>
      <c r="K705" s="21"/>
      <c r="L705" s="21"/>
      <c r="M705" s="22"/>
      <c r="N705" s="23"/>
      <c r="O705" s="380" t="s">
        <v>31</v>
      </c>
      <c r="P705" s="23" t="s">
        <v>1057</v>
      </c>
      <c r="Q705" s="23">
        <v>45838</v>
      </c>
      <c r="R705" s="81" t="s">
        <v>47</v>
      </c>
      <c r="S705" s="22" t="s">
        <v>1055</v>
      </c>
      <c r="T705" s="22">
        <v>25</v>
      </c>
      <c r="U705" s="24" t="s">
        <v>47</v>
      </c>
      <c r="V705" s="23">
        <v>45838</v>
      </c>
      <c r="W705" s="82" t="s">
        <v>30</v>
      </c>
      <c r="X705" s="85"/>
      <c r="Y705"/>
      <c r="Z705" s="412"/>
      <c r="AA705" s="412"/>
      <c r="AB705" s="412"/>
    </row>
    <row r="706" spans="1:31">
      <c r="A706" s="358" t="s">
        <v>24</v>
      </c>
      <c r="B706" s="369">
        <v>703</v>
      </c>
      <c r="C706" s="234" t="s">
        <v>1146</v>
      </c>
      <c r="D706" s="234" t="s">
        <v>34</v>
      </c>
      <c r="E706" s="233">
        <v>45801</v>
      </c>
      <c r="F706" s="372" t="s">
        <v>1147</v>
      </c>
      <c r="G706" s="234">
        <v>12</v>
      </c>
      <c r="H706" s="234" t="s">
        <v>22</v>
      </c>
      <c r="I706" s="234" t="s">
        <v>28</v>
      </c>
      <c r="J706" s="372" t="s">
        <v>29</v>
      </c>
      <c r="K706" s="21" t="s">
        <v>283</v>
      </c>
      <c r="L706" s="21"/>
      <c r="M706" s="22"/>
      <c r="N706" s="23"/>
      <c r="O706" s="23"/>
      <c r="P706" s="23" t="s">
        <v>1057</v>
      </c>
      <c r="Q706" s="23">
        <v>45838</v>
      </c>
      <c r="R706" s="81" t="s">
        <v>37</v>
      </c>
      <c r="S706" s="22" t="s">
        <v>1055</v>
      </c>
      <c r="T706" s="22">
        <v>12</v>
      </c>
      <c r="U706" s="22" t="s">
        <v>37</v>
      </c>
      <c r="V706" s="23">
        <v>45838</v>
      </c>
      <c r="W706" s="95" t="s">
        <v>30</v>
      </c>
      <c r="X706" s="85"/>
      <c r="Y706"/>
      <c r="Z706" s="412"/>
      <c r="AA706" s="412"/>
      <c r="AB706" s="412"/>
    </row>
    <row r="707" spans="1:31">
      <c r="A707" s="358" t="s">
        <v>24</v>
      </c>
      <c r="B707" s="369">
        <v>704</v>
      </c>
      <c r="C707" s="234" t="s">
        <v>1148</v>
      </c>
      <c r="D707" s="234" t="s">
        <v>102</v>
      </c>
      <c r="E707" s="233">
        <v>45801</v>
      </c>
      <c r="F707" s="372" t="s">
        <v>106</v>
      </c>
      <c r="G707" s="234">
        <v>13</v>
      </c>
      <c r="H707" s="234" t="s">
        <v>22</v>
      </c>
      <c r="I707" s="234" t="s">
        <v>28</v>
      </c>
      <c r="J707" s="372" t="s">
        <v>29</v>
      </c>
      <c r="K707" s="21"/>
      <c r="L707" s="21"/>
      <c r="M707" s="22"/>
      <c r="N707" s="23"/>
      <c r="O707" s="23"/>
      <c r="P707" s="23" t="s">
        <v>1057</v>
      </c>
      <c r="Q707" s="23">
        <v>45838</v>
      </c>
      <c r="R707" s="81" t="s">
        <v>37</v>
      </c>
      <c r="S707" s="22" t="s">
        <v>1055</v>
      </c>
      <c r="T707" s="22">
        <v>13</v>
      </c>
      <c r="U707" s="22" t="s">
        <v>37</v>
      </c>
      <c r="V707" s="23">
        <v>45838</v>
      </c>
      <c r="W707" s="82" t="s">
        <v>30</v>
      </c>
      <c r="X707" s="85"/>
      <c r="Y707"/>
      <c r="Z707" s="412"/>
      <c r="AA707" s="412"/>
      <c r="AB707" s="412"/>
    </row>
    <row r="708" spans="1:31">
      <c r="A708" s="358" t="s">
        <v>24</v>
      </c>
      <c r="B708" s="369">
        <v>705</v>
      </c>
      <c r="C708" s="234" t="s">
        <v>1149</v>
      </c>
      <c r="D708" s="234" t="s">
        <v>43</v>
      </c>
      <c r="E708" s="233">
        <v>45801</v>
      </c>
      <c r="F708" s="372" t="s">
        <v>97</v>
      </c>
      <c r="G708" s="234">
        <v>12</v>
      </c>
      <c r="H708" s="234" t="s">
        <v>22</v>
      </c>
      <c r="I708" s="234" t="s">
        <v>28</v>
      </c>
      <c r="J708" s="372" t="s">
        <v>29</v>
      </c>
      <c r="K708" s="101"/>
      <c r="L708" s="21"/>
      <c r="M708" s="22"/>
      <c r="N708" s="23"/>
      <c r="O708" s="23"/>
      <c r="P708" s="23" t="s">
        <v>30</v>
      </c>
      <c r="Q708" s="23">
        <v>45847</v>
      </c>
      <c r="R708" s="81" t="s">
        <v>37</v>
      </c>
      <c r="S708" s="22" t="s">
        <v>1055</v>
      </c>
      <c r="T708" s="22">
        <v>12</v>
      </c>
      <c r="U708" s="22" t="s">
        <v>37</v>
      </c>
      <c r="V708" s="23">
        <v>45847</v>
      </c>
      <c r="W708" s="82" t="s">
        <v>30</v>
      </c>
      <c r="X708" s="85"/>
      <c r="Y708"/>
      <c r="Z708" s="412"/>
      <c r="AA708" s="412"/>
      <c r="AB708" s="412"/>
    </row>
    <row r="709" spans="1:31">
      <c r="A709" s="358" t="s">
        <v>24</v>
      </c>
      <c r="B709" s="369">
        <v>706</v>
      </c>
      <c r="C709" s="381" t="s">
        <v>1150</v>
      </c>
      <c r="D709" s="234" t="s">
        <v>43</v>
      </c>
      <c r="E709" s="233">
        <v>45801</v>
      </c>
      <c r="F709" s="372" t="s">
        <v>202</v>
      </c>
      <c r="G709" s="234">
        <v>41</v>
      </c>
      <c r="H709" s="234" t="s">
        <v>22</v>
      </c>
      <c r="I709" s="234" t="s">
        <v>28</v>
      </c>
      <c r="J709" s="372" t="s">
        <v>29</v>
      </c>
      <c r="K709" s="21"/>
      <c r="L709" s="21"/>
      <c r="M709" s="22"/>
      <c r="N709" s="23"/>
      <c r="O709" s="380" t="s">
        <v>31</v>
      </c>
      <c r="P709" s="23" t="s">
        <v>30</v>
      </c>
      <c r="Q709" s="23">
        <v>45838</v>
      </c>
      <c r="R709" s="81" t="s">
        <v>46</v>
      </c>
      <c r="S709" s="22" t="s">
        <v>32</v>
      </c>
      <c r="T709" s="22">
        <v>39</v>
      </c>
      <c r="U709" s="24" t="s">
        <v>46</v>
      </c>
      <c r="V709" s="23">
        <v>45838</v>
      </c>
      <c r="W709" s="82" t="s">
        <v>30</v>
      </c>
      <c r="X709" s="85"/>
      <c r="Y709"/>
      <c r="Z709" s="412"/>
      <c r="AA709" s="412"/>
      <c r="AB709" s="412"/>
    </row>
    <row r="710" spans="1:31">
      <c r="A710" s="358" t="s">
        <v>24</v>
      </c>
      <c r="B710" s="369">
        <v>707</v>
      </c>
      <c r="C710" s="234" t="s">
        <v>1151</v>
      </c>
      <c r="D710" s="234" t="s">
        <v>50</v>
      </c>
      <c r="E710" s="233">
        <v>45803</v>
      </c>
      <c r="F710" s="372" t="s">
        <v>1135</v>
      </c>
      <c r="G710" s="234">
        <v>17</v>
      </c>
      <c r="H710" s="234" t="s">
        <v>21</v>
      </c>
      <c r="I710" s="234" t="s">
        <v>127</v>
      </c>
      <c r="J710" s="372" t="s">
        <v>29</v>
      </c>
      <c r="K710" s="21"/>
      <c r="L710" s="21"/>
      <c r="M710" s="22"/>
      <c r="N710" s="23"/>
      <c r="O710" s="380" t="s">
        <v>31</v>
      </c>
      <c r="P710" s="23" t="s">
        <v>1057</v>
      </c>
      <c r="Q710" s="23">
        <v>45811</v>
      </c>
      <c r="R710" s="81" t="s">
        <v>21</v>
      </c>
      <c r="S710" s="22" t="s">
        <v>1055</v>
      </c>
      <c r="T710" s="22">
        <v>17</v>
      </c>
      <c r="U710" s="24" t="s">
        <v>21</v>
      </c>
      <c r="V710" s="23">
        <v>45811</v>
      </c>
      <c r="W710" s="82" t="s">
        <v>30</v>
      </c>
      <c r="X710" s="85"/>
      <c r="Y710"/>
      <c r="Z710" s="412"/>
      <c r="AA710" s="412"/>
      <c r="AB710" s="412"/>
    </row>
    <row r="711" spans="1:31">
      <c r="A711" s="358" t="s">
        <v>24</v>
      </c>
      <c r="B711" s="369">
        <v>708</v>
      </c>
      <c r="C711" s="234" t="s">
        <v>1152</v>
      </c>
      <c r="D711" s="234" t="s">
        <v>50</v>
      </c>
      <c r="E711" s="233">
        <v>45804</v>
      </c>
      <c r="F711" s="372" t="s">
        <v>1153</v>
      </c>
      <c r="G711" s="234">
        <v>13</v>
      </c>
      <c r="H711" s="234" t="s">
        <v>22</v>
      </c>
      <c r="I711" s="234" t="s">
        <v>28</v>
      </c>
      <c r="J711" s="372" t="s">
        <v>29</v>
      </c>
      <c r="K711" s="21" t="s">
        <v>1069</v>
      </c>
      <c r="L711" s="21"/>
      <c r="M711" s="22"/>
      <c r="N711" s="23"/>
      <c r="O711" s="23"/>
      <c r="P711" s="23" t="s">
        <v>1057</v>
      </c>
      <c r="Q711" s="23">
        <v>45834</v>
      </c>
      <c r="R711" s="81" t="s">
        <v>67</v>
      </c>
      <c r="S711" s="22" t="s">
        <v>1055</v>
      </c>
      <c r="T711" s="22">
        <v>13</v>
      </c>
      <c r="U711" s="24" t="s">
        <v>67</v>
      </c>
      <c r="V711" s="23">
        <v>45834</v>
      </c>
      <c r="W711" s="82" t="s">
        <v>30</v>
      </c>
      <c r="X711" s="85"/>
      <c r="Y711"/>
      <c r="Z711" s="412"/>
      <c r="AA711" s="412"/>
      <c r="AB711" s="412"/>
    </row>
    <row r="712" spans="1:31">
      <c r="A712" s="358" t="s">
        <v>24</v>
      </c>
      <c r="B712" s="369">
        <v>709</v>
      </c>
      <c r="C712" s="234" t="s">
        <v>1154</v>
      </c>
      <c r="D712" s="234" t="s">
        <v>57</v>
      </c>
      <c r="E712" s="233">
        <v>45806</v>
      </c>
      <c r="F712" s="372" t="s">
        <v>439</v>
      </c>
      <c r="G712" s="234">
        <v>18</v>
      </c>
      <c r="H712" s="234" t="s">
        <v>22</v>
      </c>
      <c r="I712" s="234" t="s">
        <v>28</v>
      </c>
      <c r="J712" s="372" t="s">
        <v>29</v>
      </c>
      <c r="K712" s="21" t="s">
        <v>1069</v>
      </c>
      <c r="L712" s="21"/>
      <c r="M712" s="22"/>
      <c r="N712" s="23"/>
      <c r="O712" s="380" t="s">
        <v>31</v>
      </c>
      <c r="P712" s="23" t="s">
        <v>1057</v>
      </c>
      <c r="Q712" s="23">
        <v>45838</v>
      </c>
      <c r="R712" s="81" t="s">
        <v>67</v>
      </c>
      <c r="S712" s="22" t="s">
        <v>1055</v>
      </c>
      <c r="T712" s="22">
        <v>16</v>
      </c>
      <c r="U712" s="24" t="s">
        <v>67</v>
      </c>
      <c r="V712" s="23">
        <v>45838</v>
      </c>
      <c r="W712" s="82" t="s">
        <v>30</v>
      </c>
      <c r="X712" s="85"/>
      <c r="Y712"/>
      <c r="Z712" s="412"/>
      <c r="AA712" s="412"/>
      <c r="AB712" s="412"/>
    </row>
    <row r="713" spans="1:31">
      <c r="A713" s="358" t="s">
        <v>24</v>
      </c>
      <c r="B713" s="369">
        <v>710</v>
      </c>
      <c r="C713" s="234" t="s">
        <v>1155</v>
      </c>
      <c r="D713" s="234" t="s">
        <v>43</v>
      </c>
      <c r="E713" s="233">
        <v>45806</v>
      </c>
      <c r="F713" s="372" t="s">
        <v>179</v>
      </c>
      <c r="G713" s="234">
        <v>7</v>
      </c>
      <c r="H713" s="234" t="s">
        <v>46</v>
      </c>
      <c r="I713" s="234" t="s">
        <v>47</v>
      </c>
      <c r="J713" s="372" t="s">
        <v>29</v>
      </c>
      <c r="K713" s="21" t="s">
        <v>1156</v>
      </c>
      <c r="L713" s="21"/>
      <c r="M713" s="22"/>
      <c r="N713" s="23"/>
      <c r="O713" s="23"/>
      <c r="P713" s="23" t="s">
        <v>1057</v>
      </c>
      <c r="Q713" s="23">
        <v>45838</v>
      </c>
      <c r="R713" s="81" t="s">
        <v>47</v>
      </c>
      <c r="S713" s="22" t="s">
        <v>1055</v>
      </c>
      <c r="T713" s="22">
        <v>7</v>
      </c>
      <c r="U713" s="24" t="s">
        <v>47</v>
      </c>
      <c r="V713" s="23">
        <v>45838</v>
      </c>
      <c r="W713" s="95" t="s">
        <v>30</v>
      </c>
      <c r="X713" s="235"/>
      <c r="Y713"/>
      <c r="Z713" s="412"/>
      <c r="AA713" s="412"/>
      <c r="AB713" s="412"/>
    </row>
    <row r="714" spans="1:31">
      <c r="A714" s="358" t="s">
        <v>24</v>
      </c>
      <c r="B714" s="369">
        <v>711</v>
      </c>
      <c r="C714" s="234" t="s">
        <v>1157</v>
      </c>
      <c r="D714" s="234" t="s">
        <v>50</v>
      </c>
      <c r="E714" s="233">
        <v>45806</v>
      </c>
      <c r="F714" s="372" t="s">
        <v>179</v>
      </c>
      <c r="G714" s="234">
        <v>7</v>
      </c>
      <c r="H714" s="234" t="s">
        <v>46</v>
      </c>
      <c r="I714" s="234" t="s">
        <v>47</v>
      </c>
      <c r="J714" s="372" t="s">
        <v>29</v>
      </c>
      <c r="K714" s="21" t="s">
        <v>1156</v>
      </c>
      <c r="L714" s="21"/>
      <c r="M714" s="22"/>
      <c r="N714" s="23"/>
      <c r="O714" s="23"/>
      <c r="P714" s="23" t="s">
        <v>1057</v>
      </c>
      <c r="Q714" s="23">
        <v>45838</v>
      </c>
      <c r="R714" s="81" t="s">
        <v>47</v>
      </c>
      <c r="S714" s="22" t="s">
        <v>1055</v>
      </c>
      <c r="T714" s="22">
        <v>7</v>
      </c>
      <c r="U714" s="24" t="s">
        <v>47</v>
      </c>
      <c r="V714" s="23">
        <v>45838</v>
      </c>
      <c r="W714" s="95" t="s">
        <v>30</v>
      </c>
      <c r="X714" s="235"/>
      <c r="Y714"/>
      <c r="Z714" s="412"/>
      <c r="AA714" s="412"/>
      <c r="AB714" s="412"/>
    </row>
    <row r="715" spans="1:31">
      <c r="A715" s="358" t="s">
        <v>24</v>
      </c>
      <c r="B715" s="369">
        <v>712</v>
      </c>
      <c r="C715" s="234" t="s">
        <v>1158</v>
      </c>
      <c r="D715" s="234" t="s">
        <v>57</v>
      </c>
      <c r="E715" s="233">
        <v>45807</v>
      </c>
      <c r="F715" s="372" t="s">
        <v>439</v>
      </c>
      <c r="G715" s="234">
        <v>18</v>
      </c>
      <c r="H715" s="234" t="s">
        <v>22</v>
      </c>
      <c r="I715" s="234" t="s">
        <v>28</v>
      </c>
      <c r="J715" s="372" t="s">
        <v>29</v>
      </c>
      <c r="K715" s="21" t="s">
        <v>1069</v>
      </c>
      <c r="L715" s="21"/>
      <c r="M715" s="22"/>
      <c r="N715" s="23"/>
      <c r="O715" s="380" t="s">
        <v>31</v>
      </c>
      <c r="P715" s="23" t="s">
        <v>1057</v>
      </c>
      <c r="Q715" s="23">
        <v>45838</v>
      </c>
      <c r="R715" s="81" t="s">
        <v>67</v>
      </c>
      <c r="S715" s="22" t="s">
        <v>1055</v>
      </c>
      <c r="T715" s="22">
        <v>15</v>
      </c>
      <c r="U715" s="24" t="s">
        <v>67</v>
      </c>
      <c r="V715" s="23">
        <v>45838</v>
      </c>
      <c r="W715" s="82" t="s">
        <v>30</v>
      </c>
      <c r="X715" s="85"/>
      <c r="Y715"/>
      <c r="Z715"/>
      <c r="AA715"/>
    </row>
    <row r="716" spans="1:31">
      <c r="A716" s="358" t="s">
        <v>24</v>
      </c>
      <c r="B716" s="369">
        <v>713</v>
      </c>
      <c r="C716" s="234" t="s">
        <v>1159</v>
      </c>
      <c r="D716" s="234" t="s">
        <v>34</v>
      </c>
      <c r="E716" s="233">
        <v>45808</v>
      </c>
      <c r="F716" s="372" t="s">
        <v>97</v>
      </c>
      <c r="G716" s="234">
        <v>13</v>
      </c>
      <c r="H716" s="234" t="s">
        <v>22</v>
      </c>
      <c r="I716" s="234" t="s">
        <v>28</v>
      </c>
      <c r="J716" s="372" t="s">
        <v>29</v>
      </c>
      <c r="K716" s="21"/>
      <c r="L716" s="21"/>
      <c r="M716" s="22"/>
      <c r="N716" s="23"/>
      <c r="O716" s="23"/>
      <c r="P716" s="23" t="s">
        <v>30</v>
      </c>
      <c r="Q716" s="23">
        <v>45834</v>
      </c>
      <c r="R716" s="81" t="s">
        <v>67</v>
      </c>
      <c r="S716" s="22" t="s">
        <v>1057</v>
      </c>
      <c r="T716" s="22">
        <v>11</v>
      </c>
      <c r="U716" s="24" t="s">
        <v>67</v>
      </c>
      <c r="V716" s="23">
        <v>45834</v>
      </c>
      <c r="W716" s="82" t="s">
        <v>30</v>
      </c>
      <c r="X716" s="235"/>
      <c r="Y716"/>
      <c r="Z716"/>
      <c r="AA716"/>
    </row>
    <row r="717" spans="1:31">
      <c r="A717" s="358" t="s">
        <v>24</v>
      </c>
      <c r="B717" s="369">
        <v>714</v>
      </c>
      <c r="C717" s="234" t="s">
        <v>1160</v>
      </c>
      <c r="D717" s="234" t="s">
        <v>102</v>
      </c>
      <c r="E717" s="233">
        <v>45808</v>
      </c>
      <c r="F717" s="372" t="s">
        <v>1068</v>
      </c>
      <c r="G717" s="234">
        <v>11</v>
      </c>
      <c r="H717" s="234" t="s">
        <v>22</v>
      </c>
      <c r="I717" s="234" t="s">
        <v>28</v>
      </c>
      <c r="J717" s="372" t="s">
        <v>29</v>
      </c>
      <c r="K717" s="21"/>
      <c r="L717" s="21"/>
      <c r="M717" s="22"/>
      <c r="N717" s="23"/>
      <c r="O717" s="23"/>
      <c r="P717" s="23" t="s">
        <v>30</v>
      </c>
      <c r="Q717" s="23">
        <v>45834</v>
      </c>
      <c r="R717" s="81" t="s">
        <v>67</v>
      </c>
      <c r="S717" s="22" t="s">
        <v>1055</v>
      </c>
      <c r="T717" s="22">
        <v>4</v>
      </c>
      <c r="U717" s="24" t="s">
        <v>67</v>
      </c>
      <c r="V717" s="23">
        <v>45834</v>
      </c>
      <c r="W717" s="82" t="s">
        <v>30</v>
      </c>
      <c r="X717" s="235"/>
      <c r="Y717"/>
      <c r="Z717" s="89"/>
      <c r="AA717" s="89"/>
      <c r="AB717" s="88"/>
      <c r="AC717" s="72"/>
      <c r="AD717" s="72"/>
      <c r="AE717" s="72"/>
    </row>
    <row r="718" spans="1:31">
      <c r="A718" s="358" t="s">
        <v>24</v>
      </c>
      <c r="B718" s="369">
        <v>715</v>
      </c>
      <c r="C718" s="234" t="s">
        <v>1161</v>
      </c>
      <c r="D718" s="234" t="s">
        <v>1162</v>
      </c>
      <c r="E718" s="382">
        <v>45808</v>
      </c>
      <c r="F718" s="372" t="s">
        <v>1163</v>
      </c>
      <c r="G718" s="234">
        <v>14</v>
      </c>
      <c r="H718" s="234" t="s">
        <v>22</v>
      </c>
      <c r="I718" s="234" t="s">
        <v>28</v>
      </c>
      <c r="J718" s="372" t="s">
        <v>29</v>
      </c>
      <c r="K718" s="21"/>
      <c r="L718" s="21"/>
      <c r="M718" s="22"/>
      <c r="N718" s="23"/>
      <c r="O718" s="23"/>
      <c r="P718" s="23" t="s">
        <v>1057</v>
      </c>
      <c r="Q718" s="23">
        <v>45838</v>
      </c>
      <c r="R718" s="81" t="s">
        <v>67</v>
      </c>
      <c r="S718" s="22" t="s">
        <v>1055</v>
      </c>
      <c r="T718" s="22">
        <v>11</v>
      </c>
      <c r="U718" s="24" t="s">
        <v>67</v>
      </c>
      <c r="V718" s="23">
        <v>45838</v>
      </c>
      <c r="W718" s="82" t="s">
        <v>32</v>
      </c>
      <c r="X718" s="235"/>
      <c r="Y718"/>
      <c r="Z718"/>
      <c r="AA718"/>
    </row>
    <row r="719" spans="1:31">
      <c r="A719" s="358" t="s">
        <v>24</v>
      </c>
      <c r="B719" s="369">
        <v>716</v>
      </c>
      <c r="C719" s="234" t="s">
        <v>1164</v>
      </c>
      <c r="D719" s="234" t="s">
        <v>50</v>
      </c>
      <c r="E719" s="233">
        <v>45808</v>
      </c>
      <c r="F719" s="372" t="s">
        <v>1165</v>
      </c>
      <c r="G719" s="234">
        <v>35</v>
      </c>
      <c r="H719" s="234" t="s">
        <v>22</v>
      </c>
      <c r="I719" s="234" t="s">
        <v>28</v>
      </c>
      <c r="J719" s="372" t="s">
        <v>29</v>
      </c>
      <c r="K719" s="21"/>
      <c r="L719" s="21"/>
      <c r="M719" s="22"/>
      <c r="N719" s="23"/>
      <c r="O719" s="380" t="s">
        <v>31</v>
      </c>
      <c r="P719" s="23" t="s">
        <v>30</v>
      </c>
      <c r="Q719" s="23">
        <v>45812</v>
      </c>
      <c r="R719" s="81" t="s">
        <v>67</v>
      </c>
      <c r="S719" s="22" t="s">
        <v>1063</v>
      </c>
      <c r="T719" s="22">
        <v>33</v>
      </c>
      <c r="U719" s="24" t="s">
        <v>67</v>
      </c>
      <c r="V719" s="23">
        <v>45812</v>
      </c>
      <c r="W719" s="100" t="s">
        <v>30</v>
      </c>
      <c r="X719" s="235"/>
      <c r="Y719"/>
      <c r="Z719"/>
      <c r="AA719"/>
    </row>
    <row r="720" spans="1:31">
      <c r="A720" s="358" t="s">
        <v>24</v>
      </c>
      <c r="B720" s="369">
        <v>717</v>
      </c>
      <c r="C720" s="234" t="s">
        <v>1166</v>
      </c>
      <c r="D720" s="234" t="s">
        <v>34</v>
      </c>
      <c r="E720" s="233">
        <v>45808</v>
      </c>
      <c r="F720" s="372" t="s">
        <v>918</v>
      </c>
      <c r="G720" s="234">
        <v>18</v>
      </c>
      <c r="H720" s="234" t="s">
        <v>22</v>
      </c>
      <c r="I720" s="234" t="s">
        <v>28</v>
      </c>
      <c r="J720" s="372" t="s">
        <v>29</v>
      </c>
      <c r="K720" s="21"/>
      <c r="L720" s="21"/>
      <c r="M720" s="22"/>
      <c r="N720" s="23"/>
      <c r="O720" s="380" t="s">
        <v>31</v>
      </c>
      <c r="P720" s="23" t="s">
        <v>1057</v>
      </c>
      <c r="Q720" s="23">
        <v>45838</v>
      </c>
      <c r="R720" s="81" t="s">
        <v>67</v>
      </c>
      <c r="S720" s="22" t="s">
        <v>1055</v>
      </c>
      <c r="T720" s="22">
        <v>19</v>
      </c>
      <c r="U720" s="24" t="s">
        <v>67</v>
      </c>
      <c r="V720" s="23">
        <v>45838</v>
      </c>
      <c r="W720" s="100" t="s">
        <v>30</v>
      </c>
      <c r="X720" s="235"/>
      <c r="Y720"/>
      <c r="Z720"/>
      <c r="AA720"/>
    </row>
    <row r="721" spans="1:31">
      <c r="A721" s="358" t="s">
        <v>24</v>
      </c>
      <c r="B721" s="369">
        <v>718</v>
      </c>
      <c r="C721" s="234" t="s">
        <v>1167</v>
      </c>
      <c r="D721" s="234" t="s">
        <v>102</v>
      </c>
      <c r="E721" s="233">
        <v>45808</v>
      </c>
      <c r="F721" s="372" t="s">
        <v>1168</v>
      </c>
      <c r="G721" s="234">
        <v>12</v>
      </c>
      <c r="H721" s="234" t="s">
        <v>21</v>
      </c>
      <c r="I721" s="234" t="s">
        <v>127</v>
      </c>
      <c r="J721" s="372" t="s">
        <v>29</v>
      </c>
      <c r="K721" s="21"/>
      <c r="L721" s="21"/>
      <c r="M721" s="22"/>
      <c r="N721" s="23"/>
      <c r="O721" s="23"/>
      <c r="P721" s="23" t="s">
        <v>30</v>
      </c>
      <c r="Q721" s="23">
        <v>45820</v>
      </c>
      <c r="R721" s="81" t="s">
        <v>21</v>
      </c>
      <c r="S721" s="22" t="s">
        <v>1063</v>
      </c>
      <c r="T721" s="22">
        <v>7</v>
      </c>
      <c r="U721" s="24" t="s">
        <v>21</v>
      </c>
      <c r="V721" s="23">
        <v>45820</v>
      </c>
      <c r="W721" s="82" t="s">
        <v>32</v>
      </c>
      <c r="X721" s="235"/>
      <c r="Y721"/>
      <c r="Z721"/>
      <c r="AA721"/>
    </row>
    <row r="722" spans="1:31">
      <c r="A722" s="358" t="s">
        <v>24</v>
      </c>
      <c r="B722" s="369">
        <v>719</v>
      </c>
      <c r="C722" s="234" t="s">
        <v>1169</v>
      </c>
      <c r="D722" s="234" t="s">
        <v>64</v>
      </c>
      <c r="E722" s="233">
        <v>45808</v>
      </c>
      <c r="F722" s="372" t="s">
        <v>35</v>
      </c>
      <c r="G722" s="234">
        <v>8</v>
      </c>
      <c r="H722" s="234" t="s">
        <v>21</v>
      </c>
      <c r="I722" s="234" t="s">
        <v>127</v>
      </c>
      <c r="J722" s="372" t="s">
        <v>29</v>
      </c>
      <c r="K722" s="21"/>
      <c r="L722" s="21"/>
      <c r="M722" s="22"/>
      <c r="N722" s="23"/>
      <c r="O722" s="23"/>
      <c r="P722" s="23" t="s">
        <v>30</v>
      </c>
      <c r="Q722" s="23">
        <v>45820</v>
      </c>
      <c r="R722" s="81" t="s">
        <v>21</v>
      </c>
      <c r="S722" s="22" t="s">
        <v>1055</v>
      </c>
      <c r="T722" s="22">
        <v>8</v>
      </c>
      <c r="U722" s="24" t="s">
        <v>21</v>
      </c>
      <c r="V722" s="23">
        <v>45820</v>
      </c>
      <c r="W722" s="82" t="s">
        <v>32</v>
      </c>
      <c r="X722" s="235"/>
      <c r="Y722"/>
      <c r="Z722"/>
      <c r="AA722"/>
    </row>
    <row r="723" spans="1:31">
      <c r="A723" s="358" t="s">
        <v>24</v>
      </c>
      <c r="B723" s="369">
        <v>720</v>
      </c>
      <c r="C723" s="234" t="s">
        <v>1170</v>
      </c>
      <c r="D723" s="234" t="s">
        <v>374</v>
      </c>
      <c r="E723" s="233">
        <v>45808</v>
      </c>
      <c r="F723" s="372" t="s">
        <v>1171</v>
      </c>
      <c r="G723" s="234">
        <v>10</v>
      </c>
      <c r="H723" s="234" t="s">
        <v>21</v>
      </c>
      <c r="I723" s="234" t="s">
        <v>127</v>
      </c>
      <c r="J723" s="372" t="s">
        <v>29</v>
      </c>
      <c r="K723" s="21"/>
      <c r="L723" s="21"/>
      <c r="M723" s="22"/>
      <c r="N723" s="23"/>
      <c r="O723" s="23"/>
      <c r="P723" s="23" t="s">
        <v>30</v>
      </c>
      <c r="Q723" s="23">
        <v>45813</v>
      </c>
      <c r="R723" s="81" t="s">
        <v>21</v>
      </c>
      <c r="S723" s="22" t="s">
        <v>1055</v>
      </c>
      <c r="T723" s="7">
        <v>10</v>
      </c>
      <c r="U723" s="24" t="s">
        <v>21</v>
      </c>
      <c r="V723" s="23">
        <v>45813</v>
      </c>
      <c r="W723" s="82" t="s">
        <v>32</v>
      </c>
      <c r="X723" s="235"/>
      <c r="Y723"/>
      <c r="Z723"/>
      <c r="AA723"/>
    </row>
    <row r="724" spans="1:31">
      <c r="A724" s="358" t="s">
        <v>24</v>
      </c>
      <c r="B724" s="369">
        <v>721</v>
      </c>
      <c r="C724" s="234" t="s">
        <v>1172</v>
      </c>
      <c r="D724" s="234" t="s">
        <v>34</v>
      </c>
      <c r="E724" s="233">
        <v>45808</v>
      </c>
      <c r="F724" s="372" t="s">
        <v>914</v>
      </c>
      <c r="G724" s="234">
        <v>15</v>
      </c>
      <c r="H724" s="234" t="s">
        <v>21</v>
      </c>
      <c r="I724" s="234" t="s">
        <v>127</v>
      </c>
      <c r="J724" s="372" t="s">
        <v>29</v>
      </c>
      <c r="K724" s="21"/>
      <c r="L724" s="21"/>
      <c r="M724" s="22"/>
      <c r="N724" s="23"/>
      <c r="O724" s="380" t="s">
        <v>31</v>
      </c>
      <c r="P724" s="23" t="s">
        <v>1057</v>
      </c>
      <c r="Q724" s="23">
        <v>45812</v>
      </c>
      <c r="R724" s="81" t="s">
        <v>21</v>
      </c>
      <c r="S724" s="22" t="s">
        <v>1055</v>
      </c>
      <c r="T724" s="22">
        <v>15</v>
      </c>
      <c r="U724" s="24" t="s">
        <v>21</v>
      </c>
      <c r="V724" s="23">
        <v>45812</v>
      </c>
      <c r="W724" s="82" t="s">
        <v>30</v>
      </c>
      <c r="X724" s="85"/>
      <c r="Y724"/>
      <c r="Z724" s="412"/>
      <c r="AA724" s="412"/>
      <c r="AB724" s="412"/>
    </row>
    <row r="725" spans="1:31">
      <c r="A725" s="358" t="s">
        <v>24</v>
      </c>
      <c r="B725" s="369">
        <v>722</v>
      </c>
      <c r="C725" s="234" t="s">
        <v>1173</v>
      </c>
      <c r="D725" s="234" t="s">
        <v>34</v>
      </c>
      <c r="E725" s="233">
        <v>45808</v>
      </c>
      <c r="F725" s="372" t="s">
        <v>324</v>
      </c>
      <c r="G725" s="234">
        <v>7</v>
      </c>
      <c r="H725" s="234" t="s">
        <v>21</v>
      </c>
      <c r="I725" s="234" t="s">
        <v>127</v>
      </c>
      <c r="J725" s="372" t="s">
        <v>29</v>
      </c>
      <c r="K725" s="21"/>
      <c r="L725" s="21"/>
      <c r="M725" s="22"/>
      <c r="N725" s="23"/>
      <c r="O725" s="23"/>
      <c r="P725" s="23" t="s">
        <v>30</v>
      </c>
      <c r="Q725" s="23">
        <v>45819</v>
      </c>
      <c r="R725" s="81" t="s">
        <v>21</v>
      </c>
      <c r="S725" s="22" t="s">
        <v>1055</v>
      </c>
      <c r="T725" s="22">
        <v>7</v>
      </c>
      <c r="U725" s="24" t="s">
        <v>21</v>
      </c>
      <c r="V725" s="23">
        <v>45819</v>
      </c>
      <c r="W725" s="82" t="s">
        <v>32</v>
      </c>
      <c r="X725" s="235"/>
      <c r="Y725"/>
      <c r="Z725" s="412"/>
      <c r="AA725" s="412"/>
      <c r="AB725" s="412"/>
    </row>
    <row r="726" spans="1:31">
      <c r="A726" s="358" t="s">
        <v>24</v>
      </c>
      <c r="B726" s="369">
        <v>723</v>
      </c>
      <c r="C726" s="234" t="s">
        <v>1174</v>
      </c>
      <c r="D726" s="234" t="s">
        <v>34</v>
      </c>
      <c r="E726" s="233">
        <v>45808</v>
      </c>
      <c r="F726" s="372" t="s">
        <v>324</v>
      </c>
      <c r="G726" s="234">
        <v>5</v>
      </c>
      <c r="H726" s="234" t="s">
        <v>21</v>
      </c>
      <c r="I726" s="234" t="s">
        <v>127</v>
      </c>
      <c r="J726" s="372" t="s">
        <v>29</v>
      </c>
      <c r="K726" s="21"/>
      <c r="L726" s="21"/>
      <c r="M726" s="22"/>
      <c r="N726" s="23"/>
      <c r="O726" s="23"/>
      <c r="P726" s="23" t="s">
        <v>30</v>
      </c>
      <c r="Q726" s="23">
        <v>45819</v>
      </c>
      <c r="R726" s="81" t="s">
        <v>21</v>
      </c>
      <c r="S726" s="22" t="s">
        <v>1055</v>
      </c>
      <c r="T726" s="22">
        <v>5</v>
      </c>
      <c r="U726" s="24" t="s">
        <v>21</v>
      </c>
      <c r="V726" s="23">
        <v>45819</v>
      </c>
      <c r="W726" s="82" t="s">
        <v>32</v>
      </c>
      <c r="X726" s="235"/>
      <c r="Y726"/>
      <c r="Z726"/>
      <c r="AA726"/>
    </row>
    <row r="727" spans="1:31">
      <c r="A727" s="358" t="s">
        <v>137</v>
      </c>
      <c r="B727" s="369">
        <v>724</v>
      </c>
      <c r="C727" s="372" t="s">
        <v>1175</v>
      </c>
      <c r="D727" s="358" t="s">
        <v>937</v>
      </c>
      <c r="E727" s="373">
        <v>45782.375</v>
      </c>
      <c r="F727" s="372" t="s">
        <v>140</v>
      </c>
      <c r="G727" s="236">
        <v>55</v>
      </c>
      <c r="H727" s="372" t="s">
        <v>111</v>
      </c>
      <c r="I727" s="372" t="s">
        <v>948</v>
      </c>
      <c r="J727" s="372"/>
      <c r="K727" s="21"/>
      <c r="L727" s="21"/>
      <c r="M727" s="22"/>
      <c r="N727" s="23"/>
      <c r="O727" s="62" t="s">
        <v>31</v>
      </c>
      <c r="P727" s="23" t="s">
        <v>1057</v>
      </c>
      <c r="Q727" s="23">
        <v>45791</v>
      </c>
      <c r="R727" s="237" t="s">
        <v>67</v>
      </c>
      <c r="S727" s="22" t="s">
        <v>1055</v>
      </c>
      <c r="T727" s="22">
        <v>55</v>
      </c>
      <c r="U727" s="22" t="s">
        <v>67</v>
      </c>
      <c r="V727" s="23">
        <v>45791</v>
      </c>
      <c r="W727" s="82"/>
      <c r="X727" s="85"/>
      <c r="Y727">
        <v>21</v>
      </c>
      <c r="Z727">
        <v>34</v>
      </c>
      <c r="AA727">
        <v>0</v>
      </c>
      <c r="AB727">
        <f>SUM(Y727:AA727)</f>
        <v>55</v>
      </c>
      <c r="AC727" s="72">
        <f>+Y727/AB727*AC$1</f>
        <v>2.290909090909091</v>
      </c>
      <c r="AD727" s="96">
        <f>+AA727/AB727*AE$1</f>
        <v>0</v>
      </c>
      <c r="AE727" s="96">
        <f>+AA727/AC727*AE$1</f>
        <v>0</v>
      </c>
    </row>
    <row r="728" spans="1:31">
      <c r="A728" s="358" t="s">
        <v>137</v>
      </c>
      <c r="B728" s="369">
        <v>725</v>
      </c>
      <c r="C728" s="372" t="s">
        <v>1176</v>
      </c>
      <c r="D728" s="358" t="s">
        <v>542</v>
      </c>
      <c r="E728" s="373">
        <v>45782.375</v>
      </c>
      <c r="F728" s="372" t="s">
        <v>140</v>
      </c>
      <c r="G728" s="236">
        <v>31</v>
      </c>
      <c r="H728" s="372" t="s">
        <v>210</v>
      </c>
      <c r="I728" s="372" t="s">
        <v>211</v>
      </c>
      <c r="J728" s="372"/>
      <c r="K728" s="21"/>
      <c r="L728" s="21"/>
      <c r="M728" s="22"/>
      <c r="N728" s="23"/>
      <c r="O728" s="62" t="s">
        <v>31</v>
      </c>
      <c r="P728" s="23" t="s">
        <v>1057</v>
      </c>
      <c r="Q728" s="23">
        <v>45791</v>
      </c>
      <c r="R728" s="237" t="s">
        <v>67</v>
      </c>
      <c r="S728" s="22" t="s">
        <v>1055</v>
      </c>
      <c r="T728" s="22">
        <v>32</v>
      </c>
      <c r="U728" s="22" t="s">
        <v>67</v>
      </c>
      <c r="V728" s="23">
        <v>45791</v>
      </c>
      <c r="W728" s="82"/>
      <c r="X728" s="85"/>
      <c r="Y728">
        <v>23</v>
      </c>
      <c r="Z728">
        <v>4</v>
      </c>
      <c r="AA728">
        <v>4</v>
      </c>
      <c r="AB728">
        <f>SUM(Y728:AA728)</f>
        <v>31</v>
      </c>
      <c r="AC728" s="72">
        <f>+Y728/AB728*AC$1</f>
        <v>4.4516129032258061</v>
      </c>
      <c r="AD728" s="96">
        <f>+Z728/AB728*AD$1</f>
        <v>0.38709677419354838</v>
      </c>
      <c r="AE728" s="96">
        <f>+AA728/AC728*AE$1</f>
        <v>0</v>
      </c>
    </row>
    <row r="729" spans="1:31">
      <c r="A729" s="358" t="s">
        <v>137</v>
      </c>
      <c r="B729" s="369">
        <v>726</v>
      </c>
      <c r="C729" s="372" t="s">
        <v>1177</v>
      </c>
      <c r="D729" s="358" t="s">
        <v>1178</v>
      </c>
      <c r="E729" s="373">
        <v>45782.375</v>
      </c>
      <c r="F729" s="372" t="s">
        <v>140</v>
      </c>
      <c r="G729" s="236">
        <v>4</v>
      </c>
      <c r="H729" s="372" t="s">
        <v>22</v>
      </c>
      <c r="I729" s="372" t="s">
        <v>28</v>
      </c>
      <c r="J729" s="372"/>
      <c r="K729" s="21"/>
      <c r="L729" s="21"/>
      <c r="M729" s="22"/>
      <c r="N729" s="23"/>
      <c r="O729" s="62"/>
      <c r="P729" s="23" t="s">
        <v>1057</v>
      </c>
      <c r="Q729" s="23">
        <v>45791</v>
      </c>
      <c r="R729" s="81" t="s">
        <v>67</v>
      </c>
      <c r="S729" s="22" t="s">
        <v>1055</v>
      </c>
      <c r="T729" s="22">
        <v>5</v>
      </c>
      <c r="U729" s="24" t="s">
        <v>67</v>
      </c>
      <c r="V729" s="23">
        <v>45791</v>
      </c>
      <c r="W729" s="82"/>
      <c r="X729" s="85"/>
      <c r="Y729"/>
      <c r="Z729"/>
      <c r="AA729"/>
      <c r="AC729" s="96"/>
      <c r="AD729" s="96"/>
      <c r="AE729" s="96"/>
    </row>
    <row r="730" spans="1:31">
      <c r="A730" s="358" t="s">
        <v>137</v>
      </c>
      <c r="B730" s="369">
        <v>727</v>
      </c>
      <c r="C730" s="372" t="s">
        <v>1179</v>
      </c>
      <c r="D730" s="358" t="s">
        <v>1180</v>
      </c>
      <c r="E730" s="373">
        <v>45782.458333333336</v>
      </c>
      <c r="F730" s="372" t="s">
        <v>140</v>
      </c>
      <c r="G730" s="236">
        <v>1</v>
      </c>
      <c r="H730" s="372" t="s">
        <v>21</v>
      </c>
      <c r="I730" s="372" t="s">
        <v>127</v>
      </c>
      <c r="J730" s="372"/>
      <c r="K730" s="21"/>
      <c r="L730" s="21"/>
      <c r="M730" s="22"/>
      <c r="N730" s="23"/>
      <c r="O730" s="62"/>
      <c r="P730" s="23" t="s">
        <v>1057</v>
      </c>
      <c r="Q730" s="23">
        <v>45791</v>
      </c>
      <c r="R730" s="81" t="s">
        <v>67</v>
      </c>
      <c r="S730" s="22" t="s">
        <v>1055</v>
      </c>
      <c r="T730" s="22">
        <v>1</v>
      </c>
      <c r="U730" s="24" t="s">
        <v>67</v>
      </c>
      <c r="V730" s="23">
        <v>45791</v>
      </c>
      <c r="W730" s="82"/>
      <c r="X730" s="85"/>
      <c r="Y730"/>
      <c r="Z730"/>
      <c r="AA730"/>
      <c r="AC730" s="96"/>
      <c r="AD730" s="96"/>
      <c r="AE730" s="96"/>
    </row>
    <row r="731" spans="1:31">
      <c r="A731" s="358" t="s">
        <v>137</v>
      </c>
      <c r="B731" s="369">
        <v>728</v>
      </c>
      <c r="C731" s="372" t="s">
        <v>1181</v>
      </c>
      <c r="D731" s="358" t="s">
        <v>1182</v>
      </c>
      <c r="E731" s="373">
        <v>45782.375</v>
      </c>
      <c r="F731" s="372" t="s">
        <v>140</v>
      </c>
      <c r="G731" s="236">
        <v>4</v>
      </c>
      <c r="H731" s="372" t="s">
        <v>22</v>
      </c>
      <c r="I731" s="372" t="s">
        <v>28</v>
      </c>
      <c r="J731" s="372"/>
      <c r="K731" s="21"/>
      <c r="L731" s="21"/>
      <c r="M731" s="22"/>
      <c r="N731" s="23"/>
      <c r="O731" s="62"/>
      <c r="P731" s="23" t="s">
        <v>1057</v>
      </c>
      <c r="Q731" s="23">
        <v>45791</v>
      </c>
      <c r="R731" s="81" t="s">
        <v>67</v>
      </c>
      <c r="S731" s="22" t="s">
        <v>1055</v>
      </c>
      <c r="T731" s="22">
        <v>4</v>
      </c>
      <c r="U731" s="24" t="s">
        <v>67</v>
      </c>
      <c r="V731" s="23">
        <v>45791</v>
      </c>
      <c r="W731" s="82"/>
      <c r="X731" s="85"/>
      <c r="Y731"/>
      <c r="Z731"/>
      <c r="AA731"/>
      <c r="AC731" s="96"/>
      <c r="AD731" s="96"/>
      <c r="AE731" s="96"/>
    </row>
    <row r="732" spans="1:31">
      <c r="A732" s="358" t="s">
        <v>137</v>
      </c>
      <c r="B732" s="369">
        <v>729</v>
      </c>
      <c r="C732" s="372" t="s">
        <v>1183</v>
      </c>
      <c r="D732" s="358" t="s">
        <v>1184</v>
      </c>
      <c r="E732" s="373">
        <v>45782.041666666664</v>
      </c>
      <c r="F732" s="372" t="s">
        <v>140</v>
      </c>
      <c r="G732" s="236">
        <v>8</v>
      </c>
      <c r="H732" s="372" t="s">
        <v>141</v>
      </c>
      <c r="I732" s="372" t="s">
        <v>819</v>
      </c>
      <c r="J732" s="372"/>
      <c r="K732" s="21"/>
      <c r="L732" s="21"/>
      <c r="M732" s="22"/>
      <c r="N732" s="23"/>
      <c r="O732" s="23"/>
      <c r="P732" s="23" t="s">
        <v>1057</v>
      </c>
      <c r="Q732" s="23">
        <v>45791</v>
      </c>
      <c r="R732" s="81" t="s">
        <v>67</v>
      </c>
      <c r="S732" s="22" t="s">
        <v>1055</v>
      </c>
      <c r="T732" s="22">
        <v>9</v>
      </c>
      <c r="U732" s="24" t="s">
        <v>67</v>
      </c>
      <c r="V732" s="23">
        <v>45791</v>
      </c>
      <c r="W732" s="82"/>
      <c r="X732" s="85"/>
      <c r="Y732"/>
      <c r="Z732" s="89"/>
      <c r="AA732" s="89"/>
      <c r="AB732" s="88"/>
      <c r="AC732" s="96"/>
      <c r="AD732" s="96"/>
      <c r="AE732" s="96"/>
    </row>
    <row r="733" spans="1:31">
      <c r="A733" s="358" t="s">
        <v>137</v>
      </c>
      <c r="B733" s="369">
        <v>730</v>
      </c>
      <c r="C733" s="372" t="s">
        <v>1185</v>
      </c>
      <c r="D733" s="358" t="s">
        <v>1186</v>
      </c>
      <c r="E733" s="373">
        <v>45782.375</v>
      </c>
      <c r="F733" s="372" t="s">
        <v>140</v>
      </c>
      <c r="G733" s="236">
        <v>55</v>
      </c>
      <c r="H733" s="372" t="s">
        <v>22</v>
      </c>
      <c r="I733" s="372" t="s">
        <v>28</v>
      </c>
      <c r="J733" s="372"/>
      <c r="K733" s="21"/>
      <c r="L733" s="21"/>
      <c r="M733" s="22"/>
      <c r="N733" s="23"/>
      <c r="O733" s="380" t="s">
        <v>31</v>
      </c>
      <c r="P733" s="23" t="s">
        <v>30</v>
      </c>
      <c r="Q733" s="23">
        <v>45838</v>
      </c>
      <c r="R733" s="81" t="s">
        <v>67</v>
      </c>
      <c r="S733" s="22" t="s">
        <v>1057</v>
      </c>
      <c r="T733" s="22">
        <v>32</v>
      </c>
      <c r="U733" s="24" t="s">
        <v>67</v>
      </c>
      <c r="V733" s="23">
        <v>45838</v>
      </c>
      <c r="W733" s="82"/>
      <c r="X733" s="85"/>
      <c r="Y733" s="89">
        <v>0</v>
      </c>
      <c r="Z733" s="90">
        <v>55</v>
      </c>
      <c r="AA733" s="90">
        <v>0</v>
      </c>
      <c r="AB733">
        <f>SUM(Y733:AA733)</f>
        <v>55</v>
      </c>
      <c r="AC733" s="72">
        <f>+Y733/AB733*AC$1</f>
        <v>0</v>
      </c>
      <c r="AD733" s="96">
        <f>+Z733/AB733*AD$1</f>
        <v>3</v>
      </c>
      <c r="AE733" s="96" t="e">
        <f>+AA733/AC733*AE$1</f>
        <v>#DIV/0!</v>
      </c>
    </row>
    <row r="734" spans="1:31">
      <c r="A734" s="358" t="s">
        <v>137</v>
      </c>
      <c r="B734" s="369">
        <v>731</v>
      </c>
      <c r="C734" s="372" t="s">
        <v>1187</v>
      </c>
      <c r="D734" s="358" t="s">
        <v>818</v>
      </c>
      <c r="E734" s="373">
        <v>45782.083333333336</v>
      </c>
      <c r="F734" s="372" t="s">
        <v>140</v>
      </c>
      <c r="G734" s="236">
        <v>8</v>
      </c>
      <c r="H734" s="372" t="s">
        <v>141</v>
      </c>
      <c r="I734" s="372" t="s">
        <v>819</v>
      </c>
      <c r="J734" s="372"/>
      <c r="K734" s="21"/>
      <c r="L734" s="21"/>
      <c r="M734" s="22"/>
      <c r="N734" s="23"/>
      <c r="O734" s="23"/>
      <c r="P734" s="23" t="s">
        <v>1057</v>
      </c>
      <c r="Q734" s="23">
        <v>45792</v>
      </c>
      <c r="R734" s="81" t="s">
        <v>67</v>
      </c>
      <c r="S734" s="22" t="s">
        <v>1055</v>
      </c>
      <c r="T734" s="22">
        <v>8</v>
      </c>
      <c r="U734" s="24" t="s">
        <v>67</v>
      </c>
      <c r="V734" s="23">
        <v>45792</v>
      </c>
      <c r="W734" s="82"/>
      <c r="X734" s="85"/>
      <c r="Y734" s="89"/>
      <c r="Z734" s="90"/>
      <c r="AA734" s="90"/>
      <c r="AB734" s="88"/>
      <c r="AC734" s="96"/>
      <c r="AD734" s="96"/>
      <c r="AE734" s="96"/>
    </row>
    <row r="735" spans="1:31">
      <c r="A735" s="358" t="s">
        <v>137</v>
      </c>
      <c r="B735" s="369">
        <v>732</v>
      </c>
      <c r="C735" s="372" t="s">
        <v>1188</v>
      </c>
      <c r="D735" s="358" t="s">
        <v>841</v>
      </c>
      <c r="E735" s="373">
        <v>45782.375</v>
      </c>
      <c r="F735" s="372" t="s">
        <v>140</v>
      </c>
      <c r="G735" s="236">
        <v>18</v>
      </c>
      <c r="H735" s="372" t="s">
        <v>301</v>
      </c>
      <c r="I735" s="372" t="s">
        <v>302</v>
      </c>
      <c r="J735" s="372"/>
      <c r="K735" s="21"/>
      <c r="L735" s="21"/>
      <c r="M735" s="22"/>
      <c r="N735" s="23"/>
      <c r="O735" s="62" t="s">
        <v>31</v>
      </c>
      <c r="P735" s="23" t="s">
        <v>30</v>
      </c>
      <c r="Q735" s="23">
        <v>45792</v>
      </c>
      <c r="R735" s="81" t="s">
        <v>67</v>
      </c>
      <c r="S735" s="22" t="s">
        <v>1055</v>
      </c>
      <c r="T735" s="22">
        <v>19</v>
      </c>
      <c r="U735" s="24" t="s">
        <v>67</v>
      </c>
      <c r="V735" s="23">
        <v>45792</v>
      </c>
      <c r="W735" s="82"/>
      <c r="X735" s="85"/>
      <c r="Y735" s="89">
        <v>0</v>
      </c>
      <c r="Z735" s="90">
        <v>15</v>
      </c>
      <c r="AA735" s="90">
        <v>4</v>
      </c>
      <c r="AB735">
        <f>SUM(Y735:AA735)</f>
        <v>19</v>
      </c>
      <c r="AC735" s="72">
        <f>+Y735/AB735*AC$1</f>
        <v>0</v>
      </c>
      <c r="AD735" s="96">
        <f>+Z735/AB735*AD$1</f>
        <v>2.3684210526315788</v>
      </c>
      <c r="AE735" s="96" t="e">
        <f>+AA735/AC735*AE$1</f>
        <v>#DIV/0!</v>
      </c>
    </row>
    <row r="736" spans="1:31">
      <c r="A736" s="358" t="s">
        <v>137</v>
      </c>
      <c r="B736" s="369">
        <v>733</v>
      </c>
      <c r="C736" s="372" t="s">
        <v>1189</v>
      </c>
      <c r="D736" s="358" t="s">
        <v>1042</v>
      </c>
      <c r="E736" s="373">
        <v>45782.375</v>
      </c>
      <c r="F736" s="372" t="s">
        <v>140</v>
      </c>
      <c r="G736" s="236">
        <v>7</v>
      </c>
      <c r="H736" s="372" t="s">
        <v>22</v>
      </c>
      <c r="I736" s="372" t="s">
        <v>28</v>
      </c>
      <c r="J736" s="372"/>
      <c r="K736" s="21"/>
      <c r="L736" s="21"/>
      <c r="M736" s="22"/>
      <c r="N736" s="23"/>
      <c r="O736" s="23"/>
      <c r="P736" s="23" t="s">
        <v>1057</v>
      </c>
      <c r="Q736" s="23">
        <v>45804</v>
      </c>
      <c r="R736" s="81" t="s">
        <v>67</v>
      </c>
      <c r="S736" s="22" t="s">
        <v>1055</v>
      </c>
      <c r="T736" s="22">
        <v>7</v>
      </c>
      <c r="U736" s="24" t="s">
        <v>67</v>
      </c>
      <c r="V736" s="23">
        <v>45804</v>
      </c>
      <c r="W736" s="82"/>
      <c r="X736" s="85"/>
      <c r="Y736" s="89"/>
      <c r="Z736" s="90"/>
      <c r="AA736" s="90"/>
      <c r="AB736" s="412"/>
      <c r="AC736" s="96"/>
      <c r="AD736" s="96"/>
      <c r="AE736" s="96"/>
    </row>
    <row r="737" spans="1:31">
      <c r="A737" s="358" t="s">
        <v>137</v>
      </c>
      <c r="B737" s="369">
        <v>734</v>
      </c>
      <c r="C737" s="372" t="s">
        <v>1190</v>
      </c>
      <c r="D737" s="358" t="s">
        <v>846</v>
      </c>
      <c r="E737" s="373">
        <v>45782.375</v>
      </c>
      <c r="F737" s="372" t="s">
        <v>140</v>
      </c>
      <c r="G737" s="236">
        <v>2</v>
      </c>
      <c r="H737" s="372" t="s">
        <v>301</v>
      </c>
      <c r="I737" s="372" t="s">
        <v>302</v>
      </c>
      <c r="J737" s="372"/>
      <c r="K737" s="21"/>
      <c r="L737" s="21"/>
      <c r="M737" s="22"/>
      <c r="N737" s="23"/>
      <c r="O737" s="23"/>
      <c r="P737" s="23" t="s">
        <v>1057</v>
      </c>
      <c r="Q737" s="23">
        <v>45791</v>
      </c>
      <c r="R737" s="81" t="s">
        <v>67</v>
      </c>
      <c r="S737" s="22" t="s">
        <v>1055</v>
      </c>
      <c r="T737" s="22">
        <v>7</v>
      </c>
      <c r="U737" s="24" t="s">
        <v>67</v>
      </c>
      <c r="V737" s="23">
        <v>45791</v>
      </c>
      <c r="W737" s="82"/>
      <c r="X737" s="85"/>
      <c r="Y737" s="89"/>
      <c r="Z737" s="90"/>
      <c r="AA737" s="90"/>
      <c r="AB737" s="412"/>
      <c r="AC737" s="96"/>
      <c r="AD737" s="96"/>
      <c r="AE737" s="96"/>
    </row>
    <row r="738" spans="1:31">
      <c r="A738" s="358" t="s">
        <v>137</v>
      </c>
      <c r="B738" s="369">
        <v>735</v>
      </c>
      <c r="C738" s="372" t="s">
        <v>1191</v>
      </c>
      <c r="D738" s="358" t="s">
        <v>794</v>
      </c>
      <c r="E738" s="373">
        <v>45789.375</v>
      </c>
      <c r="F738" s="372" t="s">
        <v>140</v>
      </c>
      <c r="G738" s="236">
        <v>1</v>
      </c>
      <c r="H738" s="372" t="s">
        <v>46</v>
      </c>
      <c r="I738" s="372" t="s">
        <v>47</v>
      </c>
      <c r="J738" s="372"/>
      <c r="K738" s="21"/>
      <c r="L738" s="21"/>
      <c r="M738" s="22"/>
      <c r="N738" s="23"/>
      <c r="O738" s="23"/>
      <c r="P738" s="23" t="s">
        <v>1057</v>
      </c>
      <c r="Q738" s="23">
        <v>45796</v>
      </c>
      <c r="R738" s="81" t="s">
        <v>67</v>
      </c>
      <c r="S738" s="22" t="s">
        <v>1055</v>
      </c>
      <c r="T738" s="22">
        <v>1</v>
      </c>
      <c r="U738" s="24" t="s">
        <v>67</v>
      </c>
      <c r="V738" s="23">
        <v>45796</v>
      </c>
      <c r="W738" s="82"/>
      <c r="X738" s="85"/>
      <c r="Y738" s="89"/>
      <c r="Z738" s="90"/>
      <c r="AA738" s="90"/>
      <c r="AB738" s="412"/>
      <c r="AC738" s="96"/>
      <c r="AD738" s="96"/>
      <c r="AE738" s="96"/>
    </row>
    <row r="739" spans="1:31">
      <c r="A739" s="358" t="s">
        <v>137</v>
      </c>
      <c r="B739" s="369">
        <v>736</v>
      </c>
      <c r="C739" s="372" t="s">
        <v>1192</v>
      </c>
      <c r="D739" s="358" t="s">
        <v>1193</v>
      </c>
      <c r="E739" s="373">
        <v>45789.375</v>
      </c>
      <c r="F739" s="372" t="s">
        <v>140</v>
      </c>
      <c r="G739" s="236">
        <v>2</v>
      </c>
      <c r="H739" s="372" t="s">
        <v>22</v>
      </c>
      <c r="I739" s="372" t="s">
        <v>28</v>
      </c>
      <c r="J739" s="372"/>
      <c r="K739" s="21"/>
      <c r="L739" s="21"/>
      <c r="M739" s="22"/>
      <c r="N739" s="23"/>
      <c r="O739" s="23"/>
      <c r="P739" s="23" t="s">
        <v>1057</v>
      </c>
      <c r="Q739" s="23">
        <v>45796</v>
      </c>
      <c r="R739" s="81" t="s">
        <v>67</v>
      </c>
      <c r="S739" s="22" t="s">
        <v>1055</v>
      </c>
      <c r="T739" s="22">
        <v>2</v>
      </c>
      <c r="U739" s="24" t="s">
        <v>67</v>
      </c>
      <c r="V739" s="23">
        <v>45796</v>
      </c>
      <c r="W739" s="82"/>
      <c r="X739" s="85"/>
      <c r="Y739" s="89"/>
      <c r="Z739" s="90"/>
      <c r="AA739" s="90"/>
      <c r="AB739" s="412"/>
      <c r="AC739" s="96"/>
      <c r="AD739" s="96"/>
      <c r="AE739" s="96"/>
    </row>
    <row r="740" spans="1:31">
      <c r="A740" s="358" t="s">
        <v>137</v>
      </c>
      <c r="B740" s="369">
        <v>737</v>
      </c>
      <c r="C740" s="372" t="s">
        <v>1194</v>
      </c>
      <c r="D740" s="358" t="s">
        <v>1195</v>
      </c>
      <c r="E740" s="373">
        <v>45789.375</v>
      </c>
      <c r="F740" s="372" t="s">
        <v>140</v>
      </c>
      <c r="G740" s="236">
        <v>23</v>
      </c>
      <c r="H740" s="372" t="s">
        <v>22</v>
      </c>
      <c r="I740" s="372" t="s">
        <v>28</v>
      </c>
      <c r="J740" s="372"/>
      <c r="K740" s="21"/>
      <c r="L740" s="21"/>
      <c r="M740" s="22"/>
      <c r="N740" s="23"/>
      <c r="O740" s="62" t="s">
        <v>31</v>
      </c>
      <c r="P740" s="23" t="s">
        <v>1057</v>
      </c>
      <c r="Q740" s="23">
        <v>45796</v>
      </c>
      <c r="R740" s="81" t="s">
        <v>67</v>
      </c>
      <c r="S740" s="22" t="s">
        <v>1055</v>
      </c>
      <c r="T740" s="22">
        <v>21</v>
      </c>
      <c r="U740" s="24" t="s">
        <v>67</v>
      </c>
      <c r="V740" s="23">
        <v>45796</v>
      </c>
      <c r="W740" s="82"/>
      <c r="X740" s="85"/>
      <c r="Y740" s="89">
        <v>0</v>
      </c>
      <c r="Z740" s="89">
        <v>23</v>
      </c>
      <c r="AA740" s="89">
        <v>0</v>
      </c>
      <c r="AB740">
        <f>SUM(Y740:AA740)</f>
        <v>23</v>
      </c>
      <c r="AC740" s="72">
        <f>+Y740/AB740*AC$1</f>
        <v>0</v>
      </c>
      <c r="AD740" s="96">
        <f>+Z740/AB740*AD$1</f>
        <v>3</v>
      </c>
      <c r="AE740" s="96" t="e">
        <f>+AA740/AC740*AE$1</f>
        <v>#DIV/0!</v>
      </c>
    </row>
    <row r="741" spans="1:31">
      <c r="A741" s="358" t="s">
        <v>137</v>
      </c>
      <c r="B741" s="369">
        <v>738</v>
      </c>
      <c r="C741" s="372" t="s">
        <v>1196</v>
      </c>
      <c r="D741" s="358" t="s">
        <v>1184</v>
      </c>
      <c r="E741" s="373">
        <v>45789.083333333336</v>
      </c>
      <c r="F741" s="372" t="s">
        <v>140</v>
      </c>
      <c r="G741" s="236">
        <v>15</v>
      </c>
      <c r="H741" s="372" t="s">
        <v>21</v>
      </c>
      <c r="I741" s="372" t="s">
        <v>127</v>
      </c>
      <c r="J741" s="372"/>
      <c r="K741" s="21"/>
      <c r="L741" s="21"/>
      <c r="M741" s="22"/>
      <c r="N741" s="23"/>
      <c r="O741" s="62" t="s">
        <v>31</v>
      </c>
      <c r="P741" s="23" t="s">
        <v>1057</v>
      </c>
      <c r="Q741" s="23">
        <v>45796</v>
      </c>
      <c r="R741" s="81" t="s">
        <v>67</v>
      </c>
      <c r="S741" s="22" t="s">
        <v>1055</v>
      </c>
      <c r="T741" s="22">
        <v>15</v>
      </c>
      <c r="U741" s="24" t="s">
        <v>67</v>
      </c>
      <c r="V741" s="23">
        <v>45796</v>
      </c>
      <c r="W741" s="82"/>
      <c r="X741" s="85"/>
      <c r="Y741" s="89">
        <v>10</v>
      </c>
      <c r="Z741" s="89">
        <v>2</v>
      </c>
      <c r="AA741" s="89">
        <v>3</v>
      </c>
      <c r="AB741">
        <f>SUM(Y741:AA741)</f>
        <v>15</v>
      </c>
      <c r="AC741" s="72">
        <f>+Y741/AB741*AC$1</f>
        <v>4</v>
      </c>
      <c r="AD741" s="96">
        <f>+Z741/AB741*AD$1</f>
        <v>0.4</v>
      </c>
      <c r="AE741" s="96">
        <f>+AA741/AC741*AE$1</f>
        <v>0</v>
      </c>
    </row>
    <row r="742" spans="1:31">
      <c r="A742" s="358" t="s">
        <v>137</v>
      </c>
      <c r="B742" s="369">
        <v>739</v>
      </c>
      <c r="C742" s="372" t="s">
        <v>1197</v>
      </c>
      <c r="D742" s="358" t="s">
        <v>1198</v>
      </c>
      <c r="E742" s="373">
        <v>45789.375</v>
      </c>
      <c r="F742" s="372" t="s">
        <v>140</v>
      </c>
      <c r="G742" s="236">
        <v>3</v>
      </c>
      <c r="H742" s="372" t="s">
        <v>46</v>
      </c>
      <c r="I742" s="372" t="s">
        <v>47</v>
      </c>
      <c r="J742" s="372"/>
      <c r="K742" s="21"/>
      <c r="L742" s="21"/>
      <c r="M742" s="22"/>
      <c r="N742" s="23"/>
      <c r="O742" s="23"/>
      <c r="P742" s="23" t="s">
        <v>1057</v>
      </c>
      <c r="Q742" s="23">
        <v>45796</v>
      </c>
      <c r="R742" s="81" t="s">
        <v>67</v>
      </c>
      <c r="S742" s="22" t="s">
        <v>1055</v>
      </c>
      <c r="T742" s="22">
        <v>3</v>
      </c>
      <c r="U742" s="24" t="s">
        <v>67</v>
      </c>
      <c r="V742" s="23">
        <v>45796</v>
      </c>
      <c r="W742" s="82"/>
      <c r="X742" s="85"/>
      <c r="Y742" s="89"/>
      <c r="Z742" s="89"/>
      <c r="AA742" s="89"/>
      <c r="AC742" s="96"/>
      <c r="AD742" s="96"/>
      <c r="AE742" s="96"/>
    </row>
    <row r="743" spans="1:31">
      <c r="A743" s="358" t="s">
        <v>137</v>
      </c>
      <c r="B743" s="369">
        <v>740</v>
      </c>
      <c r="C743" s="372" t="s">
        <v>1199</v>
      </c>
      <c r="D743" s="358" t="s">
        <v>937</v>
      </c>
      <c r="E743" s="373">
        <v>45789.041666666664</v>
      </c>
      <c r="F743" s="372" t="s">
        <v>140</v>
      </c>
      <c r="G743" s="236">
        <v>5</v>
      </c>
      <c r="H743" s="372" t="s">
        <v>21</v>
      </c>
      <c r="I743" s="372" t="s">
        <v>127</v>
      </c>
      <c r="J743" s="372"/>
      <c r="K743" s="21"/>
      <c r="L743" s="21"/>
      <c r="M743" s="22"/>
      <c r="N743" s="23"/>
      <c r="O743" s="23"/>
      <c r="P743" s="23" t="s">
        <v>1057</v>
      </c>
      <c r="Q743" s="23">
        <v>45799</v>
      </c>
      <c r="R743" s="81" t="s">
        <v>67</v>
      </c>
      <c r="S743" s="22" t="s">
        <v>1055</v>
      </c>
      <c r="T743" s="22">
        <v>17</v>
      </c>
      <c r="U743" s="24" t="s">
        <v>67</v>
      </c>
      <c r="V743" s="23">
        <v>45799</v>
      </c>
      <c r="W743" s="82"/>
      <c r="X743" s="85"/>
      <c r="Y743" s="89"/>
      <c r="Z743" s="89"/>
      <c r="AA743" s="89"/>
      <c r="AC743" s="96"/>
      <c r="AD743" s="96"/>
      <c r="AE743" s="96"/>
    </row>
    <row r="744" spans="1:31">
      <c r="A744" s="358" t="s">
        <v>137</v>
      </c>
      <c r="B744" s="369">
        <v>741</v>
      </c>
      <c r="C744" s="372" t="s">
        <v>1200</v>
      </c>
      <c r="D744" s="358" t="s">
        <v>1201</v>
      </c>
      <c r="E744" s="373">
        <v>45789.375</v>
      </c>
      <c r="F744" s="372" t="s">
        <v>140</v>
      </c>
      <c r="G744" s="236">
        <v>2</v>
      </c>
      <c r="H744" s="372" t="s">
        <v>46</v>
      </c>
      <c r="I744" s="372" t="s">
        <v>47</v>
      </c>
      <c r="J744" s="372"/>
      <c r="K744" s="21"/>
      <c r="L744" s="21"/>
      <c r="M744" s="22"/>
      <c r="N744" s="23"/>
      <c r="O744" s="23"/>
      <c r="P744" s="23" t="s">
        <v>1057</v>
      </c>
      <c r="Q744" s="23">
        <v>45796</v>
      </c>
      <c r="R744" s="81" t="s">
        <v>67</v>
      </c>
      <c r="S744" s="22" t="s">
        <v>1055</v>
      </c>
      <c r="T744" s="22">
        <v>2</v>
      </c>
      <c r="U744" s="24" t="s">
        <v>67</v>
      </c>
      <c r="V744" s="23">
        <v>45796</v>
      </c>
      <c r="W744" s="82"/>
      <c r="X744" s="85"/>
      <c r="Y744" s="89"/>
      <c r="Z744" s="89"/>
      <c r="AA744" s="89"/>
      <c r="AC744" s="96"/>
      <c r="AD744" s="96"/>
      <c r="AE744" s="96"/>
    </row>
    <row r="745" spans="1:31">
      <c r="A745" s="358" t="s">
        <v>137</v>
      </c>
      <c r="B745" s="369">
        <v>742</v>
      </c>
      <c r="C745" s="372" t="s">
        <v>1202</v>
      </c>
      <c r="D745" s="358" t="s">
        <v>798</v>
      </c>
      <c r="E745" s="373">
        <v>45789.375</v>
      </c>
      <c r="F745" s="372" t="s">
        <v>140</v>
      </c>
      <c r="G745" s="236">
        <v>1</v>
      </c>
      <c r="H745" s="372" t="s">
        <v>46</v>
      </c>
      <c r="I745" s="372" t="s">
        <v>47</v>
      </c>
      <c r="J745" s="372"/>
      <c r="K745" s="21"/>
      <c r="L745" s="21"/>
      <c r="M745" s="22"/>
      <c r="N745" s="23"/>
      <c r="O745" s="23"/>
      <c r="P745" s="23" t="s">
        <v>1057</v>
      </c>
      <c r="Q745" s="23">
        <v>45799</v>
      </c>
      <c r="R745" s="81" t="s">
        <v>67</v>
      </c>
      <c r="S745" s="22" t="s">
        <v>1055</v>
      </c>
      <c r="T745" s="22">
        <v>1</v>
      </c>
      <c r="U745" s="24" t="s">
        <v>67</v>
      </c>
      <c r="V745" s="23">
        <v>45799</v>
      </c>
      <c r="W745" s="82"/>
      <c r="X745" s="85"/>
      <c r="Y745" s="89"/>
      <c r="Z745" s="89"/>
      <c r="AA745" s="89"/>
      <c r="AC745" s="96"/>
      <c r="AD745" s="96"/>
      <c r="AE745" s="96"/>
    </row>
    <row r="746" spans="1:31">
      <c r="A746" s="358" t="s">
        <v>137</v>
      </c>
      <c r="B746" s="369">
        <v>743</v>
      </c>
      <c r="C746" s="372" t="s">
        <v>1203</v>
      </c>
      <c r="D746" s="358" t="s">
        <v>1204</v>
      </c>
      <c r="E746" s="373">
        <v>45789.375</v>
      </c>
      <c r="F746" s="372" t="s">
        <v>140</v>
      </c>
      <c r="G746" s="236">
        <v>2</v>
      </c>
      <c r="H746" s="372" t="s">
        <v>22</v>
      </c>
      <c r="I746" s="372" t="s">
        <v>28</v>
      </c>
      <c r="J746" s="372"/>
      <c r="K746" s="21"/>
      <c r="L746" s="21"/>
      <c r="M746" s="22"/>
      <c r="N746" s="23"/>
      <c r="O746" s="62"/>
      <c r="P746" s="23" t="s">
        <v>1057</v>
      </c>
      <c r="Q746" s="23">
        <v>45796</v>
      </c>
      <c r="R746" s="81" t="s">
        <v>67</v>
      </c>
      <c r="S746" s="22" t="s">
        <v>1055</v>
      </c>
      <c r="T746" s="22">
        <v>4</v>
      </c>
      <c r="U746" s="24" t="s">
        <v>67</v>
      </c>
      <c r="V746" s="23">
        <v>45796</v>
      </c>
      <c r="W746" s="82"/>
      <c r="X746" s="85"/>
      <c r="Y746" s="89"/>
      <c r="Z746" s="90"/>
      <c r="AA746" s="90"/>
      <c r="AB746" s="412"/>
      <c r="AC746" s="96"/>
      <c r="AD746" s="96"/>
      <c r="AE746" s="96"/>
    </row>
    <row r="747" spans="1:31">
      <c r="A747" s="358" t="s">
        <v>137</v>
      </c>
      <c r="B747" s="369">
        <v>744</v>
      </c>
      <c r="C747" s="372" t="s">
        <v>1205</v>
      </c>
      <c r="D747" s="358" t="s">
        <v>829</v>
      </c>
      <c r="E747" s="373">
        <v>45789.166666666664</v>
      </c>
      <c r="F747" s="372" t="s">
        <v>140</v>
      </c>
      <c r="G747" s="236">
        <v>1</v>
      </c>
      <c r="H747" s="372" t="s">
        <v>78</v>
      </c>
      <c r="I747" s="372" t="s">
        <v>1206</v>
      </c>
      <c r="J747" s="372"/>
      <c r="K747" s="21"/>
      <c r="L747" s="21"/>
      <c r="M747" s="22"/>
      <c r="N747" s="23"/>
      <c r="O747" s="23"/>
      <c r="P747" s="23" t="s">
        <v>1057</v>
      </c>
      <c r="Q747" s="23">
        <v>45796</v>
      </c>
      <c r="R747" s="81" t="s">
        <v>67</v>
      </c>
      <c r="S747" s="22" t="s">
        <v>1055</v>
      </c>
      <c r="T747" s="22">
        <v>3</v>
      </c>
      <c r="U747" s="24" t="s">
        <v>67</v>
      </c>
      <c r="V747" s="23">
        <v>45796</v>
      </c>
      <c r="W747" s="360"/>
      <c r="X747" s="367"/>
      <c r="Y747" s="89"/>
      <c r="Z747" s="90"/>
      <c r="AA747" s="90"/>
      <c r="AB747" s="88"/>
      <c r="AC747" s="96"/>
      <c r="AD747" s="96"/>
      <c r="AE747" s="96"/>
    </row>
    <row r="748" spans="1:31">
      <c r="A748" s="358" t="s">
        <v>137</v>
      </c>
      <c r="B748" s="369">
        <v>745</v>
      </c>
      <c r="C748" s="372" t="s">
        <v>1207</v>
      </c>
      <c r="D748" s="358" t="s">
        <v>1208</v>
      </c>
      <c r="E748" s="373">
        <v>45789.083333333336</v>
      </c>
      <c r="F748" s="372" t="s">
        <v>140</v>
      </c>
      <c r="G748" s="236">
        <v>3</v>
      </c>
      <c r="H748" s="372" t="s">
        <v>21</v>
      </c>
      <c r="I748" s="372" t="s">
        <v>127</v>
      </c>
      <c r="J748" s="372"/>
      <c r="K748" s="21"/>
      <c r="L748" s="21"/>
      <c r="M748" s="22"/>
      <c r="N748" s="23"/>
      <c r="O748" s="23"/>
      <c r="P748" s="23" t="s">
        <v>1057</v>
      </c>
      <c r="Q748" s="23">
        <v>45797</v>
      </c>
      <c r="R748" s="81" t="s">
        <v>67</v>
      </c>
      <c r="S748" s="22" t="s">
        <v>1055</v>
      </c>
      <c r="T748" s="22">
        <v>3</v>
      </c>
      <c r="U748" s="24" t="s">
        <v>67</v>
      </c>
      <c r="V748" s="23">
        <v>45797</v>
      </c>
      <c r="W748" s="360"/>
      <c r="X748" s="367"/>
      <c r="Y748" s="89"/>
      <c r="Z748" s="89"/>
      <c r="AA748" s="89"/>
      <c r="AC748" s="96"/>
      <c r="AD748" s="96"/>
      <c r="AE748" s="96"/>
    </row>
    <row r="749" spans="1:31">
      <c r="A749" s="358" t="s">
        <v>137</v>
      </c>
      <c r="B749" s="369">
        <v>746</v>
      </c>
      <c r="C749" s="372" t="s">
        <v>1209</v>
      </c>
      <c r="D749" s="358" t="s">
        <v>1210</v>
      </c>
      <c r="E749" s="373">
        <v>45789.375</v>
      </c>
      <c r="F749" s="372" t="s">
        <v>140</v>
      </c>
      <c r="G749" s="236">
        <v>2</v>
      </c>
      <c r="H749" s="372" t="s">
        <v>46</v>
      </c>
      <c r="I749" s="372" t="s">
        <v>47</v>
      </c>
      <c r="J749" s="372"/>
      <c r="K749" s="21"/>
      <c r="L749" s="21"/>
      <c r="M749" s="22"/>
      <c r="N749" s="23"/>
      <c r="O749" s="23"/>
      <c r="P749" s="23" t="s">
        <v>1057</v>
      </c>
      <c r="Q749" s="23">
        <v>45805</v>
      </c>
      <c r="R749" s="228" t="s">
        <v>67</v>
      </c>
      <c r="S749" s="23" t="s">
        <v>1055</v>
      </c>
      <c r="T749" s="22">
        <v>2</v>
      </c>
      <c r="U749" s="23" t="s">
        <v>67</v>
      </c>
      <c r="V749" s="23">
        <v>45805</v>
      </c>
      <c r="W749" s="82"/>
      <c r="X749" s="85"/>
      <c r="Y749" s="89"/>
      <c r="Z749" s="89"/>
      <c r="AA749" s="89"/>
      <c r="AB749" s="88"/>
      <c r="AC749" s="96"/>
      <c r="AD749" s="96"/>
      <c r="AE749" s="96"/>
    </row>
    <row r="750" spans="1:31">
      <c r="A750" s="358" t="s">
        <v>137</v>
      </c>
      <c r="B750" s="369">
        <v>747</v>
      </c>
      <c r="C750" s="372" t="s">
        <v>1211</v>
      </c>
      <c r="D750" s="358" t="s">
        <v>1212</v>
      </c>
      <c r="E750" s="373">
        <v>45789.083333333336</v>
      </c>
      <c r="F750" s="372" t="s">
        <v>140</v>
      </c>
      <c r="G750" s="236">
        <v>3</v>
      </c>
      <c r="H750" s="372" t="s">
        <v>141</v>
      </c>
      <c r="I750" s="372" t="s">
        <v>819</v>
      </c>
      <c r="J750" s="372"/>
      <c r="K750" s="21"/>
      <c r="L750" s="21"/>
      <c r="M750" s="22"/>
      <c r="N750" s="23"/>
      <c r="O750" s="23"/>
      <c r="P750" s="23" t="s">
        <v>1057</v>
      </c>
      <c r="Q750" s="23">
        <v>45797</v>
      </c>
      <c r="R750" s="81" t="s">
        <v>67</v>
      </c>
      <c r="S750" s="22" t="s">
        <v>1055</v>
      </c>
      <c r="T750" s="22">
        <v>3</v>
      </c>
      <c r="U750" s="24" t="s">
        <v>67</v>
      </c>
      <c r="V750" s="23">
        <v>45797</v>
      </c>
      <c r="W750" s="360"/>
      <c r="X750" s="367"/>
      <c r="Y750" s="89"/>
      <c r="Z750" s="89"/>
      <c r="AA750" s="89"/>
      <c r="AC750" s="96"/>
      <c r="AD750" s="96"/>
      <c r="AE750" s="96"/>
    </row>
    <row r="751" spans="1:31">
      <c r="A751" s="358" t="s">
        <v>137</v>
      </c>
      <c r="B751" s="369">
        <v>748</v>
      </c>
      <c r="C751" s="372" t="s">
        <v>1213</v>
      </c>
      <c r="D751" s="358" t="s">
        <v>779</v>
      </c>
      <c r="E751" s="373">
        <v>45789.083333333336</v>
      </c>
      <c r="F751" s="372" t="s">
        <v>140</v>
      </c>
      <c r="G751" s="236">
        <v>2</v>
      </c>
      <c r="H751" s="372" t="s">
        <v>21</v>
      </c>
      <c r="I751" s="372" t="s">
        <v>127</v>
      </c>
      <c r="J751" s="372"/>
      <c r="K751" s="21"/>
      <c r="L751" s="21"/>
      <c r="M751" s="22"/>
      <c r="N751" s="23"/>
      <c r="O751" s="62"/>
      <c r="P751" s="23" t="s">
        <v>1057</v>
      </c>
      <c r="Q751" s="23">
        <v>45797</v>
      </c>
      <c r="R751" s="81" t="s">
        <v>67</v>
      </c>
      <c r="S751" s="22" t="s">
        <v>1055</v>
      </c>
      <c r="T751" s="22">
        <v>2</v>
      </c>
      <c r="U751" s="24" t="s">
        <v>67</v>
      </c>
      <c r="V751" s="23">
        <v>45797</v>
      </c>
      <c r="W751" s="360"/>
      <c r="X751" s="367"/>
      <c r="Y751" s="89"/>
      <c r="Z751" s="89"/>
      <c r="AA751" s="89"/>
      <c r="AC751" s="96"/>
      <c r="AD751" s="96"/>
      <c r="AE751" s="96"/>
    </row>
    <row r="752" spans="1:31">
      <c r="A752" s="358" t="s">
        <v>137</v>
      </c>
      <c r="B752" s="369">
        <v>749</v>
      </c>
      <c r="C752" s="372" t="s">
        <v>1214</v>
      </c>
      <c r="D752" s="358" t="s">
        <v>1215</v>
      </c>
      <c r="E752" s="373">
        <v>45789.458333333336</v>
      </c>
      <c r="F752" s="372" t="s">
        <v>140</v>
      </c>
      <c r="G752" s="236">
        <v>1</v>
      </c>
      <c r="H752" s="372" t="s">
        <v>21</v>
      </c>
      <c r="I752" s="372" t="s">
        <v>127</v>
      </c>
      <c r="J752" s="372"/>
      <c r="K752" s="21"/>
      <c r="L752" s="21"/>
      <c r="M752" s="22"/>
      <c r="N752" s="23"/>
      <c r="O752" s="62"/>
      <c r="P752" s="23" t="s">
        <v>1057</v>
      </c>
      <c r="Q752" s="23">
        <v>45797</v>
      </c>
      <c r="R752" s="81" t="s">
        <v>67</v>
      </c>
      <c r="S752" s="22" t="s">
        <v>1055</v>
      </c>
      <c r="T752" s="22">
        <v>1</v>
      </c>
      <c r="U752" s="24" t="s">
        <v>67</v>
      </c>
      <c r="V752" s="23">
        <v>45797</v>
      </c>
      <c r="W752" s="82"/>
      <c r="X752" s="85"/>
      <c r="Y752" s="89"/>
      <c r="Z752" s="89"/>
      <c r="AA752" s="89"/>
      <c r="AC752" s="96"/>
      <c r="AD752" s="96"/>
      <c r="AE752" s="96"/>
    </row>
    <row r="753" spans="1:31">
      <c r="A753" s="358" t="s">
        <v>137</v>
      </c>
      <c r="B753" s="369">
        <v>750</v>
      </c>
      <c r="C753" s="372" t="s">
        <v>1216</v>
      </c>
      <c r="D753" s="358" t="s">
        <v>798</v>
      </c>
      <c r="E753" s="373">
        <v>45789</v>
      </c>
      <c r="F753" s="372" t="s">
        <v>140</v>
      </c>
      <c r="G753" s="236">
        <v>1</v>
      </c>
      <c r="H753" s="372" t="s">
        <v>21</v>
      </c>
      <c r="I753" s="372" t="s">
        <v>127</v>
      </c>
      <c r="J753" s="372"/>
      <c r="K753" s="21"/>
      <c r="L753" s="21"/>
      <c r="M753" s="22"/>
      <c r="N753" s="23"/>
      <c r="O753" s="62"/>
      <c r="P753" s="23" t="s">
        <v>1057</v>
      </c>
      <c r="Q753" s="23">
        <v>45797</v>
      </c>
      <c r="R753" s="81" t="s">
        <v>67</v>
      </c>
      <c r="S753" s="22" t="s">
        <v>1055</v>
      </c>
      <c r="T753" s="22">
        <v>1</v>
      </c>
      <c r="U753" s="24" t="s">
        <v>67</v>
      </c>
      <c r="V753" s="23">
        <v>45797</v>
      </c>
      <c r="W753" s="82"/>
      <c r="X753" s="85"/>
      <c r="Y753" s="89"/>
      <c r="Z753" s="89"/>
      <c r="AA753" s="89"/>
      <c r="AC753" s="96"/>
      <c r="AD753" s="96"/>
      <c r="AE753" s="96"/>
    </row>
    <row r="754" spans="1:31">
      <c r="A754" s="358" t="s">
        <v>137</v>
      </c>
      <c r="B754" s="369">
        <v>751</v>
      </c>
      <c r="C754" s="372" t="s">
        <v>1217</v>
      </c>
      <c r="D754" s="358" t="s">
        <v>344</v>
      </c>
      <c r="E754" s="373">
        <v>45782.375</v>
      </c>
      <c r="F754" s="372" t="s">
        <v>140</v>
      </c>
      <c r="G754" s="236">
        <v>11</v>
      </c>
      <c r="H754" s="372" t="s">
        <v>301</v>
      </c>
      <c r="I754" s="372" t="s">
        <v>302</v>
      </c>
      <c r="J754" s="372"/>
      <c r="K754" s="21"/>
      <c r="L754" s="21"/>
      <c r="M754" s="22"/>
      <c r="N754" s="23"/>
      <c r="O754" s="62"/>
      <c r="P754" s="23" t="s">
        <v>1057</v>
      </c>
      <c r="Q754" s="23">
        <v>45792</v>
      </c>
      <c r="R754" s="228" t="s">
        <v>67</v>
      </c>
      <c r="S754" s="23" t="s">
        <v>1055</v>
      </c>
      <c r="T754" s="22">
        <v>11</v>
      </c>
      <c r="U754" s="23" t="s">
        <v>67</v>
      </c>
      <c r="V754" s="23">
        <v>45792</v>
      </c>
      <c r="W754" s="82"/>
      <c r="X754" s="85"/>
      <c r="Y754" s="89"/>
      <c r="Z754" s="89"/>
      <c r="AA754" s="89"/>
      <c r="AC754" s="96"/>
      <c r="AD754" s="96"/>
      <c r="AE754" s="96"/>
    </row>
    <row r="755" spans="1:31">
      <c r="A755" s="358" t="s">
        <v>137</v>
      </c>
      <c r="B755" s="369">
        <v>752</v>
      </c>
      <c r="C755" s="372" t="s">
        <v>1218</v>
      </c>
      <c r="D755" s="358" t="s">
        <v>1219</v>
      </c>
      <c r="E755" s="373">
        <v>45796.375</v>
      </c>
      <c r="F755" s="372" t="s">
        <v>140</v>
      </c>
      <c r="G755" s="236">
        <v>9</v>
      </c>
      <c r="H755" s="372" t="s">
        <v>22</v>
      </c>
      <c r="I755" s="372" t="s">
        <v>28</v>
      </c>
      <c r="J755" s="372"/>
      <c r="K755" s="21"/>
      <c r="L755" s="21"/>
      <c r="M755" s="22"/>
      <c r="N755" s="23"/>
      <c r="O755" s="62"/>
      <c r="P755" s="23" t="s">
        <v>1057</v>
      </c>
      <c r="Q755" s="23">
        <v>45800</v>
      </c>
      <c r="R755" s="81" t="s">
        <v>67</v>
      </c>
      <c r="S755" s="22" t="s">
        <v>1055</v>
      </c>
      <c r="T755" s="22">
        <v>9</v>
      </c>
      <c r="U755" s="24" t="s">
        <v>67</v>
      </c>
      <c r="V755" s="23">
        <v>45800</v>
      </c>
      <c r="W755" s="82"/>
      <c r="X755" s="85"/>
      <c r="Y755" s="89"/>
      <c r="Z755" s="90"/>
      <c r="AA755" s="90"/>
      <c r="AB755" s="412"/>
      <c r="AC755" s="96"/>
      <c r="AD755" s="96"/>
      <c r="AE755" s="96"/>
    </row>
    <row r="756" spans="1:31">
      <c r="A756" s="358" t="s">
        <v>137</v>
      </c>
      <c r="B756" s="369">
        <v>753</v>
      </c>
      <c r="C756" s="372" t="s">
        <v>1220</v>
      </c>
      <c r="D756" s="358" t="s">
        <v>937</v>
      </c>
      <c r="E756" s="373">
        <v>45796.083333333336</v>
      </c>
      <c r="F756" s="372" t="s">
        <v>140</v>
      </c>
      <c r="G756" s="236">
        <v>6</v>
      </c>
      <c r="H756" s="372" t="s">
        <v>78</v>
      </c>
      <c r="I756" s="372" t="s">
        <v>1206</v>
      </c>
      <c r="J756" s="372"/>
      <c r="K756" s="21"/>
      <c r="L756" s="21"/>
      <c r="M756" s="22"/>
      <c r="N756" s="23"/>
      <c r="O756" s="62"/>
      <c r="P756" s="23" t="s">
        <v>1057</v>
      </c>
      <c r="Q756" s="23">
        <v>45805</v>
      </c>
      <c r="R756" s="228" t="s">
        <v>67</v>
      </c>
      <c r="S756" s="23" t="s">
        <v>1055</v>
      </c>
      <c r="T756" s="22">
        <v>6</v>
      </c>
      <c r="U756" s="23" t="s">
        <v>67</v>
      </c>
      <c r="V756" s="23">
        <v>45805</v>
      </c>
      <c r="W756" s="82"/>
      <c r="X756" s="85"/>
      <c r="Y756" s="89"/>
      <c r="Z756" s="90"/>
      <c r="AA756" s="90"/>
      <c r="AB756" s="412"/>
      <c r="AC756" s="96"/>
      <c r="AD756" s="96"/>
      <c r="AE756" s="96"/>
    </row>
    <row r="757" spans="1:31">
      <c r="A757" s="358" t="s">
        <v>137</v>
      </c>
      <c r="B757" s="369">
        <v>754</v>
      </c>
      <c r="C757" s="372" t="s">
        <v>1221</v>
      </c>
      <c r="D757" s="358" t="s">
        <v>1198</v>
      </c>
      <c r="E757" s="373">
        <v>45796</v>
      </c>
      <c r="F757" s="372" t="s">
        <v>140</v>
      </c>
      <c r="G757" s="236">
        <v>53</v>
      </c>
      <c r="H757" s="372" t="s">
        <v>216</v>
      </c>
      <c r="I757" s="372" t="s">
        <v>1222</v>
      </c>
      <c r="J757" s="372"/>
      <c r="K757" s="21"/>
      <c r="L757" s="21"/>
      <c r="M757" s="22"/>
      <c r="N757" s="23"/>
      <c r="O757" s="62" t="s">
        <v>31</v>
      </c>
      <c r="P757" s="23" t="s">
        <v>1057</v>
      </c>
      <c r="Q757" s="23">
        <v>45805</v>
      </c>
      <c r="R757" s="81" t="s">
        <v>67</v>
      </c>
      <c r="S757" s="22" t="s">
        <v>1055</v>
      </c>
      <c r="T757" s="22">
        <v>53</v>
      </c>
      <c r="U757" s="24" t="s">
        <v>67</v>
      </c>
      <c r="V757" s="23">
        <v>45805</v>
      </c>
      <c r="W757" s="360"/>
      <c r="X757" s="367"/>
      <c r="Y757" s="89">
        <v>21</v>
      </c>
      <c r="Z757" s="90">
        <v>30</v>
      </c>
      <c r="AA757" s="90">
        <v>2</v>
      </c>
      <c r="AB757">
        <f>SUM(Y757:AA757)</f>
        <v>53</v>
      </c>
      <c r="AC757" s="72">
        <f>+Y757/AB757*AC$1</f>
        <v>2.3773584905660377</v>
      </c>
      <c r="AD757" s="96">
        <f>+Z757/AB757*AD$1</f>
        <v>1.6981132075471699</v>
      </c>
      <c r="AE757" s="96">
        <f>+AA757/AC757*AE$1</f>
        <v>0</v>
      </c>
    </row>
    <row r="758" spans="1:31">
      <c r="A758" s="358" t="s">
        <v>137</v>
      </c>
      <c r="B758" s="369">
        <v>755</v>
      </c>
      <c r="C758" s="372" t="s">
        <v>1223</v>
      </c>
      <c r="D758" s="358" t="s">
        <v>829</v>
      </c>
      <c r="E758" s="373">
        <v>45796.375</v>
      </c>
      <c r="F758" s="372" t="s">
        <v>140</v>
      </c>
      <c r="G758" s="236">
        <v>12</v>
      </c>
      <c r="H758" s="372" t="s">
        <v>46</v>
      </c>
      <c r="I758" s="372" t="s">
        <v>47</v>
      </c>
      <c r="J758" s="372"/>
      <c r="K758" s="21"/>
      <c r="L758" s="21"/>
      <c r="M758" s="22"/>
      <c r="N758" s="23"/>
      <c r="O758" s="23"/>
      <c r="P758" s="23" t="s">
        <v>1057</v>
      </c>
      <c r="Q758" s="23">
        <v>45803</v>
      </c>
      <c r="R758" s="81" t="s">
        <v>67</v>
      </c>
      <c r="S758" s="22" t="s">
        <v>1055</v>
      </c>
      <c r="T758" s="22">
        <v>12</v>
      </c>
      <c r="U758" s="24" t="s">
        <v>67</v>
      </c>
      <c r="V758" s="23">
        <v>45803</v>
      </c>
      <c r="W758" s="82"/>
      <c r="X758" s="85"/>
      <c r="Y758" s="89"/>
      <c r="Z758" s="89"/>
      <c r="AA758" s="89"/>
      <c r="AC758" s="96"/>
      <c r="AD758" s="96"/>
      <c r="AE758" s="96"/>
    </row>
    <row r="759" spans="1:31">
      <c r="A759" s="358" t="s">
        <v>137</v>
      </c>
      <c r="B759" s="369">
        <v>756</v>
      </c>
      <c r="C759" s="372" t="s">
        <v>1224</v>
      </c>
      <c r="D759" s="358" t="s">
        <v>1184</v>
      </c>
      <c r="E759" s="373">
        <v>45796.375</v>
      </c>
      <c r="F759" s="372" t="s">
        <v>140</v>
      </c>
      <c r="G759" s="236">
        <v>1</v>
      </c>
      <c r="H759" s="372" t="s">
        <v>46</v>
      </c>
      <c r="I759" s="372" t="s">
        <v>47</v>
      </c>
      <c r="J759" s="372"/>
      <c r="K759" s="21"/>
      <c r="L759" s="21"/>
      <c r="M759" s="22"/>
      <c r="N759" s="23"/>
      <c r="O759" s="62"/>
      <c r="P759" s="23" t="s">
        <v>1057</v>
      </c>
      <c r="Q759" s="23">
        <v>45803</v>
      </c>
      <c r="R759" s="81" t="s">
        <v>67</v>
      </c>
      <c r="S759" s="22" t="s">
        <v>1055</v>
      </c>
      <c r="T759" s="22">
        <v>1</v>
      </c>
      <c r="U759" s="24" t="s">
        <v>67</v>
      </c>
      <c r="V759" s="23">
        <v>45803</v>
      </c>
      <c r="W759" s="82"/>
      <c r="X759" s="85"/>
      <c r="Y759"/>
      <c r="Z759"/>
      <c r="AA759"/>
      <c r="AC759" s="96"/>
      <c r="AD759" s="96"/>
      <c r="AE759" s="96"/>
    </row>
    <row r="760" spans="1:31">
      <c r="A760" s="358" t="s">
        <v>137</v>
      </c>
      <c r="B760" s="369">
        <v>757</v>
      </c>
      <c r="C760" s="372" t="s">
        <v>1225</v>
      </c>
      <c r="D760" s="358" t="s">
        <v>1226</v>
      </c>
      <c r="E760" s="373">
        <v>45796.375</v>
      </c>
      <c r="F760" s="372" t="s">
        <v>140</v>
      </c>
      <c r="G760" s="236">
        <v>1</v>
      </c>
      <c r="H760" s="372" t="s">
        <v>21</v>
      </c>
      <c r="I760" s="372" t="s">
        <v>127</v>
      </c>
      <c r="J760" s="372"/>
      <c r="K760" s="21"/>
      <c r="L760" s="21"/>
      <c r="M760" s="22"/>
      <c r="N760" s="23"/>
      <c r="O760" s="23"/>
      <c r="P760" s="23" t="s">
        <v>1057</v>
      </c>
      <c r="Q760" s="23">
        <v>45803</v>
      </c>
      <c r="R760" s="81" t="s">
        <v>67</v>
      </c>
      <c r="S760" s="22" t="s">
        <v>1055</v>
      </c>
      <c r="T760" s="22">
        <v>1</v>
      </c>
      <c r="U760" s="24" t="s">
        <v>67</v>
      </c>
      <c r="V760" s="23">
        <v>45803</v>
      </c>
      <c r="W760" s="82"/>
      <c r="X760" s="85"/>
      <c r="Y760"/>
      <c r="Z760"/>
      <c r="AA760"/>
      <c r="AC760" s="96"/>
      <c r="AD760" s="96"/>
      <c r="AE760" s="96"/>
    </row>
    <row r="761" spans="1:31">
      <c r="A761" s="358" t="s">
        <v>137</v>
      </c>
      <c r="B761" s="369">
        <v>758</v>
      </c>
      <c r="C761" s="372" t="s">
        <v>1227</v>
      </c>
      <c r="D761" s="358" t="s">
        <v>1228</v>
      </c>
      <c r="E761" s="373">
        <v>45796.375</v>
      </c>
      <c r="F761" s="372" t="s">
        <v>140</v>
      </c>
      <c r="G761" s="236">
        <v>4</v>
      </c>
      <c r="H761" s="372" t="s">
        <v>21</v>
      </c>
      <c r="I761" s="372" t="s">
        <v>127</v>
      </c>
      <c r="J761" s="372"/>
      <c r="K761" s="21"/>
      <c r="L761" s="21"/>
      <c r="M761" s="22"/>
      <c r="N761" s="23"/>
      <c r="O761" s="62"/>
      <c r="P761" s="23" t="s">
        <v>1057</v>
      </c>
      <c r="Q761" s="23">
        <v>45803</v>
      </c>
      <c r="R761" s="81" t="s">
        <v>67</v>
      </c>
      <c r="S761" s="22" t="s">
        <v>1055</v>
      </c>
      <c r="T761" s="22">
        <v>4</v>
      </c>
      <c r="U761" s="24" t="s">
        <v>67</v>
      </c>
      <c r="V761" s="23">
        <v>45803</v>
      </c>
      <c r="W761" s="82"/>
      <c r="X761" s="85"/>
      <c r="Y761"/>
      <c r="Z761"/>
      <c r="AA761"/>
      <c r="AC761" s="96"/>
      <c r="AD761" s="96"/>
      <c r="AE761" s="96"/>
    </row>
    <row r="762" spans="1:31">
      <c r="A762" s="358" t="s">
        <v>137</v>
      </c>
      <c r="B762" s="369">
        <v>759</v>
      </c>
      <c r="C762" s="372" t="s">
        <v>1229</v>
      </c>
      <c r="D762" s="358" t="s">
        <v>1230</v>
      </c>
      <c r="E762" s="373">
        <v>45796.083333333336</v>
      </c>
      <c r="F762" s="372" t="s">
        <v>140</v>
      </c>
      <c r="G762" s="236">
        <v>2</v>
      </c>
      <c r="H762" s="372" t="s">
        <v>21</v>
      </c>
      <c r="I762" s="372" t="s">
        <v>127</v>
      </c>
      <c r="J762" s="372"/>
      <c r="K762" s="21"/>
      <c r="L762" s="21"/>
      <c r="M762" s="22"/>
      <c r="N762" s="23"/>
      <c r="O762" s="62"/>
      <c r="P762" s="23" t="s">
        <v>1057</v>
      </c>
      <c r="Q762" s="23">
        <v>45803</v>
      </c>
      <c r="R762" s="81" t="s">
        <v>67</v>
      </c>
      <c r="S762" s="22" t="s">
        <v>1055</v>
      </c>
      <c r="T762" s="22">
        <v>2</v>
      </c>
      <c r="U762" s="24" t="s">
        <v>67</v>
      </c>
      <c r="V762" s="23">
        <v>45803</v>
      </c>
      <c r="W762" s="360"/>
      <c r="X762" s="367"/>
      <c r="Y762"/>
      <c r="Z762"/>
      <c r="AA762"/>
      <c r="AC762" s="96"/>
      <c r="AD762" s="96"/>
      <c r="AE762" s="96"/>
    </row>
    <row r="763" spans="1:31">
      <c r="A763" s="358" t="s">
        <v>137</v>
      </c>
      <c r="B763" s="369">
        <v>760</v>
      </c>
      <c r="C763" s="372" t="s">
        <v>1231</v>
      </c>
      <c r="D763" s="358" t="s">
        <v>839</v>
      </c>
      <c r="E763" s="373">
        <v>45796.375</v>
      </c>
      <c r="F763" s="372" t="s">
        <v>140</v>
      </c>
      <c r="G763" s="236">
        <v>2</v>
      </c>
      <c r="H763" s="372" t="s">
        <v>46</v>
      </c>
      <c r="I763" s="372" t="s">
        <v>47</v>
      </c>
      <c r="J763" s="372"/>
      <c r="K763" s="21"/>
      <c r="L763" s="21"/>
      <c r="M763" s="22"/>
      <c r="N763" s="23"/>
      <c r="O763" s="62"/>
      <c r="P763" s="23" t="s">
        <v>1057</v>
      </c>
      <c r="Q763" s="23">
        <v>45803</v>
      </c>
      <c r="R763" s="81" t="s">
        <v>67</v>
      </c>
      <c r="S763" s="22" t="s">
        <v>1055</v>
      </c>
      <c r="T763" s="22">
        <v>2</v>
      </c>
      <c r="U763" s="24" t="s">
        <v>67</v>
      </c>
      <c r="V763" s="23">
        <v>45803</v>
      </c>
      <c r="W763" s="360"/>
      <c r="X763" s="367"/>
      <c r="Y763"/>
      <c r="Z763"/>
      <c r="AA763"/>
      <c r="AC763" s="96"/>
      <c r="AD763" s="96"/>
      <c r="AE763" s="96"/>
    </row>
    <row r="764" spans="1:31">
      <c r="A764" s="358" t="s">
        <v>137</v>
      </c>
      <c r="B764" s="369">
        <v>761</v>
      </c>
      <c r="C764" s="372" t="s">
        <v>1232</v>
      </c>
      <c r="D764" s="358" t="s">
        <v>813</v>
      </c>
      <c r="E764" s="373">
        <v>45796</v>
      </c>
      <c r="F764" s="372" t="s">
        <v>140</v>
      </c>
      <c r="G764" s="236">
        <v>5</v>
      </c>
      <c r="H764" s="372" t="s">
        <v>21</v>
      </c>
      <c r="I764" s="372" t="s">
        <v>127</v>
      </c>
      <c r="J764" s="372"/>
      <c r="K764" s="21"/>
      <c r="L764" s="21"/>
      <c r="M764" s="22"/>
      <c r="N764" s="23"/>
      <c r="O764" s="62"/>
      <c r="P764" s="23" t="s">
        <v>1057</v>
      </c>
      <c r="Q764" s="23">
        <v>45803</v>
      </c>
      <c r="R764" s="81" t="s">
        <v>67</v>
      </c>
      <c r="S764" s="22" t="s">
        <v>1055</v>
      </c>
      <c r="T764" s="22">
        <v>5</v>
      </c>
      <c r="U764" s="24" t="s">
        <v>67</v>
      </c>
      <c r="V764" s="23">
        <v>45803</v>
      </c>
      <c r="W764" s="360"/>
      <c r="X764" s="367"/>
      <c r="Y764"/>
      <c r="Z764"/>
      <c r="AA764"/>
      <c r="AC764" s="96"/>
      <c r="AD764" s="96"/>
      <c r="AE764" s="96"/>
    </row>
    <row r="765" spans="1:31">
      <c r="A765" s="358" t="s">
        <v>137</v>
      </c>
      <c r="B765" s="369">
        <v>762</v>
      </c>
      <c r="C765" s="372" t="s">
        <v>1233</v>
      </c>
      <c r="D765" s="358" t="s">
        <v>1234</v>
      </c>
      <c r="E765" s="373">
        <v>45796.375</v>
      </c>
      <c r="F765" s="372" t="s">
        <v>140</v>
      </c>
      <c r="G765" s="236">
        <v>2</v>
      </c>
      <c r="H765" s="372" t="s">
        <v>21</v>
      </c>
      <c r="I765" s="372" t="s">
        <v>127</v>
      </c>
      <c r="J765" s="372"/>
      <c r="K765" s="21"/>
      <c r="L765" s="21"/>
      <c r="M765" s="22"/>
      <c r="N765" s="23"/>
      <c r="O765" s="62"/>
      <c r="P765" s="23" t="s">
        <v>1057</v>
      </c>
      <c r="Q765" s="23">
        <v>45803</v>
      </c>
      <c r="R765" s="81" t="s">
        <v>67</v>
      </c>
      <c r="S765" s="22" t="s">
        <v>1055</v>
      </c>
      <c r="T765" s="22">
        <v>2</v>
      </c>
      <c r="U765" s="24" t="s">
        <v>67</v>
      </c>
      <c r="V765" s="23">
        <v>45803</v>
      </c>
      <c r="W765" s="360"/>
      <c r="X765" s="367"/>
      <c r="Y765"/>
      <c r="Z765" s="412"/>
      <c r="AA765" s="412"/>
      <c r="AB765" s="412"/>
      <c r="AC765" s="96"/>
      <c r="AD765" s="96"/>
      <c r="AE765" s="96"/>
    </row>
    <row r="766" spans="1:31">
      <c r="A766" s="358" t="s">
        <v>137</v>
      </c>
      <c r="B766" s="369">
        <v>763</v>
      </c>
      <c r="C766" s="372" t="s">
        <v>1235</v>
      </c>
      <c r="D766" s="358" t="s">
        <v>1236</v>
      </c>
      <c r="E766" s="373">
        <v>45796.375</v>
      </c>
      <c r="F766" s="372" t="s">
        <v>140</v>
      </c>
      <c r="G766" s="236">
        <v>1</v>
      </c>
      <c r="H766" s="372" t="s">
        <v>46</v>
      </c>
      <c r="I766" s="372" t="s">
        <v>47</v>
      </c>
      <c r="J766" s="372"/>
      <c r="K766" s="21"/>
      <c r="L766" s="21"/>
      <c r="M766" s="22"/>
      <c r="N766" s="23"/>
      <c r="O766" s="62"/>
      <c r="P766" s="23" t="s">
        <v>1057</v>
      </c>
      <c r="Q766" s="23">
        <v>45798</v>
      </c>
      <c r="R766" s="228" t="s">
        <v>67</v>
      </c>
      <c r="S766" s="23" t="s">
        <v>1055</v>
      </c>
      <c r="T766" s="22">
        <v>1</v>
      </c>
      <c r="U766" s="23" t="s">
        <v>67</v>
      </c>
      <c r="V766" s="23">
        <v>45798</v>
      </c>
      <c r="W766" s="82"/>
      <c r="X766" s="85"/>
      <c r="Y766"/>
      <c r="Z766" s="412"/>
      <c r="AA766" s="412"/>
      <c r="AB766" s="412"/>
      <c r="AC766" s="96"/>
      <c r="AD766" s="96"/>
      <c r="AE766" s="96"/>
    </row>
    <row r="767" spans="1:31">
      <c r="A767" s="358" t="s">
        <v>137</v>
      </c>
      <c r="B767" s="369">
        <v>764</v>
      </c>
      <c r="C767" s="372" t="s">
        <v>1237</v>
      </c>
      <c r="D767" s="358" t="s">
        <v>1238</v>
      </c>
      <c r="E767" s="373">
        <v>45796.375</v>
      </c>
      <c r="F767" s="372" t="s">
        <v>140</v>
      </c>
      <c r="G767" s="236">
        <v>1</v>
      </c>
      <c r="H767" s="372" t="s">
        <v>21</v>
      </c>
      <c r="I767" s="372" t="s">
        <v>127</v>
      </c>
      <c r="J767" s="372"/>
      <c r="K767" s="21"/>
      <c r="L767" s="21"/>
      <c r="M767" s="22"/>
      <c r="N767" s="23"/>
      <c r="O767" s="23"/>
      <c r="P767" s="23" t="s">
        <v>1057</v>
      </c>
      <c r="Q767" s="23">
        <v>45803</v>
      </c>
      <c r="R767" s="81" t="s">
        <v>67</v>
      </c>
      <c r="S767" s="22" t="s">
        <v>1055</v>
      </c>
      <c r="T767" s="22">
        <v>1</v>
      </c>
      <c r="U767" s="24" t="s">
        <v>67</v>
      </c>
      <c r="V767" s="23">
        <v>45803</v>
      </c>
      <c r="W767" s="82"/>
      <c r="X767" s="85"/>
      <c r="Y767"/>
      <c r="Z767" s="412"/>
      <c r="AA767" s="412"/>
      <c r="AB767" s="412"/>
      <c r="AC767" s="96"/>
      <c r="AD767" s="96"/>
      <c r="AE767" s="96"/>
    </row>
    <row r="768" spans="1:31">
      <c r="A768" s="358" t="s">
        <v>137</v>
      </c>
      <c r="B768" s="369">
        <v>765</v>
      </c>
      <c r="C768" s="372" t="s">
        <v>1239</v>
      </c>
      <c r="D768" s="358" t="s">
        <v>338</v>
      </c>
      <c r="E768" s="373">
        <v>45796.375</v>
      </c>
      <c r="F768" s="372" t="s">
        <v>140</v>
      </c>
      <c r="G768" s="236">
        <v>3</v>
      </c>
      <c r="H768" s="372" t="s">
        <v>21</v>
      </c>
      <c r="I768" s="372" t="s">
        <v>127</v>
      </c>
      <c r="J768" s="372"/>
      <c r="K768" s="21"/>
      <c r="L768" s="21"/>
      <c r="M768" s="22"/>
      <c r="N768" s="23"/>
      <c r="O768" s="23"/>
      <c r="P768" s="23" t="s">
        <v>1057</v>
      </c>
      <c r="Q768" s="23">
        <v>45806</v>
      </c>
      <c r="R768" s="81" t="s">
        <v>67</v>
      </c>
      <c r="S768" s="22" t="s">
        <v>1055</v>
      </c>
      <c r="T768" s="22">
        <v>3</v>
      </c>
      <c r="U768" s="24" t="s">
        <v>67</v>
      </c>
      <c r="V768" s="23">
        <v>45806</v>
      </c>
      <c r="W768" s="82"/>
      <c r="X768" s="85"/>
      <c r="Y768"/>
      <c r="Z768" s="89"/>
      <c r="AA768" s="89"/>
      <c r="AB768" s="88"/>
      <c r="AC768" s="96"/>
      <c r="AD768" s="96"/>
      <c r="AE768" s="96"/>
    </row>
    <row r="769" spans="1:31">
      <c r="A769" s="358" t="s">
        <v>137</v>
      </c>
      <c r="B769" s="369">
        <v>766</v>
      </c>
      <c r="C769" s="372" t="s">
        <v>1240</v>
      </c>
      <c r="D769" s="358" t="s">
        <v>1184</v>
      </c>
      <c r="E769" s="373">
        <v>45803.375</v>
      </c>
      <c r="F769" s="372" t="s">
        <v>140</v>
      </c>
      <c r="G769" s="236">
        <v>4</v>
      </c>
      <c r="H769" s="372" t="s">
        <v>301</v>
      </c>
      <c r="I769" s="372" t="s">
        <v>302</v>
      </c>
      <c r="J769" s="372"/>
      <c r="K769" s="21"/>
      <c r="L769" s="21"/>
      <c r="M769" s="22"/>
      <c r="N769" s="23"/>
      <c r="O769" s="62"/>
      <c r="P769" s="23" t="s">
        <v>1057</v>
      </c>
      <c r="Q769" s="23">
        <v>45811</v>
      </c>
      <c r="R769" s="228" t="s">
        <v>67</v>
      </c>
      <c r="S769" s="23" t="s">
        <v>1055</v>
      </c>
      <c r="T769" s="22">
        <v>4</v>
      </c>
      <c r="U769" s="23" t="s">
        <v>67</v>
      </c>
      <c r="V769" s="23">
        <v>45811</v>
      </c>
      <c r="W769" s="360"/>
      <c r="X769" s="367"/>
      <c r="Y769"/>
      <c r="Z769"/>
      <c r="AA769"/>
      <c r="AC769" s="96"/>
      <c r="AD769" s="96"/>
      <c r="AE769" s="96"/>
    </row>
    <row r="770" spans="1:31">
      <c r="A770" s="358" t="s">
        <v>137</v>
      </c>
      <c r="B770" s="369">
        <v>767</v>
      </c>
      <c r="C770" s="372" t="s">
        <v>1241</v>
      </c>
      <c r="D770" s="358" t="s">
        <v>1242</v>
      </c>
      <c r="E770" s="373">
        <v>45803.041666666664</v>
      </c>
      <c r="F770" s="372" t="s">
        <v>140</v>
      </c>
      <c r="G770" s="236">
        <v>14</v>
      </c>
      <c r="H770" s="372" t="s">
        <v>78</v>
      </c>
      <c r="I770" s="372" t="s">
        <v>1206</v>
      </c>
      <c r="J770" s="372"/>
      <c r="K770" s="21"/>
      <c r="L770" s="21"/>
      <c r="M770" s="22"/>
      <c r="N770" s="23"/>
      <c r="O770" s="62"/>
      <c r="P770" s="23" t="s">
        <v>1057</v>
      </c>
      <c r="Q770" s="23">
        <v>45811</v>
      </c>
      <c r="R770" s="228" t="s">
        <v>67</v>
      </c>
      <c r="S770" s="23" t="s">
        <v>1055</v>
      </c>
      <c r="T770" s="22">
        <v>6</v>
      </c>
      <c r="U770" s="23" t="s">
        <v>67</v>
      </c>
      <c r="V770" s="23">
        <v>45811</v>
      </c>
      <c r="W770" s="82"/>
      <c r="X770" s="85"/>
      <c r="Y770"/>
      <c r="Z770"/>
      <c r="AA770"/>
      <c r="AC770" s="96"/>
      <c r="AD770" s="96"/>
      <c r="AE770" s="96"/>
    </row>
    <row r="771" spans="1:31">
      <c r="A771" s="358" t="s">
        <v>137</v>
      </c>
      <c r="B771" s="369">
        <v>768</v>
      </c>
      <c r="C771" s="372" t="s">
        <v>1243</v>
      </c>
      <c r="D771" s="358" t="s">
        <v>1198</v>
      </c>
      <c r="E771" s="373">
        <v>45803.375</v>
      </c>
      <c r="F771" s="372" t="s">
        <v>140</v>
      </c>
      <c r="G771" s="236">
        <v>11</v>
      </c>
      <c r="H771" s="372" t="s">
        <v>46</v>
      </c>
      <c r="I771" s="372" t="s">
        <v>47</v>
      </c>
      <c r="J771" s="372"/>
      <c r="K771" s="21"/>
      <c r="L771" s="21"/>
      <c r="M771" s="22"/>
      <c r="N771" s="23"/>
      <c r="O771" s="62"/>
      <c r="P771" s="23" t="s">
        <v>1057</v>
      </c>
      <c r="Q771" s="23">
        <v>45811</v>
      </c>
      <c r="R771" s="81" t="s">
        <v>67</v>
      </c>
      <c r="S771" s="22" t="s">
        <v>1055</v>
      </c>
      <c r="T771" s="22">
        <v>8</v>
      </c>
      <c r="U771" s="24" t="s">
        <v>67</v>
      </c>
      <c r="V771" s="23">
        <v>45811</v>
      </c>
      <c r="W771" s="82"/>
      <c r="X771" s="85"/>
      <c r="Y771"/>
      <c r="Z771"/>
      <c r="AA771"/>
      <c r="AC771" s="96"/>
      <c r="AD771" s="96"/>
      <c r="AE771" s="96"/>
    </row>
    <row r="772" spans="1:31">
      <c r="A772" s="358" t="s">
        <v>137</v>
      </c>
      <c r="B772" s="369">
        <v>769</v>
      </c>
      <c r="C772" s="372" t="s">
        <v>1244</v>
      </c>
      <c r="D772" s="358" t="s">
        <v>1245</v>
      </c>
      <c r="E772" s="373">
        <v>45803.125</v>
      </c>
      <c r="F772" s="372" t="s">
        <v>140</v>
      </c>
      <c r="G772" s="236">
        <v>1</v>
      </c>
      <c r="H772" s="372" t="s">
        <v>21</v>
      </c>
      <c r="I772" s="372" t="s">
        <v>127</v>
      </c>
      <c r="J772" s="372"/>
      <c r="K772" s="21"/>
      <c r="L772" s="21"/>
      <c r="M772" s="22"/>
      <c r="N772" s="23"/>
      <c r="O772" s="62"/>
      <c r="P772" s="23" t="s">
        <v>1057</v>
      </c>
      <c r="Q772" s="23">
        <v>45811</v>
      </c>
      <c r="R772" s="81" t="s">
        <v>67</v>
      </c>
      <c r="S772" s="22" t="s">
        <v>1055</v>
      </c>
      <c r="T772" s="22">
        <v>1</v>
      </c>
      <c r="U772" s="24" t="s">
        <v>67</v>
      </c>
      <c r="V772" s="23">
        <v>45811</v>
      </c>
      <c r="W772" s="82"/>
      <c r="X772" s="85"/>
      <c r="Y772"/>
      <c r="Z772"/>
      <c r="AA772"/>
      <c r="AC772" s="96"/>
      <c r="AD772" s="96"/>
      <c r="AE772" s="96"/>
    </row>
    <row r="773" spans="1:31">
      <c r="A773" s="358" t="s">
        <v>137</v>
      </c>
      <c r="B773" s="369">
        <v>770</v>
      </c>
      <c r="C773" s="372" t="s">
        <v>1246</v>
      </c>
      <c r="D773" s="358" t="s">
        <v>1247</v>
      </c>
      <c r="E773" s="373">
        <v>45803.375</v>
      </c>
      <c r="F773" s="372" t="s">
        <v>140</v>
      </c>
      <c r="G773" s="236">
        <v>1</v>
      </c>
      <c r="H773" s="372" t="s">
        <v>46</v>
      </c>
      <c r="I773" s="372" t="s">
        <v>47</v>
      </c>
      <c r="J773" s="372"/>
      <c r="K773" s="21"/>
      <c r="L773" s="21"/>
      <c r="M773" s="22"/>
      <c r="N773" s="23"/>
      <c r="O773" s="62"/>
      <c r="P773" s="23" t="s">
        <v>1057</v>
      </c>
      <c r="Q773" s="23">
        <v>45811</v>
      </c>
      <c r="R773" s="81" t="s">
        <v>67</v>
      </c>
      <c r="S773" s="22" t="s">
        <v>1055</v>
      </c>
      <c r="T773" s="22">
        <v>1</v>
      </c>
      <c r="U773" s="24" t="s">
        <v>67</v>
      </c>
      <c r="V773" s="23">
        <v>45811</v>
      </c>
      <c r="W773" s="82"/>
      <c r="X773" s="85"/>
      <c r="Y773"/>
      <c r="Z773" s="412"/>
      <c r="AA773" s="412"/>
      <c r="AB773" s="412"/>
      <c r="AC773" s="96"/>
      <c r="AD773" s="96"/>
      <c r="AE773" s="96"/>
    </row>
    <row r="774" spans="1:31">
      <c r="A774" s="358" t="s">
        <v>137</v>
      </c>
      <c r="B774" s="369">
        <v>771</v>
      </c>
      <c r="C774" s="372" t="s">
        <v>1248</v>
      </c>
      <c r="D774" s="358" t="s">
        <v>829</v>
      </c>
      <c r="E774" s="373">
        <v>45803.083333333336</v>
      </c>
      <c r="F774" s="372" t="s">
        <v>140</v>
      </c>
      <c r="G774" s="236">
        <v>29</v>
      </c>
      <c r="H774" s="372" t="s">
        <v>78</v>
      </c>
      <c r="I774" s="372" t="s">
        <v>1206</v>
      </c>
      <c r="J774" s="372"/>
      <c r="K774" s="21"/>
      <c r="L774" s="21"/>
      <c r="M774" s="22"/>
      <c r="N774" s="23"/>
      <c r="O774" s="62" t="s">
        <v>31</v>
      </c>
      <c r="P774" s="23" t="s">
        <v>1057</v>
      </c>
      <c r="Q774" s="23">
        <v>45811</v>
      </c>
      <c r="R774" s="81" t="s">
        <v>67</v>
      </c>
      <c r="S774" s="22" t="s">
        <v>1055</v>
      </c>
      <c r="T774" s="22">
        <v>22</v>
      </c>
      <c r="U774" s="24" t="s">
        <v>67</v>
      </c>
      <c r="V774" s="23">
        <v>45811</v>
      </c>
      <c r="W774" s="82"/>
      <c r="X774" s="85"/>
      <c r="Y774">
        <v>17</v>
      </c>
      <c r="Z774" s="412">
        <v>0</v>
      </c>
      <c r="AA774" s="412">
        <v>12</v>
      </c>
      <c r="AB774">
        <f>SUM(Y774:AA774)</f>
        <v>29</v>
      </c>
      <c r="AC774" s="72">
        <f>+Y774/AB774*AC$1</f>
        <v>3.5172413793103443</v>
      </c>
      <c r="AD774" s="96">
        <f>+Z774/AB774*AD$1</f>
        <v>0</v>
      </c>
      <c r="AE774" s="96">
        <f>+AA774/AC774*AE$1</f>
        <v>0</v>
      </c>
    </row>
    <row r="775" spans="1:31">
      <c r="A775" s="358" t="s">
        <v>137</v>
      </c>
      <c r="B775" s="369">
        <v>772</v>
      </c>
      <c r="C775" s="372" t="s">
        <v>1249</v>
      </c>
      <c r="D775" s="358" t="s">
        <v>1250</v>
      </c>
      <c r="E775" s="373">
        <v>45803.125</v>
      </c>
      <c r="F775" s="372" t="s">
        <v>140</v>
      </c>
      <c r="G775" s="236">
        <v>1</v>
      </c>
      <c r="H775" s="372" t="s">
        <v>21</v>
      </c>
      <c r="I775" s="372" t="s">
        <v>127</v>
      </c>
      <c r="J775" s="372"/>
      <c r="K775" s="21"/>
      <c r="L775" s="21"/>
      <c r="M775" s="22"/>
      <c r="N775" s="23"/>
      <c r="O775" s="23"/>
      <c r="P775" s="23" t="s">
        <v>1057</v>
      </c>
      <c r="Q775" s="23">
        <v>45811</v>
      </c>
      <c r="R775" s="81" t="s">
        <v>67</v>
      </c>
      <c r="S775" s="22" t="s">
        <v>1055</v>
      </c>
      <c r="T775" s="22">
        <v>1</v>
      </c>
      <c r="U775" s="24" t="s">
        <v>67</v>
      </c>
      <c r="V775" s="23">
        <v>45811</v>
      </c>
      <c r="W775" s="360"/>
      <c r="X775" s="367"/>
      <c r="Y775"/>
      <c r="Z775" s="412"/>
      <c r="AA775" s="412"/>
      <c r="AB775" s="412"/>
      <c r="AC775" s="96"/>
      <c r="AD775" s="96"/>
      <c r="AE775" s="96"/>
    </row>
    <row r="776" spans="1:31">
      <c r="A776" s="358" t="s">
        <v>137</v>
      </c>
      <c r="B776" s="369">
        <v>773</v>
      </c>
      <c r="C776" s="372" t="s">
        <v>1251</v>
      </c>
      <c r="D776" s="358" t="s">
        <v>1252</v>
      </c>
      <c r="E776" s="373">
        <v>45803.375</v>
      </c>
      <c r="F776" s="372" t="s">
        <v>140</v>
      </c>
      <c r="G776" s="236">
        <v>6</v>
      </c>
      <c r="H776" s="372" t="s">
        <v>21</v>
      </c>
      <c r="I776" s="372" t="s">
        <v>127</v>
      </c>
      <c r="J776" s="372"/>
      <c r="K776" s="21"/>
      <c r="L776" s="21"/>
      <c r="M776" s="22"/>
      <c r="N776" s="23"/>
      <c r="O776" s="23"/>
      <c r="P776" s="23" t="s">
        <v>1057</v>
      </c>
      <c r="Q776" s="23">
        <v>45811</v>
      </c>
      <c r="R776" s="81" t="s">
        <v>67</v>
      </c>
      <c r="S776" s="22" t="s">
        <v>1055</v>
      </c>
      <c r="T776" s="22">
        <v>6</v>
      </c>
      <c r="U776" s="24" t="s">
        <v>67</v>
      </c>
      <c r="V776" s="23">
        <v>45811</v>
      </c>
      <c r="W776" s="82"/>
      <c r="X776" s="85"/>
      <c r="Y776"/>
      <c r="Z776"/>
      <c r="AA776"/>
      <c r="AC776" s="96"/>
      <c r="AD776" s="96"/>
      <c r="AE776" s="96"/>
    </row>
    <row r="777" spans="1:31">
      <c r="A777" s="358" t="s">
        <v>137</v>
      </c>
      <c r="B777" s="369">
        <v>774</v>
      </c>
      <c r="C777" s="372" t="s">
        <v>1253</v>
      </c>
      <c r="D777" s="358" t="s">
        <v>1254</v>
      </c>
      <c r="E777" s="373">
        <v>45803.458333333336</v>
      </c>
      <c r="F777" s="372" t="s">
        <v>140</v>
      </c>
      <c r="G777" s="236">
        <v>6</v>
      </c>
      <c r="H777" s="372" t="s">
        <v>22</v>
      </c>
      <c r="I777" s="372" t="s">
        <v>28</v>
      </c>
      <c r="J777" s="372"/>
      <c r="K777" s="101" t="s">
        <v>1255</v>
      </c>
      <c r="L777" s="21"/>
      <c r="M777" s="22"/>
      <c r="N777" s="23"/>
      <c r="O777" s="62"/>
      <c r="P777" s="23"/>
      <c r="Q777" s="62"/>
      <c r="R777" s="81" t="s">
        <v>67</v>
      </c>
      <c r="S777" s="22"/>
      <c r="T777" s="22"/>
      <c r="U777" s="24" t="s">
        <v>67</v>
      </c>
      <c r="V777" s="23"/>
      <c r="W777" s="82"/>
      <c r="X777" s="85"/>
      <c r="Y777"/>
      <c r="Z777"/>
      <c r="AA777"/>
      <c r="AC777" s="96"/>
      <c r="AD777" s="96"/>
      <c r="AE777" s="96"/>
    </row>
    <row r="778" spans="1:31">
      <c r="A778" s="358" t="s">
        <v>137</v>
      </c>
      <c r="B778" s="369">
        <v>775</v>
      </c>
      <c r="C778" s="372" t="s">
        <v>1256</v>
      </c>
      <c r="D778" s="358" t="s">
        <v>1257</v>
      </c>
      <c r="E778" s="373">
        <v>45803</v>
      </c>
      <c r="F778" s="372" t="s">
        <v>140</v>
      </c>
      <c r="G778" s="236">
        <v>3</v>
      </c>
      <c r="H778" s="372" t="s">
        <v>46</v>
      </c>
      <c r="I778" s="372" t="s">
        <v>47</v>
      </c>
      <c r="J778" s="372"/>
      <c r="K778" s="21"/>
      <c r="L778" s="21"/>
      <c r="M778" s="22"/>
      <c r="N778" s="23"/>
      <c r="O778" s="23"/>
      <c r="P778" s="23" t="s">
        <v>1057</v>
      </c>
      <c r="Q778" s="23">
        <v>45807</v>
      </c>
      <c r="R778" s="81" t="s">
        <v>67</v>
      </c>
      <c r="S778" s="22" t="s">
        <v>1055</v>
      </c>
      <c r="T778" s="22">
        <v>3</v>
      </c>
      <c r="U778" s="24" t="s">
        <v>67</v>
      </c>
      <c r="V778" s="23">
        <v>45807</v>
      </c>
      <c r="W778" s="82"/>
      <c r="X778" s="85"/>
      <c r="Y778"/>
      <c r="Z778"/>
      <c r="AA778"/>
      <c r="AC778" s="96"/>
      <c r="AD778" s="96"/>
      <c r="AE778" s="96"/>
    </row>
    <row r="779" spans="1:31">
      <c r="A779" s="358" t="s">
        <v>137</v>
      </c>
      <c r="B779" s="369">
        <v>776</v>
      </c>
      <c r="C779" s="372" t="s">
        <v>1258</v>
      </c>
      <c r="D779" s="358" t="s">
        <v>1259</v>
      </c>
      <c r="E779" s="373">
        <v>45782.375</v>
      </c>
      <c r="F779" s="372" t="s">
        <v>140</v>
      </c>
      <c r="G779" s="236">
        <v>10</v>
      </c>
      <c r="H779" s="372" t="s">
        <v>21</v>
      </c>
      <c r="I779" s="372" t="s">
        <v>127</v>
      </c>
      <c r="J779" s="372"/>
      <c r="K779" s="21"/>
      <c r="L779" s="21"/>
      <c r="M779" s="22"/>
      <c r="N779" s="23"/>
      <c r="O779" s="62"/>
      <c r="P779" s="23" t="s">
        <v>1057</v>
      </c>
      <c r="Q779" s="23">
        <v>45792</v>
      </c>
      <c r="R779" s="81" t="s">
        <v>67</v>
      </c>
      <c r="S779" s="22" t="s">
        <v>1057</v>
      </c>
      <c r="T779" s="22">
        <v>10</v>
      </c>
      <c r="U779" s="24" t="s">
        <v>67</v>
      </c>
      <c r="V779" s="23">
        <v>45792</v>
      </c>
      <c r="W779" s="82"/>
      <c r="X779" s="85"/>
      <c r="Y779"/>
      <c r="Z779"/>
      <c r="AA779"/>
      <c r="AC779" s="96"/>
      <c r="AD779" s="96"/>
      <c r="AE779" s="96"/>
    </row>
    <row r="780" spans="1:31">
      <c r="A780" s="358" t="s">
        <v>137</v>
      </c>
      <c r="B780" s="369">
        <v>777</v>
      </c>
      <c r="C780" s="372" t="s">
        <v>1260</v>
      </c>
      <c r="D780" s="358" t="s">
        <v>865</v>
      </c>
      <c r="E780" s="373">
        <v>45789.041666666664</v>
      </c>
      <c r="F780" s="372" t="s">
        <v>140</v>
      </c>
      <c r="G780" s="236">
        <v>2</v>
      </c>
      <c r="H780" s="372" t="s">
        <v>21</v>
      </c>
      <c r="I780" s="372" t="s">
        <v>127</v>
      </c>
      <c r="J780" s="372"/>
      <c r="K780" s="21"/>
      <c r="L780" s="21"/>
      <c r="M780" s="22"/>
      <c r="N780" s="23"/>
      <c r="O780" s="62"/>
      <c r="P780" s="23" t="s">
        <v>1057</v>
      </c>
      <c r="Q780" s="23">
        <v>45800</v>
      </c>
      <c r="R780" s="228" t="s">
        <v>67</v>
      </c>
      <c r="S780" s="23" t="s">
        <v>1055</v>
      </c>
      <c r="T780" s="22">
        <v>2</v>
      </c>
      <c r="U780" s="23" t="s">
        <v>67</v>
      </c>
      <c r="V780" s="23">
        <v>45800</v>
      </c>
      <c r="W780" s="360"/>
      <c r="X780" s="367"/>
      <c r="Y780"/>
      <c r="Z780"/>
      <c r="AA780"/>
      <c r="AC780" s="96"/>
      <c r="AD780" s="96"/>
      <c r="AE780" s="96"/>
    </row>
    <row r="781" spans="1:31">
      <c r="A781" s="358" t="s">
        <v>137</v>
      </c>
      <c r="B781" s="369">
        <v>778</v>
      </c>
      <c r="C781" s="372" t="s">
        <v>1261</v>
      </c>
      <c r="D781" s="358" t="s">
        <v>1184</v>
      </c>
      <c r="E781" s="373">
        <v>45789</v>
      </c>
      <c r="F781" s="372" t="s">
        <v>140</v>
      </c>
      <c r="G781" s="236">
        <v>4</v>
      </c>
      <c r="H781" s="372" t="s">
        <v>21</v>
      </c>
      <c r="I781" s="372" t="s">
        <v>127</v>
      </c>
      <c r="J781" s="372"/>
      <c r="K781" s="21"/>
      <c r="L781" s="21"/>
      <c r="M781" s="22"/>
      <c r="N781" s="23"/>
      <c r="O781" s="62"/>
      <c r="P781" s="23" t="s">
        <v>1057</v>
      </c>
      <c r="Q781" s="23">
        <v>45800</v>
      </c>
      <c r="R781" s="81" t="s">
        <v>67</v>
      </c>
      <c r="S781" s="22" t="s">
        <v>1055</v>
      </c>
      <c r="T781" s="22">
        <v>4</v>
      </c>
      <c r="U781" s="24" t="s">
        <v>67</v>
      </c>
      <c r="V781" s="23">
        <v>45800</v>
      </c>
      <c r="W781" s="360"/>
      <c r="X781" s="367"/>
      <c r="Y781"/>
      <c r="Z781"/>
      <c r="AA781"/>
      <c r="AC781" s="96"/>
      <c r="AD781" s="96"/>
      <c r="AE781" s="96"/>
    </row>
    <row r="782" spans="1:31">
      <c r="A782" s="358" t="s">
        <v>137</v>
      </c>
      <c r="B782" s="369">
        <v>779</v>
      </c>
      <c r="C782" s="372" t="s">
        <v>1262</v>
      </c>
      <c r="D782" s="358" t="s">
        <v>1263</v>
      </c>
      <c r="E782" s="373">
        <v>45789.458333333336</v>
      </c>
      <c r="F782" s="372" t="s">
        <v>140</v>
      </c>
      <c r="G782" s="236">
        <v>2</v>
      </c>
      <c r="H782" s="372" t="s">
        <v>21</v>
      </c>
      <c r="I782" s="372" t="s">
        <v>127</v>
      </c>
      <c r="J782" s="372"/>
      <c r="K782" s="21"/>
      <c r="L782" s="21"/>
      <c r="M782" s="22"/>
      <c r="N782" s="23"/>
      <c r="O782" s="62"/>
      <c r="P782" s="23" t="s">
        <v>1057</v>
      </c>
      <c r="Q782" s="23">
        <v>45800</v>
      </c>
      <c r="R782" s="81" t="s">
        <v>67</v>
      </c>
      <c r="S782" s="22" t="s">
        <v>1055</v>
      </c>
      <c r="T782" s="22">
        <v>2</v>
      </c>
      <c r="U782" s="24" t="s">
        <v>67</v>
      </c>
      <c r="V782" s="23">
        <v>45800</v>
      </c>
      <c r="W782" s="360"/>
      <c r="X782" s="367"/>
      <c r="Y782"/>
      <c r="Z782"/>
      <c r="AA782"/>
      <c r="AC782" s="96"/>
      <c r="AD782" s="96"/>
      <c r="AE782" s="96"/>
    </row>
    <row r="783" spans="1:31">
      <c r="A783" s="358" t="s">
        <v>137</v>
      </c>
      <c r="B783" s="369">
        <v>780</v>
      </c>
      <c r="C783" s="372" t="s">
        <v>1264</v>
      </c>
      <c r="D783" s="358" t="s">
        <v>1265</v>
      </c>
      <c r="E783" s="373">
        <v>45789.375</v>
      </c>
      <c r="F783" s="372" t="s">
        <v>140</v>
      </c>
      <c r="G783" s="236">
        <v>3</v>
      </c>
      <c r="H783" s="372" t="s">
        <v>46</v>
      </c>
      <c r="I783" s="372" t="s">
        <v>47</v>
      </c>
      <c r="J783" s="372"/>
      <c r="K783" s="21"/>
      <c r="L783" s="21"/>
      <c r="M783" s="22"/>
      <c r="N783" s="23"/>
      <c r="O783" s="62"/>
      <c r="P783" s="23" t="s">
        <v>1057</v>
      </c>
      <c r="Q783" s="23">
        <v>45800</v>
      </c>
      <c r="R783" s="81" t="s">
        <v>67</v>
      </c>
      <c r="S783" s="22" t="s">
        <v>1055</v>
      </c>
      <c r="T783" s="22">
        <v>3</v>
      </c>
      <c r="U783" s="24" t="s">
        <v>67</v>
      </c>
      <c r="V783" s="23">
        <v>45800</v>
      </c>
      <c r="W783" s="360"/>
      <c r="X783" s="367"/>
      <c r="Y783"/>
      <c r="Z783" s="412"/>
      <c r="AA783" s="412"/>
      <c r="AB783" s="412"/>
      <c r="AC783" s="96"/>
      <c r="AD783" s="96"/>
      <c r="AE783" s="96"/>
    </row>
    <row r="784" spans="1:31">
      <c r="A784" s="358" t="s">
        <v>137</v>
      </c>
      <c r="B784" s="369">
        <v>781</v>
      </c>
      <c r="C784" s="372" t="s">
        <v>1266</v>
      </c>
      <c r="D784" s="358" t="s">
        <v>1267</v>
      </c>
      <c r="E784" s="373">
        <v>45796.458333333336</v>
      </c>
      <c r="F784" s="372" t="s">
        <v>140</v>
      </c>
      <c r="G784" s="236">
        <v>2</v>
      </c>
      <c r="H784" s="372" t="s">
        <v>21</v>
      </c>
      <c r="I784" s="372" t="s">
        <v>127</v>
      </c>
      <c r="J784" s="372"/>
      <c r="K784" s="21"/>
      <c r="L784" s="21"/>
      <c r="M784" s="22"/>
      <c r="N784" s="23"/>
      <c r="O784" s="62"/>
      <c r="P784" s="23" t="s">
        <v>1057</v>
      </c>
      <c r="Q784" s="23">
        <v>45804</v>
      </c>
      <c r="R784" s="81" t="s">
        <v>67</v>
      </c>
      <c r="S784" s="22" t="s">
        <v>1055</v>
      </c>
      <c r="T784" s="22">
        <v>2</v>
      </c>
      <c r="U784" s="24" t="s">
        <v>67</v>
      </c>
      <c r="V784" s="23">
        <v>45804</v>
      </c>
      <c r="W784" s="82"/>
      <c r="X784" s="85"/>
      <c r="Y784"/>
      <c r="Z784" s="412"/>
      <c r="AA784" s="412"/>
      <c r="AB784" s="412"/>
      <c r="AC784" s="96"/>
      <c r="AD784" s="96"/>
      <c r="AE784" s="96"/>
    </row>
    <row r="785" spans="1:31">
      <c r="A785" s="358" t="s">
        <v>137</v>
      </c>
      <c r="B785" s="369">
        <v>782</v>
      </c>
      <c r="C785" s="372" t="s">
        <v>1268</v>
      </c>
      <c r="D785" s="358" t="s">
        <v>561</v>
      </c>
      <c r="E785" s="373">
        <v>45796.375</v>
      </c>
      <c r="F785" s="372" t="s">
        <v>140</v>
      </c>
      <c r="G785" s="236">
        <v>7</v>
      </c>
      <c r="H785" s="372" t="s">
        <v>21</v>
      </c>
      <c r="I785" s="372" t="s">
        <v>127</v>
      </c>
      <c r="J785" s="372"/>
      <c r="K785" s="21"/>
      <c r="L785" s="21"/>
      <c r="M785" s="22"/>
      <c r="N785" s="23"/>
      <c r="O785" s="23"/>
      <c r="P785" s="23" t="s">
        <v>1057</v>
      </c>
      <c r="Q785" s="23">
        <v>45806</v>
      </c>
      <c r="R785" s="81" t="s">
        <v>67</v>
      </c>
      <c r="S785" s="22" t="s">
        <v>1055</v>
      </c>
      <c r="T785" s="22">
        <v>6</v>
      </c>
      <c r="U785" s="24" t="s">
        <v>67</v>
      </c>
      <c r="V785" s="23">
        <v>45806</v>
      </c>
      <c r="W785" s="82"/>
      <c r="X785" s="85"/>
      <c r="Y785"/>
      <c r="Z785" s="412"/>
      <c r="AA785" s="412"/>
      <c r="AB785" s="412"/>
      <c r="AC785" s="96"/>
      <c r="AD785" s="96"/>
      <c r="AE785" s="96"/>
    </row>
    <row r="786" spans="1:31">
      <c r="A786" s="358" t="s">
        <v>137</v>
      </c>
      <c r="B786" s="369">
        <v>783</v>
      </c>
      <c r="C786" s="372" t="s">
        <v>1269</v>
      </c>
      <c r="D786" s="358" t="s">
        <v>846</v>
      </c>
      <c r="E786" s="373">
        <v>45796.375</v>
      </c>
      <c r="F786" s="372" t="s">
        <v>140</v>
      </c>
      <c r="G786" s="236">
        <v>1</v>
      </c>
      <c r="H786" s="372" t="s">
        <v>21</v>
      </c>
      <c r="I786" s="372" t="s">
        <v>127</v>
      </c>
      <c r="J786" s="372"/>
      <c r="K786" s="21"/>
      <c r="L786" s="21"/>
      <c r="M786" s="22"/>
      <c r="N786" s="23"/>
      <c r="O786" s="23"/>
      <c r="P786" s="23" t="s">
        <v>1057</v>
      </c>
      <c r="Q786" s="23">
        <v>45804</v>
      </c>
      <c r="R786" s="81" t="s">
        <v>67</v>
      </c>
      <c r="S786" s="22" t="s">
        <v>1055</v>
      </c>
      <c r="T786" s="22">
        <v>1</v>
      </c>
      <c r="U786" s="24" t="s">
        <v>67</v>
      </c>
      <c r="V786" s="23">
        <v>45804</v>
      </c>
      <c r="W786" s="82"/>
      <c r="X786" s="85"/>
      <c r="Y786"/>
      <c r="Z786" s="89"/>
      <c r="AA786" s="89"/>
      <c r="AB786" s="88"/>
      <c r="AC786" s="96"/>
      <c r="AD786" s="96"/>
      <c r="AE786" s="96"/>
    </row>
    <row r="787" spans="1:31">
      <c r="A787" s="358" t="s">
        <v>137</v>
      </c>
      <c r="B787" s="369">
        <v>784</v>
      </c>
      <c r="C787" s="372" t="s">
        <v>1270</v>
      </c>
      <c r="D787" s="358" t="s">
        <v>1265</v>
      </c>
      <c r="E787" s="373">
        <v>45796.375</v>
      </c>
      <c r="F787" s="372" t="s">
        <v>140</v>
      </c>
      <c r="G787" s="236">
        <v>2</v>
      </c>
      <c r="H787" s="372" t="s">
        <v>46</v>
      </c>
      <c r="I787" s="372" t="s">
        <v>47</v>
      </c>
      <c r="J787" s="372"/>
      <c r="K787" s="21"/>
      <c r="L787" s="21"/>
      <c r="M787" s="22"/>
      <c r="N787" s="23"/>
      <c r="O787" s="23"/>
      <c r="P787" s="23" t="s">
        <v>1057</v>
      </c>
      <c r="Q787" s="23">
        <v>45804</v>
      </c>
      <c r="R787" s="81" t="s">
        <v>67</v>
      </c>
      <c r="S787" s="22" t="s">
        <v>1055</v>
      </c>
      <c r="T787" s="22">
        <v>2</v>
      </c>
      <c r="U787" s="24" t="s">
        <v>67</v>
      </c>
      <c r="V787" s="23">
        <v>45804</v>
      </c>
      <c r="W787" s="82"/>
      <c r="X787" s="85"/>
      <c r="Y787"/>
      <c r="Z787"/>
      <c r="AA787"/>
      <c r="AC787" s="96"/>
      <c r="AD787" s="96"/>
      <c r="AE787" s="96"/>
    </row>
    <row r="788" spans="1:31">
      <c r="A788" s="358" t="s">
        <v>137</v>
      </c>
      <c r="B788" s="369">
        <v>785</v>
      </c>
      <c r="C788" s="372" t="s">
        <v>1271</v>
      </c>
      <c r="D788" s="358" t="s">
        <v>989</v>
      </c>
      <c r="E788" s="373">
        <v>45796.125</v>
      </c>
      <c r="F788" s="372" t="s">
        <v>140</v>
      </c>
      <c r="G788" s="236">
        <v>2</v>
      </c>
      <c r="H788" s="372" t="s">
        <v>21</v>
      </c>
      <c r="I788" s="372" t="s">
        <v>127</v>
      </c>
      <c r="J788" s="372"/>
      <c r="K788" s="21"/>
      <c r="L788" s="21"/>
      <c r="M788" s="22"/>
      <c r="N788" s="23"/>
      <c r="O788" s="62"/>
      <c r="P788" s="23" t="s">
        <v>1057</v>
      </c>
      <c r="Q788" s="23">
        <v>45805</v>
      </c>
      <c r="R788" s="81" t="s">
        <v>67</v>
      </c>
      <c r="S788" s="22" t="s">
        <v>1055</v>
      </c>
      <c r="T788" s="22">
        <v>2</v>
      </c>
      <c r="U788" s="24" t="s">
        <v>67</v>
      </c>
      <c r="V788" s="23">
        <v>45805</v>
      </c>
      <c r="W788" s="82"/>
      <c r="X788" s="85"/>
      <c r="Y788"/>
      <c r="Z788"/>
      <c r="AA788"/>
      <c r="AC788" s="96"/>
      <c r="AD788" s="96"/>
      <c r="AE788" s="96"/>
    </row>
    <row r="789" spans="1:31">
      <c r="A789" s="358" t="s">
        <v>137</v>
      </c>
      <c r="B789" s="369">
        <v>786</v>
      </c>
      <c r="C789" s="372" t="s">
        <v>1272</v>
      </c>
      <c r="D789" s="358" t="s">
        <v>1265</v>
      </c>
      <c r="E789" s="373">
        <v>45803.375</v>
      </c>
      <c r="F789" s="372" t="s">
        <v>140</v>
      </c>
      <c r="G789" s="236">
        <v>2</v>
      </c>
      <c r="H789" s="372" t="s">
        <v>46</v>
      </c>
      <c r="I789" s="372" t="s">
        <v>47</v>
      </c>
      <c r="J789" s="372"/>
      <c r="K789" s="21"/>
      <c r="L789" s="21"/>
      <c r="M789" s="22"/>
      <c r="N789" s="23"/>
      <c r="O789" s="62"/>
      <c r="P789" s="23" t="s">
        <v>1057</v>
      </c>
      <c r="Q789" s="23">
        <v>45812</v>
      </c>
      <c r="R789" s="81" t="s">
        <v>67</v>
      </c>
      <c r="S789" s="22" t="s">
        <v>1055</v>
      </c>
      <c r="T789" s="22">
        <v>2</v>
      </c>
      <c r="U789" s="24" t="s">
        <v>67</v>
      </c>
      <c r="V789" s="23">
        <v>45812</v>
      </c>
      <c r="W789" s="360"/>
      <c r="X789" s="367"/>
      <c r="Y789"/>
      <c r="Z789"/>
      <c r="AA789"/>
      <c r="AC789" s="96"/>
      <c r="AD789" s="96"/>
      <c r="AE789" s="96"/>
    </row>
    <row r="790" spans="1:31">
      <c r="A790" s="358" t="s">
        <v>137</v>
      </c>
      <c r="B790" s="369">
        <v>787</v>
      </c>
      <c r="C790" s="372" t="s">
        <v>1273</v>
      </c>
      <c r="D790" s="358" t="s">
        <v>779</v>
      </c>
      <c r="E790" s="373">
        <v>45803.375</v>
      </c>
      <c r="F790" s="372" t="s">
        <v>140</v>
      </c>
      <c r="G790" s="236">
        <v>4</v>
      </c>
      <c r="H790" s="372" t="s">
        <v>22</v>
      </c>
      <c r="I790" s="372" t="s">
        <v>28</v>
      </c>
      <c r="J790" s="372"/>
      <c r="K790" s="21"/>
      <c r="L790" s="21"/>
      <c r="M790" s="22"/>
      <c r="N790" s="23"/>
      <c r="O790" s="62"/>
      <c r="P790" s="23" t="s">
        <v>1057</v>
      </c>
      <c r="Q790" s="23">
        <v>45812</v>
      </c>
      <c r="R790" s="81" t="s">
        <v>67</v>
      </c>
      <c r="S790" s="22" t="s">
        <v>1055</v>
      </c>
      <c r="T790" s="22">
        <v>4</v>
      </c>
      <c r="U790" s="24" t="s">
        <v>67</v>
      </c>
      <c r="V790" s="23">
        <v>45812</v>
      </c>
      <c r="W790" s="360"/>
      <c r="X790" s="367"/>
      <c r="Y790"/>
      <c r="Z790"/>
      <c r="AA790"/>
      <c r="AC790" s="96"/>
      <c r="AD790" s="96"/>
      <c r="AE790" s="96"/>
    </row>
    <row r="791" spans="1:31">
      <c r="A791" s="358" t="s">
        <v>137</v>
      </c>
      <c r="B791" s="369">
        <v>788</v>
      </c>
      <c r="C791" s="372" t="s">
        <v>1274</v>
      </c>
      <c r="D791" s="358" t="s">
        <v>215</v>
      </c>
      <c r="E791" s="373">
        <v>45803.375</v>
      </c>
      <c r="F791" s="372" t="s">
        <v>140</v>
      </c>
      <c r="G791" s="236">
        <v>81</v>
      </c>
      <c r="H791" s="372" t="s">
        <v>111</v>
      </c>
      <c r="I791" s="372" t="s">
        <v>948</v>
      </c>
      <c r="J791" s="372"/>
      <c r="K791" s="21"/>
      <c r="L791" s="21"/>
      <c r="M791" s="22"/>
      <c r="N791" s="23"/>
      <c r="O791" s="62" t="s">
        <v>31</v>
      </c>
      <c r="P791" s="23" t="s">
        <v>1057</v>
      </c>
      <c r="Q791" s="23">
        <v>45812</v>
      </c>
      <c r="R791" s="81" t="s">
        <v>67</v>
      </c>
      <c r="S791" s="22" t="s">
        <v>1055</v>
      </c>
      <c r="T791" s="22">
        <v>78</v>
      </c>
      <c r="U791" s="24" t="s">
        <v>67</v>
      </c>
      <c r="V791" s="23">
        <v>45812</v>
      </c>
      <c r="W791" s="360"/>
      <c r="X791" s="367"/>
      <c r="Y791">
        <v>7</v>
      </c>
      <c r="Z791">
        <v>74</v>
      </c>
      <c r="AA791">
        <v>0</v>
      </c>
      <c r="AB791">
        <f>SUM(Y791:AA791)</f>
        <v>81</v>
      </c>
      <c r="AC791" s="72">
        <f>+Y791/AB791*AC$1</f>
        <v>0.51851851851851849</v>
      </c>
      <c r="AD791" s="96">
        <f>+Z791/AB791*AD$1</f>
        <v>2.7407407407407405</v>
      </c>
      <c r="AE791" s="96">
        <f>+AA791/AC791*AE$1</f>
        <v>0</v>
      </c>
    </row>
    <row r="792" spans="1:31">
      <c r="A792" s="358" t="s">
        <v>137</v>
      </c>
      <c r="B792" s="369">
        <v>789</v>
      </c>
      <c r="C792" s="372" t="s">
        <v>1275</v>
      </c>
      <c r="D792" s="358" t="s">
        <v>338</v>
      </c>
      <c r="E792" s="373">
        <v>45803.458333333336</v>
      </c>
      <c r="F792" s="372" t="s">
        <v>140</v>
      </c>
      <c r="G792" s="236">
        <v>10</v>
      </c>
      <c r="H792" s="372" t="s">
        <v>21</v>
      </c>
      <c r="I792" s="372" t="s">
        <v>127</v>
      </c>
      <c r="J792" s="372"/>
      <c r="K792" s="21"/>
      <c r="L792" s="21"/>
      <c r="M792" s="22"/>
      <c r="N792" s="23"/>
      <c r="O792" s="62"/>
      <c r="P792" s="23" t="s">
        <v>1057</v>
      </c>
      <c r="Q792" s="23">
        <v>45838</v>
      </c>
      <c r="R792" s="81" t="s">
        <v>67</v>
      </c>
      <c r="S792" s="22" t="s">
        <v>1055</v>
      </c>
      <c r="T792" s="22">
        <v>10</v>
      </c>
      <c r="U792" s="24" t="s">
        <v>67</v>
      </c>
      <c r="V792" s="23">
        <v>45838</v>
      </c>
      <c r="W792" s="360"/>
      <c r="X792" s="367"/>
      <c r="Y792"/>
      <c r="Z792" s="412"/>
      <c r="AA792" s="412"/>
      <c r="AB792" s="412"/>
      <c r="AC792" s="96"/>
      <c r="AD792" s="96"/>
      <c r="AE792" s="96"/>
    </row>
    <row r="793" spans="1:31">
      <c r="A793" s="358" t="s">
        <v>137</v>
      </c>
      <c r="B793" s="369">
        <v>790</v>
      </c>
      <c r="C793" s="372" t="s">
        <v>1276</v>
      </c>
      <c r="D793" s="358" t="s">
        <v>1277</v>
      </c>
      <c r="E793" s="373">
        <v>45803.375</v>
      </c>
      <c r="F793" s="372" t="s">
        <v>140</v>
      </c>
      <c r="G793" s="236">
        <v>6</v>
      </c>
      <c r="H793" s="372" t="s">
        <v>21</v>
      </c>
      <c r="I793" s="372" t="s">
        <v>127</v>
      </c>
      <c r="J793" s="372"/>
      <c r="K793" s="21"/>
      <c r="L793" s="21"/>
      <c r="M793" s="22"/>
      <c r="N793" s="23"/>
      <c r="O793" s="62"/>
      <c r="P793" s="23" t="s">
        <v>1057</v>
      </c>
      <c r="Q793" s="23">
        <v>45833</v>
      </c>
      <c r="R793" s="81" t="s">
        <v>67</v>
      </c>
      <c r="S793" s="22" t="s">
        <v>1055</v>
      </c>
      <c r="T793" s="22">
        <v>6</v>
      </c>
      <c r="U793" s="24" t="s">
        <v>67</v>
      </c>
      <c r="V793" s="23">
        <v>45833</v>
      </c>
      <c r="W793" s="82"/>
      <c r="X793" s="85"/>
      <c r="Y793"/>
      <c r="Z793" s="412"/>
      <c r="AA793" s="412"/>
      <c r="AB793" s="412"/>
      <c r="AC793" s="96"/>
      <c r="AD793" s="96"/>
      <c r="AE793" s="96"/>
    </row>
    <row r="794" spans="1:31">
      <c r="A794" s="358" t="s">
        <v>137</v>
      </c>
      <c r="B794" s="369">
        <v>791</v>
      </c>
      <c r="C794" s="372" t="s">
        <v>1278</v>
      </c>
      <c r="D794" s="358" t="s">
        <v>1279</v>
      </c>
      <c r="E794" s="373">
        <v>45803.375</v>
      </c>
      <c r="F794" s="372" t="s">
        <v>140</v>
      </c>
      <c r="G794" s="236">
        <v>6</v>
      </c>
      <c r="H794" s="372" t="s">
        <v>21</v>
      </c>
      <c r="I794" s="372" t="s">
        <v>127</v>
      </c>
      <c r="J794" s="372"/>
      <c r="K794" s="21"/>
      <c r="L794" s="21"/>
      <c r="M794" s="22"/>
      <c r="N794" s="23"/>
      <c r="O794" s="23"/>
      <c r="P794" s="23" t="s">
        <v>1057</v>
      </c>
      <c r="Q794" s="23">
        <v>45838</v>
      </c>
      <c r="R794" s="81" t="s">
        <v>67</v>
      </c>
      <c r="S794" s="22" t="s">
        <v>1055</v>
      </c>
      <c r="T794" s="22">
        <v>6</v>
      </c>
      <c r="U794" s="24" t="s">
        <v>67</v>
      </c>
      <c r="V794" s="23">
        <v>45838</v>
      </c>
      <c r="W794" s="82"/>
      <c r="X794" s="85"/>
      <c r="Y794"/>
      <c r="Z794" s="412"/>
      <c r="AA794" s="412"/>
      <c r="AB794" s="412"/>
      <c r="AC794" s="96"/>
      <c r="AD794" s="96"/>
      <c r="AE794" s="96"/>
    </row>
    <row r="795" spans="1:31">
      <c r="A795" s="358" t="s">
        <v>137</v>
      </c>
      <c r="B795" s="369">
        <v>792</v>
      </c>
      <c r="C795" s="372" t="s">
        <v>1280</v>
      </c>
      <c r="D795" s="358" t="s">
        <v>841</v>
      </c>
      <c r="E795" s="373">
        <v>45807.375</v>
      </c>
      <c r="F795" s="372" t="s">
        <v>140</v>
      </c>
      <c r="G795" s="236">
        <v>30</v>
      </c>
      <c r="H795" s="372" t="s">
        <v>22</v>
      </c>
      <c r="I795" s="372" t="s">
        <v>28</v>
      </c>
      <c r="J795" s="372"/>
      <c r="K795" s="21"/>
      <c r="L795" s="21"/>
      <c r="M795" s="22"/>
      <c r="N795" s="23"/>
      <c r="O795" s="62" t="s">
        <v>31</v>
      </c>
      <c r="P795" s="62" t="s">
        <v>1057</v>
      </c>
      <c r="Q795" s="23">
        <v>45832</v>
      </c>
      <c r="R795" s="81" t="s">
        <v>67</v>
      </c>
      <c r="S795" s="22" t="s">
        <v>1055</v>
      </c>
      <c r="T795" s="22">
        <v>29</v>
      </c>
      <c r="U795" s="24" t="s">
        <v>67</v>
      </c>
      <c r="V795" s="23">
        <v>45832</v>
      </c>
      <c r="W795" s="82"/>
      <c r="X795" s="85"/>
      <c r="Y795">
        <v>0</v>
      </c>
      <c r="Z795" s="89">
        <v>30</v>
      </c>
      <c r="AA795" s="89">
        <v>0</v>
      </c>
      <c r="AB795">
        <f>SUM(Y795:AA795)</f>
        <v>30</v>
      </c>
      <c r="AC795" s="72">
        <f>+Y795/AB795*AC$1</f>
        <v>0</v>
      </c>
      <c r="AD795" s="96">
        <f>+Z795/AB795*AD$1</f>
        <v>3</v>
      </c>
      <c r="AE795" s="96" t="e">
        <f>+AA795/AC795*AE$1</f>
        <v>#DIV/0!</v>
      </c>
    </row>
    <row r="796" spans="1:31">
      <c r="A796" s="358" t="s">
        <v>137</v>
      </c>
      <c r="B796" s="369">
        <v>793</v>
      </c>
      <c r="C796" s="372" t="s">
        <v>1281</v>
      </c>
      <c r="D796" s="358" t="s">
        <v>526</v>
      </c>
      <c r="E796" s="373">
        <v>45807.375</v>
      </c>
      <c r="F796" s="372" t="s">
        <v>140</v>
      </c>
      <c r="G796" s="236">
        <v>30</v>
      </c>
      <c r="H796" s="372" t="s">
        <v>22</v>
      </c>
      <c r="I796" s="372" t="s">
        <v>28</v>
      </c>
      <c r="J796" s="372"/>
      <c r="K796" s="21"/>
      <c r="L796" s="21"/>
      <c r="M796" s="22"/>
      <c r="N796" s="23"/>
      <c r="O796" s="62" t="s">
        <v>31</v>
      </c>
      <c r="P796" s="62" t="s">
        <v>1057</v>
      </c>
      <c r="Q796" s="23">
        <v>45832</v>
      </c>
      <c r="R796" s="81" t="s">
        <v>67</v>
      </c>
      <c r="S796" s="22" t="s">
        <v>1055</v>
      </c>
      <c r="T796" s="22">
        <v>29</v>
      </c>
      <c r="U796" s="24" t="s">
        <v>67</v>
      </c>
      <c r="V796" s="23">
        <v>45832</v>
      </c>
      <c r="W796" s="360"/>
      <c r="X796" s="367"/>
      <c r="Y796">
        <v>0</v>
      </c>
      <c r="Z796">
        <v>30</v>
      </c>
      <c r="AA796">
        <v>0</v>
      </c>
      <c r="AB796">
        <f>SUM(Y796:AA796)</f>
        <v>30</v>
      </c>
      <c r="AC796" s="72">
        <f>+Y796/AB796*AC$1</f>
        <v>0</v>
      </c>
      <c r="AD796" s="96">
        <f>+Z796/AB796*AD$1</f>
        <v>3</v>
      </c>
      <c r="AE796" s="96" t="e">
        <f>+AA796/AC796*AE$1</f>
        <v>#DIV/0!</v>
      </c>
    </row>
    <row r="797" spans="1:31">
      <c r="A797" s="358" t="s">
        <v>24</v>
      </c>
      <c r="B797" s="369">
        <v>794</v>
      </c>
      <c r="C797" s="372" t="s">
        <v>1282</v>
      </c>
      <c r="D797" s="372" t="s">
        <v>102</v>
      </c>
      <c r="E797" s="373">
        <v>45810</v>
      </c>
      <c r="F797" s="372" t="s">
        <v>1283</v>
      </c>
      <c r="G797" s="372">
        <v>13</v>
      </c>
      <c r="H797" s="372" t="s">
        <v>46</v>
      </c>
      <c r="I797" s="372" t="s">
        <v>47</v>
      </c>
      <c r="J797" s="372" t="s">
        <v>29</v>
      </c>
      <c r="K797" s="372" t="s">
        <v>22</v>
      </c>
      <c r="L797" s="358"/>
      <c r="M797" s="358"/>
      <c r="N797" s="358"/>
      <c r="O797" s="380"/>
      <c r="P797" s="380" t="s">
        <v>30</v>
      </c>
      <c r="Q797" s="23">
        <v>45869</v>
      </c>
      <c r="R797" s="81" t="s">
        <v>21</v>
      </c>
      <c r="S797" s="22" t="s">
        <v>1091</v>
      </c>
      <c r="T797" s="22">
        <v>7</v>
      </c>
      <c r="U797" s="24" t="s">
        <v>21</v>
      </c>
      <c r="V797" s="23">
        <v>45869</v>
      </c>
      <c r="W797" s="82" t="s">
        <v>30</v>
      </c>
      <c r="X797" s="103" t="s">
        <v>30</v>
      </c>
      <c r="Y797"/>
      <c r="Z797" s="412"/>
      <c r="AA797" s="412"/>
      <c r="AB797" s="412"/>
    </row>
    <row r="798" spans="1:31">
      <c r="A798" s="358" t="s">
        <v>24</v>
      </c>
      <c r="B798" s="369">
        <v>795</v>
      </c>
      <c r="C798" s="372" t="s">
        <v>1284</v>
      </c>
      <c r="D798" s="372" t="s">
        <v>64</v>
      </c>
      <c r="E798" s="373">
        <v>45810</v>
      </c>
      <c r="F798" s="372" t="s">
        <v>1135</v>
      </c>
      <c r="G798" s="372">
        <v>17</v>
      </c>
      <c r="H798" s="372" t="s">
        <v>21</v>
      </c>
      <c r="I798" s="372" t="s">
        <v>127</v>
      </c>
      <c r="J798" s="372" t="s">
        <v>29</v>
      </c>
      <c r="K798" s="372"/>
      <c r="L798" s="358"/>
      <c r="M798" s="358"/>
      <c r="N798" s="358"/>
      <c r="O798" s="380" t="s">
        <v>31</v>
      </c>
      <c r="P798" s="380" t="s">
        <v>1057</v>
      </c>
      <c r="Q798" s="23">
        <v>45845</v>
      </c>
      <c r="R798" s="81" t="s">
        <v>127</v>
      </c>
      <c r="S798" s="22" t="s">
        <v>32</v>
      </c>
      <c r="T798" s="22">
        <v>17</v>
      </c>
      <c r="U798" s="24" t="s">
        <v>127</v>
      </c>
      <c r="V798" s="23">
        <v>45845</v>
      </c>
      <c r="W798" s="82" t="s">
        <v>30</v>
      </c>
      <c r="X798" s="85" t="s">
        <v>30</v>
      </c>
      <c r="Y798"/>
      <c r="Z798" s="412"/>
      <c r="AA798" s="412"/>
      <c r="AB798" s="412"/>
    </row>
    <row r="799" spans="1:31">
      <c r="A799" s="358" t="s">
        <v>24</v>
      </c>
      <c r="B799" s="369">
        <v>796</v>
      </c>
      <c r="C799" s="372" t="s">
        <v>1285</v>
      </c>
      <c r="D799" s="372" t="s">
        <v>43</v>
      </c>
      <c r="E799" s="373">
        <v>45811</v>
      </c>
      <c r="F799" s="372" t="s">
        <v>247</v>
      </c>
      <c r="G799" s="372">
        <v>5</v>
      </c>
      <c r="H799" s="372" t="s">
        <v>46</v>
      </c>
      <c r="I799" s="372" t="s">
        <v>47</v>
      </c>
      <c r="J799" s="372" t="s">
        <v>29</v>
      </c>
      <c r="L799" s="358"/>
      <c r="M799" s="358"/>
      <c r="N799" s="358"/>
      <c r="O799" s="380"/>
      <c r="P799" s="380" t="s">
        <v>30</v>
      </c>
      <c r="Q799" s="23">
        <v>45845</v>
      </c>
      <c r="R799" s="81" t="s">
        <v>47</v>
      </c>
      <c r="S799" s="22" t="s">
        <v>32</v>
      </c>
      <c r="T799" s="22">
        <v>5</v>
      </c>
      <c r="U799" s="24" t="s">
        <v>47</v>
      </c>
      <c r="V799" s="23">
        <v>45845</v>
      </c>
      <c r="W799" s="82" t="s">
        <v>30</v>
      </c>
      <c r="X799" s="85" t="s">
        <v>30</v>
      </c>
      <c r="Y799"/>
      <c r="Z799" s="412"/>
      <c r="AA799" s="412"/>
      <c r="AB799" s="412"/>
    </row>
    <row r="800" spans="1:31">
      <c r="A800" s="358" t="s">
        <v>24</v>
      </c>
      <c r="B800" s="369">
        <v>797</v>
      </c>
      <c r="C800" s="372" t="s">
        <v>1286</v>
      </c>
      <c r="D800" s="372" t="s">
        <v>43</v>
      </c>
      <c r="E800" s="373">
        <v>45814</v>
      </c>
      <c r="F800" s="372" t="s">
        <v>395</v>
      </c>
      <c r="G800" s="372">
        <v>17</v>
      </c>
      <c r="H800" s="372" t="s">
        <v>22</v>
      </c>
      <c r="I800" s="372" t="s">
        <v>28</v>
      </c>
      <c r="J800" s="372" t="s">
        <v>237</v>
      </c>
      <c r="K800" s="372"/>
      <c r="L800" s="358"/>
      <c r="M800" s="358"/>
      <c r="N800" s="358"/>
      <c r="O800" s="380" t="s">
        <v>31</v>
      </c>
      <c r="P800" s="380" t="s">
        <v>30</v>
      </c>
      <c r="Q800" s="23">
        <v>45868</v>
      </c>
      <c r="R800" s="81" t="s">
        <v>1077</v>
      </c>
      <c r="S800" s="22" t="s">
        <v>32</v>
      </c>
      <c r="T800" s="22">
        <v>22</v>
      </c>
      <c r="U800" s="24" t="s">
        <v>1077</v>
      </c>
      <c r="V800" s="23">
        <v>45868</v>
      </c>
      <c r="W800" s="82" t="s">
        <v>30</v>
      </c>
      <c r="X800" s="85" t="s">
        <v>30</v>
      </c>
      <c r="Y800"/>
      <c r="Z800" s="412"/>
      <c r="AA800" s="412"/>
      <c r="AB800" s="412"/>
    </row>
    <row r="801" spans="1:28">
      <c r="A801" s="358" t="s">
        <v>24</v>
      </c>
      <c r="B801" s="369">
        <v>798</v>
      </c>
      <c r="C801" s="372" t="s">
        <v>1287</v>
      </c>
      <c r="D801" s="372" t="s">
        <v>178</v>
      </c>
      <c r="E801" s="373">
        <v>45815</v>
      </c>
      <c r="F801" s="372" t="s">
        <v>1288</v>
      </c>
      <c r="G801" s="372">
        <v>11</v>
      </c>
      <c r="H801" s="372" t="s">
        <v>22</v>
      </c>
      <c r="I801" s="372" t="s">
        <v>28</v>
      </c>
      <c r="J801" s="372" t="s">
        <v>29</v>
      </c>
      <c r="K801" s="93"/>
      <c r="L801" s="358"/>
      <c r="M801" s="358"/>
      <c r="N801" s="358"/>
      <c r="O801" s="380"/>
      <c r="P801" s="380" t="s">
        <v>30</v>
      </c>
      <c r="Q801" s="23">
        <v>45855</v>
      </c>
      <c r="R801" s="81" t="s">
        <v>1077</v>
      </c>
      <c r="S801" s="22" t="s">
        <v>32</v>
      </c>
      <c r="T801" s="22">
        <v>11</v>
      </c>
      <c r="U801" s="24" t="s">
        <v>1077</v>
      </c>
      <c r="V801" s="23">
        <v>45855</v>
      </c>
      <c r="W801" s="82" t="s">
        <v>30</v>
      </c>
      <c r="X801" s="85" t="s">
        <v>30</v>
      </c>
      <c r="Y801"/>
      <c r="Z801"/>
      <c r="AA801"/>
    </row>
    <row r="802" spans="1:28">
      <c r="A802" s="358" t="s">
        <v>24</v>
      </c>
      <c r="B802" s="369">
        <v>799</v>
      </c>
      <c r="C802" s="372" t="s">
        <v>1289</v>
      </c>
      <c r="D802" s="372" t="s">
        <v>34</v>
      </c>
      <c r="E802" s="373">
        <v>45815</v>
      </c>
      <c r="F802" s="372" t="s">
        <v>1290</v>
      </c>
      <c r="G802" s="372">
        <v>14</v>
      </c>
      <c r="H802" s="372" t="s">
        <v>22</v>
      </c>
      <c r="I802" s="372" t="s">
        <v>28</v>
      </c>
      <c r="J802" s="372" t="s">
        <v>29</v>
      </c>
      <c r="K802" s="102" t="s">
        <v>1291</v>
      </c>
      <c r="L802" s="358"/>
      <c r="M802" s="358"/>
      <c r="N802" s="94"/>
      <c r="O802" s="380"/>
      <c r="P802" s="380" t="s">
        <v>30</v>
      </c>
      <c r="Q802" s="23">
        <v>45850</v>
      </c>
      <c r="R802" s="81" t="s">
        <v>1138</v>
      </c>
      <c r="S802" s="22" t="s">
        <v>32</v>
      </c>
      <c r="T802" s="22">
        <v>14</v>
      </c>
      <c r="U802" s="24" t="s">
        <v>1138</v>
      </c>
      <c r="V802" s="23">
        <v>45850</v>
      </c>
      <c r="W802" s="82" t="s">
        <v>30</v>
      </c>
      <c r="X802" s="103" t="s">
        <v>30</v>
      </c>
      <c r="Y802"/>
      <c r="Z802" s="412"/>
      <c r="AA802" s="412"/>
      <c r="AB802" s="412"/>
    </row>
    <row r="803" spans="1:28">
      <c r="A803" s="358" t="s">
        <v>24</v>
      </c>
      <c r="B803" s="369">
        <v>800</v>
      </c>
      <c r="C803" s="372" t="s">
        <v>1292</v>
      </c>
      <c r="D803" s="372" t="s">
        <v>43</v>
      </c>
      <c r="E803" s="373">
        <v>45815</v>
      </c>
      <c r="F803" s="372" t="s">
        <v>77</v>
      </c>
      <c r="G803" s="372">
        <v>7</v>
      </c>
      <c r="H803" s="372" t="s">
        <v>21</v>
      </c>
      <c r="I803" s="372" t="s">
        <v>127</v>
      </c>
      <c r="J803" s="372" t="s">
        <v>29</v>
      </c>
      <c r="K803" s="238"/>
      <c r="L803" s="358"/>
      <c r="M803" s="358"/>
      <c r="N803" s="380"/>
      <c r="O803" s="380"/>
      <c r="P803" s="380" t="s">
        <v>30</v>
      </c>
      <c r="Q803" s="23">
        <v>45846</v>
      </c>
      <c r="R803" s="81" t="s">
        <v>47</v>
      </c>
      <c r="S803" s="22" t="s">
        <v>32</v>
      </c>
      <c r="T803" s="22">
        <v>7</v>
      </c>
      <c r="U803" s="22" t="s">
        <v>47</v>
      </c>
      <c r="V803" s="23">
        <v>45846</v>
      </c>
      <c r="W803" s="82" t="s">
        <v>30</v>
      </c>
      <c r="X803" s="85" t="s">
        <v>30</v>
      </c>
      <c r="Y803"/>
      <c r="Z803" s="412"/>
      <c r="AA803" s="412"/>
      <c r="AB803" s="412"/>
    </row>
    <row r="804" spans="1:28">
      <c r="A804" s="358" t="s">
        <v>24</v>
      </c>
      <c r="B804" s="369">
        <v>801</v>
      </c>
      <c r="C804" s="372" t="s">
        <v>1293</v>
      </c>
      <c r="D804" s="372" t="s">
        <v>43</v>
      </c>
      <c r="E804" s="373">
        <v>45815</v>
      </c>
      <c r="F804" s="372" t="s">
        <v>1068</v>
      </c>
      <c r="G804" s="372">
        <v>17</v>
      </c>
      <c r="H804" s="372" t="s">
        <v>22</v>
      </c>
      <c r="I804" s="372" t="s">
        <v>28</v>
      </c>
      <c r="J804" s="372" t="s">
        <v>29</v>
      </c>
      <c r="K804" s="372"/>
      <c r="L804" s="358"/>
      <c r="M804" s="358"/>
      <c r="N804" s="380"/>
      <c r="O804" s="380" t="s">
        <v>31</v>
      </c>
      <c r="P804" s="380" t="s">
        <v>30</v>
      </c>
      <c r="Q804" s="23">
        <v>45849</v>
      </c>
      <c r="R804" s="81" t="s">
        <v>28</v>
      </c>
      <c r="S804" s="22" t="s">
        <v>32</v>
      </c>
      <c r="T804" s="236">
        <v>7</v>
      </c>
      <c r="U804" s="22" t="s">
        <v>28</v>
      </c>
      <c r="V804" s="23">
        <v>45849</v>
      </c>
      <c r="W804" s="82" t="s">
        <v>30</v>
      </c>
      <c r="X804" s="85" t="s">
        <v>30</v>
      </c>
      <c r="Y804"/>
      <c r="Z804" s="412"/>
      <c r="AA804" s="412"/>
      <c r="AB804" s="412"/>
    </row>
    <row r="805" spans="1:28">
      <c r="A805" s="358" t="s">
        <v>24</v>
      </c>
      <c r="B805" s="369">
        <v>802</v>
      </c>
      <c r="C805" s="372" t="s">
        <v>1294</v>
      </c>
      <c r="D805" s="372" t="s">
        <v>34</v>
      </c>
      <c r="E805" s="373">
        <v>45815</v>
      </c>
      <c r="F805" s="372" t="s">
        <v>1295</v>
      </c>
      <c r="G805" s="372">
        <v>14</v>
      </c>
      <c r="H805" s="372" t="s">
        <v>21</v>
      </c>
      <c r="I805" s="372" t="s">
        <v>127</v>
      </c>
      <c r="J805" s="372" t="s">
        <v>29</v>
      </c>
      <c r="K805" s="21"/>
      <c r="L805" s="358"/>
      <c r="M805" s="358"/>
      <c r="N805" s="94"/>
      <c r="O805" s="380"/>
      <c r="P805" s="380" t="s">
        <v>1057</v>
      </c>
      <c r="Q805" s="23">
        <v>45845</v>
      </c>
      <c r="R805" s="81" t="s">
        <v>127</v>
      </c>
      <c r="S805" s="22" t="s">
        <v>32</v>
      </c>
      <c r="T805" s="22">
        <v>14</v>
      </c>
      <c r="U805" s="24" t="s">
        <v>127</v>
      </c>
      <c r="V805" s="23">
        <v>45845</v>
      </c>
      <c r="W805" s="82" t="s">
        <v>30</v>
      </c>
      <c r="X805" s="85" t="s">
        <v>30</v>
      </c>
      <c r="Y805"/>
      <c r="Z805" s="412"/>
      <c r="AA805" s="412"/>
      <c r="AB805" s="412"/>
    </row>
    <row r="806" spans="1:28">
      <c r="A806" s="358" t="s">
        <v>24</v>
      </c>
      <c r="B806" s="369">
        <v>803</v>
      </c>
      <c r="C806" s="372" t="s">
        <v>1296</v>
      </c>
      <c r="D806" s="372" t="s">
        <v>34</v>
      </c>
      <c r="E806" s="373">
        <v>45815</v>
      </c>
      <c r="F806" s="372" t="s">
        <v>364</v>
      </c>
      <c r="G806" s="372">
        <v>10</v>
      </c>
      <c r="H806" s="372" t="s">
        <v>21</v>
      </c>
      <c r="I806" s="372" t="s">
        <v>127</v>
      </c>
      <c r="J806" s="372" t="s">
        <v>29</v>
      </c>
      <c r="K806" s="238"/>
      <c r="L806" s="358"/>
      <c r="M806" s="358"/>
      <c r="N806" s="380"/>
      <c r="O806" s="380"/>
      <c r="P806" s="380" t="s">
        <v>1057</v>
      </c>
      <c r="Q806" s="23">
        <v>45845</v>
      </c>
      <c r="R806" s="81" t="s">
        <v>127</v>
      </c>
      <c r="S806" s="22" t="s">
        <v>32</v>
      </c>
      <c r="T806" s="22">
        <v>10</v>
      </c>
      <c r="U806" s="24" t="s">
        <v>127</v>
      </c>
      <c r="V806" s="23">
        <v>45845</v>
      </c>
      <c r="W806" s="82" t="s">
        <v>30</v>
      </c>
      <c r="X806" s="85" t="s">
        <v>30</v>
      </c>
      <c r="Y806"/>
      <c r="Z806" s="412"/>
      <c r="AA806" s="412"/>
      <c r="AB806" s="412"/>
    </row>
    <row r="807" spans="1:28">
      <c r="A807" s="358" t="s">
        <v>24</v>
      </c>
      <c r="B807" s="369">
        <v>804</v>
      </c>
      <c r="C807" s="372" t="s">
        <v>1297</v>
      </c>
      <c r="D807" s="372" t="s">
        <v>43</v>
      </c>
      <c r="E807" s="373">
        <v>45817</v>
      </c>
      <c r="F807" s="372" t="s">
        <v>1298</v>
      </c>
      <c r="G807" s="372">
        <v>12</v>
      </c>
      <c r="H807" s="372" t="s">
        <v>21</v>
      </c>
      <c r="I807" s="372" t="s">
        <v>127</v>
      </c>
      <c r="J807" s="372" t="s">
        <v>29</v>
      </c>
      <c r="K807" s="372"/>
      <c r="L807" s="358"/>
      <c r="M807" s="358"/>
      <c r="N807" s="380"/>
      <c r="O807" s="380"/>
      <c r="P807" s="380" t="s">
        <v>1057</v>
      </c>
      <c r="Q807" s="23">
        <v>45845</v>
      </c>
      <c r="R807" s="81" t="s">
        <v>127</v>
      </c>
      <c r="S807" s="22" t="s">
        <v>32</v>
      </c>
      <c r="T807" s="22">
        <v>12</v>
      </c>
      <c r="U807" s="24" t="s">
        <v>127</v>
      </c>
      <c r="V807" s="23">
        <v>45845</v>
      </c>
      <c r="W807" s="82" t="s">
        <v>30</v>
      </c>
      <c r="X807" s="85" t="s">
        <v>30</v>
      </c>
      <c r="Y807"/>
      <c r="Z807" s="412"/>
      <c r="AA807" s="412"/>
      <c r="AB807" s="412"/>
    </row>
    <row r="808" spans="1:28">
      <c r="A808" s="358" t="s">
        <v>24</v>
      </c>
      <c r="B808" s="369">
        <v>805</v>
      </c>
      <c r="C808" s="372" t="s">
        <v>1299</v>
      </c>
      <c r="D808" s="372" t="s">
        <v>178</v>
      </c>
      <c r="E808" s="373">
        <v>45817</v>
      </c>
      <c r="F808" s="372" t="s">
        <v>202</v>
      </c>
      <c r="G808" s="372">
        <v>23</v>
      </c>
      <c r="H808" s="372" t="s">
        <v>22</v>
      </c>
      <c r="I808" s="372" t="s">
        <v>28</v>
      </c>
      <c r="J808" s="372" t="s">
        <v>29</v>
      </c>
      <c r="K808" s="93"/>
      <c r="L808" s="358"/>
      <c r="M808" s="358"/>
      <c r="N808" s="94"/>
      <c r="O808" s="380" t="s">
        <v>31</v>
      </c>
      <c r="P808" s="23" t="s">
        <v>30</v>
      </c>
      <c r="Q808" s="23">
        <v>45845</v>
      </c>
      <c r="R808" s="81" t="s">
        <v>28</v>
      </c>
      <c r="S808" s="22" t="s">
        <v>32</v>
      </c>
      <c r="T808" s="236">
        <v>23</v>
      </c>
      <c r="U808" s="24" t="s">
        <v>28</v>
      </c>
      <c r="V808" s="23">
        <v>45845</v>
      </c>
      <c r="W808" s="82" t="s">
        <v>30</v>
      </c>
      <c r="X808" s="85" t="s">
        <v>30</v>
      </c>
      <c r="Y808"/>
      <c r="Z808"/>
      <c r="AA808"/>
    </row>
    <row r="809" spans="1:28">
      <c r="A809" s="358" t="s">
        <v>24</v>
      </c>
      <c r="B809" s="369">
        <v>806</v>
      </c>
      <c r="C809" s="223" t="s">
        <v>1300</v>
      </c>
      <c r="D809" s="223" t="s">
        <v>102</v>
      </c>
      <c r="E809" s="224">
        <v>45819</v>
      </c>
      <c r="F809" s="223" t="s">
        <v>1301</v>
      </c>
      <c r="G809" s="223">
        <v>12</v>
      </c>
      <c r="H809" s="223" t="s">
        <v>21</v>
      </c>
      <c r="I809" s="223" t="s">
        <v>127</v>
      </c>
      <c r="J809" s="372" t="s">
        <v>29</v>
      </c>
      <c r="K809" s="21"/>
      <c r="L809" s="358"/>
      <c r="M809" s="358"/>
      <c r="N809" s="94"/>
      <c r="O809" s="380"/>
      <c r="P809" s="23" t="s">
        <v>30</v>
      </c>
      <c r="Q809" s="23">
        <v>45847</v>
      </c>
      <c r="R809" s="81" t="s">
        <v>127</v>
      </c>
      <c r="S809" s="22" t="s">
        <v>32</v>
      </c>
      <c r="T809" s="22">
        <v>10</v>
      </c>
      <c r="U809" s="22" t="s">
        <v>127</v>
      </c>
      <c r="V809" s="23">
        <v>45847</v>
      </c>
      <c r="W809" s="82" t="s">
        <v>30</v>
      </c>
      <c r="X809" s="85" t="s">
        <v>30</v>
      </c>
      <c r="Y809"/>
      <c r="Z809"/>
      <c r="AA809"/>
    </row>
    <row r="810" spans="1:28">
      <c r="A810" s="358" t="s">
        <v>24</v>
      </c>
      <c r="B810" s="369">
        <v>807</v>
      </c>
      <c r="C810" s="223" t="s">
        <v>1302</v>
      </c>
      <c r="D810" s="223" t="s">
        <v>64</v>
      </c>
      <c r="E810" s="224">
        <v>45822</v>
      </c>
      <c r="F810" s="223" t="s">
        <v>701</v>
      </c>
      <c r="G810" s="223">
        <v>12</v>
      </c>
      <c r="H810" s="223" t="s">
        <v>22</v>
      </c>
      <c r="I810" s="223" t="s">
        <v>28</v>
      </c>
      <c r="J810" s="372" t="s">
        <v>29</v>
      </c>
      <c r="K810" s="21"/>
      <c r="L810" s="358"/>
      <c r="M810" s="358"/>
      <c r="N810" s="380"/>
      <c r="O810" s="380"/>
      <c r="P810" s="380" t="s">
        <v>30</v>
      </c>
      <c r="Q810" s="23">
        <v>45849</v>
      </c>
      <c r="R810" s="81" t="s">
        <v>47</v>
      </c>
      <c r="S810" s="22" t="s">
        <v>32</v>
      </c>
      <c r="T810" s="22">
        <v>12</v>
      </c>
      <c r="U810" s="24" t="s">
        <v>47</v>
      </c>
      <c r="V810" s="23">
        <v>45849</v>
      </c>
      <c r="W810" s="82" t="s">
        <v>30</v>
      </c>
      <c r="X810" s="103" t="s">
        <v>30</v>
      </c>
      <c r="Y810"/>
      <c r="Z810"/>
      <c r="AA810"/>
    </row>
    <row r="811" spans="1:28">
      <c r="A811" s="358" t="s">
        <v>24</v>
      </c>
      <c r="B811" s="369">
        <v>808</v>
      </c>
      <c r="C811" s="223" t="s">
        <v>1303</v>
      </c>
      <c r="D811" s="223" t="s">
        <v>406</v>
      </c>
      <c r="E811" s="224">
        <v>45822</v>
      </c>
      <c r="F811" s="223" t="s">
        <v>97</v>
      </c>
      <c r="G811" s="223">
        <v>23</v>
      </c>
      <c r="H811" s="223" t="s">
        <v>22</v>
      </c>
      <c r="I811" s="223" t="s">
        <v>28</v>
      </c>
      <c r="J811" s="372" t="s">
        <v>29</v>
      </c>
      <c r="K811" s="372" t="s">
        <v>1069</v>
      </c>
      <c r="L811" s="358"/>
      <c r="M811" s="358"/>
      <c r="N811" s="94"/>
      <c r="O811" s="380" t="s">
        <v>31</v>
      </c>
      <c r="P811" s="380" t="s">
        <v>30</v>
      </c>
      <c r="Q811" s="23">
        <v>45853</v>
      </c>
      <c r="R811" s="81" t="s">
        <v>47</v>
      </c>
      <c r="S811" s="22" t="s">
        <v>32</v>
      </c>
      <c r="T811" s="22">
        <v>24</v>
      </c>
      <c r="U811" s="24" t="s">
        <v>47</v>
      </c>
      <c r="V811" s="23">
        <v>45853</v>
      </c>
      <c r="W811" s="82" t="s">
        <v>30</v>
      </c>
      <c r="X811" s="103" t="s">
        <v>30</v>
      </c>
      <c r="Y811"/>
      <c r="Z811"/>
      <c r="AA811"/>
    </row>
    <row r="812" spans="1:28">
      <c r="A812" s="358" t="s">
        <v>24</v>
      </c>
      <c r="B812" s="369">
        <v>809</v>
      </c>
      <c r="C812" s="231" t="s">
        <v>1304</v>
      </c>
      <c r="D812" s="231" t="s">
        <v>34</v>
      </c>
      <c r="E812" s="224">
        <v>45822</v>
      </c>
      <c r="F812" s="231" t="s">
        <v>1305</v>
      </c>
      <c r="G812" s="231">
        <v>6</v>
      </c>
      <c r="H812" s="231" t="s">
        <v>22</v>
      </c>
      <c r="I812" s="231" t="s">
        <v>28</v>
      </c>
      <c r="J812" s="372" t="s">
        <v>29</v>
      </c>
      <c r="K812" s="102" t="s">
        <v>1306</v>
      </c>
      <c r="L812" s="358"/>
      <c r="M812" s="358"/>
      <c r="N812" s="380"/>
      <c r="O812" s="380"/>
      <c r="P812" s="380" t="s">
        <v>32</v>
      </c>
      <c r="Q812" s="23">
        <v>45847</v>
      </c>
      <c r="R812" s="81" t="s">
        <v>1138</v>
      </c>
      <c r="S812" s="22" t="s">
        <v>32</v>
      </c>
      <c r="T812" s="22">
        <v>6</v>
      </c>
      <c r="U812" s="24" t="s">
        <v>1138</v>
      </c>
      <c r="V812" s="23">
        <v>45847</v>
      </c>
      <c r="W812" s="82" t="s">
        <v>30</v>
      </c>
      <c r="X812" s="103" t="s">
        <v>30</v>
      </c>
      <c r="Y812"/>
      <c r="Z812"/>
      <c r="AA812"/>
    </row>
    <row r="813" spans="1:28">
      <c r="A813" s="358" t="s">
        <v>24</v>
      </c>
      <c r="B813" s="369">
        <v>810</v>
      </c>
      <c r="C813" s="223" t="s">
        <v>1307</v>
      </c>
      <c r="D813" s="223" t="s">
        <v>374</v>
      </c>
      <c r="E813" s="224">
        <v>45822</v>
      </c>
      <c r="F813" s="223" t="s">
        <v>1308</v>
      </c>
      <c r="G813" s="223">
        <v>7</v>
      </c>
      <c r="H813" s="223" t="s">
        <v>46</v>
      </c>
      <c r="I813" s="223" t="s">
        <v>47</v>
      </c>
      <c r="J813" s="372" t="s">
        <v>29</v>
      </c>
      <c r="K813" s="372"/>
      <c r="L813" s="358"/>
      <c r="M813" s="358"/>
      <c r="N813" s="94"/>
      <c r="O813" s="380"/>
      <c r="P813" s="380" t="s">
        <v>1091</v>
      </c>
      <c r="Q813" s="23">
        <v>45856</v>
      </c>
      <c r="R813" s="81" t="s">
        <v>1138</v>
      </c>
      <c r="S813" s="22" t="s">
        <v>32</v>
      </c>
      <c r="T813" s="22">
        <v>7</v>
      </c>
      <c r="U813" s="24" t="s">
        <v>1138</v>
      </c>
      <c r="V813" s="23">
        <v>45856</v>
      </c>
      <c r="W813" s="82" t="s">
        <v>30</v>
      </c>
      <c r="X813" s="85" t="s">
        <v>30</v>
      </c>
      <c r="Y813"/>
      <c r="Z813"/>
      <c r="AA813"/>
    </row>
    <row r="814" spans="1:28">
      <c r="A814" s="358" t="s">
        <v>24</v>
      </c>
      <c r="B814" s="369">
        <v>811</v>
      </c>
      <c r="C814" s="223" t="s">
        <v>1309</v>
      </c>
      <c r="D814" s="223" t="s">
        <v>83</v>
      </c>
      <c r="E814" s="224">
        <v>45822</v>
      </c>
      <c r="F814" s="223" t="s">
        <v>401</v>
      </c>
      <c r="G814" s="223">
        <v>7</v>
      </c>
      <c r="H814" s="223" t="s">
        <v>46</v>
      </c>
      <c r="I814" s="223" t="s">
        <v>47</v>
      </c>
      <c r="J814" s="372" t="s">
        <v>29</v>
      </c>
      <c r="K814" s="372"/>
      <c r="L814" s="358"/>
      <c r="M814" s="358"/>
      <c r="N814" s="380"/>
      <c r="O814" s="380"/>
      <c r="P814" s="380" t="s">
        <v>30</v>
      </c>
      <c r="Q814" s="23">
        <v>45868</v>
      </c>
      <c r="R814" s="81" t="s">
        <v>21</v>
      </c>
      <c r="S814" s="22" t="s">
        <v>32</v>
      </c>
      <c r="T814" s="22">
        <v>7</v>
      </c>
      <c r="U814" s="24" t="s">
        <v>21</v>
      </c>
      <c r="V814" s="23">
        <v>45868</v>
      </c>
      <c r="W814" s="82" t="s">
        <v>30</v>
      </c>
      <c r="X814" s="85" t="s">
        <v>30</v>
      </c>
      <c r="Y814"/>
      <c r="Z814"/>
      <c r="AA814"/>
    </row>
    <row r="815" spans="1:28">
      <c r="A815" s="358" t="s">
        <v>24</v>
      </c>
      <c r="B815" s="369">
        <v>812</v>
      </c>
      <c r="C815" s="223" t="s">
        <v>1310</v>
      </c>
      <c r="D815" s="223" t="s">
        <v>83</v>
      </c>
      <c r="E815" s="224">
        <v>45822</v>
      </c>
      <c r="F815" s="223" t="s">
        <v>1311</v>
      </c>
      <c r="G815" s="223">
        <v>12</v>
      </c>
      <c r="H815" s="223" t="s">
        <v>21</v>
      </c>
      <c r="I815" s="223" t="s">
        <v>127</v>
      </c>
      <c r="J815" s="372" t="s">
        <v>29</v>
      </c>
      <c r="K815" s="21"/>
      <c r="L815" s="358"/>
      <c r="M815" s="22"/>
      <c r="N815" s="23"/>
      <c r="O815" s="380"/>
      <c r="P815" s="380" t="s">
        <v>1057</v>
      </c>
      <c r="Q815" s="23">
        <v>45845</v>
      </c>
      <c r="R815" s="81" t="s">
        <v>127</v>
      </c>
      <c r="S815" s="22" t="s">
        <v>32</v>
      </c>
      <c r="T815" s="22">
        <v>12</v>
      </c>
      <c r="U815" s="24" t="s">
        <v>127</v>
      </c>
      <c r="V815" s="23">
        <v>45845</v>
      </c>
      <c r="W815" s="82" t="s">
        <v>30</v>
      </c>
      <c r="X815" s="85" t="s">
        <v>30</v>
      </c>
      <c r="Y815"/>
      <c r="Z815"/>
      <c r="AA815"/>
    </row>
    <row r="816" spans="1:28">
      <c r="A816" s="358" t="s">
        <v>24</v>
      </c>
      <c r="B816" s="369">
        <v>813</v>
      </c>
      <c r="C816" s="223" t="s">
        <v>1312</v>
      </c>
      <c r="D816" s="223" t="s">
        <v>43</v>
      </c>
      <c r="E816" s="224">
        <v>45822</v>
      </c>
      <c r="F816" s="223" t="s">
        <v>272</v>
      </c>
      <c r="G816" s="223">
        <v>12</v>
      </c>
      <c r="H816" s="223" t="s">
        <v>21</v>
      </c>
      <c r="I816" s="223" t="s">
        <v>127</v>
      </c>
      <c r="J816" s="372" t="s">
        <v>29</v>
      </c>
      <c r="K816" s="93"/>
      <c r="L816" s="358"/>
      <c r="M816" s="22"/>
      <c r="N816" s="23"/>
      <c r="O816" s="380"/>
      <c r="P816" s="380" t="s">
        <v>1091</v>
      </c>
      <c r="Q816" s="23">
        <v>45847</v>
      </c>
      <c r="R816" s="81" t="s">
        <v>127</v>
      </c>
      <c r="S816" s="22" t="s">
        <v>32</v>
      </c>
      <c r="T816" s="22">
        <v>12</v>
      </c>
      <c r="U816" s="24" t="s">
        <v>127</v>
      </c>
      <c r="V816" s="23">
        <v>45847</v>
      </c>
      <c r="W816" s="82" t="s">
        <v>30</v>
      </c>
      <c r="X816" s="85" t="s">
        <v>30</v>
      </c>
      <c r="Y816"/>
      <c r="Z816" s="412"/>
      <c r="AA816" s="412"/>
      <c r="AB816" s="412"/>
    </row>
    <row r="817" spans="1:28">
      <c r="A817" s="358" t="s">
        <v>24</v>
      </c>
      <c r="B817" s="369">
        <v>814</v>
      </c>
      <c r="C817" s="223" t="s">
        <v>1313</v>
      </c>
      <c r="D817" s="223" t="s">
        <v>64</v>
      </c>
      <c r="E817" s="224">
        <v>45822</v>
      </c>
      <c r="F817" s="223" t="s">
        <v>1314</v>
      </c>
      <c r="G817" s="223">
        <v>11</v>
      </c>
      <c r="H817" s="223" t="s">
        <v>21</v>
      </c>
      <c r="I817" s="223" t="s">
        <v>127</v>
      </c>
      <c r="J817" s="372" t="s">
        <v>29</v>
      </c>
      <c r="K817" s="93"/>
      <c r="L817" s="358"/>
      <c r="M817" s="22"/>
      <c r="N817" s="23"/>
      <c r="O817" s="380"/>
      <c r="P817" s="23" t="s">
        <v>30</v>
      </c>
      <c r="Q817" s="23">
        <v>45845</v>
      </c>
      <c r="R817" s="81" t="s">
        <v>127</v>
      </c>
      <c r="S817" s="22" t="s">
        <v>32</v>
      </c>
      <c r="T817" s="22">
        <v>11</v>
      </c>
      <c r="U817" s="22" t="s">
        <v>127</v>
      </c>
      <c r="V817" s="23">
        <v>45845</v>
      </c>
      <c r="W817" s="82" t="s">
        <v>30</v>
      </c>
      <c r="X817" s="85" t="s">
        <v>30</v>
      </c>
      <c r="Y817"/>
      <c r="Z817" s="412"/>
      <c r="AA817" s="412"/>
      <c r="AB817" s="412"/>
    </row>
    <row r="818" spans="1:28">
      <c r="A818" s="358" t="s">
        <v>24</v>
      </c>
      <c r="B818" s="369">
        <v>815</v>
      </c>
      <c r="C818" s="223" t="s">
        <v>1315</v>
      </c>
      <c r="D818" s="223" t="s">
        <v>102</v>
      </c>
      <c r="E818" s="224">
        <v>45824</v>
      </c>
      <c r="F818" s="223" t="s">
        <v>202</v>
      </c>
      <c r="G818" s="223">
        <v>14</v>
      </c>
      <c r="H818" s="223" t="s">
        <v>22</v>
      </c>
      <c r="I818" s="223" t="s">
        <v>28</v>
      </c>
      <c r="J818" s="372" t="s">
        <v>237</v>
      </c>
      <c r="K818" s="372" t="s">
        <v>1069</v>
      </c>
      <c r="L818" s="358"/>
      <c r="M818" s="22"/>
      <c r="N818" s="23"/>
      <c r="O818" s="380"/>
      <c r="P818" s="23" t="s">
        <v>30</v>
      </c>
      <c r="Q818" s="23">
        <v>45869</v>
      </c>
      <c r="R818" s="81" t="s">
        <v>1077</v>
      </c>
      <c r="S818" s="22" t="s">
        <v>32</v>
      </c>
      <c r="T818" s="22">
        <v>14</v>
      </c>
      <c r="U818" s="22" t="s">
        <v>1077</v>
      </c>
      <c r="V818" s="23">
        <v>45869</v>
      </c>
      <c r="W818" s="82" t="s">
        <v>30</v>
      </c>
      <c r="X818" s="85" t="s">
        <v>30</v>
      </c>
      <c r="Y818"/>
      <c r="Z818" s="412"/>
      <c r="AA818" s="412"/>
      <c r="AB818" s="412"/>
    </row>
    <row r="819" spans="1:28">
      <c r="A819" s="358" t="s">
        <v>24</v>
      </c>
      <c r="B819" s="369">
        <v>816</v>
      </c>
      <c r="C819" s="223" t="s">
        <v>1316</v>
      </c>
      <c r="D819" s="223" t="s">
        <v>406</v>
      </c>
      <c r="E819" s="224">
        <v>45828</v>
      </c>
      <c r="F819" s="223" t="s">
        <v>202</v>
      </c>
      <c r="G819" s="223">
        <v>19</v>
      </c>
      <c r="H819" s="223" t="s">
        <v>22</v>
      </c>
      <c r="I819" s="223" t="s">
        <v>28</v>
      </c>
      <c r="J819" s="372" t="s">
        <v>237</v>
      </c>
      <c r="K819" s="102" t="s">
        <v>1317</v>
      </c>
      <c r="L819" s="93"/>
      <c r="M819" s="22"/>
      <c r="N819" s="23"/>
      <c r="O819" s="380" t="s">
        <v>31</v>
      </c>
      <c r="P819" s="23"/>
      <c r="Q819" s="23"/>
      <c r="R819" s="81" t="s">
        <v>1077</v>
      </c>
      <c r="S819" s="22"/>
      <c r="T819" s="22"/>
      <c r="U819" s="24"/>
      <c r="V819" s="23"/>
      <c r="W819" s="95" t="s">
        <v>32</v>
      </c>
      <c r="X819" s="85"/>
      <c r="Y819"/>
      <c r="Z819"/>
      <c r="AA819"/>
    </row>
    <row r="820" spans="1:28">
      <c r="A820" s="358" t="s">
        <v>24</v>
      </c>
      <c r="B820" s="369">
        <v>817</v>
      </c>
      <c r="C820" s="223" t="s">
        <v>1318</v>
      </c>
      <c r="D820" s="223" t="s">
        <v>34</v>
      </c>
      <c r="E820" s="224">
        <v>45829</v>
      </c>
      <c r="F820" s="223" t="s">
        <v>1319</v>
      </c>
      <c r="G820" s="223">
        <v>14</v>
      </c>
      <c r="H820" s="223" t="s">
        <v>46</v>
      </c>
      <c r="I820" s="223" t="s">
        <v>47</v>
      </c>
      <c r="J820" s="372" t="s">
        <v>29</v>
      </c>
      <c r="K820" s="372"/>
      <c r="L820" s="93"/>
      <c r="M820" s="22"/>
      <c r="N820" s="23"/>
      <c r="O820" s="380"/>
      <c r="P820" s="23" t="s">
        <v>30</v>
      </c>
      <c r="Q820" s="23">
        <v>45848</v>
      </c>
      <c r="R820" s="81" t="s">
        <v>47</v>
      </c>
      <c r="S820" s="22" t="s">
        <v>32</v>
      </c>
      <c r="T820" s="22">
        <v>14</v>
      </c>
      <c r="U820" s="22" t="s">
        <v>47</v>
      </c>
      <c r="V820" s="23">
        <v>45848</v>
      </c>
      <c r="W820" s="82" t="s">
        <v>30</v>
      </c>
      <c r="X820" s="85" t="s">
        <v>30</v>
      </c>
      <c r="Y820"/>
      <c r="Z820"/>
      <c r="AA820"/>
    </row>
    <row r="821" spans="1:28">
      <c r="A821" s="358" t="s">
        <v>24</v>
      </c>
      <c r="B821" s="369">
        <v>818</v>
      </c>
      <c r="C821" s="223" t="s">
        <v>1320</v>
      </c>
      <c r="D821" s="223" t="s">
        <v>34</v>
      </c>
      <c r="E821" s="224">
        <v>45829</v>
      </c>
      <c r="F821" s="223" t="s">
        <v>65</v>
      </c>
      <c r="G821" s="223">
        <v>2</v>
      </c>
      <c r="H821" s="223" t="s">
        <v>46</v>
      </c>
      <c r="I821" s="223" t="s">
        <v>47</v>
      </c>
      <c r="J821" s="372" t="s">
        <v>29</v>
      </c>
      <c r="K821" s="223"/>
      <c r="L821" s="372"/>
      <c r="M821" s="372"/>
      <c r="N821" s="372"/>
      <c r="O821" s="372"/>
      <c r="P821" s="358" t="s">
        <v>30</v>
      </c>
      <c r="Q821" s="23">
        <v>45869</v>
      </c>
      <c r="R821" s="81" t="s">
        <v>28</v>
      </c>
      <c r="S821" s="22" t="s">
        <v>32</v>
      </c>
      <c r="T821" s="372">
        <v>2</v>
      </c>
      <c r="U821" s="372" t="s">
        <v>28</v>
      </c>
      <c r="V821" s="23">
        <v>45869</v>
      </c>
      <c r="W821" s="82" t="s">
        <v>30</v>
      </c>
      <c r="X821" s="85" t="s">
        <v>32</v>
      </c>
      <c r="Y821"/>
      <c r="Z821"/>
      <c r="AA821"/>
    </row>
    <row r="822" spans="1:28">
      <c r="A822" s="358" t="s">
        <v>24</v>
      </c>
      <c r="B822" s="369">
        <v>819</v>
      </c>
      <c r="C822" s="223" t="s">
        <v>1321</v>
      </c>
      <c r="D822" s="223" t="s">
        <v>34</v>
      </c>
      <c r="E822" s="224">
        <v>45829</v>
      </c>
      <c r="F822" s="223" t="s">
        <v>401</v>
      </c>
      <c r="G822" s="223">
        <v>24</v>
      </c>
      <c r="H822" s="223" t="s">
        <v>46</v>
      </c>
      <c r="I822" s="223" t="s">
        <v>47</v>
      </c>
      <c r="J822" s="372" t="s">
        <v>29</v>
      </c>
      <c r="K822" s="223"/>
      <c r="L822" s="93"/>
      <c r="M822" s="22"/>
      <c r="N822" s="23"/>
      <c r="O822" s="380" t="s">
        <v>31</v>
      </c>
      <c r="P822" s="23" t="s">
        <v>30</v>
      </c>
      <c r="Q822" s="23">
        <v>45869</v>
      </c>
      <c r="R822" s="81" t="s">
        <v>47</v>
      </c>
      <c r="S822" s="22" t="s">
        <v>32</v>
      </c>
      <c r="T822" s="22">
        <v>20</v>
      </c>
      <c r="U822" s="24" t="s">
        <v>47</v>
      </c>
      <c r="V822" s="23">
        <v>45869</v>
      </c>
      <c r="W822" s="82" t="s">
        <v>30</v>
      </c>
      <c r="X822" s="85" t="s">
        <v>32</v>
      </c>
      <c r="Y822"/>
      <c r="Z822"/>
      <c r="AA822"/>
    </row>
    <row r="823" spans="1:28">
      <c r="A823" s="358" t="s">
        <v>24</v>
      </c>
      <c r="B823" s="369">
        <v>820</v>
      </c>
      <c r="C823" s="223" t="s">
        <v>1322</v>
      </c>
      <c r="D823" s="223" t="s">
        <v>234</v>
      </c>
      <c r="E823" s="224">
        <v>45829</v>
      </c>
      <c r="F823" s="223" t="s">
        <v>65</v>
      </c>
      <c r="G823" s="223">
        <v>6</v>
      </c>
      <c r="H823" s="223" t="s">
        <v>46</v>
      </c>
      <c r="I823" s="223" t="s">
        <v>47</v>
      </c>
      <c r="J823" s="372" t="s">
        <v>29</v>
      </c>
      <c r="K823" s="223"/>
      <c r="L823" s="358"/>
      <c r="M823" s="22"/>
      <c r="N823" s="23"/>
      <c r="O823" s="380"/>
      <c r="P823" s="23" t="s">
        <v>30</v>
      </c>
      <c r="Q823" s="23">
        <v>45848</v>
      </c>
      <c r="R823" s="81" t="s">
        <v>1077</v>
      </c>
      <c r="S823" s="22" t="s">
        <v>32</v>
      </c>
      <c r="T823" s="22">
        <v>6</v>
      </c>
      <c r="U823" s="24" t="s">
        <v>1077</v>
      </c>
      <c r="V823" s="23">
        <v>45848</v>
      </c>
      <c r="W823" s="82" t="s">
        <v>30</v>
      </c>
      <c r="X823" s="103" t="s">
        <v>30</v>
      </c>
      <c r="Y823"/>
      <c r="Z823"/>
      <c r="AA823"/>
    </row>
    <row r="824" spans="1:28">
      <c r="A824" s="358" t="s">
        <v>24</v>
      </c>
      <c r="B824" s="369">
        <v>821</v>
      </c>
      <c r="C824" s="223" t="s">
        <v>1323</v>
      </c>
      <c r="D824" s="223" t="s">
        <v>234</v>
      </c>
      <c r="E824" s="224">
        <v>45829</v>
      </c>
      <c r="F824" s="223" t="s">
        <v>401</v>
      </c>
      <c r="G824" s="223">
        <v>7</v>
      </c>
      <c r="H824" s="223" t="s">
        <v>46</v>
      </c>
      <c r="I824" s="223" t="s">
        <v>47</v>
      </c>
      <c r="J824" s="372" t="s">
        <v>29</v>
      </c>
      <c r="K824" s="102"/>
      <c r="L824" s="372"/>
      <c r="M824" s="22"/>
      <c r="N824" s="23"/>
      <c r="O824" s="380"/>
      <c r="P824" s="23" t="s">
        <v>30</v>
      </c>
      <c r="Q824" s="23">
        <v>45896</v>
      </c>
      <c r="R824" s="81" t="s">
        <v>28</v>
      </c>
      <c r="S824" s="22" t="s">
        <v>32</v>
      </c>
      <c r="T824" s="236">
        <v>7</v>
      </c>
      <c r="U824" s="24" t="s">
        <v>28</v>
      </c>
      <c r="V824" s="23">
        <v>45896</v>
      </c>
      <c r="W824" s="82" t="s">
        <v>30</v>
      </c>
      <c r="X824" s="85" t="s">
        <v>32</v>
      </c>
      <c r="Y824"/>
      <c r="Z824"/>
      <c r="AA824"/>
    </row>
    <row r="825" spans="1:28">
      <c r="A825" s="358" t="s">
        <v>24</v>
      </c>
      <c r="B825" s="369">
        <v>822</v>
      </c>
      <c r="C825" s="223" t="s">
        <v>1324</v>
      </c>
      <c r="D825" s="223" t="s">
        <v>374</v>
      </c>
      <c r="E825" s="224">
        <v>45829</v>
      </c>
      <c r="F825" s="223" t="s">
        <v>1325</v>
      </c>
      <c r="G825" s="223">
        <v>30</v>
      </c>
      <c r="H825" s="223" t="s">
        <v>46</v>
      </c>
      <c r="I825" s="223" t="s">
        <v>47</v>
      </c>
      <c r="J825" s="372" t="s">
        <v>29</v>
      </c>
      <c r="K825" s="372"/>
      <c r="L825" s="21"/>
      <c r="M825" s="22"/>
      <c r="N825" s="23"/>
      <c r="O825" s="380" t="s">
        <v>31</v>
      </c>
      <c r="P825" s="380" t="s">
        <v>30</v>
      </c>
      <c r="Q825" s="23">
        <v>45868</v>
      </c>
      <c r="R825" s="81" t="s">
        <v>21</v>
      </c>
      <c r="S825" s="22" t="s">
        <v>32</v>
      </c>
      <c r="T825" s="22">
        <v>15</v>
      </c>
      <c r="U825" s="24" t="s">
        <v>21</v>
      </c>
      <c r="V825" s="23">
        <v>45868</v>
      </c>
      <c r="W825" s="82" t="s">
        <v>30</v>
      </c>
      <c r="X825" s="103" t="s">
        <v>30</v>
      </c>
      <c r="Y825"/>
      <c r="Z825"/>
      <c r="AA825"/>
    </row>
    <row r="826" spans="1:28">
      <c r="A826" s="358" t="s">
        <v>24</v>
      </c>
      <c r="B826" s="369">
        <v>823</v>
      </c>
      <c r="C826" s="223" t="s">
        <v>1326</v>
      </c>
      <c r="D826" s="223" t="s">
        <v>406</v>
      </c>
      <c r="E826" s="224">
        <v>45829</v>
      </c>
      <c r="F826" s="223" t="s">
        <v>1327</v>
      </c>
      <c r="G826" s="223">
        <v>15</v>
      </c>
      <c r="H826" s="223" t="s">
        <v>21</v>
      </c>
      <c r="I826" s="223" t="s">
        <v>127</v>
      </c>
      <c r="J826" s="372" t="s">
        <v>29</v>
      </c>
      <c r="K826" s="223" t="s">
        <v>1328</v>
      </c>
      <c r="L826" s="358"/>
      <c r="M826" s="22"/>
      <c r="N826" s="23"/>
      <c r="O826" s="380" t="s">
        <v>31</v>
      </c>
      <c r="P826" s="380" t="s">
        <v>30</v>
      </c>
      <c r="Q826" s="23">
        <v>45845</v>
      </c>
      <c r="R826" s="81" t="s">
        <v>127</v>
      </c>
      <c r="S826" s="22" t="s">
        <v>32</v>
      </c>
      <c r="T826" s="22">
        <v>15</v>
      </c>
      <c r="U826" s="24" t="s">
        <v>127</v>
      </c>
      <c r="V826" s="23">
        <v>45845</v>
      </c>
      <c r="W826" s="100" t="s">
        <v>30</v>
      </c>
      <c r="X826" s="85" t="s">
        <v>30</v>
      </c>
      <c r="Y826"/>
      <c r="Z826"/>
      <c r="AA826"/>
    </row>
    <row r="827" spans="1:28">
      <c r="A827" s="358" t="s">
        <v>24</v>
      </c>
      <c r="B827" s="369">
        <v>824</v>
      </c>
      <c r="C827" s="372" t="s">
        <v>1329</v>
      </c>
      <c r="D827" s="372" t="s">
        <v>50</v>
      </c>
      <c r="E827" s="373">
        <v>45829</v>
      </c>
      <c r="F827" s="223" t="s">
        <v>912</v>
      </c>
      <c r="G827" s="372">
        <v>13</v>
      </c>
      <c r="H827" s="372" t="s">
        <v>22</v>
      </c>
      <c r="I827" s="372" t="s">
        <v>28</v>
      </c>
      <c r="J827" s="372" t="s">
        <v>237</v>
      </c>
      <c r="K827" s="372" t="s">
        <v>1069</v>
      </c>
      <c r="L827" s="21"/>
      <c r="M827" s="22"/>
      <c r="N827" s="23"/>
      <c r="O827" s="380"/>
      <c r="P827" s="380" t="s">
        <v>30</v>
      </c>
      <c r="Q827" s="23">
        <v>45868</v>
      </c>
      <c r="R827" s="81" t="s">
        <v>1077</v>
      </c>
      <c r="S827" s="22" t="s">
        <v>32</v>
      </c>
      <c r="T827" s="22">
        <v>12</v>
      </c>
      <c r="U827" s="24" t="s">
        <v>1077</v>
      </c>
      <c r="V827" s="23">
        <v>45868</v>
      </c>
      <c r="W827" s="82" t="s">
        <v>30</v>
      </c>
      <c r="X827" s="85" t="s">
        <v>30</v>
      </c>
      <c r="Y827"/>
      <c r="Z827"/>
      <c r="AA827"/>
    </row>
    <row r="828" spans="1:28">
      <c r="A828" s="358" t="s">
        <v>24</v>
      </c>
      <c r="B828" s="369">
        <v>825</v>
      </c>
      <c r="C828" s="372" t="s">
        <v>1330</v>
      </c>
      <c r="D828" s="372" t="s">
        <v>34</v>
      </c>
      <c r="E828" s="373">
        <v>45829</v>
      </c>
      <c r="F828" s="372" t="s">
        <v>117</v>
      </c>
      <c r="G828" s="372">
        <v>4</v>
      </c>
      <c r="H828" s="372" t="s">
        <v>22</v>
      </c>
      <c r="I828" s="372" t="s">
        <v>28</v>
      </c>
      <c r="J828" s="372" t="s">
        <v>29</v>
      </c>
      <c r="K828" s="21"/>
      <c r="L828" s="372"/>
      <c r="M828" s="22"/>
      <c r="N828" s="23"/>
      <c r="O828" s="380"/>
      <c r="P828" s="380" t="s">
        <v>30</v>
      </c>
      <c r="Q828" s="23">
        <v>45847</v>
      </c>
      <c r="R828" s="81" t="s">
        <v>1138</v>
      </c>
      <c r="S828" s="22" t="s">
        <v>30</v>
      </c>
      <c r="T828" s="22">
        <v>3</v>
      </c>
      <c r="U828" s="24" t="s">
        <v>1138</v>
      </c>
      <c r="V828" s="23">
        <v>45847</v>
      </c>
      <c r="W828" s="82" t="s">
        <v>30</v>
      </c>
      <c r="X828" s="103" t="s">
        <v>30</v>
      </c>
      <c r="Y828"/>
      <c r="Z828" s="412"/>
      <c r="AA828" s="412"/>
      <c r="AB828" s="412"/>
    </row>
    <row r="829" spans="1:28">
      <c r="A829" s="358" t="s">
        <v>24</v>
      </c>
      <c r="B829" s="369">
        <v>826</v>
      </c>
      <c r="C829" s="372" t="s">
        <v>1331</v>
      </c>
      <c r="D829" s="372" t="s">
        <v>34</v>
      </c>
      <c r="E829" s="373">
        <v>45831</v>
      </c>
      <c r="F829" s="372" t="s">
        <v>187</v>
      </c>
      <c r="G829" s="372">
        <v>7</v>
      </c>
      <c r="H829" s="372" t="s">
        <v>21</v>
      </c>
      <c r="I829" s="372" t="s">
        <v>127</v>
      </c>
      <c r="J829" s="372" t="s">
        <v>29</v>
      </c>
      <c r="K829" s="93"/>
      <c r="L829" s="21"/>
      <c r="M829" s="22"/>
      <c r="N829" s="23"/>
      <c r="O829" s="380"/>
      <c r="P829" s="380" t="s">
        <v>30</v>
      </c>
      <c r="Q829" s="23">
        <v>45842</v>
      </c>
      <c r="R829" s="81" t="s">
        <v>28</v>
      </c>
      <c r="S829" s="22" t="s">
        <v>32</v>
      </c>
      <c r="T829" s="236">
        <v>7</v>
      </c>
      <c r="U829" s="24" t="s">
        <v>28</v>
      </c>
      <c r="V829" s="23">
        <v>45842</v>
      </c>
      <c r="W829" s="82" t="s">
        <v>30</v>
      </c>
      <c r="X829" s="85" t="s">
        <v>30</v>
      </c>
      <c r="Y829"/>
      <c r="Z829" s="412"/>
      <c r="AA829" s="412"/>
      <c r="AB829" s="412"/>
    </row>
    <row r="830" spans="1:28">
      <c r="A830" s="358" t="s">
        <v>24</v>
      </c>
      <c r="B830" s="369">
        <v>827</v>
      </c>
      <c r="C830" s="372" t="s">
        <v>1332</v>
      </c>
      <c r="D830" s="372" t="s">
        <v>109</v>
      </c>
      <c r="E830" s="373">
        <v>45831</v>
      </c>
      <c r="F830" s="372" t="s">
        <v>110</v>
      </c>
      <c r="G830" s="372">
        <v>11</v>
      </c>
      <c r="H830" s="372" t="s">
        <v>1333</v>
      </c>
      <c r="I830" s="372" t="s">
        <v>1334</v>
      </c>
      <c r="J830" s="372" t="s">
        <v>29</v>
      </c>
      <c r="K830" s="372" t="s">
        <v>113</v>
      </c>
      <c r="L830" s="358"/>
      <c r="M830" s="22"/>
      <c r="N830" s="23"/>
      <c r="O830" s="380"/>
      <c r="P830" s="23" t="s">
        <v>30</v>
      </c>
      <c r="Q830" s="23">
        <v>45850</v>
      </c>
      <c r="R830" s="81" t="s">
        <v>48</v>
      </c>
      <c r="S830" s="22" t="s">
        <v>32</v>
      </c>
      <c r="T830" s="22">
        <v>11</v>
      </c>
      <c r="U830" s="24" t="s">
        <v>48</v>
      </c>
      <c r="V830" s="23">
        <v>45850</v>
      </c>
      <c r="W830" s="95" t="s">
        <v>113</v>
      </c>
      <c r="X830" s="235"/>
      <c r="Y830"/>
      <c r="Z830" s="412"/>
      <c r="AA830" s="412"/>
      <c r="AB830" s="412"/>
    </row>
    <row r="831" spans="1:28">
      <c r="A831" s="358" t="s">
        <v>24</v>
      </c>
      <c r="B831" s="369">
        <v>828</v>
      </c>
      <c r="C831" s="372" t="s">
        <v>1335</v>
      </c>
      <c r="D831" s="372" t="s">
        <v>477</v>
      </c>
      <c r="E831" s="373">
        <v>45834</v>
      </c>
      <c r="F831" s="372" t="s">
        <v>1336</v>
      </c>
      <c r="G831" s="372">
        <v>16</v>
      </c>
      <c r="H831" s="372" t="s">
        <v>22</v>
      </c>
      <c r="I831" s="372" t="s">
        <v>28</v>
      </c>
      <c r="J831" s="372" t="s">
        <v>29</v>
      </c>
      <c r="K831" s="372" t="s">
        <v>1337</v>
      </c>
      <c r="L831" s="21"/>
      <c r="M831" s="22"/>
      <c r="N831" s="23"/>
      <c r="O831" s="380" t="s">
        <v>31</v>
      </c>
      <c r="P831" s="23" t="s">
        <v>30</v>
      </c>
      <c r="Q831" s="23">
        <v>45869</v>
      </c>
      <c r="R831" s="81" t="s">
        <v>21</v>
      </c>
      <c r="S831" s="22" t="s">
        <v>32</v>
      </c>
      <c r="T831" s="22">
        <v>15</v>
      </c>
      <c r="U831" s="24" t="s">
        <v>21</v>
      </c>
      <c r="V831" s="23">
        <v>45869</v>
      </c>
      <c r="W831" s="95" t="s">
        <v>32</v>
      </c>
      <c r="X831" s="85" t="s">
        <v>32</v>
      </c>
      <c r="Y831"/>
      <c r="Z831" s="412"/>
      <c r="AA831" s="412"/>
      <c r="AB831" s="412"/>
    </row>
    <row r="832" spans="1:28">
      <c r="A832" s="358" t="s">
        <v>24</v>
      </c>
      <c r="B832" s="369">
        <v>829</v>
      </c>
      <c r="C832" s="372" t="s">
        <v>1338</v>
      </c>
      <c r="D832" s="372" t="s">
        <v>43</v>
      </c>
      <c r="E832" s="373">
        <v>45835</v>
      </c>
      <c r="F832" s="372" t="s">
        <v>1339</v>
      </c>
      <c r="G832" s="372">
        <v>8</v>
      </c>
      <c r="H832" s="372" t="s">
        <v>21</v>
      </c>
      <c r="I832" s="372" t="s">
        <v>127</v>
      </c>
      <c r="J832" s="372" t="s">
        <v>29</v>
      </c>
      <c r="K832" s="21"/>
      <c r="L832" s="21"/>
      <c r="M832" s="22"/>
      <c r="N832" s="23"/>
      <c r="O832" s="380"/>
      <c r="P832" s="23" t="s">
        <v>30</v>
      </c>
      <c r="Q832" s="23">
        <v>45847</v>
      </c>
      <c r="R832" s="81" t="s">
        <v>127</v>
      </c>
      <c r="S832" s="22" t="s">
        <v>32</v>
      </c>
      <c r="T832" s="22">
        <v>8</v>
      </c>
      <c r="U832" s="22" t="s">
        <v>127</v>
      </c>
      <c r="V832" s="23">
        <v>45847</v>
      </c>
      <c r="W832" s="82" t="s">
        <v>30</v>
      </c>
      <c r="X832" s="85" t="s">
        <v>30</v>
      </c>
      <c r="Y832"/>
      <c r="Z832" s="412"/>
      <c r="AA832" s="412"/>
      <c r="AB832" s="412"/>
    </row>
    <row r="833" spans="1:31">
      <c r="A833" s="358" t="s">
        <v>24</v>
      </c>
      <c r="B833" s="369">
        <v>830</v>
      </c>
      <c r="C833" s="372" t="s">
        <v>1340</v>
      </c>
      <c r="D833" s="372" t="s">
        <v>57</v>
      </c>
      <c r="E833" s="373">
        <v>45835</v>
      </c>
      <c r="F833" s="372" t="s">
        <v>395</v>
      </c>
      <c r="G833" s="372">
        <v>14</v>
      </c>
      <c r="H833" s="372" t="s">
        <v>22</v>
      </c>
      <c r="I833" s="372" t="s">
        <v>28</v>
      </c>
      <c r="J833" s="372" t="s">
        <v>29</v>
      </c>
      <c r="K833" s="372" t="s">
        <v>1337</v>
      </c>
      <c r="L833" s="21"/>
      <c r="M833" s="22"/>
      <c r="N833" s="23"/>
      <c r="O833" s="380"/>
      <c r="P833" s="23" t="s">
        <v>30</v>
      </c>
      <c r="Q833" s="23">
        <v>45869</v>
      </c>
      <c r="R833" s="81" t="s">
        <v>21</v>
      </c>
      <c r="S833" s="22" t="s">
        <v>32</v>
      </c>
      <c r="T833" s="22">
        <v>12</v>
      </c>
      <c r="U833" s="24" t="s">
        <v>21</v>
      </c>
      <c r="V833" s="23">
        <v>45869</v>
      </c>
      <c r="W833" s="95" t="s">
        <v>32</v>
      </c>
      <c r="X833" s="85" t="s">
        <v>30</v>
      </c>
      <c r="Y833"/>
      <c r="Z833" s="412"/>
      <c r="AA833" s="412"/>
      <c r="AB833" s="412"/>
    </row>
    <row r="834" spans="1:31">
      <c r="A834" s="358" t="s">
        <v>24</v>
      </c>
      <c r="B834" s="369">
        <v>831</v>
      </c>
      <c r="C834" s="372" t="s">
        <v>1341</v>
      </c>
      <c r="D834" s="372" t="s">
        <v>34</v>
      </c>
      <c r="E834" s="373">
        <v>45836</v>
      </c>
      <c r="F834" s="372" t="s">
        <v>1342</v>
      </c>
      <c r="G834" s="372">
        <v>10</v>
      </c>
      <c r="H834" s="375" t="s">
        <v>21</v>
      </c>
      <c r="I834" s="372" t="s">
        <v>127</v>
      </c>
      <c r="J834" s="372" t="s">
        <v>29</v>
      </c>
      <c r="K834" s="238" t="s">
        <v>273</v>
      </c>
      <c r="L834" s="21"/>
      <c r="M834" s="22"/>
      <c r="N834" s="23"/>
      <c r="O834" s="380"/>
      <c r="P834" s="380" t="s">
        <v>30</v>
      </c>
      <c r="Q834" s="23">
        <v>45845</v>
      </c>
      <c r="R834" s="81" t="s">
        <v>28</v>
      </c>
      <c r="S834" s="22" t="s">
        <v>32</v>
      </c>
      <c r="T834" s="22">
        <v>10</v>
      </c>
      <c r="U834" s="24" t="s">
        <v>28</v>
      </c>
      <c r="V834" s="23">
        <v>45845</v>
      </c>
      <c r="W834" s="82" t="s">
        <v>30</v>
      </c>
      <c r="X834" s="85" t="s">
        <v>30</v>
      </c>
      <c r="Y834"/>
      <c r="Z834" s="412"/>
      <c r="AA834" s="412"/>
      <c r="AB834" s="412"/>
    </row>
    <row r="835" spans="1:31">
      <c r="A835" s="358" t="s">
        <v>24</v>
      </c>
      <c r="B835" s="369">
        <v>832</v>
      </c>
      <c r="C835" s="372" t="s">
        <v>1343</v>
      </c>
      <c r="D835" s="372" t="s">
        <v>43</v>
      </c>
      <c r="E835" s="373">
        <v>45836</v>
      </c>
      <c r="F835" s="372" t="s">
        <v>435</v>
      </c>
      <c r="G835" s="372">
        <v>28</v>
      </c>
      <c r="H835" s="375" t="s">
        <v>21</v>
      </c>
      <c r="I835" s="372" t="s">
        <v>127</v>
      </c>
      <c r="J835" s="372" t="s">
        <v>29</v>
      </c>
      <c r="K835" s="21"/>
      <c r="L835" s="21"/>
      <c r="M835" s="22"/>
      <c r="N835" s="23"/>
      <c r="O835" s="380" t="s">
        <v>31</v>
      </c>
      <c r="P835" s="380" t="s">
        <v>1057</v>
      </c>
      <c r="Q835" s="23">
        <v>45845</v>
      </c>
      <c r="R835" s="81" t="s">
        <v>127</v>
      </c>
      <c r="S835" s="22" t="s">
        <v>32</v>
      </c>
      <c r="T835" s="22">
        <v>28</v>
      </c>
      <c r="U835" s="24" t="s">
        <v>127</v>
      </c>
      <c r="V835" s="23">
        <v>45845</v>
      </c>
      <c r="W835" s="82" t="s">
        <v>30</v>
      </c>
      <c r="X835" s="85" t="s">
        <v>30</v>
      </c>
      <c r="Y835"/>
      <c r="Z835" s="412"/>
      <c r="AA835" s="412"/>
      <c r="AB835" s="412"/>
    </row>
    <row r="836" spans="1:31">
      <c r="A836" s="358" t="s">
        <v>24</v>
      </c>
      <c r="B836" s="369">
        <v>833</v>
      </c>
      <c r="C836" s="372" t="s">
        <v>1344</v>
      </c>
      <c r="D836" s="372" t="s">
        <v>83</v>
      </c>
      <c r="E836" s="373">
        <v>45836</v>
      </c>
      <c r="F836" s="372" t="s">
        <v>1345</v>
      </c>
      <c r="G836" s="372">
        <v>7</v>
      </c>
      <c r="H836" s="372" t="s">
        <v>21</v>
      </c>
      <c r="I836" s="372" t="s">
        <v>127</v>
      </c>
      <c r="J836" s="372" t="s">
        <v>29</v>
      </c>
      <c r="K836" s="102" t="s">
        <v>1317</v>
      </c>
      <c r="L836" s="93"/>
      <c r="M836" s="22"/>
      <c r="N836" s="23"/>
      <c r="O836" s="380"/>
      <c r="P836" s="23"/>
      <c r="Q836" s="23"/>
      <c r="R836" s="81" t="s">
        <v>48</v>
      </c>
      <c r="S836" s="22"/>
      <c r="T836" s="22"/>
      <c r="U836" s="24" t="s">
        <v>48</v>
      </c>
      <c r="V836" s="23"/>
      <c r="W836" s="95" t="s">
        <v>32</v>
      </c>
      <c r="X836" s="85"/>
      <c r="Y836"/>
      <c r="Z836" s="412"/>
      <c r="AA836" s="412"/>
      <c r="AB836" s="412"/>
    </row>
    <row r="837" spans="1:31">
      <c r="A837" s="358" t="s">
        <v>24</v>
      </c>
      <c r="B837" s="369">
        <v>834</v>
      </c>
      <c r="C837" s="372" t="s">
        <v>1346</v>
      </c>
      <c r="D837" s="372" t="s">
        <v>34</v>
      </c>
      <c r="E837" s="373">
        <v>45836</v>
      </c>
      <c r="F837" s="372" t="s">
        <v>401</v>
      </c>
      <c r="G837" s="372">
        <v>7</v>
      </c>
      <c r="H837" s="375" t="s">
        <v>21</v>
      </c>
      <c r="I837" s="372" t="s">
        <v>127</v>
      </c>
      <c r="J837" s="372" t="s">
        <v>29</v>
      </c>
      <c r="K837" s="102" t="s">
        <v>1317</v>
      </c>
      <c r="L837" s="21"/>
      <c r="M837" s="22"/>
      <c r="N837" s="23"/>
      <c r="O837" s="380"/>
      <c r="P837" s="23"/>
      <c r="Q837" s="23"/>
      <c r="R837" s="81" t="s">
        <v>48</v>
      </c>
      <c r="S837" s="22"/>
      <c r="T837" s="22"/>
      <c r="U837" s="24" t="s">
        <v>48</v>
      </c>
      <c r="V837" s="23"/>
      <c r="W837" s="95" t="s">
        <v>32</v>
      </c>
      <c r="X837" s="85"/>
      <c r="Y837"/>
      <c r="Z837"/>
      <c r="AA837"/>
    </row>
    <row r="838" spans="1:31">
      <c r="A838" s="358" t="s">
        <v>24</v>
      </c>
      <c r="B838" s="369">
        <v>835</v>
      </c>
      <c r="C838" s="372" t="s">
        <v>1347</v>
      </c>
      <c r="D838" s="372" t="s">
        <v>34</v>
      </c>
      <c r="E838" s="373">
        <v>45836</v>
      </c>
      <c r="F838" s="372" t="s">
        <v>1348</v>
      </c>
      <c r="G838" s="372">
        <v>12</v>
      </c>
      <c r="H838" s="375" t="s">
        <v>21</v>
      </c>
      <c r="I838" s="372" t="s">
        <v>127</v>
      </c>
      <c r="J838" s="372" t="s">
        <v>29</v>
      </c>
      <c r="K838" s="93"/>
      <c r="L838" s="21"/>
      <c r="M838" s="22"/>
      <c r="N838" s="23"/>
      <c r="O838" s="380"/>
      <c r="P838" s="23" t="s">
        <v>30</v>
      </c>
      <c r="Q838" s="23">
        <v>45842</v>
      </c>
      <c r="R838" s="81" t="s">
        <v>28</v>
      </c>
      <c r="S838" s="22" t="s">
        <v>32</v>
      </c>
      <c r="T838" s="22">
        <v>11</v>
      </c>
      <c r="U838" s="23" t="s">
        <v>28</v>
      </c>
      <c r="V838" s="23">
        <v>45842</v>
      </c>
      <c r="W838" s="82" t="s">
        <v>30</v>
      </c>
      <c r="X838" s="85" t="s">
        <v>30</v>
      </c>
      <c r="Y838"/>
      <c r="Z838"/>
      <c r="AA838"/>
    </row>
    <row r="839" spans="1:31">
      <c r="A839" s="358" t="s">
        <v>24</v>
      </c>
      <c r="B839" s="369">
        <v>836</v>
      </c>
      <c r="C839" s="372" t="s">
        <v>1349</v>
      </c>
      <c r="D839" s="372" t="s">
        <v>99</v>
      </c>
      <c r="E839" s="373">
        <v>45836</v>
      </c>
      <c r="F839" s="372" t="s">
        <v>931</v>
      </c>
      <c r="G839" s="372">
        <v>15</v>
      </c>
      <c r="H839" s="375" t="s">
        <v>21</v>
      </c>
      <c r="I839" s="372" t="s">
        <v>127</v>
      </c>
      <c r="J839" s="372" t="s">
        <v>29</v>
      </c>
      <c r="K839" s="93"/>
      <c r="L839" s="21"/>
      <c r="M839" s="22"/>
      <c r="N839" s="23"/>
      <c r="O839" s="380" t="s">
        <v>31</v>
      </c>
      <c r="P839" s="23" t="s">
        <v>30</v>
      </c>
      <c r="Q839" s="23">
        <v>45840</v>
      </c>
      <c r="R839" s="81" t="s">
        <v>28</v>
      </c>
      <c r="S839" s="22" t="s">
        <v>32</v>
      </c>
      <c r="T839" s="22">
        <v>13</v>
      </c>
      <c r="U839" s="24" t="s">
        <v>28</v>
      </c>
      <c r="V839" s="23">
        <v>45840</v>
      </c>
      <c r="W839" s="82" t="s">
        <v>30</v>
      </c>
      <c r="X839" s="85" t="s">
        <v>30</v>
      </c>
      <c r="Y839"/>
      <c r="Z839"/>
      <c r="AA839"/>
    </row>
    <row r="840" spans="1:31">
      <c r="A840" s="358" t="s">
        <v>24</v>
      </c>
      <c r="B840" s="369">
        <v>837</v>
      </c>
      <c r="C840" s="372" t="s">
        <v>1350</v>
      </c>
      <c r="D840" s="372" t="s">
        <v>34</v>
      </c>
      <c r="E840" s="373">
        <v>45836</v>
      </c>
      <c r="F840" s="372" t="s">
        <v>187</v>
      </c>
      <c r="G840" s="372">
        <v>12</v>
      </c>
      <c r="H840" s="375" t="s">
        <v>21</v>
      </c>
      <c r="I840" s="372" t="s">
        <v>127</v>
      </c>
      <c r="J840" s="372" t="s">
        <v>29</v>
      </c>
      <c r="K840" s="238"/>
      <c r="L840" s="21"/>
      <c r="M840" s="22"/>
      <c r="N840" s="23"/>
      <c r="O840" s="380"/>
      <c r="P840" s="23" t="s">
        <v>30</v>
      </c>
      <c r="Q840" s="23">
        <v>45842</v>
      </c>
      <c r="R840" s="81" t="s">
        <v>28</v>
      </c>
      <c r="S840" s="22" t="s">
        <v>32</v>
      </c>
      <c r="T840" s="22">
        <v>12</v>
      </c>
      <c r="U840" s="24" t="s">
        <v>28</v>
      </c>
      <c r="V840" s="23">
        <v>45842</v>
      </c>
      <c r="W840" s="82" t="s">
        <v>30</v>
      </c>
      <c r="X840" s="85" t="s">
        <v>30</v>
      </c>
      <c r="Y840"/>
      <c r="Z840"/>
      <c r="AA840"/>
    </row>
    <row r="841" spans="1:31">
      <c r="A841" s="358" t="s">
        <v>24</v>
      </c>
      <c r="B841" s="369">
        <v>838</v>
      </c>
      <c r="C841" s="372" t="s">
        <v>1351</v>
      </c>
      <c r="D841" s="372" t="s">
        <v>34</v>
      </c>
      <c r="E841" s="373">
        <v>45836</v>
      </c>
      <c r="F841" s="372" t="s">
        <v>1352</v>
      </c>
      <c r="G841" s="372">
        <v>11</v>
      </c>
      <c r="H841" s="375" t="s">
        <v>21</v>
      </c>
      <c r="I841" s="372" t="s">
        <v>127</v>
      </c>
      <c r="J841" s="372" t="s">
        <v>29</v>
      </c>
      <c r="K841" s="238" t="s">
        <v>1353</v>
      </c>
      <c r="L841" s="358"/>
      <c r="M841" s="22"/>
      <c r="N841" s="23"/>
      <c r="O841" s="380"/>
      <c r="P841" s="23" t="s">
        <v>30</v>
      </c>
      <c r="Q841" s="23">
        <v>45847</v>
      </c>
      <c r="R841" s="81" t="s">
        <v>28</v>
      </c>
      <c r="S841" s="22" t="s">
        <v>32</v>
      </c>
      <c r="T841" s="22">
        <v>10</v>
      </c>
      <c r="U841" s="22" t="s">
        <v>28</v>
      </c>
      <c r="V841" s="23">
        <v>45847</v>
      </c>
      <c r="W841" s="95" t="s">
        <v>32</v>
      </c>
      <c r="X841" s="85" t="s">
        <v>30</v>
      </c>
      <c r="Y841"/>
      <c r="Z841"/>
      <c r="AA841"/>
    </row>
    <row r="842" spans="1:31">
      <c r="A842" s="358" t="s">
        <v>24</v>
      </c>
      <c r="B842" s="369">
        <v>839</v>
      </c>
      <c r="C842" s="372" t="s">
        <v>1354</v>
      </c>
      <c r="D842" s="372" t="s">
        <v>26</v>
      </c>
      <c r="E842" s="373">
        <v>45836</v>
      </c>
      <c r="F842" s="372" t="s">
        <v>701</v>
      </c>
      <c r="G842" s="372">
        <v>16</v>
      </c>
      <c r="H842" s="375" t="s">
        <v>22</v>
      </c>
      <c r="I842" s="372" t="s">
        <v>28</v>
      </c>
      <c r="J842" s="372" t="s">
        <v>29</v>
      </c>
      <c r="K842" s="21"/>
      <c r="L842" s="358"/>
      <c r="M842" s="22"/>
      <c r="N842" s="23"/>
      <c r="O842" s="380" t="s">
        <v>31</v>
      </c>
      <c r="P842" s="23" t="s">
        <v>30</v>
      </c>
      <c r="Q842" s="23">
        <v>45845</v>
      </c>
      <c r="R842" s="81" t="s">
        <v>1138</v>
      </c>
      <c r="S842" s="22" t="s">
        <v>32</v>
      </c>
      <c r="T842" s="22">
        <v>16</v>
      </c>
      <c r="U842" s="24" t="s">
        <v>1138</v>
      </c>
      <c r="V842" s="23">
        <v>45845</v>
      </c>
      <c r="W842" s="82" t="s">
        <v>30</v>
      </c>
      <c r="X842" s="103" t="s">
        <v>30</v>
      </c>
      <c r="Y842"/>
      <c r="Z842"/>
      <c r="AA842"/>
    </row>
    <row r="843" spans="1:31">
      <c r="A843" s="358" t="s">
        <v>24</v>
      </c>
      <c r="B843" s="369">
        <v>840</v>
      </c>
      <c r="C843" s="372" t="s">
        <v>1355</v>
      </c>
      <c r="D843" s="372" t="s">
        <v>43</v>
      </c>
      <c r="E843" s="373">
        <v>45836</v>
      </c>
      <c r="F843" s="372" t="s">
        <v>1356</v>
      </c>
      <c r="G843" s="372">
        <v>8</v>
      </c>
      <c r="H843" s="375" t="s">
        <v>22</v>
      </c>
      <c r="I843" s="372" t="s">
        <v>28</v>
      </c>
      <c r="J843" s="372" t="s">
        <v>29</v>
      </c>
      <c r="K843" s="102"/>
      <c r="L843" s="21"/>
      <c r="M843" s="22"/>
      <c r="N843" s="23"/>
      <c r="O843" s="380"/>
      <c r="P843" s="23" t="s">
        <v>30</v>
      </c>
      <c r="Q843" s="23">
        <v>45847</v>
      </c>
      <c r="R843" s="81" t="s">
        <v>28</v>
      </c>
      <c r="S843" s="22" t="s">
        <v>32</v>
      </c>
      <c r="T843" s="22">
        <v>8</v>
      </c>
      <c r="U843" s="24" t="s">
        <v>28</v>
      </c>
      <c r="V843" s="23">
        <v>45847</v>
      </c>
      <c r="W843" s="82" t="s">
        <v>30</v>
      </c>
      <c r="X843" s="85" t="s">
        <v>30</v>
      </c>
      <c r="Y843"/>
      <c r="Z843"/>
      <c r="AA843"/>
    </row>
    <row r="844" spans="1:31">
      <c r="A844" s="358" t="s">
        <v>24</v>
      </c>
      <c r="B844" s="369">
        <v>841</v>
      </c>
      <c r="C844" s="372" t="s">
        <v>1357</v>
      </c>
      <c r="D844" s="372" t="s">
        <v>34</v>
      </c>
      <c r="E844" s="373">
        <v>45836</v>
      </c>
      <c r="F844" s="372" t="s">
        <v>1314</v>
      </c>
      <c r="G844" s="372">
        <v>12</v>
      </c>
      <c r="H844" s="375" t="s">
        <v>46</v>
      </c>
      <c r="I844" s="372" t="s">
        <v>47</v>
      </c>
      <c r="J844" s="372" t="s">
        <v>29</v>
      </c>
      <c r="K844" s="93"/>
      <c r="L844" s="21"/>
      <c r="M844" s="22"/>
      <c r="N844" s="23"/>
      <c r="O844" s="380"/>
      <c r="P844" s="23" t="s">
        <v>32</v>
      </c>
      <c r="Q844" s="23">
        <v>45860</v>
      </c>
      <c r="R844" s="81" t="s">
        <v>47</v>
      </c>
      <c r="S844" s="22" t="s">
        <v>30</v>
      </c>
      <c r="T844" s="22">
        <v>12</v>
      </c>
      <c r="U844" s="24" t="s">
        <v>47</v>
      </c>
      <c r="V844" s="23">
        <v>45860</v>
      </c>
      <c r="W844" s="82" t="s">
        <v>30</v>
      </c>
      <c r="X844" s="85" t="s">
        <v>30</v>
      </c>
      <c r="Y844"/>
      <c r="Z844"/>
      <c r="AA844"/>
    </row>
    <row r="845" spans="1:31">
      <c r="A845" s="358" t="s">
        <v>24</v>
      </c>
      <c r="B845" s="369">
        <v>842</v>
      </c>
      <c r="C845" s="372" t="s">
        <v>1358</v>
      </c>
      <c r="D845" s="372" t="s">
        <v>234</v>
      </c>
      <c r="E845" s="373">
        <v>45836</v>
      </c>
      <c r="F845" s="372" t="s">
        <v>401</v>
      </c>
      <c r="G845" s="372">
        <v>2</v>
      </c>
      <c r="H845" s="375" t="s">
        <v>46</v>
      </c>
      <c r="I845" s="372" t="s">
        <v>47</v>
      </c>
      <c r="J845" s="372" t="s">
        <v>29</v>
      </c>
      <c r="K845" s="21"/>
      <c r="L845" s="21"/>
      <c r="M845" s="22"/>
      <c r="N845" s="23"/>
      <c r="O845" s="380"/>
      <c r="P845" s="23" t="s">
        <v>30</v>
      </c>
      <c r="Q845" s="23">
        <v>45869</v>
      </c>
      <c r="R845" s="81" t="s">
        <v>28</v>
      </c>
      <c r="S845" s="22" t="s">
        <v>32</v>
      </c>
      <c r="T845" s="22">
        <v>1</v>
      </c>
      <c r="U845" s="24" t="s">
        <v>28</v>
      </c>
      <c r="V845" s="23">
        <v>45869</v>
      </c>
      <c r="W845" s="82" t="s">
        <v>30</v>
      </c>
      <c r="X845" s="103" t="s">
        <v>30</v>
      </c>
      <c r="Y845"/>
      <c r="Z845" s="412"/>
      <c r="AA845" s="412"/>
      <c r="AB845" s="412"/>
    </row>
    <row r="846" spans="1:31">
      <c r="A846" s="358" t="s">
        <v>24</v>
      </c>
      <c r="B846" s="369">
        <v>843</v>
      </c>
      <c r="C846" s="372" t="s">
        <v>1359</v>
      </c>
      <c r="D846" s="372" t="s">
        <v>34</v>
      </c>
      <c r="E846" s="373">
        <v>45836</v>
      </c>
      <c r="F846" s="372" t="s">
        <v>65</v>
      </c>
      <c r="G846" s="372">
        <v>13</v>
      </c>
      <c r="H846" s="375" t="s">
        <v>1077</v>
      </c>
      <c r="I846" s="372" t="s">
        <v>1138</v>
      </c>
      <c r="J846" s="372" t="s">
        <v>29</v>
      </c>
      <c r="K846" s="238" t="s">
        <v>1156</v>
      </c>
      <c r="L846" s="21"/>
      <c r="M846" s="22"/>
      <c r="N846" s="23"/>
      <c r="O846" s="380"/>
      <c r="P846" s="23" t="s">
        <v>30</v>
      </c>
      <c r="Q846" s="23">
        <v>45848</v>
      </c>
      <c r="R846" s="81" t="s">
        <v>127</v>
      </c>
      <c r="S846" s="22" t="s">
        <v>32</v>
      </c>
      <c r="T846" s="22">
        <v>13</v>
      </c>
      <c r="U846" s="24" t="s">
        <v>127</v>
      </c>
      <c r="V846" s="23">
        <v>45848</v>
      </c>
      <c r="W846" s="82" t="s">
        <v>30</v>
      </c>
      <c r="X846" s="103" t="s">
        <v>30</v>
      </c>
      <c r="Y846"/>
      <c r="Z846"/>
      <c r="AA846"/>
    </row>
    <row r="847" spans="1:31">
      <c r="A847" s="358" t="s">
        <v>24</v>
      </c>
      <c r="B847" s="369">
        <v>844</v>
      </c>
      <c r="C847" s="234" t="s">
        <v>1360</v>
      </c>
      <c r="D847" s="234" t="s">
        <v>50</v>
      </c>
      <c r="E847" s="233">
        <v>45838</v>
      </c>
      <c r="F847" s="372" t="s">
        <v>1298</v>
      </c>
      <c r="G847" s="234">
        <v>12</v>
      </c>
      <c r="H847" s="234" t="s">
        <v>21</v>
      </c>
      <c r="I847" s="234" t="s">
        <v>127</v>
      </c>
      <c r="J847" s="372" t="s">
        <v>29</v>
      </c>
      <c r="K847" s="372" t="s">
        <v>238</v>
      </c>
      <c r="L847" s="21"/>
      <c r="M847" s="22"/>
      <c r="N847" s="23"/>
      <c r="O847" s="23"/>
      <c r="P847" s="23" t="s">
        <v>30</v>
      </c>
      <c r="Q847" s="23">
        <v>45842</v>
      </c>
      <c r="R847" s="81" t="s">
        <v>28</v>
      </c>
      <c r="S847" s="22" t="s">
        <v>32</v>
      </c>
      <c r="T847" s="22">
        <v>12</v>
      </c>
      <c r="U847" s="24" t="s">
        <v>28</v>
      </c>
      <c r="V847" s="23">
        <v>45842</v>
      </c>
      <c r="W847" s="95" t="s">
        <v>32</v>
      </c>
      <c r="X847" s="85" t="s">
        <v>30</v>
      </c>
      <c r="Y847" s="91"/>
      <c r="Z847" s="88"/>
      <c r="AA847" s="92"/>
      <c r="AB847" s="88"/>
      <c r="AC847" s="72"/>
      <c r="AD847" s="72"/>
      <c r="AE847" s="72"/>
    </row>
    <row r="848" spans="1:31">
      <c r="A848" s="358" t="s">
        <v>24</v>
      </c>
      <c r="B848" s="369">
        <v>845</v>
      </c>
      <c r="C848" s="234" t="s">
        <v>1361</v>
      </c>
      <c r="D848" s="234" t="s">
        <v>1362</v>
      </c>
      <c r="E848" s="233">
        <v>45838</v>
      </c>
      <c r="F848" s="372" t="s">
        <v>167</v>
      </c>
      <c r="G848" s="234">
        <v>14</v>
      </c>
      <c r="H848" s="234" t="s">
        <v>21</v>
      </c>
      <c r="I848" s="234" t="s">
        <v>127</v>
      </c>
      <c r="J848" s="372" t="s">
        <v>237</v>
      </c>
      <c r="K848" s="102" t="s">
        <v>1317</v>
      </c>
      <c r="L848" s="21"/>
      <c r="M848" s="22"/>
      <c r="N848" s="23"/>
      <c r="O848" s="23"/>
      <c r="P848" s="23"/>
      <c r="Q848" s="23"/>
      <c r="R848" s="81" t="s">
        <v>28</v>
      </c>
      <c r="S848" s="22"/>
      <c r="T848" s="22"/>
      <c r="U848" s="24" t="s">
        <v>28</v>
      </c>
      <c r="V848" s="23"/>
      <c r="W848" s="95" t="s">
        <v>32</v>
      </c>
      <c r="X848" s="85"/>
      <c r="Y848"/>
      <c r="Z848"/>
      <c r="AA848"/>
    </row>
    <row r="849" spans="1:31">
      <c r="A849" s="358" t="s">
        <v>137</v>
      </c>
      <c r="B849" s="369">
        <v>846</v>
      </c>
      <c r="C849" s="372" t="s">
        <v>1281</v>
      </c>
      <c r="D849" s="358" t="s">
        <v>1363</v>
      </c>
      <c r="E849" s="373">
        <v>45810.375</v>
      </c>
      <c r="F849" s="372" t="s">
        <v>140</v>
      </c>
      <c r="G849" s="372">
        <v>30</v>
      </c>
      <c r="H849" s="372" t="s">
        <v>1077</v>
      </c>
      <c r="I849" s="372" t="s">
        <v>1138</v>
      </c>
      <c r="J849" s="372"/>
      <c r="K849" s="21"/>
      <c r="L849" s="21"/>
      <c r="M849" s="22"/>
      <c r="N849" s="23"/>
      <c r="O849" s="23"/>
      <c r="P849" s="23" t="s">
        <v>30</v>
      </c>
      <c r="Q849" s="23">
        <v>45832</v>
      </c>
      <c r="R849" s="81" t="s">
        <v>67</v>
      </c>
      <c r="S849" s="22" t="s">
        <v>32</v>
      </c>
      <c r="T849" s="236">
        <v>30</v>
      </c>
      <c r="U849" s="24" t="s">
        <v>67</v>
      </c>
      <c r="V849" s="23">
        <v>45832</v>
      </c>
      <c r="W849" s="82"/>
      <c r="X849" s="85"/>
      <c r="Y849"/>
      <c r="Z849"/>
      <c r="AA849"/>
      <c r="AB849" s="88"/>
      <c r="AC849" s="72"/>
      <c r="AD849" s="72"/>
      <c r="AE849" s="72"/>
    </row>
    <row r="850" spans="1:31">
      <c r="A850" s="358" t="s">
        <v>137</v>
      </c>
      <c r="B850" s="369">
        <v>847</v>
      </c>
      <c r="C850" s="372" t="s">
        <v>1364</v>
      </c>
      <c r="D850" s="358" t="s">
        <v>221</v>
      </c>
      <c r="E850" s="373">
        <v>45810.375</v>
      </c>
      <c r="F850" s="372" t="s">
        <v>140</v>
      </c>
      <c r="G850" s="372">
        <v>10</v>
      </c>
      <c r="H850" s="372" t="s">
        <v>22</v>
      </c>
      <c r="I850" s="372" t="s">
        <v>28</v>
      </c>
      <c r="J850" s="372"/>
      <c r="K850" s="21"/>
      <c r="L850" s="21"/>
      <c r="M850" s="22"/>
      <c r="N850" s="23"/>
      <c r="O850" s="23"/>
      <c r="P850" s="23" t="s">
        <v>30</v>
      </c>
      <c r="Q850" s="23">
        <v>45820</v>
      </c>
      <c r="R850" s="81" t="s">
        <v>67</v>
      </c>
      <c r="S850" s="22" t="s">
        <v>32</v>
      </c>
      <c r="T850" s="236">
        <v>10</v>
      </c>
      <c r="U850" s="24" t="s">
        <v>67</v>
      </c>
      <c r="V850" s="23">
        <v>45820</v>
      </c>
      <c r="W850" s="82"/>
      <c r="X850" s="85"/>
      <c r="Y850"/>
      <c r="Z850"/>
      <c r="AA850"/>
    </row>
    <row r="851" spans="1:31">
      <c r="A851" s="358" t="s">
        <v>137</v>
      </c>
      <c r="B851" s="369">
        <v>848</v>
      </c>
      <c r="C851" s="372" t="s">
        <v>1365</v>
      </c>
      <c r="D851" s="358" t="s">
        <v>1366</v>
      </c>
      <c r="E851" s="373">
        <v>45810.083333333336</v>
      </c>
      <c r="F851" s="372" t="s">
        <v>140</v>
      </c>
      <c r="G851" s="372">
        <v>6</v>
      </c>
      <c r="H851" s="372" t="s">
        <v>21</v>
      </c>
      <c r="I851" s="372" t="s">
        <v>127</v>
      </c>
      <c r="J851" s="372"/>
      <c r="K851" s="21"/>
      <c r="L851" s="21"/>
      <c r="M851" s="22"/>
      <c r="N851" s="23"/>
      <c r="O851" s="380"/>
      <c r="P851" s="23" t="s">
        <v>30</v>
      </c>
      <c r="Q851" s="23">
        <v>45817</v>
      </c>
      <c r="R851" s="81" t="s">
        <v>67</v>
      </c>
      <c r="S851" s="22" t="s">
        <v>32</v>
      </c>
      <c r="T851" s="236">
        <v>6</v>
      </c>
      <c r="U851" s="24" t="s">
        <v>67</v>
      </c>
      <c r="V851" s="23">
        <v>45817</v>
      </c>
      <c r="W851" s="82"/>
      <c r="X851" s="85"/>
      <c r="Y851"/>
      <c r="Z851"/>
      <c r="AA851"/>
      <c r="AB851" s="88"/>
      <c r="AC851" s="72"/>
      <c r="AD851" s="72"/>
      <c r="AE851" s="72"/>
    </row>
    <row r="852" spans="1:31">
      <c r="A852" s="358" t="s">
        <v>137</v>
      </c>
      <c r="B852" s="369">
        <v>849</v>
      </c>
      <c r="C852" s="372" t="s">
        <v>1367</v>
      </c>
      <c r="D852" s="358" t="s">
        <v>829</v>
      </c>
      <c r="E852" s="373">
        <v>45810.375</v>
      </c>
      <c r="F852" s="372" t="s">
        <v>140</v>
      </c>
      <c r="G852" s="372">
        <v>6</v>
      </c>
      <c r="H852" s="372" t="s">
        <v>46</v>
      </c>
      <c r="I852" s="372" t="s">
        <v>47</v>
      </c>
      <c r="J852" s="372"/>
      <c r="K852" s="21"/>
      <c r="L852" s="21"/>
      <c r="M852" s="22"/>
      <c r="N852" s="23"/>
      <c r="O852" s="380"/>
      <c r="P852" s="23" t="s">
        <v>30</v>
      </c>
      <c r="Q852" s="23">
        <v>45819</v>
      </c>
      <c r="R852" s="81" t="s">
        <v>67</v>
      </c>
      <c r="S852" s="22" t="s">
        <v>32</v>
      </c>
      <c r="T852" s="236">
        <v>11</v>
      </c>
      <c r="U852" s="24" t="s">
        <v>67</v>
      </c>
      <c r="V852" s="23">
        <v>45819</v>
      </c>
      <c r="W852" s="82"/>
      <c r="X852" s="85"/>
      <c r="Y852"/>
      <c r="Z852"/>
      <c r="AA852"/>
    </row>
    <row r="853" spans="1:31">
      <c r="A853" s="358" t="s">
        <v>137</v>
      </c>
      <c r="B853" s="369">
        <v>850</v>
      </c>
      <c r="C853" s="372" t="s">
        <v>1368</v>
      </c>
      <c r="D853" s="358" t="s">
        <v>157</v>
      </c>
      <c r="E853" s="373">
        <v>45810.375</v>
      </c>
      <c r="F853" s="372" t="s">
        <v>140</v>
      </c>
      <c r="G853" s="372">
        <v>1</v>
      </c>
      <c r="H853" s="372" t="s">
        <v>21</v>
      </c>
      <c r="I853" s="372" t="s">
        <v>127</v>
      </c>
      <c r="J853" s="372"/>
      <c r="K853" s="21"/>
      <c r="L853" s="21"/>
      <c r="M853" s="22"/>
      <c r="N853" s="23"/>
      <c r="O853" s="23"/>
      <c r="P853" s="23" t="s">
        <v>30</v>
      </c>
      <c r="Q853" s="23">
        <v>45826</v>
      </c>
      <c r="R853" s="81" t="s">
        <v>67</v>
      </c>
      <c r="S853" s="22" t="s">
        <v>32</v>
      </c>
      <c r="T853" s="236">
        <v>1</v>
      </c>
      <c r="U853" s="24" t="s">
        <v>67</v>
      </c>
      <c r="V853" s="23">
        <v>45826</v>
      </c>
      <c r="W853" s="82"/>
      <c r="X853" s="85"/>
      <c r="Y853"/>
      <c r="Z853"/>
      <c r="AA853"/>
    </row>
    <row r="854" spans="1:31">
      <c r="A854" s="358" t="s">
        <v>137</v>
      </c>
      <c r="B854" s="369">
        <v>851</v>
      </c>
      <c r="C854" s="372" t="s">
        <v>1369</v>
      </c>
      <c r="D854" s="358" t="s">
        <v>1370</v>
      </c>
      <c r="E854" s="373">
        <v>45810.375</v>
      </c>
      <c r="F854" s="372" t="s">
        <v>140</v>
      </c>
      <c r="G854" s="372">
        <v>7</v>
      </c>
      <c r="H854" s="372" t="s">
        <v>46</v>
      </c>
      <c r="I854" s="372" t="s">
        <v>47</v>
      </c>
      <c r="J854" s="372"/>
      <c r="K854" s="21"/>
      <c r="L854" s="21"/>
      <c r="M854" s="22"/>
      <c r="N854" s="23"/>
      <c r="O854" s="380"/>
      <c r="P854" s="23" t="s">
        <v>30</v>
      </c>
      <c r="Q854" s="23">
        <v>45820</v>
      </c>
      <c r="R854" s="81" t="s">
        <v>67</v>
      </c>
      <c r="S854" s="22" t="s">
        <v>32</v>
      </c>
      <c r="T854" s="236">
        <v>12</v>
      </c>
      <c r="U854" s="24" t="s">
        <v>67</v>
      </c>
      <c r="V854" s="23">
        <v>45820</v>
      </c>
      <c r="W854" s="82"/>
      <c r="X854" s="85"/>
      <c r="Y854"/>
      <c r="Z854"/>
      <c r="AA854"/>
      <c r="AB854" s="88"/>
      <c r="AC854" s="72"/>
      <c r="AD854" s="72"/>
      <c r="AE854" s="72"/>
    </row>
    <row r="855" spans="1:31">
      <c r="A855" s="358" t="s">
        <v>137</v>
      </c>
      <c r="B855" s="369">
        <v>852</v>
      </c>
      <c r="C855" s="372" t="s">
        <v>1371</v>
      </c>
      <c r="D855" s="358" t="s">
        <v>306</v>
      </c>
      <c r="E855" s="373">
        <v>45810.375</v>
      </c>
      <c r="F855" s="372" t="s">
        <v>140</v>
      </c>
      <c r="G855" s="372">
        <v>20</v>
      </c>
      <c r="H855" s="372" t="s">
        <v>938</v>
      </c>
      <c r="I855" s="372" t="s">
        <v>939</v>
      </c>
      <c r="J855" s="372"/>
      <c r="K855" s="21"/>
      <c r="L855" s="21"/>
      <c r="M855" s="22"/>
      <c r="N855" s="23"/>
      <c r="O855" s="23" t="s">
        <v>31</v>
      </c>
      <c r="P855" s="23" t="s">
        <v>30</v>
      </c>
      <c r="Q855" s="23">
        <v>45819</v>
      </c>
      <c r="R855" s="81" t="s">
        <v>67</v>
      </c>
      <c r="S855" s="22" t="s">
        <v>32</v>
      </c>
      <c r="T855" s="236">
        <v>13</v>
      </c>
      <c r="U855" s="24" t="s">
        <v>67</v>
      </c>
      <c r="V855" s="23">
        <v>45819</v>
      </c>
      <c r="W855" s="82"/>
      <c r="X855" s="85"/>
      <c r="Y855" s="89">
        <v>7</v>
      </c>
      <c r="Z855" s="89">
        <v>2</v>
      </c>
      <c r="AA855" s="89">
        <v>11</v>
      </c>
      <c r="AB855">
        <f>SUM(Y855:AA855)</f>
        <v>20</v>
      </c>
      <c r="AC855" s="72">
        <f>+Y855/AB855*AC$1</f>
        <v>2.0999999999999996</v>
      </c>
      <c r="AD855" s="72">
        <f>+Z855/AB855*AD$1</f>
        <v>0.30000000000000004</v>
      </c>
      <c r="AE855" s="72">
        <f>+AA855/AB855*AE$1</f>
        <v>0</v>
      </c>
    </row>
    <row r="856" spans="1:31">
      <c r="A856" s="358" t="s">
        <v>137</v>
      </c>
      <c r="B856" s="369">
        <v>853</v>
      </c>
      <c r="C856" s="372" t="s">
        <v>1372</v>
      </c>
      <c r="D856" s="358" t="s">
        <v>1184</v>
      </c>
      <c r="E856" s="373">
        <v>45810.375</v>
      </c>
      <c r="F856" s="372" t="s">
        <v>140</v>
      </c>
      <c r="G856" s="372">
        <v>1</v>
      </c>
      <c r="H856" s="372" t="s">
        <v>46</v>
      </c>
      <c r="I856" s="372" t="s">
        <v>47</v>
      </c>
      <c r="J856" s="372"/>
      <c r="K856" s="21"/>
      <c r="L856" s="21"/>
      <c r="M856" s="22"/>
      <c r="N856" s="23"/>
      <c r="O856" s="23"/>
      <c r="P856" s="23" t="s">
        <v>30</v>
      </c>
      <c r="Q856" s="23">
        <v>45819</v>
      </c>
      <c r="R856" s="81" t="s">
        <v>67</v>
      </c>
      <c r="S856" s="22" t="s">
        <v>32</v>
      </c>
      <c r="T856" s="236">
        <v>1</v>
      </c>
      <c r="U856" s="24" t="s">
        <v>67</v>
      </c>
      <c r="V856" s="23">
        <v>45819</v>
      </c>
      <c r="W856" s="82"/>
      <c r="X856" s="85"/>
      <c r="Y856"/>
      <c r="Z856"/>
      <c r="AA856"/>
    </row>
    <row r="857" spans="1:31">
      <c r="A857" s="358" t="s">
        <v>137</v>
      </c>
      <c r="B857" s="369">
        <v>854</v>
      </c>
      <c r="C857" s="372" t="s">
        <v>1373</v>
      </c>
      <c r="D857" s="358" t="s">
        <v>1230</v>
      </c>
      <c r="E857" s="373">
        <v>45810.375</v>
      </c>
      <c r="F857" s="372" t="s">
        <v>140</v>
      </c>
      <c r="G857" s="372">
        <v>3</v>
      </c>
      <c r="H857" s="372" t="s">
        <v>22</v>
      </c>
      <c r="I857" s="372" t="s">
        <v>28</v>
      </c>
      <c r="J857" s="372"/>
      <c r="K857" s="21"/>
      <c r="L857" s="21"/>
      <c r="M857" s="22"/>
      <c r="N857" s="23"/>
      <c r="O857" s="23"/>
      <c r="P857" s="23" t="s">
        <v>30</v>
      </c>
      <c r="Q857" s="23">
        <v>45819</v>
      </c>
      <c r="R857" s="81" t="s">
        <v>67</v>
      </c>
      <c r="S857" s="22" t="s">
        <v>32</v>
      </c>
      <c r="T857" s="236">
        <v>3</v>
      </c>
      <c r="U857" s="24" t="s">
        <v>67</v>
      </c>
      <c r="V857" s="23">
        <v>45819</v>
      </c>
      <c r="W857" s="82"/>
      <c r="X857" s="85"/>
      <c r="Y857"/>
      <c r="Z857"/>
      <c r="AA857"/>
    </row>
    <row r="858" spans="1:31">
      <c r="A858" s="358" t="s">
        <v>137</v>
      </c>
      <c r="B858" s="369">
        <v>855</v>
      </c>
      <c r="C858" s="372" t="s">
        <v>1374</v>
      </c>
      <c r="D858" s="358" t="s">
        <v>1238</v>
      </c>
      <c r="E858" s="373">
        <v>45810.041666666664</v>
      </c>
      <c r="F858" s="372" t="s">
        <v>140</v>
      </c>
      <c r="G858" s="372">
        <v>2</v>
      </c>
      <c r="H858" s="372" t="s">
        <v>21</v>
      </c>
      <c r="I858" s="372" t="s">
        <v>127</v>
      </c>
      <c r="J858" s="372"/>
      <c r="K858" s="21"/>
      <c r="L858" s="21"/>
      <c r="M858" s="22"/>
      <c r="N858" s="23"/>
      <c r="O858" s="380"/>
      <c r="P858" s="23" t="s">
        <v>30</v>
      </c>
      <c r="Q858" s="23">
        <v>45820</v>
      </c>
      <c r="R858" s="81" t="s">
        <v>67</v>
      </c>
      <c r="S858" s="22" t="s">
        <v>32</v>
      </c>
      <c r="T858" s="236">
        <v>2</v>
      </c>
      <c r="U858" s="24" t="s">
        <v>67</v>
      </c>
      <c r="V858" s="23">
        <v>45820</v>
      </c>
      <c r="W858" s="82"/>
      <c r="X858" s="85"/>
      <c r="Y858"/>
      <c r="Z858"/>
      <c r="AA858"/>
      <c r="AB858" s="88"/>
      <c r="AC858" s="72"/>
      <c r="AD858" s="72"/>
      <c r="AE858" s="72"/>
    </row>
    <row r="859" spans="1:31">
      <c r="A859" s="358" t="s">
        <v>137</v>
      </c>
      <c r="B859" s="369">
        <v>856</v>
      </c>
      <c r="C859" s="372" t="s">
        <v>1375</v>
      </c>
      <c r="D859" s="358" t="s">
        <v>1376</v>
      </c>
      <c r="E859" s="373">
        <v>45810.375</v>
      </c>
      <c r="F859" s="372" t="s">
        <v>140</v>
      </c>
      <c r="G859" s="372">
        <v>7</v>
      </c>
      <c r="H859" s="372" t="s">
        <v>21</v>
      </c>
      <c r="I859" s="372" t="s">
        <v>127</v>
      </c>
      <c r="J859" s="372"/>
      <c r="K859" s="21"/>
      <c r="L859" s="21"/>
      <c r="M859" s="22"/>
      <c r="N859" s="23"/>
      <c r="O859" s="380"/>
      <c r="P859" s="23" t="s">
        <v>30</v>
      </c>
      <c r="Q859" s="23">
        <v>45825</v>
      </c>
      <c r="R859" s="81" t="s">
        <v>67</v>
      </c>
      <c r="S859" s="22" t="s">
        <v>32</v>
      </c>
      <c r="T859" s="236">
        <v>7</v>
      </c>
      <c r="U859" s="24" t="s">
        <v>67</v>
      </c>
      <c r="V859" s="23">
        <v>45825</v>
      </c>
      <c r="W859" s="82"/>
      <c r="X859" s="85"/>
      <c r="Y859"/>
      <c r="Z859" s="412"/>
      <c r="AA859" s="412"/>
      <c r="AB859" s="412"/>
    </row>
    <row r="860" spans="1:31">
      <c r="A860" s="358" t="s">
        <v>137</v>
      </c>
      <c r="B860" s="369">
        <v>857</v>
      </c>
      <c r="C860" s="372" t="s">
        <v>1377</v>
      </c>
      <c r="D860" s="358" t="s">
        <v>1025</v>
      </c>
      <c r="E860" s="373">
        <v>45831</v>
      </c>
      <c r="F860" s="372" t="s">
        <v>140</v>
      </c>
      <c r="G860" s="372">
        <v>1</v>
      </c>
      <c r="H860" s="372" t="s">
        <v>21</v>
      </c>
      <c r="I860" s="372" t="s">
        <v>127</v>
      </c>
      <c r="J860" s="372"/>
      <c r="K860" s="102" t="s">
        <v>1378</v>
      </c>
      <c r="L860" s="21"/>
      <c r="M860" s="22"/>
      <c r="N860" s="23"/>
      <c r="O860" s="23"/>
      <c r="P860" s="23"/>
      <c r="Q860" s="23"/>
      <c r="R860" s="81" t="s">
        <v>67</v>
      </c>
      <c r="S860" s="22"/>
      <c r="T860" s="236"/>
      <c r="U860" s="24" t="s">
        <v>67</v>
      </c>
      <c r="V860" s="23"/>
      <c r="W860" s="82"/>
      <c r="X860" s="85"/>
      <c r="Y860"/>
      <c r="Z860" s="412"/>
      <c r="AA860" s="412"/>
      <c r="AB860" s="412"/>
    </row>
    <row r="861" spans="1:31">
      <c r="A861" s="358" t="s">
        <v>137</v>
      </c>
      <c r="B861" s="369">
        <v>858</v>
      </c>
      <c r="C861" s="372" t="s">
        <v>1379</v>
      </c>
      <c r="D861" s="358" t="s">
        <v>773</v>
      </c>
      <c r="E861" s="373">
        <v>45817.375</v>
      </c>
      <c r="F861" s="372" t="s">
        <v>140</v>
      </c>
      <c r="G861" s="372">
        <v>2</v>
      </c>
      <c r="H861" s="372" t="s">
        <v>291</v>
      </c>
      <c r="I861" s="372" t="s">
        <v>760</v>
      </c>
      <c r="J861" s="372"/>
      <c r="K861" s="21"/>
      <c r="L861" s="21"/>
      <c r="M861" s="22"/>
      <c r="N861" s="23"/>
      <c r="O861" s="23"/>
      <c r="P861" s="23" t="s">
        <v>30</v>
      </c>
      <c r="Q861" s="23">
        <v>45825</v>
      </c>
      <c r="R861" s="81" t="s">
        <v>67</v>
      </c>
      <c r="S861" s="22" t="s">
        <v>32</v>
      </c>
      <c r="T861" s="236">
        <v>2</v>
      </c>
      <c r="U861" s="24" t="s">
        <v>67</v>
      </c>
      <c r="V861" s="23">
        <v>45825</v>
      </c>
      <c r="W861" s="82"/>
      <c r="X861" s="85"/>
      <c r="Y861"/>
      <c r="Z861" s="412"/>
      <c r="AA861" s="412"/>
      <c r="AB861" s="412"/>
    </row>
    <row r="862" spans="1:31">
      <c r="A862" s="358" t="s">
        <v>137</v>
      </c>
      <c r="B862" s="369">
        <v>859</v>
      </c>
      <c r="C862" s="372" t="s">
        <v>1380</v>
      </c>
      <c r="D862" s="358" t="s">
        <v>779</v>
      </c>
      <c r="E862" s="373">
        <v>45817</v>
      </c>
      <c r="F862" s="372" t="s">
        <v>140</v>
      </c>
      <c r="G862" s="372">
        <v>10</v>
      </c>
      <c r="H862" s="372" t="s">
        <v>938</v>
      </c>
      <c r="I862" s="372" t="s">
        <v>939</v>
      </c>
      <c r="J862" s="372"/>
      <c r="K862" s="102" t="s">
        <v>1381</v>
      </c>
      <c r="L862" s="21"/>
      <c r="M862" s="22"/>
      <c r="N862" s="23"/>
      <c r="O862" s="23"/>
      <c r="P862" s="23"/>
      <c r="Q862" s="23"/>
      <c r="R862" s="81" t="s">
        <v>67</v>
      </c>
      <c r="S862" s="22"/>
      <c r="T862" s="236"/>
      <c r="U862" s="24" t="s">
        <v>67</v>
      </c>
      <c r="V862" s="23"/>
      <c r="W862" s="82"/>
      <c r="X862" s="85"/>
      <c r="Y862"/>
      <c r="Z862" s="412"/>
      <c r="AA862" s="412"/>
      <c r="AB862" s="412"/>
    </row>
    <row r="863" spans="1:31">
      <c r="A863" s="358" t="s">
        <v>137</v>
      </c>
      <c r="B863" s="369">
        <v>860</v>
      </c>
      <c r="C863" s="372" t="s">
        <v>1382</v>
      </c>
      <c r="D863" s="358" t="s">
        <v>306</v>
      </c>
      <c r="E863" s="373">
        <v>45817.375</v>
      </c>
      <c r="F863" s="372" t="s">
        <v>140</v>
      </c>
      <c r="G863" s="372">
        <v>1</v>
      </c>
      <c r="H863" s="372" t="s">
        <v>46</v>
      </c>
      <c r="I863" s="372" t="s">
        <v>47</v>
      </c>
      <c r="J863" s="372"/>
      <c r="K863" s="21"/>
      <c r="L863" s="21"/>
      <c r="M863" s="22"/>
      <c r="N863" s="23"/>
      <c r="O863" s="23"/>
      <c r="P863" s="23" t="s">
        <v>30</v>
      </c>
      <c r="Q863" s="23">
        <v>45826</v>
      </c>
      <c r="R863" s="81" t="s">
        <v>67</v>
      </c>
      <c r="S863" s="22" t="s">
        <v>32</v>
      </c>
      <c r="T863" s="236">
        <v>1</v>
      </c>
      <c r="U863" s="24" t="s">
        <v>67</v>
      </c>
      <c r="V863" s="23">
        <v>45826</v>
      </c>
      <c r="W863" s="95"/>
      <c r="X863" s="235"/>
      <c r="Y863"/>
      <c r="Z863"/>
      <c r="AA863"/>
    </row>
    <row r="864" spans="1:31">
      <c r="A864" s="358" t="s">
        <v>137</v>
      </c>
      <c r="B864" s="369">
        <v>861</v>
      </c>
      <c r="C864" s="372" t="s">
        <v>1383</v>
      </c>
      <c r="D864" s="358" t="s">
        <v>865</v>
      </c>
      <c r="E864" s="373">
        <v>45817</v>
      </c>
      <c r="F864" s="372" t="s">
        <v>140</v>
      </c>
      <c r="G864" s="372">
        <v>13</v>
      </c>
      <c r="H864" s="372" t="s">
        <v>22</v>
      </c>
      <c r="I864" s="372" t="s">
        <v>28</v>
      </c>
      <c r="J864" s="372"/>
      <c r="K864" s="21"/>
      <c r="L864" s="21"/>
      <c r="M864" s="22"/>
      <c r="N864" s="23"/>
      <c r="O864" s="380"/>
      <c r="P864" s="23" t="s">
        <v>30</v>
      </c>
      <c r="Q864" s="23">
        <v>45826</v>
      </c>
      <c r="R864" s="81" t="s">
        <v>67</v>
      </c>
      <c r="S864" s="22" t="s">
        <v>32</v>
      </c>
      <c r="T864" s="236">
        <v>13</v>
      </c>
      <c r="U864" s="24" t="s">
        <v>67</v>
      </c>
      <c r="V864" s="23">
        <v>45826</v>
      </c>
      <c r="W864" s="95"/>
      <c r="X864" s="235"/>
      <c r="Y864"/>
      <c r="Z864"/>
      <c r="AA864"/>
    </row>
    <row r="865" spans="1:31">
      <c r="A865" s="358" t="s">
        <v>137</v>
      </c>
      <c r="B865" s="369">
        <v>862</v>
      </c>
      <c r="C865" s="372" t="s">
        <v>1384</v>
      </c>
      <c r="D865" s="358" t="s">
        <v>829</v>
      </c>
      <c r="E865" s="373">
        <v>45817.375</v>
      </c>
      <c r="F865" s="372" t="s">
        <v>140</v>
      </c>
      <c r="G865" s="372">
        <v>1</v>
      </c>
      <c r="H865" s="372" t="s">
        <v>22</v>
      </c>
      <c r="I865" s="372" t="s">
        <v>28</v>
      </c>
      <c r="J865" s="372"/>
      <c r="K865" s="21"/>
      <c r="L865" s="21"/>
      <c r="M865" s="22"/>
      <c r="N865" s="23"/>
      <c r="O865" s="380"/>
      <c r="P865" s="23" t="s">
        <v>30</v>
      </c>
      <c r="Q865" s="23">
        <v>45825</v>
      </c>
      <c r="R865" s="81" t="s">
        <v>67</v>
      </c>
      <c r="S865" s="22" t="s">
        <v>32</v>
      </c>
      <c r="T865" s="236">
        <v>1</v>
      </c>
      <c r="U865" s="24" t="s">
        <v>67</v>
      </c>
      <c r="V865" s="23">
        <v>45825</v>
      </c>
      <c r="W865" s="95"/>
      <c r="X865" s="235"/>
      <c r="Y865"/>
      <c r="Z865"/>
      <c r="AA865"/>
    </row>
    <row r="866" spans="1:31">
      <c r="A866" s="358" t="s">
        <v>137</v>
      </c>
      <c r="B866" s="369">
        <v>863</v>
      </c>
      <c r="C866" s="372" t="s">
        <v>1385</v>
      </c>
      <c r="D866" s="358" t="s">
        <v>1386</v>
      </c>
      <c r="E866" s="373">
        <v>45817.375</v>
      </c>
      <c r="F866" s="372" t="s">
        <v>140</v>
      </c>
      <c r="G866" s="372">
        <v>6</v>
      </c>
      <c r="H866" s="372" t="s">
        <v>21</v>
      </c>
      <c r="I866" s="372" t="s">
        <v>127</v>
      </c>
      <c r="J866" s="372"/>
      <c r="K866" s="21"/>
      <c r="L866" s="21"/>
      <c r="M866" s="22"/>
      <c r="N866" s="23"/>
      <c r="O866" s="23"/>
      <c r="P866" s="23" t="s">
        <v>30</v>
      </c>
      <c r="Q866" s="23">
        <v>45832</v>
      </c>
      <c r="R866" s="81" t="s">
        <v>67</v>
      </c>
      <c r="S866" s="22" t="s">
        <v>32</v>
      </c>
      <c r="T866" s="236">
        <v>4</v>
      </c>
      <c r="U866" s="24" t="s">
        <v>67</v>
      </c>
      <c r="V866" s="23">
        <v>45832</v>
      </c>
      <c r="W866" s="95"/>
      <c r="X866" s="235"/>
      <c r="Y866"/>
      <c r="Z866"/>
      <c r="AA866"/>
    </row>
    <row r="867" spans="1:31">
      <c r="A867" s="358" t="s">
        <v>137</v>
      </c>
      <c r="B867" s="369">
        <v>864</v>
      </c>
      <c r="C867" s="372" t="s">
        <v>1387</v>
      </c>
      <c r="D867" s="358" t="s">
        <v>1230</v>
      </c>
      <c r="E867" s="373">
        <v>45817</v>
      </c>
      <c r="F867" s="372" t="s">
        <v>140</v>
      </c>
      <c r="G867" s="372">
        <v>3</v>
      </c>
      <c r="H867" s="372" t="s">
        <v>22</v>
      </c>
      <c r="I867" s="372" t="s">
        <v>28</v>
      </c>
      <c r="J867" s="372"/>
      <c r="K867" s="21"/>
      <c r="L867" s="21"/>
      <c r="M867" s="22"/>
      <c r="N867" s="23"/>
      <c r="O867" s="23"/>
      <c r="P867" s="23" t="s">
        <v>30</v>
      </c>
      <c r="Q867" s="23">
        <v>45829</v>
      </c>
      <c r="R867" s="81" t="s">
        <v>67</v>
      </c>
      <c r="S867" s="22" t="s">
        <v>32</v>
      </c>
      <c r="T867" s="236">
        <v>3</v>
      </c>
      <c r="U867" s="24" t="s">
        <v>67</v>
      </c>
      <c r="V867" s="23">
        <v>45829</v>
      </c>
      <c r="W867" s="95"/>
      <c r="X867" s="235"/>
      <c r="Y867"/>
      <c r="Z867"/>
      <c r="AA867"/>
    </row>
    <row r="868" spans="1:31">
      <c r="A868" s="358" t="s">
        <v>137</v>
      </c>
      <c r="B868" s="369">
        <v>865</v>
      </c>
      <c r="C868" s="372" t="s">
        <v>1388</v>
      </c>
      <c r="D868" s="358" t="s">
        <v>846</v>
      </c>
      <c r="E868" s="373">
        <v>45817.375</v>
      </c>
      <c r="F868" s="372" t="s">
        <v>140</v>
      </c>
      <c r="G868" s="372">
        <v>1</v>
      </c>
      <c r="H868" s="372" t="s">
        <v>21</v>
      </c>
      <c r="I868" s="372" t="s">
        <v>127</v>
      </c>
      <c r="J868" s="372"/>
      <c r="K868" s="21"/>
      <c r="L868" s="21"/>
      <c r="M868" s="22"/>
      <c r="N868" s="23"/>
      <c r="O868" s="23"/>
      <c r="P868" s="23" t="s">
        <v>30</v>
      </c>
      <c r="Q868" s="23">
        <v>45826</v>
      </c>
      <c r="R868" s="81" t="s">
        <v>67</v>
      </c>
      <c r="S868" s="22" t="s">
        <v>32</v>
      </c>
      <c r="T868" s="239">
        <v>1</v>
      </c>
      <c r="U868" s="24" t="s">
        <v>67</v>
      </c>
      <c r="V868" s="23">
        <v>45826</v>
      </c>
      <c r="W868" s="95"/>
      <c r="X868" s="235"/>
      <c r="Y868"/>
      <c r="Z868"/>
      <c r="AA868"/>
    </row>
    <row r="869" spans="1:31">
      <c r="A869" s="358" t="s">
        <v>137</v>
      </c>
      <c r="B869" s="369">
        <v>866</v>
      </c>
      <c r="C869" s="372" t="s">
        <v>1389</v>
      </c>
      <c r="D869" s="358" t="s">
        <v>846</v>
      </c>
      <c r="E869" s="373">
        <v>45821</v>
      </c>
      <c r="F869" s="372" t="s">
        <v>140</v>
      </c>
      <c r="G869" s="372">
        <v>6</v>
      </c>
      <c r="H869" s="372" t="s">
        <v>141</v>
      </c>
      <c r="I869" s="372" t="s">
        <v>819</v>
      </c>
      <c r="J869" s="372"/>
      <c r="K869" s="21"/>
      <c r="L869" s="21"/>
      <c r="M869" s="22"/>
      <c r="N869" s="23"/>
      <c r="O869" s="380"/>
      <c r="P869" s="23" t="s">
        <v>30</v>
      </c>
      <c r="Q869" s="23">
        <v>45833</v>
      </c>
      <c r="R869" s="81" t="s">
        <v>67</v>
      </c>
      <c r="S869" s="22" t="s">
        <v>32</v>
      </c>
      <c r="T869" s="236">
        <v>6</v>
      </c>
      <c r="U869" s="24" t="s">
        <v>67</v>
      </c>
      <c r="V869" s="23">
        <v>45833</v>
      </c>
      <c r="W869" s="82"/>
      <c r="X869" s="85"/>
      <c r="Y869"/>
      <c r="Z869" s="412"/>
      <c r="AA869" s="412"/>
      <c r="AB869" s="412"/>
    </row>
    <row r="870" spans="1:31">
      <c r="A870" s="358" t="s">
        <v>137</v>
      </c>
      <c r="B870" s="369">
        <v>867</v>
      </c>
      <c r="C870" s="372" t="s">
        <v>1390</v>
      </c>
      <c r="D870" s="358" t="s">
        <v>1198</v>
      </c>
      <c r="E870" s="373">
        <v>45824.083333333336</v>
      </c>
      <c r="F870" s="372" t="s">
        <v>140</v>
      </c>
      <c r="G870" s="372">
        <v>42</v>
      </c>
      <c r="H870" s="372" t="s">
        <v>938</v>
      </c>
      <c r="I870" s="372" t="s">
        <v>939</v>
      </c>
      <c r="J870" s="372"/>
      <c r="K870" s="21"/>
      <c r="L870" s="21"/>
      <c r="M870" s="22"/>
      <c r="N870" s="23"/>
      <c r="O870" s="23" t="s">
        <v>31</v>
      </c>
      <c r="P870" s="23" t="s">
        <v>30</v>
      </c>
      <c r="Q870" s="23">
        <v>45842</v>
      </c>
      <c r="R870" s="81" t="s">
        <v>67</v>
      </c>
      <c r="S870" s="22" t="s">
        <v>32</v>
      </c>
      <c r="T870" s="236">
        <v>40</v>
      </c>
      <c r="U870" s="24" t="s">
        <v>67</v>
      </c>
      <c r="V870" s="23">
        <v>45842</v>
      </c>
      <c r="W870" s="95"/>
      <c r="X870" s="235"/>
      <c r="Y870" s="89">
        <v>5</v>
      </c>
      <c r="Z870" s="90">
        <v>31</v>
      </c>
      <c r="AA870" s="90">
        <v>6</v>
      </c>
      <c r="AB870">
        <f>SUM(Y870:AA870)</f>
        <v>42</v>
      </c>
      <c r="AC870" s="72">
        <f>+Y870/AB870*AC$1</f>
        <v>0.71428571428571419</v>
      </c>
      <c r="AD870" s="96">
        <f>+AA870/AB870*AE$1</f>
        <v>0</v>
      </c>
      <c r="AE870" s="96">
        <f>+AB870/AC870*AF$1</f>
        <v>0</v>
      </c>
    </row>
    <row r="871" spans="1:31">
      <c r="A871" s="358" t="s">
        <v>137</v>
      </c>
      <c r="B871" s="369">
        <v>868</v>
      </c>
      <c r="C871" s="372" t="s">
        <v>1391</v>
      </c>
      <c r="D871" s="358" t="s">
        <v>1184</v>
      </c>
      <c r="E871" s="373">
        <v>45824.041666666664</v>
      </c>
      <c r="F871" s="372" t="s">
        <v>140</v>
      </c>
      <c r="G871" s="372">
        <v>3</v>
      </c>
      <c r="H871" s="372" t="s">
        <v>141</v>
      </c>
      <c r="I871" s="372" t="s">
        <v>819</v>
      </c>
      <c r="J871" s="372"/>
      <c r="K871" s="21"/>
      <c r="L871" s="21"/>
      <c r="M871" s="22"/>
      <c r="N871" s="23"/>
      <c r="O871" s="23"/>
      <c r="P871" s="23" t="s">
        <v>30</v>
      </c>
      <c r="Q871" s="23">
        <v>45833</v>
      </c>
      <c r="R871" s="81" t="s">
        <v>67</v>
      </c>
      <c r="S871" s="22" t="s">
        <v>32</v>
      </c>
      <c r="T871" s="236">
        <v>4</v>
      </c>
      <c r="U871" s="24" t="s">
        <v>67</v>
      </c>
      <c r="V871" s="23">
        <v>45833</v>
      </c>
      <c r="W871" s="95"/>
      <c r="X871" s="235"/>
      <c r="Y871"/>
      <c r="Z871"/>
      <c r="AA871"/>
    </row>
    <row r="872" spans="1:31">
      <c r="A872" s="358" t="s">
        <v>137</v>
      </c>
      <c r="B872" s="369">
        <v>869</v>
      </c>
      <c r="C872" s="372" t="s">
        <v>1392</v>
      </c>
      <c r="D872" s="358" t="s">
        <v>1393</v>
      </c>
      <c r="E872" s="373">
        <v>45824.375</v>
      </c>
      <c r="F872" s="372" t="s">
        <v>140</v>
      </c>
      <c r="G872" s="372">
        <v>9</v>
      </c>
      <c r="H872" s="372" t="s">
        <v>22</v>
      </c>
      <c r="I872" s="372" t="s">
        <v>28</v>
      </c>
      <c r="J872" s="372"/>
      <c r="K872" s="21"/>
      <c r="L872" s="21"/>
      <c r="M872" s="22"/>
      <c r="N872" s="23"/>
      <c r="O872" s="62"/>
      <c r="P872" s="23" t="s">
        <v>30</v>
      </c>
      <c r="Q872" s="23">
        <v>45832</v>
      </c>
      <c r="R872" s="81" t="s">
        <v>67</v>
      </c>
      <c r="S872" s="22" t="s">
        <v>32</v>
      </c>
      <c r="T872" s="236">
        <v>9</v>
      </c>
      <c r="U872" s="24" t="s">
        <v>67</v>
      </c>
      <c r="V872" s="23">
        <v>45832</v>
      </c>
      <c r="W872" s="82"/>
      <c r="X872" s="85"/>
      <c r="Y872">
        <v>21</v>
      </c>
      <c r="Z872">
        <v>34</v>
      </c>
      <c r="AA872">
        <v>0</v>
      </c>
      <c r="AB872">
        <f>SUM(Y872:AA872)</f>
        <v>55</v>
      </c>
      <c r="AC872" s="72">
        <f>+Y872/AB872*AC$1</f>
        <v>2.290909090909091</v>
      </c>
      <c r="AD872" s="96">
        <f>+AA872/AB872*AE$1</f>
        <v>0</v>
      </c>
      <c r="AE872" s="96">
        <f>+AA872/AC872*AE$1</f>
        <v>0</v>
      </c>
    </row>
    <row r="873" spans="1:31">
      <c r="A873" s="358" t="s">
        <v>137</v>
      </c>
      <c r="B873" s="369">
        <v>870</v>
      </c>
      <c r="C873" s="372" t="s">
        <v>1394</v>
      </c>
      <c r="D873" s="358" t="s">
        <v>865</v>
      </c>
      <c r="E873" s="373">
        <v>45824.375</v>
      </c>
      <c r="F873" s="372" t="s">
        <v>140</v>
      </c>
      <c r="G873" s="372">
        <v>4</v>
      </c>
      <c r="H873" s="372" t="s">
        <v>22</v>
      </c>
      <c r="I873" s="372" t="s">
        <v>28</v>
      </c>
      <c r="J873" s="372"/>
      <c r="K873" s="21"/>
      <c r="L873" s="21"/>
      <c r="M873" s="22"/>
      <c r="N873" s="23"/>
      <c r="O873" s="62"/>
      <c r="P873" s="23" t="s">
        <v>30</v>
      </c>
      <c r="Q873" s="23">
        <v>45842</v>
      </c>
      <c r="R873" s="81" t="s">
        <v>67</v>
      </c>
      <c r="S873" s="22" t="s">
        <v>32</v>
      </c>
      <c r="T873" s="236">
        <v>4</v>
      </c>
      <c r="U873" s="24" t="s">
        <v>67</v>
      </c>
      <c r="V873" s="23">
        <v>45842</v>
      </c>
      <c r="W873" s="82"/>
      <c r="X873" s="85"/>
      <c r="Y873">
        <v>23</v>
      </c>
      <c r="Z873">
        <v>4</v>
      </c>
      <c r="AA873">
        <v>4</v>
      </c>
      <c r="AB873">
        <f>SUM(Y873:AA873)</f>
        <v>31</v>
      </c>
      <c r="AC873" s="72">
        <f>+Y873/AB873*AC$1</f>
        <v>4.4516129032258061</v>
      </c>
      <c r="AD873" s="96">
        <f>+Z873/AB873*AD$1</f>
        <v>0.38709677419354838</v>
      </c>
      <c r="AE873" s="96">
        <f>+AA873/AC873*AE$1</f>
        <v>0</v>
      </c>
    </row>
    <row r="874" spans="1:31">
      <c r="A874" s="358" t="s">
        <v>137</v>
      </c>
      <c r="B874" s="369">
        <v>871</v>
      </c>
      <c r="C874" s="372" t="s">
        <v>1395</v>
      </c>
      <c r="D874" s="358" t="s">
        <v>1230</v>
      </c>
      <c r="E874" s="373">
        <v>45824.375</v>
      </c>
      <c r="F874" s="372" t="s">
        <v>140</v>
      </c>
      <c r="G874" s="372">
        <v>1</v>
      </c>
      <c r="H874" s="372" t="s">
        <v>22</v>
      </c>
      <c r="I874" s="372" t="s">
        <v>28</v>
      </c>
      <c r="J874" s="372"/>
      <c r="K874" s="21"/>
      <c r="L874" s="21"/>
      <c r="M874" s="22"/>
      <c r="N874" s="23"/>
      <c r="O874" s="62"/>
      <c r="P874" s="23" t="s">
        <v>30</v>
      </c>
      <c r="Q874" s="23">
        <v>45831</v>
      </c>
      <c r="R874" s="81" t="s">
        <v>67</v>
      </c>
      <c r="S874" s="22" t="s">
        <v>32</v>
      </c>
      <c r="T874" s="236">
        <v>10</v>
      </c>
      <c r="U874" s="24" t="s">
        <v>67</v>
      </c>
      <c r="V874" s="23">
        <v>45831</v>
      </c>
      <c r="W874" s="82"/>
      <c r="X874" s="85"/>
      <c r="Y874"/>
      <c r="Z874"/>
      <c r="AA874"/>
      <c r="AC874" s="96"/>
      <c r="AD874" s="96"/>
      <c r="AE874" s="96"/>
    </row>
    <row r="875" spans="1:31">
      <c r="A875" s="358" t="s">
        <v>137</v>
      </c>
      <c r="B875" s="369">
        <v>872</v>
      </c>
      <c r="C875" s="372" t="s">
        <v>1396</v>
      </c>
      <c r="D875" s="358" t="s">
        <v>1212</v>
      </c>
      <c r="E875" s="373">
        <v>45824</v>
      </c>
      <c r="F875" s="372" t="s">
        <v>140</v>
      </c>
      <c r="G875" s="372">
        <v>3</v>
      </c>
      <c r="H875" s="372" t="s">
        <v>22</v>
      </c>
      <c r="I875" s="372" t="s">
        <v>28</v>
      </c>
      <c r="J875" s="372"/>
      <c r="K875" s="21"/>
      <c r="L875" s="21"/>
      <c r="M875" s="22"/>
      <c r="N875" s="23"/>
      <c r="O875" s="62"/>
      <c r="P875" s="23" t="s">
        <v>30</v>
      </c>
      <c r="Q875" s="23">
        <v>45831</v>
      </c>
      <c r="R875" s="81" t="s">
        <v>67</v>
      </c>
      <c r="S875" s="22" t="s">
        <v>32</v>
      </c>
      <c r="T875" s="236">
        <v>3</v>
      </c>
      <c r="U875" s="24" t="s">
        <v>67</v>
      </c>
      <c r="V875" s="23">
        <v>45831</v>
      </c>
      <c r="W875" s="82"/>
      <c r="X875" s="85"/>
      <c r="Y875"/>
      <c r="Z875"/>
      <c r="AA875"/>
      <c r="AC875" s="96"/>
      <c r="AD875" s="96"/>
      <c r="AE875" s="96"/>
    </row>
    <row r="876" spans="1:31">
      <c r="A876" s="358" t="s">
        <v>137</v>
      </c>
      <c r="B876" s="369">
        <v>873</v>
      </c>
      <c r="C876" s="372" t="s">
        <v>1397</v>
      </c>
      <c r="D876" s="358" t="s">
        <v>1398</v>
      </c>
      <c r="E876" s="373">
        <v>45824</v>
      </c>
      <c r="F876" s="372" t="s">
        <v>140</v>
      </c>
      <c r="G876" s="372">
        <v>3</v>
      </c>
      <c r="H876" s="372" t="s">
        <v>22</v>
      </c>
      <c r="I876" s="372" t="s">
        <v>28</v>
      </c>
      <c r="J876" s="372"/>
      <c r="K876" s="102" t="s">
        <v>1378</v>
      </c>
      <c r="L876" s="21"/>
      <c r="M876" s="22"/>
      <c r="N876" s="23"/>
      <c r="O876" s="62"/>
      <c r="P876" s="23"/>
      <c r="Q876" s="23"/>
      <c r="R876" s="81" t="s">
        <v>67</v>
      </c>
      <c r="S876" s="22"/>
      <c r="T876" s="236"/>
      <c r="U876" s="24" t="s">
        <v>67</v>
      </c>
      <c r="V876" s="23"/>
      <c r="W876" s="82"/>
      <c r="X876" s="85"/>
      <c r="Y876"/>
      <c r="Z876"/>
      <c r="AA876"/>
      <c r="AC876" s="96"/>
      <c r="AD876" s="96"/>
      <c r="AE876" s="96"/>
    </row>
    <row r="877" spans="1:31">
      <c r="A877" s="358" t="s">
        <v>137</v>
      </c>
      <c r="B877" s="369">
        <v>874</v>
      </c>
      <c r="C877" s="372" t="s">
        <v>1399</v>
      </c>
      <c r="D877" s="358" t="s">
        <v>1376</v>
      </c>
      <c r="E877" s="373">
        <v>45824.375</v>
      </c>
      <c r="F877" s="372" t="s">
        <v>140</v>
      </c>
      <c r="G877" s="372">
        <v>2</v>
      </c>
      <c r="H877" s="372" t="s">
        <v>21</v>
      </c>
      <c r="I877" s="372" t="s">
        <v>127</v>
      </c>
      <c r="J877" s="372"/>
      <c r="K877" s="21"/>
      <c r="L877" s="21"/>
      <c r="M877" s="22"/>
      <c r="N877" s="23"/>
      <c r="O877" s="23"/>
      <c r="P877" s="23" t="s">
        <v>30</v>
      </c>
      <c r="Q877" s="23">
        <v>45832</v>
      </c>
      <c r="R877" s="81" t="s">
        <v>67</v>
      </c>
      <c r="S877" s="22" t="s">
        <v>32</v>
      </c>
      <c r="T877" s="236">
        <v>2</v>
      </c>
      <c r="U877" s="24" t="s">
        <v>67</v>
      </c>
      <c r="V877" s="23">
        <v>45832</v>
      </c>
      <c r="W877" s="82"/>
      <c r="X877" s="85"/>
      <c r="Y877"/>
      <c r="Z877" s="89"/>
      <c r="AA877" s="89"/>
      <c r="AB877" s="88"/>
      <c r="AC877" s="96"/>
      <c r="AD877" s="96"/>
      <c r="AE877" s="96"/>
    </row>
    <row r="878" spans="1:31">
      <c r="A878" s="358" t="s">
        <v>137</v>
      </c>
      <c r="B878" s="369">
        <v>875</v>
      </c>
      <c r="C878" s="372" t="s">
        <v>1400</v>
      </c>
      <c r="D878" s="358" t="s">
        <v>1401</v>
      </c>
      <c r="E878" s="373">
        <v>45824.375</v>
      </c>
      <c r="F878" s="372" t="s">
        <v>140</v>
      </c>
      <c r="G878" s="372">
        <v>7</v>
      </c>
      <c r="H878" s="372" t="s">
        <v>22</v>
      </c>
      <c r="I878" s="372" t="s">
        <v>28</v>
      </c>
      <c r="J878" s="372"/>
      <c r="K878" s="102"/>
      <c r="L878" s="21"/>
      <c r="M878" s="22"/>
      <c r="N878" s="23"/>
      <c r="O878" s="62"/>
      <c r="P878" s="23" t="s">
        <v>30</v>
      </c>
      <c r="Q878" s="23">
        <v>45842</v>
      </c>
      <c r="R878" s="81" t="s">
        <v>67</v>
      </c>
      <c r="S878" s="22" t="s">
        <v>32</v>
      </c>
      <c r="T878" s="236">
        <v>7</v>
      </c>
      <c r="U878" s="24" t="s">
        <v>67</v>
      </c>
      <c r="V878" s="23">
        <v>45842</v>
      </c>
      <c r="W878" s="82"/>
      <c r="X878" s="85"/>
      <c r="Y878" s="89">
        <v>0</v>
      </c>
      <c r="Z878" s="90">
        <v>55</v>
      </c>
      <c r="AA878" s="90">
        <v>0</v>
      </c>
      <c r="AB878">
        <f>SUM(Y878:AA878)</f>
        <v>55</v>
      </c>
      <c r="AC878" s="72">
        <f>+Y878/AB878*AC$1</f>
        <v>0</v>
      </c>
      <c r="AD878" s="96">
        <f>+Z878/AB878*AD$1</f>
        <v>3</v>
      </c>
      <c r="AE878" s="96">
        <f>+AA878/AB878*AE$1</f>
        <v>0</v>
      </c>
    </row>
    <row r="879" spans="1:31">
      <c r="A879" s="358" t="s">
        <v>137</v>
      </c>
      <c r="B879" s="369">
        <v>876</v>
      </c>
      <c r="C879" s="372" t="s">
        <v>1402</v>
      </c>
      <c r="D879" s="358" t="s">
        <v>1403</v>
      </c>
      <c r="E879" s="373">
        <v>45824.375</v>
      </c>
      <c r="F879" s="372" t="s">
        <v>140</v>
      </c>
      <c r="G879" s="372">
        <v>3</v>
      </c>
      <c r="H879" s="372" t="s">
        <v>210</v>
      </c>
      <c r="I879" s="372" t="s">
        <v>211</v>
      </c>
      <c r="J879" s="372"/>
      <c r="K879" s="21"/>
      <c r="L879" s="21"/>
      <c r="M879" s="22"/>
      <c r="N879" s="23"/>
      <c r="O879" s="23"/>
      <c r="P879" s="23" t="s">
        <v>30</v>
      </c>
      <c r="Q879" s="23">
        <v>45833</v>
      </c>
      <c r="R879" s="81" t="s">
        <v>67</v>
      </c>
      <c r="S879" s="22" t="s">
        <v>32</v>
      </c>
      <c r="T879" s="236">
        <v>3</v>
      </c>
      <c r="U879" s="24" t="s">
        <v>67</v>
      </c>
      <c r="V879" s="23">
        <v>45833</v>
      </c>
      <c r="W879" s="82"/>
      <c r="X879" s="85"/>
      <c r="Y879" s="89"/>
      <c r="Z879" s="90"/>
      <c r="AA879" s="90"/>
      <c r="AB879" s="88"/>
      <c r="AC879" s="96"/>
      <c r="AD879" s="96"/>
      <c r="AE879" s="96"/>
    </row>
    <row r="880" spans="1:31">
      <c r="A880" s="358" t="s">
        <v>137</v>
      </c>
      <c r="B880" s="369">
        <v>877</v>
      </c>
      <c r="C880" s="372" t="s">
        <v>1404</v>
      </c>
      <c r="D880" s="358" t="s">
        <v>798</v>
      </c>
      <c r="E880" s="373">
        <v>45824</v>
      </c>
      <c r="F880" s="372" t="s">
        <v>140</v>
      </c>
      <c r="G880" s="372">
        <v>7</v>
      </c>
      <c r="H880" s="372" t="s">
        <v>22</v>
      </c>
      <c r="I880" s="372" t="s">
        <v>28</v>
      </c>
      <c r="J880" s="372"/>
      <c r="K880" s="21"/>
      <c r="L880" s="21"/>
      <c r="M880" s="22"/>
      <c r="N880" s="23"/>
      <c r="O880" s="62"/>
      <c r="P880" s="23" t="s">
        <v>30</v>
      </c>
      <c r="Q880" s="23">
        <v>45832</v>
      </c>
      <c r="R880" s="81" t="s">
        <v>67</v>
      </c>
      <c r="S880" s="22" t="s">
        <v>32</v>
      </c>
      <c r="T880" s="236">
        <v>7</v>
      </c>
      <c r="U880" s="24" t="s">
        <v>67</v>
      </c>
      <c r="V880" s="23">
        <v>45832</v>
      </c>
      <c r="W880" s="82"/>
      <c r="X880" s="85"/>
      <c r="Y880" s="89">
        <v>0</v>
      </c>
      <c r="Z880" s="90">
        <v>15</v>
      </c>
      <c r="AA880" s="90">
        <v>4</v>
      </c>
      <c r="AB880">
        <f>SUM(Y880:AA880)</f>
        <v>19</v>
      </c>
      <c r="AC880" s="72">
        <f>+Y880/AB880*AC$1</f>
        <v>0</v>
      </c>
      <c r="AD880" s="96">
        <f>+Z880/AB880*AD$1</f>
        <v>2.3684210526315788</v>
      </c>
      <c r="AE880" s="96">
        <f>+AA880/AB880*AE$1</f>
        <v>0</v>
      </c>
    </row>
    <row r="881" spans="1:31">
      <c r="A881" s="358" t="s">
        <v>137</v>
      </c>
      <c r="B881" s="369">
        <v>878</v>
      </c>
      <c r="C881" s="372" t="s">
        <v>1405</v>
      </c>
      <c r="D881" s="358" t="s">
        <v>1406</v>
      </c>
      <c r="E881" s="373">
        <v>45824.375</v>
      </c>
      <c r="F881" s="372" t="s">
        <v>140</v>
      </c>
      <c r="G881" s="372">
        <v>6</v>
      </c>
      <c r="H881" s="372" t="s">
        <v>22</v>
      </c>
      <c r="I881" s="372" t="s">
        <v>28</v>
      </c>
      <c r="J881" s="372"/>
      <c r="K881" s="21"/>
      <c r="L881" s="21"/>
      <c r="M881" s="22"/>
      <c r="N881" s="23"/>
      <c r="O881" s="23"/>
      <c r="P881" s="23" t="s">
        <v>30</v>
      </c>
      <c r="Q881" s="23">
        <v>45832</v>
      </c>
      <c r="R881" s="81" t="s">
        <v>67</v>
      </c>
      <c r="S881" s="22" t="s">
        <v>32</v>
      </c>
      <c r="T881" s="236">
        <v>7</v>
      </c>
      <c r="U881" s="24" t="s">
        <v>67</v>
      </c>
      <c r="V881" s="23">
        <v>45832</v>
      </c>
      <c r="W881" s="82"/>
      <c r="X881" s="85"/>
      <c r="Y881" s="89"/>
      <c r="Z881" s="90"/>
      <c r="AA881" s="90"/>
      <c r="AB881" s="412"/>
      <c r="AC881" s="96"/>
      <c r="AD881" s="96"/>
      <c r="AE881" s="96"/>
    </row>
    <row r="882" spans="1:31">
      <c r="A882" s="358" t="s">
        <v>137</v>
      </c>
      <c r="B882" s="369">
        <v>879</v>
      </c>
      <c r="C882" s="372" t="s">
        <v>1407</v>
      </c>
      <c r="D882" s="358" t="s">
        <v>937</v>
      </c>
      <c r="E882" s="373">
        <v>45824.375</v>
      </c>
      <c r="F882" s="372" t="s">
        <v>140</v>
      </c>
      <c r="G882" s="372">
        <v>2</v>
      </c>
      <c r="H882" s="372" t="s">
        <v>46</v>
      </c>
      <c r="I882" s="372" t="s">
        <v>47</v>
      </c>
      <c r="J882" s="372"/>
      <c r="K882" s="21"/>
      <c r="L882" s="21"/>
      <c r="M882" s="22"/>
      <c r="N882" s="23"/>
      <c r="O882" s="23"/>
      <c r="P882" s="23" t="s">
        <v>30</v>
      </c>
      <c r="Q882" s="23">
        <v>45833</v>
      </c>
      <c r="R882" s="81" t="s">
        <v>67</v>
      </c>
      <c r="S882" s="22" t="s">
        <v>32</v>
      </c>
      <c r="T882" s="236">
        <v>2</v>
      </c>
      <c r="U882" s="24" t="s">
        <v>67</v>
      </c>
      <c r="V882" s="23">
        <v>45833</v>
      </c>
      <c r="W882" s="82"/>
      <c r="X882" s="85"/>
      <c r="Y882" s="89"/>
      <c r="Z882" s="90"/>
      <c r="AA882" s="90"/>
      <c r="AB882" s="412"/>
      <c r="AC882" s="96"/>
      <c r="AD882" s="96"/>
      <c r="AE882" s="96"/>
    </row>
    <row r="883" spans="1:31">
      <c r="A883" s="358" t="s">
        <v>137</v>
      </c>
      <c r="B883" s="369">
        <v>880</v>
      </c>
      <c r="C883" s="372" t="s">
        <v>1408</v>
      </c>
      <c r="D883" s="358" t="s">
        <v>306</v>
      </c>
      <c r="E883" s="373">
        <v>45831.375</v>
      </c>
      <c r="F883" s="372" t="s">
        <v>140</v>
      </c>
      <c r="G883" s="372">
        <v>32</v>
      </c>
      <c r="H883" s="372" t="s">
        <v>938</v>
      </c>
      <c r="I883" s="372" t="s">
        <v>939</v>
      </c>
      <c r="J883" s="372"/>
      <c r="K883" s="21"/>
      <c r="L883" s="21"/>
      <c r="M883" s="22"/>
      <c r="N883" s="23"/>
      <c r="O883" s="23" t="s">
        <v>31</v>
      </c>
      <c r="P883" s="23" t="s">
        <v>30</v>
      </c>
      <c r="Q883" s="23">
        <v>45840</v>
      </c>
      <c r="R883" s="81" t="s">
        <v>67</v>
      </c>
      <c r="S883" s="22" t="s">
        <v>32</v>
      </c>
      <c r="T883" s="236">
        <v>32</v>
      </c>
      <c r="U883" s="24" t="s">
        <v>67</v>
      </c>
      <c r="V883" s="23">
        <v>45840</v>
      </c>
      <c r="W883" s="82"/>
      <c r="X883" s="85"/>
      <c r="Y883" s="89">
        <v>9</v>
      </c>
      <c r="Z883" s="90">
        <v>1</v>
      </c>
      <c r="AA883" s="90">
        <v>22</v>
      </c>
      <c r="AB883">
        <f>SUM(Y883:AA883)</f>
        <v>32</v>
      </c>
      <c r="AC883" s="72">
        <f>+Y883/AB883*AC$1</f>
        <v>1.6875</v>
      </c>
      <c r="AD883" s="96">
        <f>+Z883/AB883*AD$1</f>
        <v>9.375E-2</v>
      </c>
      <c r="AE883" s="96">
        <f>+AA883/AB883*AE$1</f>
        <v>0</v>
      </c>
    </row>
    <row r="884" spans="1:31">
      <c r="A884" s="358" t="s">
        <v>137</v>
      </c>
      <c r="B884" s="369">
        <v>881</v>
      </c>
      <c r="C884" s="372" t="s">
        <v>1409</v>
      </c>
      <c r="D884" s="358" t="s">
        <v>1184</v>
      </c>
      <c r="E884" s="373">
        <v>45831</v>
      </c>
      <c r="F884" s="372" t="s">
        <v>140</v>
      </c>
      <c r="G884" s="372">
        <v>9</v>
      </c>
      <c r="H884" s="372" t="s">
        <v>938</v>
      </c>
      <c r="I884" s="372" t="s">
        <v>939</v>
      </c>
      <c r="J884" s="372"/>
      <c r="K884" s="21"/>
      <c r="L884" s="21"/>
      <c r="M884" s="22"/>
      <c r="N884" s="23"/>
      <c r="O884" s="23"/>
      <c r="P884" s="23" t="s">
        <v>30</v>
      </c>
      <c r="Q884" s="23">
        <v>45840</v>
      </c>
      <c r="R884" s="81" t="s">
        <v>67</v>
      </c>
      <c r="S884" s="22" t="s">
        <v>32</v>
      </c>
      <c r="T884" s="236">
        <v>9</v>
      </c>
      <c r="U884" s="24" t="s">
        <v>67</v>
      </c>
      <c r="V884" s="23">
        <v>45840</v>
      </c>
      <c r="W884" s="82"/>
      <c r="X884" s="85"/>
      <c r="Y884" s="89"/>
      <c r="Z884" s="90"/>
      <c r="AA884" s="90"/>
      <c r="AB884" s="412"/>
      <c r="AC884" s="96"/>
      <c r="AD884" s="96"/>
      <c r="AE884" s="96"/>
    </row>
    <row r="885" spans="1:31">
      <c r="A885" s="358" t="s">
        <v>137</v>
      </c>
      <c r="B885" s="369">
        <v>882</v>
      </c>
      <c r="C885" s="372" t="s">
        <v>1410</v>
      </c>
      <c r="D885" s="358" t="s">
        <v>1250</v>
      </c>
      <c r="E885" s="373">
        <v>45831.375</v>
      </c>
      <c r="F885" s="372" t="s">
        <v>140</v>
      </c>
      <c r="G885" s="372">
        <v>3</v>
      </c>
      <c r="H885" s="372" t="s">
        <v>22</v>
      </c>
      <c r="I885" s="372" t="s">
        <v>28</v>
      </c>
      <c r="J885" s="372"/>
      <c r="K885" s="21"/>
      <c r="L885" s="21"/>
      <c r="M885" s="22"/>
      <c r="N885" s="23"/>
      <c r="O885" s="62"/>
      <c r="P885" s="23" t="s">
        <v>30</v>
      </c>
      <c r="Q885" s="23">
        <v>45840</v>
      </c>
      <c r="R885" s="81" t="s">
        <v>67</v>
      </c>
      <c r="S885" s="22" t="s">
        <v>32</v>
      </c>
      <c r="T885" s="236">
        <v>3</v>
      </c>
      <c r="U885" s="24" t="s">
        <v>67</v>
      </c>
      <c r="V885" s="23">
        <v>45840</v>
      </c>
      <c r="W885" s="82"/>
      <c r="X885" s="85"/>
      <c r="Y885" s="89">
        <v>0</v>
      </c>
      <c r="Z885" s="89">
        <v>23</v>
      </c>
      <c r="AA885" s="89">
        <v>0</v>
      </c>
      <c r="AB885">
        <f>SUM(Y885:AA885)</f>
        <v>23</v>
      </c>
      <c r="AC885" s="72">
        <f>+Y885/AB885*AC$1</f>
        <v>0</v>
      </c>
      <c r="AD885" s="96">
        <f>+Z885/AB885*AD$1</f>
        <v>3</v>
      </c>
      <c r="AE885" s="96">
        <f>+AA885/AB885*AE$1</f>
        <v>0</v>
      </c>
    </row>
    <row r="886" spans="1:31">
      <c r="A886" s="358" t="s">
        <v>137</v>
      </c>
      <c r="B886" s="369">
        <v>883</v>
      </c>
      <c r="C886" s="372" t="s">
        <v>1411</v>
      </c>
      <c r="D886" s="358" t="s">
        <v>829</v>
      </c>
      <c r="E886" s="373">
        <v>45831</v>
      </c>
      <c r="F886" s="372" t="s">
        <v>140</v>
      </c>
      <c r="G886" s="372">
        <v>13</v>
      </c>
      <c r="H886" s="372" t="s">
        <v>938</v>
      </c>
      <c r="I886" s="372" t="s">
        <v>939</v>
      </c>
      <c r="J886" s="372"/>
      <c r="K886" s="21"/>
      <c r="L886" s="21"/>
      <c r="M886" s="22"/>
      <c r="N886" s="23"/>
      <c r="O886" s="62"/>
      <c r="P886" s="23" t="s">
        <v>30</v>
      </c>
      <c r="Q886" s="23">
        <v>45840</v>
      </c>
      <c r="R886" s="81" t="s">
        <v>67</v>
      </c>
      <c r="S886" s="22" t="s">
        <v>32</v>
      </c>
      <c r="T886" s="236">
        <v>13</v>
      </c>
      <c r="U886" s="24" t="s">
        <v>67</v>
      </c>
      <c r="V886" s="23">
        <v>45840</v>
      </c>
      <c r="W886" s="82"/>
      <c r="X886" s="85"/>
      <c r="Y886" s="89">
        <v>10</v>
      </c>
      <c r="Z886" s="89">
        <v>2</v>
      </c>
      <c r="AA886" s="89">
        <v>3</v>
      </c>
      <c r="AB886">
        <f>SUM(Y886:AA886)</f>
        <v>15</v>
      </c>
      <c r="AC886" s="72">
        <f>+Y886/AB886*AC$1</f>
        <v>4</v>
      </c>
      <c r="AD886" s="96">
        <f>+Z886/AB886*AD$1</f>
        <v>0.4</v>
      </c>
      <c r="AE886" s="96">
        <f>+AA886/AB886*AE$1</f>
        <v>0</v>
      </c>
    </row>
    <row r="887" spans="1:31">
      <c r="A887" s="358" t="s">
        <v>137</v>
      </c>
      <c r="B887" s="369">
        <v>884</v>
      </c>
      <c r="C887" s="372" t="s">
        <v>1412</v>
      </c>
      <c r="D887" s="358" t="s">
        <v>950</v>
      </c>
      <c r="E887" s="373">
        <v>45831.375</v>
      </c>
      <c r="F887" s="372" t="s">
        <v>140</v>
      </c>
      <c r="G887" s="372">
        <v>20</v>
      </c>
      <c r="H887" s="372" t="s">
        <v>22</v>
      </c>
      <c r="I887" s="372" t="s">
        <v>28</v>
      </c>
      <c r="J887" s="372"/>
      <c r="K887" s="21"/>
      <c r="L887" s="21"/>
      <c r="M887" s="22"/>
      <c r="N887" s="23"/>
      <c r="O887" s="23" t="s">
        <v>31</v>
      </c>
      <c r="P887" s="23" t="s">
        <v>30</v>
      </c>
      <c r="Q887" s="23">
        <v>45841</v>
      </c>
      <c r="R887" s="81" t="s">
        <v>67</v>
      </c>
      <c r="S887" s="22" t="s">
        <v>32</v>
      </c>
      <c r="T887" s="236">
        <v>21</v>
      </c>
      <c r="U887" s="24" t="s">
        <v>67</v>
      </c>
      <c r="V887" s="23">
        <v>45841</v>
      </c>
      <c r="W887" s="82"/>
      <c r="X887" s="85"/>
      <c r="Y887" s="89">
        <v>0</v>
      </c>
      <c r="Z887" s="89">
        <v>20</v>
      </c>
      <c r="AA887" s="89">
        <v>0</v>
      </c>
      <c r="AB887">
        <f>SUM(Y887:AA887)</f>
        <v>20</v>
      </c>
      <c r="AC887" s="72">
        <f>+Y887/AB887*AC$1</f>
        <v>0</v>
      </c>
      <c r="AD887" s="96">
        <f>+Z887/AB887*AD$1</f>
        <v>3</v>
      </c>
      <c r="AE887" s="96">
        <f>+AA887/AB887*AE$1</f>
        <v>0</v>
      </c>
    </row>
    <row r="888" spans="1:31">
      <c r="A888" s="358" t="s">
        <v>137</v>
      </c>
      <c r="B888" s="369">
        <v>885</v>
      </c>
      <c r="C888" s="372" t="s">
        <v>1413</v>
      </c>
      <c r="D888" s="358" t="s">
        <v>969</v>
      </c>
      <c r="E888" s="373">
        <v>45831.375</v>
      </c>
      <c r="F888" s="372" t="s">
        <v>140</v>
      </c>
      <c r="G888" s="372">
        <v>5</v>
      </c>
      <c r="H888" s="372" t="s">
        <v>46</v>
      </c>
      <c r="I888" s="372" t="s">
        <v>47</v>
      </c>
      <c r="J888" s="372"/>
      <c r="K888" s="21"/>
      <c r="L888" s="21"/>
      <c r="M888" s="22"/>
      <c r="N888" s="23"/>
      <c r="O888" s="23"/>
      <c r="P888" s="23" t="s">
        <v>30</v>
      </c>
      <c r="Q888" s="23">
        <v>45840</v>
      </c>
      <c r="R888" s="81" t="s">
        <v>67</v>
      </c>
      <c r="S888" s="22" t="s">
        <v>32</v>
      </c>
      <c r="T888" s="236">
        <v>5</v>
      </c>
      <c r="U888" s="24" t="s">
        <v>67</v>
      </c>
      <c r="V888" s="23">
        <v>45840</v>
      </c>
      <c r="W888" s="82"/>
      <c r="X888" s="85"/>
      <c r="Y888" s="89"/>
      <c r="Z888" s="89"/>
      <c r="AA888" s="89"/>
      <c r="AC888" s="72"/>
      <c r="AD888" s="96"/>
      <c r="AE888" s="96"/>
    </row>
    <row r="889" spans="1:31">
      <c r="A889" s="358" t="s">
        <v>137</v>
      </c>
      <c r="B889" s="369">
        <v>886</v>
      </c>
      <c r="C889" s="372" t="s">
        <v>1414</v>
      </c>
      <c r="D889" s="358" t="s">
        <v>1238</v>
      </c>
      <c r="E889" s="373">
        <v>45831</v>
      </c>
      <c r="F889" s="372" t="s">
        <v>140</v>
      </c>
      <c r="G889" s="372">
        <v>2</v>
      </c>
      <c r="H889" s="372" t="s">
        <v>21</v>
      </c>
      <c r="I889" s="372" t="s">
        <v>127</v>
      </c>
      <c r="J889" s="372"/>
      <c r="K889" s="21"/>
      <c r="L889" s="21"/>
      <c r="M889" s="22"/>
      <c r="N889" s="23"/>
      <c r="O889" s="23"/>
      <c r="P889" s="23" t="s">
        <v>30</v>
      </c>
      <c r="Q889" s="23">
        <v>45840</v>
      </c>
      <c r="R889" s="81" t="s">
        <v>67</v>
      </c>
      <c r="S889" s="22" t="s">
        <v>32</v>
      </c>
      <c r="T889" s="236">
        <v>2</v>
      </c>
      <c r="U889" s="24" t="s">
        <v>67</v>
      </c>
      <c r="V889" s="23">
        <v>45840</v>
      </c>
      <c r="W889" s="82"/>
      <c r="X889" s="85"/>
      <c r="Y889" s="89"/>
      <c r="Z889" s="89"/>
      <c r="AA889" s="89"/>
      <c r="AC889" s="72"/>
      <c r="AD889" s="96"/>
      <c r="AE889" s="96"/>
    </row>
    <row r="890" spans="1:31">
      <c r="A890" s="358" t="s">
        <v>137</v>
      </c>
      <c r="B890" s="369">
        <v>887</v>
      </c>
      <c r="C890" s="372" t="s">
        <v>1415</v>
      </c>
      <c r="D890" s="358" t="s">
        <v>937</v>
      </c>
      <c r="E890" s="373">
        <v>45831.083333333336</v>
      </c>
      <c r="F890" s="372" t="s">
        <v>140</v>
      </c>
      <c r="G890" s="372">
        <v>11</v>
      </c>
      <c r="H890" s="372" t="s">
        <v>78</v>
      </c>
      <c r="I890" s="372" t="s">
        <v>1206</v>
      </c>
      <c r="J890" s="372"/>
      <c r="K890" s="21"/>
      <c r="L890" s="21"/>
      <c r="M890" s="22"/>
      <c r="N890" s="23"/>
      <c r="O890" s="23"/>
      <c r="P890" s="23" t="s">
        <v>30</v>
      </c>
      <c r="Q890" s="23">
        <v>45841</v>
      </c>
      <c r="R890" s="81" t="s">
        <v>67</v>
      </c>
      <c r="S890" s="22" t="s">
        <v>32</v>
      </c>
      <c r="T890" s="236">
        <v>19</v>
      </c>
      <c r="U890" s="24" t="s">
        <v>67</v>
      </c>
      <c r="V890" s="23">
        <v>45841</v>
      </c>
      <c r="W890" s="82"/>
      <c r="X890" s="85"/>
      <c r="Y890" s="89"/>
      <c r="Z890" s="89"/>
      <c r="AA890" s="89"/>
      <c r="AC890" s="72"/>
      <c r="AD890" s="96"/>
      <c r="AE890" s="96"/>
    </row>
    <row r="891" spans="1:31">
      <c r="A891" s="358" t="s">
        <v>137</v>
      </c>
      <c r="B891" s="369">
        <v>888</v>
      </c>
      <c r="C891" s="372" t="s">
        <v>1416</v>
      </c>
      <c r="D891" s="358" t="s">
        <v>798</v>
      </c>
      <c r="E891" s="373">
        <v>45831.041666666664</v>
      </c>
      <c r="F891" s="372" t="s">
        <v>140</v>
      </c>
      <c r="G891" s="372">
        <v>1</v>
      </c>
      <c r="H891" s="372" t="s">
        <v>21</v>
      </c>
      <c r="I891" s="372" t="s">
        <v>127</v>
      </c>
      <c r="J891" s="372"/>
      <c r="K891" s="21"/>
      <c r="L891" s="21"/>
      <c r="M891" s="22"/>
      <c r="N891" s="23"/>
      <c r="O891" s="62"/>
      <c r="P891" s="23" t="s">
        <v>30</v>
      </c>
      <c r="Q891" s="23">
        <v>45841</v>
      </c>
      <c r="R891" s="81" t="s">
        <v>67</v>
      </c>
      <c r="S891" s="22" t="s">
        <v>32</v>
      </c>
      <c r="T891" s="236">
        <v>1</v>
      </c>
      <c r="U891" s="24" t="s">
        <v>67</v>
      </c>
      <c r="V891" s="23">
        <v>45841</v>
      </c>
      <c r="W891" s="82"/>
      <c r="X891" s="85"/>
      <c r="Y891" s="89"/>
      <c r="Z891" s="90"/>
      <c r="AA891" s="90"/>
      <c r="AB891" s="412"/>
      <c r="AC891" s="72"/>
      <c r="AD891" s="96"/>
      <c r="AE891" s="96"/>
    </row>
    <row r="892" spans="1:31">
      <c r="A892" s="358" t="s">
        <v>137</v>
      </c>
      <c r="B892" s="369">
        <v>889</v>
      </c>
      <c r="C892" s="372" t="s">
        <v>1417</v>
      </c>
      <c r="D892" s="358" t="s">
        <v>1025</v>
      </c>
      <c r="E892" s="373">
        <v>45838.375</v>
      </c>
      <c r="F892" s="372" t="s">
        <v>140</v>
      </c>
      <c r="G892" s="372">
        <v>1</v>
      </c>
      <c r="H892" s="372" t="s">
        <v>46</v>
      </c>
      <c r="I892" s="372" t="s">
        <v>47</v>
      </c>
      <c r="J892" s="372"/>
      <c r="K892" s="102" t="s">
        <v>1378</v>
      </c>
      <c r="L892" s="21"/>
      <c r="M892" s="22"/>
      <c r="N892" s="23"/>
      <c r="O892" s="23"/>
      <c r="P892" s="23"/>
      <c r="Q892" s="23"/>
      <c r="R892" s="81" t="s">
        <v>67</v>
      </c>
      <c r="S892" s="22"/>
      <c r="T892" s="236"/>
      <c r="U892" s="24" t="s">
        <v>67</v>
      </c>
      <c r="V892" s="23"/>
      <c r="W892" s="360"/>
      <c r="X892" s="367"/>
      <c r="Y892" s="89"/>
      <c r="Z892" s="90"/>
      <c r="AA892" s="90"/>
      <c r="AB892" s="88"/>
      <c r="AC892" s="72"/>
      <c r="AD892" s="96"/>
      <c r="AE892" s="96"/>
    </row>
    <row r="893" spans="1:31">
      <c r="A893" s="358" t="s">
        <v>137</v>
      </c>
      <c r="B893" s="369">
        <v>890</v>
      </c>
      <c r="C893" s="372" t="s">
        <v>1418</v>
      </c>
      <c r="D893" s="358" t="s">
        <v>1184</v>
      </c>
      <c r="E893" s="373">
        <v>45838.375</v>
      </c>
      <c r="F893" s="372" t="s">
        <v>140</v>
      </c>
      <c r="G893" s="372">
        <v>7</v>
      </c>
      <c r="H893" s="372" t="s">
        <v>46</v>
      </c>
      <c r="I893" s="372" t="s">
        <v>47</v>
      </c>
      <c r="J893" s="372"/>
      <c r="K893" s="21"/>
      <c r="L893" s="21"/>
      <c r="M893" s="22"/>
      <c r="N893" s="23"/>
      <c r="O893" s="23"/>
      <c r="P893" s="23" t="s">
        <v>30</v>
      </c>
      <c r="Q893" s="23">
        <v>45847</v>
      </c>
      <c r="R893" s="81" t="s">
        <v>67</v>
      </c>
      <c r="S893" s="22" t="s">
        <v>32</v>
      </c>
      <c r="T893" s="236">
        <v>7</v>
      </c>
      <c r="U893" s="24" t="s">
        <v>67</v>
      </c>
      <c r="V893" s="23">
        <v>45847</v>
      </c>
      <c r="W893" s="360"/>
      <c r="X893" s="367"/>
      <c r="Y893" s="89"/>
      <c r="Z893" s="89"/>
      <c r="AA893" s="89"/>
      <c r="AC893" s="72"/>
      <c r="AD893" s="96"/>
      <c r="AE893" s="96"/>
    </row>
    <row r="894" spans="1:31">
      <c r="A894" s="358" t="s">
        <v>137</v>
      </c>
      <c r="B894" s="369">
        <v>891</v>
      </c>
      <c r="C894" s="372" t="s">
        <v>1419</v>
      </c>
      <c r="D894" s="358" t="s">
        <v>846</v>
      </c>
      <c r="E894" s="373">
        <v>45838</v>
      </c>
      <c r="F894" s="372" t="s">
        <v>140</v>
      </c>
      <c r="G894" s="372">
        <v>3</v>
      </c>
      <c r="H894" s="372" t="s">
        <v>21</v>
      </c>
      <c r="I894" s="372" t="s">
        <v>127</v>
      </c>
      <c r="J894" s="372"/>
      <c r="K894" s="102"/>
      <c r="L894" s="21"/>
      <c r="M894" s="22"/>
      <c r="N894" s="23"/>
      <c r="O894" s="23"/>
      <c r="P894" s="23" t="s">
        <v>30</v>
      </c>
      <c r="Q894" s="23">
        <v>45869</v>
      </c>
      <c r="R894" s="81" t="s">
        <v>67</v>
      </c>
      <c r="S894" s="22" t="s">
        <v>32</v>
      </c>
      <c r="T894" s="236">
        <v>3</v>
      </c>
      <c r="U894" s="24" t="s">
        <v>67</v>
      </c>
      <c r="V894" s="23">
        <v>45869</v>
      </c>
      <c r="W894" s="82"/>
      <c r="X894" s="85"/>
      <c r="Y894" s="89"/>
      <c r="Z894" s="89"/>
      <c r="AA894" s="89"/>
      <c r="AB894" s="88"/>
      <c r="AC894" s="72"/>
      <c r="AD894" s="96"/>
      <c r="AE894" s="96"/>
    </row>
    <row r="895" spans="1:31">
      <c r="A895" s="358" t="s">
        <v>137</v>
      </c>
      <c r="B895" s="369">
        <v>892</v>
      </c>
      <c r="C895" s="372" t="s">
        <v>1420</v>
      </c>
      <c r="D895" s="358" t="s">
        <v>829</v>
      </c>
      <c r="E895" s="373">
        <v>45838.375</v>
      </c>
      <c r="F895" s="372" t="s">
        <v>140</v>
      </c>
      <c r="G895" s="372">
        <v>18</v>
      </c>
      <c r="H895" s="372" t="s">
        <v>78</v>
      </c>
      <c r="I895" s="372" t="s">
        <v>1206</v>
      </c>
      <c r="J895" s="372"/>
      <c r="K895" s="21"/>
      <c r="L895" s="21"/>
      <c r="M895" s="22"/>
      <c r="N895" s="23"/>
      <c r="O895" s="23" t="s">
        <v>31</v>
      </c>
      <c r="P895" s="23" t="s">
        <v>30</v>
      </c>
      <c r="Q895" s="23">
        <v>45848</v>
      </c>
      <c r="R895" s="81" t="s">
        <v>67</v>
      </c>
      <c r="S895" s="22" t="s">
        <v>32</v>
      </c>
      <c r="T895" s="236">
        <v>18</v>
      </c>
      <c r="U895" s="24" t="s">
        <v>67</v>
      </c>
      <c r="V895" s="23">
        <v>45848</v>
      </c>
      <c r="W895" s="360"/>
      <c r="X895" s="367"/>
      <c r="Y895" s="89">
        <v>1</v>
      </c>
      <c r="Z895" s="89">
        <v>0</v>
      </c>
      <c r="AA895" s="89">
        <v>17</v>
      </c>
      <c r="AB895">
        <f>SUM(Y895:AA895)</f>
        <v>18</v>
      </c>
      <c r="AC895" s="72">
        <f>+Y895/AB895*AC$1</f>
        <v>0.33333333333333331</v>
      </c>
      <c r="AD895" s="96">
        <f>+Z895/AB895*AD$1</f>
        <v>0</v>
      </c>
      <c r="AE895" s="96">
        <f>+AA895/AB895*AE$1</f>
        <v>0</v>
      </c>
    </row>
    <row r="896" spans="1:31">
      <c r="A896" s="358" t="s">
        <v>137</v>
      </c>
      <c r="B896" s="369">
        <v>893</v>
      </c>
      <c r="C896" s="372" t="s">
        <v>1421</v>
      </c>
      <c r="D896" s="358" t="s">
        <v>1230</v>
      </c>
      <c r="E896" s="373">
        <v>45838.375</v>
      </c>
      <c r="F896" s="372" t="s">
        <v>140</v>
      </c>
      <c r="G896" s="372">
        <v>2</v>
      </c>
      <c r="H896" s="372" t="s">
        <v>21</v>
      </c>
      <c r="I896" s="372" t="s">
        <v>127</v>
      </c>
      <c r="J896" s="372"/>
      <c r="K896" s="21"/>
      <c r="L896" s="21"/>
      <c r="M896" s="22"/>
      <c r="N896" s="23"/>
      <c r="O896" s="62"/>
      <c r="P896" s="23" t="s">
        <v>30</v>
      </c>
      <c r="Q896" s="23">
        <v>45848</v>
      </c>
      <c r="R896" s="81" t="s">
        <v>67</v>
      </c>
      <c r="S896" s="22" t="s">
        <v>32</v>
      </c>
      <c r="T896" s="236">
        <v>2</v>
      </c>
      <c r="U896" s="24" t="s">
        <v>67</v>
      </c>
      <c r="V896" s="23">
        <v>45848</v>
      </c>
      <c r="W896" s="360"/>
      <c r="X896" s="367"/>
      <c r="Y896" s="89"/>
      <c r="Z896" s="89"/>
      <c r="AA896" s="89"/>
      <c r="AC896" s="72"/>
      <c r="AD896" s="96"/>
      <c r="AE896" s="96"/>
    </row>
    <row r="897" spans="1:31">
      <c r="A897" s="358" t="s">
        <v>137</v>
      </c>
      <c r="B897" s="369">
        <v>894</v>
      </c>
      <c r="C897" s="372" t="s">
        <v>1422</v>
      </c>
      <c r="D897" s="358" t="s">
        <v>315</v>
      </c>
      <c r="E897" s="373">
        <v>45838.375</v>
      </c>
      <c r="F897" s="372" t="s">
        <v>140</v>
      </c>
      <c r="G897" s="372">
        <v>2</v>
      </c>
      <c r="H897" s="372" t="s">
        <v>21</v>
      </c>
      <c r="I897" s="372" t="s">
        <v>127</v>
      </c>
      <c r="J897" s="372"/>
      <c r="K897" s="21"/>
      <c r="L897" s="21"/>
      <c r="M897" s="22"/>
      <c r="N897" s="23"/>
      <c r="O897" s="62"/>
      <c r="P897" s="23" t="s">
        <v>30</v>
      </c>
      <c r="Q897" s="23">
        <v>45848</v>
      </c>
      <c r="R897" s="81" t="s">
        <v>67</v>
      </c>
      <c r="S897" s="22" t="s">
        <v>32</v>
      </c>
      <c r="T897" s="236">
        <v>2</v>
      </c>
      <c r="U897" s="24" t="s">
        <v>67</v>
      </c>
      <c r="V897" s="23">
        <v>45848</v>
      </c>
      <c r="W897" s="82"/>
      <c r="X897" s="85"/>
      <c r="Y897" s="89"/>
      <c r="Z897" s="89"/>
      <c r="AA897" s="89"/>
      <c r="AC897" s="72"/>
      <c r="AD897" s="96"/>
      <c r="AE897" s="96"/>
    </row>
    <row r="898" spans="1:31">
      <c r="A898" s="358" t="s">
        <v>137</v>
      </c>
      <c r="B898" s="369">
        <v>895</v>
      </c>
      <c r="C898" s="372" t="s">
        <v>1423</v>
      </c>
      <c r="D898" s="358" t="s">
        <v>1424</v>
      </c>
      <c r="E898" s="373">
        <v>45838.375</v>
      </c>
      <c r="F898" s="372" t="s">
        <v>140</v>
      </c>
      <c r="G898" s="372">
        <v>2</v>
      </c>
      <c r="H898" s="372" t="s">
        <v>21</v>
      </c>
      <c r="I898" s="372" t="s">
        <v>127</v>
      </c>
      <c r="J898" s="372"/>
      <c r="K898" s="21"/>
      <c r="L898" s="21"/>
      <c r="M898" s="22"/>
      <c r="N898" s="23"/>
      <c r="O898" s="62"/>
      <c r="P898" s="23" t="s">
        <v>30</v>
      </c>
      <c r="Q898" s="23">
        <v>45848</v>
      </c>
      <c r="R898" s="81" t="s">
        <v>67</v>
      </c>
      <c r="S898" s="22" t="s">
        <v>32</v>
      </c>
      <c r="T898" s="236">
        <v>2</v>
      </c>
      <c r="U898" s="24" t="s">
        <v>67</v>
      </c>
      <c r="V898" s="23">
        <v>45848</v>
      </c>
      <c r="W898" s="82"/>
      <c r="X898" s="85"/>
      <c r="Y898" s="89"/>
      <c r="Z898" s="89"/>
      <c r="AA898" s="89"/>
      <c r="AC898" s="72"/>
      <c r="AD898" s="96"/>
      <c r="AE898" s="96"/>
    </row>
    <row r="899" spans="1:31">
      <c r="A899" s="358" t="s">
        <v>137</v>
      </c>
      <c r="B899" s="369">
        <v>896</v>
      </c>
      <c r="C899" s="372" t="s">
        <v>1425</v>
      </c>
      <c r="D899" s="358" t="s">
        <v>1426</v>
      </c>
      <c r="E899" s="373">
        <v>45838.375</v>
      </c>
      <c r="F899" s="372" t="s">
        <v>140</v>
      </c>
      <c r="G899" s="372">
        <v>7</v>
      </c>
      <c r="H899" s="372" t="s">
        <v>21</v>
      </c>
      <c r="I899" s="372" t="s">
        <v>127</v>
      </c>
      <c r="J899" s="372"/>
      <c r="K899" s="21"/>
      <c r="L899" s="21"/>
      <c r="M899" s="22"/>
      <c r="N899" s="23"/>
      <c r="O899" s="62"/>
      <c r="P899" s="23" t="s">
        <v>30</v>
      </c>
      <c r="Q899" s="23">
        <v>45848</v>
      </c>
      <c r="R899" s="81" t="s">
        <v>67</v>
      </c>
      <c r="S899" s="22" t="s">
        <v>32</v>
      </c>
      <c r="T899" s="236">
        <v>10</v>
      </c>
      <c r="U899" s="24" t="s">
        <v>67</v>
      </c>
      <c r="V899" s="23">
        <v>45848</v>
      </c>
      <c r="W899" s="82"/>
      <c r="X899" s="85"/>
      <c r="Y899" s="89"/>
      <c r="Z899" s="89"/>
      <c r="AA899" s="89"/>
      <c r="AC899" s="72"/>
      <c r="AD899" s="96"/>
      <c r="AE899" s="96"/>
    </row>
    <row r="900" spans="1:31">
      <c r="A900" s="358" t="s">
        <v>137</v>
      </c>
      <c r="B900" s="369">
        <v>897</v>
      </c>
      <c r="C900" s="372" t="s">
        <v>1427</v>
      </c>
      <c r="D900" s="358" t="s">
        <v>1198</v>
      </c>
      <c r="E900" s="373">
        <v>45838.375</v>
      </c>
      <c r="F900" s="372" t="s">
        <v>140</v>
      </c>
      <c r="G900" s="372">
        <v>2</v>
      </c>
      <c r="H900" s="372" t="s">
        <v>21</v>
      </c>
      <c r="I900" s="372" t="s">
        <v>127</v>
      </c>
      <c r="J900" s="372"/>
      <c r="K900" s="21"/>
      <c r="L900" s="21"/>
      <c r="M900" s="22"/>
      <c r="N900" s="23"/>
      <c r="O900" s="62"/>
      <c r="P900" s="23" t="s">
        <v>30</v>
      </c>
      <c r="Q900" s="23">
        <v>45848</v>
      </c>
      <c r="R900" s="81" t="s">
        <v>67</v>
      </c>
      <c r="S900" s="22" t="s">
        <v>32</v>
      </c>
      <c r="T900" s="236">
        <v>2</v>
      </c>
      <c r="U900" s="24" t="s">
        <v>67</v>
      </c>
      <c r="V900" s="23">
        <v>45848</v>
      </c>
      <c r="W900" s="82"/>
      <c r="X900" s="85"/>
      <c r="Y900" s="89"/>
      <c r="Z900" s="90"/>
      <c r="AA900" s="90"/>
      <c r="AB900" s="412"/>
      <c r="AC900" s="72"/>
      <c r="AD900" s="96"/>
      <c r="AE900" s="96"/>
    </row>
    <row r="901" spans="1:31">
      <c r="A901" s="358" t="s">
        <v>137</v>
      </c>
      <c r="B901" s="369">
        <v>898</v>
      </c>
      <c r="C901" s="372" t="s">
        <v>1428</v>
      </c>
      <c r="D901" s="358" t="s">
        <v>1228</v>
      </c>
      <c r="E901" s="373">
        <v>45838.375</v>
      </c>
      <c r="F901" s="372" t="s">
        <v>140</v>
      </c>
      <c r="G901" s="372">
        <v>2</v>
      </c>
      <c r="H901" s="372" t="s">
        <v>21</v>
      </c>
      <c r="I901" s="372" t="s">
        <v>127</v>
      </c>
      <c r="J901" s="372"/>
      <c r="K901" s="21"/>
      <c r="L901" s="21"/>
      <c r="M901" s="22"/>
      <c r="N901" s="23"/>
      <c r="O901" s="62"/>
      <c r="P901" s="23" t="s">
        <v>30</v>
      </c>
      <c r="Q901" s="23">
        <v>45848</v>
      </c>
      <c r="R901" s="81" t="s">
        <v>67</v>
      </c>
      <c r="S901" s="22" t="s">
        <v>32</v>
      </c>
      <c r="T901" s="236">
        <v>2</v>
      </c>
      <c r="U901" s="24" t="s">
        <v>67</v>
      </c>
      <c r="V901" s="23">
        <v>45848</v>
      </c>
      <c r="W901" s="82"/>
      <c r="X901" s="85"/>
      <c r="Y901" s="89"/>
      <c r="Z901" s="90"/>
      <c r="AA901" s="90"/>
      <c r="AB901" s="412"/>
      <c r="AC901" s="72"/>
      <c r="AD901" s="96"/>
      <c r="AE901" s="96"/>
    </row>
    <row r="902" spans="1:31">
      <c r="A902" s="358" t="s">
        <v>137</v>
      </c>
      <c r="B902" s="369">
        <v>899</v>
      </c>
      <c r="C902" s="372" t="s">
        <v>1429</v>
      </c>
      <c r="D902" s="358" t="s">
        <v>1198</v>
      </c>
      <c r="E902" s="373">
        <v>45810.375</v>
      </c>
      <c r="F902" s="372" t="s">
        <v>140</v>
      </c>
      <c r="G902" s="372">
        <v>23</v>
      </c>
      <c r="H902" s="372" t="s">
        <v>301</v>
      </c>
      <c r="I902" s="372" t="s">
        <v>760</v>
      </c>
      <c r="J902" s="372"/>
      <c r="K902" s="21"/>
      <c r="L902" s="21"/>
      <c r="M902" s="22"/>
      <c r="N902" s="23"/>
      <c r="O902" s="23" t="s">
        <v>31</v>
      </c>
      <c r="P902" s="23" t="s">
        <v>30</v>
      </c>
      <c r="Q902" s="23">
        <v>45869</v>
      </c>
      <c r="R902" s="81" t="s">
        <v>67</v>
      </c>
      <c r="S902" s="22" t="s">
        <v>32</v>
      </c>
      <c r="T902" s="236">
        <v>12</v>
      </c>
      <c r="U902" s="24" t="s">
        <v>67</v>
      </c>
      <c r="V902" s="23">
        <v>45869</v>
      </c>
      <c r="W902" s="360"/>
      <c r="X902" s="367"/>
      <c r="Y902" s="89">
        <v>0</v>
      </c>
      <c r="Z902" s="90">
        <v>9</v>
      </c>
      <c r="AA902" s="90">
        <v>14</v>
      </c>
      <c r="AB902">
        <f>SUM(Y902:AA902)</f>
        <v>23</v>
      </c>
      <c r="AC902" s="72">
        <f>+Y902/AB902*AC$1</f>
        <v>0</v>
      </c>
      <c r="AD902" s="96">
        <f>+Z902/AB902*AD$1</f>
        <v>1.173913043478261</v>
      </c>
      <c r="AE902" s="96">
        <f>+AA902/AB902*AE$1</f>
        <v>0</v>
      </c>
    </row>
    <row r="903" spans="1:31">
      <c r="A903" s="358" t="s">
        <v>137</v>
      </c>
      <c r="B903" s="369">
        <v>900</v>
      </c>
      <c r="C903" s="372" t="s">
        <v>1430</v>
      </c>
      <c r="D903" s="358" t="s">
        <v>937</v>
      </c>
      <c r="E903" s="373">
        <v>45810.375</v>
      </c>
      <c r="F903" s="372" t="s">
        <v>140</v>
      </c>
      <c r="G903" s="372">
        <v>75</v>
      </c>
      <c r="H903" s="372" t="s">
        <v>141</v>
      </c>
      <c r="I903" s="372" t="s">
        <v>819</v>
      </c>
      <c r="J903" s="372"/>
      <c r="K903" s="21"/>
      <c r="L903" s="21"/>
      <c r="M903" s="22"/>
      <c r="N903" s="23"/>
      <c r="O903" s="23" t="s">
        <v>31</v>
      </c>
      <c r="P903" s="23" t="s">
        <v>30</v>
      </c>
      <c r="Q903" s="23">
        <v>45819</v>
      </c>
      <c r="R903" s="81" t="s">
        <v>67</v>
      </c>
      <c r="S903" s="22" t="s">
        <v>32</v>
      </c>
      <c r="T903" s="236">
        <v>75</v>
      </c>
      <c r="U903" s="24" t="s">
        <v>67</v>
      </c>
      <c r="V903" s="23">
        <v>45819</v>
      </c>
      <c r="W903" s="82"/>
      <c r="X903" s="85"/>
      <c r="Y903" s="89">
        <v>1</v>
      </c>
      <c r="Z903" s="89">
        <v>74</v>
      </c>
      <c r="AA903" s="89">
        <v>0</v>
      </c>
      <c r="AB903">
        <f>SUM(Y903:AA903)</f>
        <v>75</v>
      </c>
      <c r="AC903" s="72">
        <f>+Y903/AB903*AC$1</f>
        <v>0.08</v>
      </c>
      <c r="AD903" s="96">
        <f>+Z903/AB903*AD$1</f>
        <v>2.96</v>
      </c>
      <c r="AE903" s="96">
        <f>+AA903/AB903*AE$1</f>
        <v>0</v>
      </c>
    </row>
    <row r="904" spans="1:31">
      <c r="A904" s="358" t="s">
        <v>137</v>
      </c>
      <c r="B904" s="369">
        <v>901</v>
      </c>
      <c r="C904" s="372" t="s">
        <v>1431</v>
      </c>
      <c r="D904" s="358" t="s">
        <v>829</v>
      </c>
      <c r="E904" s="373">
        <v>45810.375</v>
      </c>
      <c r="F904" s="372" t="s">
        <v>140</v>
      </c>
      <c r="G904" s="372">
        <v>11</v>
      </c>
      <c r="H904" s="372" t="s">
        <v>21</v>
      </c>
      <c r="I904" s="372" t="s">
        <v>127</v>
      </c>
      <c r="J904" s="372"/>
      <c r="K904" s="21"/>
      <c r="L904" s="21"/>
      <c r="M904" s="22"/>
      <c r="N904" s="23"/>
      <c r="O904" s="62"/>
      <c r="P904" s="23" t="s">
        <v>30</v>
      </c>
      <c r="Q904" s="23">
        <v>45819</v>
      </c>
      <c r="R904" s="81" t="s">
        <v>67</v>
      </c>
      <c r="S904" s="22" t="s">
        <v>32</v>
      </c>
      <c r="T904" s="236">
        <v>11</v>
      </c>
      <c r="U904" s="24" t="s">
        <v>67</v>
      </c>
      <c r="V904" s="23">
        <v>45819</v>
      </c>
      <c r="W904" s="82"/>
      <c r="X904" s="85"/>
      <c r="Y904"/>
      <c r="Z904"/>
      <c r="AA904"/>
      <c r="AC904" s="72"/>
      <c r="AD904" s="96"/>
      <c r="AE904" s="96"/>
    </row>
    <row r="905" spans="1:31">
      <c r="A905" s="358" t="s">
        <v>137</v>
      </c>
      <c r="B905" s="369">
        <v>902</v>
      </c>
      <c r="C905" s="372" t="s">
        <v>1432</v>
      </c>
      <c r="D905" s="358" t="s">
        <v>779</v>
      </c>
      <c r="E905" s="373">
        <v>45810.375</v>
      </c>
      <c r="F905" s="372" t="s">
        <v>140</v>
      </c>
      <c r="G905" s="372">
        <v>2</v>
      </c>
      <c r="H905" s="372" t="s">
        <v>46</v>
      </c>
      <c r="I905" s="372" t="s">
        <v>47</v>
      </c>
      <c r="J905" s="372"/>
      <c r="K905" s="21"/>
      <c r="L905" s="21"/>
      <c r="M905" s="22"/>
      <c r="N905" s="23"/>
      <c r="O905" s="23"/>
      <c r="P905" s="23" t="s">
        <v>30</v>
      </c>
      <c r="Q905" s="23">
        <v>45842</v>
      </c>
      <c r="R905" s="81" t="s">
        <v>67</v>
      </c>
      <c r="S905" s="22" t="s">
        <v>32</v>
      </c>
      <c r="T905" s="236">
        <v>2</v>
      </c>
      <c r="U905" s="24" t="s">
        <v>67</v>
      </c>
      <c r="V905" s="23">
        <v>45842</v>
      </c>
      <c r="W905" s="82"/>
      <c r="X905" s="85"/>
      <c r="Y905"/>
      <c r="Z905"/>
      <c r="AA905"/>
      <c r="AC905" s="72"/>
      <c r="AD905" s="96"/>
      <c r="AE905" s="96"/>
    </row>
    <row r="906" spans="1:31">
      <c r="A906" s="358" t="s">
        <v>137</v>
      </c>
      <c r="B906" s="369">
        <v>903</v>
      </c>
      <c r="C906" s="372" t="s">
        <v>1433</v>
      </c>
      <c r="D906" s="358" t="s">
        <v>865</v>
      </c>
      <c r="E906" s="373">
        <v>45810.041666666664</v>
      </c>
      <c r="F906" s="372" t="s">
        <v>140</v>
      </c>
      <c r="G906" s="372">
        <v>2</v>
      </c>
      <c r="H906" s="372" t="s">
        <v>21</v>
      </c>
      <c r="I906" s="372" t="s">
        <v>127</v>
      </c>
      <c r="J906" s="372"/>
      <c r="K906" s="21"/>
      <c r="L906" s="21"/>
      <c r="M906" s="22"/>
      <c r="N906" s="23"/>
      <c r="O906" s="62"/>
      <c r="P906" s="23" t="s">
        <v>30</v>
      </c>
      <c r="Q906" s="23">
        <v>45817</v>
      </c>
      <c r="R906" s="81" t="s">
        <v>67</v>
      </c>
      <c r="S906" s="22" t="s">
        <v>32</v>
      </c>
      <c r="T906" s="236">
        <v>1</v>
      </c>
      <c r="U906" s="24" t="s">
        <v>67</v>
      </c>
      <c r="V906" s="23">
        <v>45817</v>
      </c>
      <c r="W906" s="82"/>
      <c r="X906" s="85"/>
      <c r="Y906"/>
      <c r="Z906"/>
      <c r="AA906"/>
      <c r="AC906" s="72"/>
      <c r="AD906" s="96"/>
      <c r="AE906" s="96"/>
    </row>
    <row r="907" spans="1:31">
      <c r="A907" s="358" t="s">
        <v>137</v>
      </c>
      <c r="B907" s="369">
        <v>904</v>
      </c>
      <c r="C907" s="372" t="s">
        <v>1434</v>
      </c>
      <c r="D907" s="358" t="s">
        <v>1245</v>
      </c>
      <c r="E907" s="373">
        <v>45810.375</v>
      </c>
      <c r="F907" s="372" t="s">
        <v>140</v>
      </c>
      <c r="G907" s="372">
        <v>1</v>
      </c>
      <c r="H907" s="372" t="s">
        <v>21</v>
      </c>
      <c r="I907" s="372" t="s">
        <v>127</v>
      </c>
      <c r="J907" s="372"/>
      <c r="K907" s="21"/>
      <c r="L907" s="21"/>
      <c r="M907" s="22"/>
      <c r="N907" s="23"/>
      <c r="O907" s="62"/>
      <c r="P907" s="23" t="s">
        <v>30</v>
      </c>
      <c r="Q907" s="23">
        <v>45826</v>
      </c>
      <c r="R907" s="81" t="s">
        <v>67</v>
      </c>
      <c r="S907" s="22" t="s">
        <v>32</v>
      </c>
      <c r="T907" s="236">
        <v>1</v>
      </c>
      <c r="U907" s="24" t="s">
        <v>67</v>
      </c>
      <c r="V907" s="23">
        <v>45826</v>
      </c>
      <c r="W907" s="360"/>
      <c r="X907" s="367"/>
      <c r="Y907"/>
      <c r="Z907"/>
      <c r="AA907"/>
      <c r="AC907" s="72"/>
      <c r="AD907" s="96"/>
      <c r="AE907" s="96"/>
    </row>
    <row r="908" spans="1:31">
      <c r="A908" s="358" t="s">
        <v>137</v>
      </c>
      <c r="B908" s="369">
        <v>905</v>
      </c>
      <c r="C908" s="372" t="s">
        <v>1435</v>
      </c>
      <c r="D908" s="358" t="s">
        <v>215</v>
      </c>
      <c r="E908" s="373">
        <v>45817.375</v>
      </c>
      <c r="F908" s="372" t="s">
        <v>140</v>
      </c>
      <c r="G908" s="372">
        <v>5</v>
      </c>
      <c r="H908" s="372" t="s">
        <v>21</v>
      </c>
      <c r="I908" s="372" t="s">
        <v>127</v>
      </c>
      <c r="J908" s="372"/>
      <c r="K908" s="21"/>
      <c r="L908" s="21"/>
      <c r="M908" s="22"/>
      <c r="N908" s="23"/>
      <c r="O908" s="62"/>
      <c r="P908" s="23" t="s">
        <v>30</v>
      </c>
      <c r="Q908" s="23">
        <v>45835</v>
      </c>
      <c r="R908" s="81" t="s">
        <v>67</v>
      </c>
      <c r="S908" s="22" t="s">
        <v>32</v>
      </c>
      <c r="T908" s="236">
        <v>5</v>
      </c>
      <c r="U908" s="24" t="s">
        <v>67</v>
      </c>
      <c r="V908" s="23">
        <v>45835</v>
      </c>
      <c r="W908" s="360"/>
      <c r="X908" s="367"/>
      <c r="Y908"/>
      <c r="Z908"/>
      <c r="AA908"/>
      <c r="AC908" s="72"/>
      <c r="AD908" s="96"/>
      <c r="AE908" s="96"/>
    </row>
    <row r="909" spans="1:31">
      <c r="A909" s="358" t="s">
        <v>137</v>
      </c>
      <c r="B909" s="369">
        <v>906</v>
      </c>
      <c r="C909" s="372" t="s">
        <v>1436</v>
      </c>
      <c r="D909" s="358" t="s">
        <v>519</v>
      </c>
      <c r="E909" s="373">
        <v>45817.375</v>
      </c>
      <c r="F909" s="372" t="s">
        <v>140</v>
      </c>
      <c r="G909" s="372">
        <v>74</v>
      </c>
      <c r="H909" s="372" t="s">
        <v>22</v>
      </c>
      <c r="I909" s="372" t="s">
        <v>28</v>
      </c>
      <c r="J909" s="372"/>
      <c r="K909" s="21"/>
      <c r="L909" s="21"/>
      <c r="M909" s="22"/>
      <c r="N909" s="23"/>
      <c r="O909" s="23" t="s">
        <v>31</v>
      </c>
      <c r="P909" s="23" t="s">
        <v>30</v>
      </c>
      <c r="Q909" s="23">
        <v>45826</v>
      </c>
      <c r="R909" s="81" t="s">
        <v>67</v>
      </c>
      <c r="S909" s="22" t="s">
        <v>32</v>
      </c>
      <c r="T909" s="236">
        <v>74</v>
      </c>
      <c r="U909" s="24" t="s">
        <v>67</v>
      </c>
      <c r="V909" s="23">
        <v>45826</v>
      </c>
      <c r="W909" s="360"/>
      <c r="X909" s="367"/>
      <c r="Y909" s="89">
        <v>0</v>
      </c>
      <c r="Z909" s="89">
        <v>74</v>
      </c>
      <c r="AA909" s="89">
        <v>0</v>
      </c>
      <c r="AB909">
        <f>SUM(Y909:AA909)</f>
        <v>74</v>
      </c>
      <c r="AC909" s="72">
        <f t="shared" ref="AC909:AC914" si="1">+Y909/AB909*AC$1</f>
        <v>0</v>
      </c>
      <c r="AD909" s="96">
        <f t="shared" ref="AD909:AD914" si="2">+Z909/AB909*AD$1</f>
        <v>3</v>
      </c>
      <c r="AE909" s="96">
        <f>+AA909/AB909*AE$1</f>
        <v>0</v>
      </c>
    </row>
    <row r="910" spans="1:31">
      <c r="A910" s="358" t="s">
        <v>137</v>
      </c>
      <c r="B910" s="369">
        <v>907</v>
      </c>
      <c r="C910" s="372" t="s">
        <v>1437</v>
      </c>
      <c r="D910" s="358" t="s">
        <v>1438</v>
      </c>
      <c r="E910" s="373">
        <v>45817.375</v>
      </c>
      <c r="F910" s="372" t="s">
        <v>140</v>
      </c>
      <c r="G910" s="372">
        <v>6</v>
      </c>
      <c r="H910" s="372" t="s">
        <v>21</v>
      </c>
      <c r="I910" s="372" t="s">
        <v>127</v>
      </c>
      <c r="J910" s="372"/>
      <c r="K910" s="21"/>
      <c r="L910" s="21"/>
      <c r="M910" s="22"/>
      <c r="N910" s="23"/>
      <c r="O910" s="62"/>
      <c r="P910" s="23" t="s">
        <v>30</v>
      </c>
      <c r="Q910" s="23">
        <v>45833</v>
      </c>
      <c r="R910" s="81" t="s">
        <v>67</v>
      </c>
      <c r="S910" s="22" t="s">
        <v>32</v>
      </c>
      <c r="T910" s="236">
        <v>6</v>
      </c>
      <c r="U910" s="24" t="s">
        <v>67</v>
      </c>
      <c r="V910" s="23">
        <v>45833</v>
      </c>
      <c r="W910" s="360"/>
      <c r="X910" s="367"/>
      <c r="Y910"/>
      <c r="Z910" s="412"/>
      <c r="AA910" s="412"/>
      <c r="AB910" s="412"/>
      <c r="AC910" s="96"/>
      <c r="AD910" s="96"/>
      <c r="AE910" s="96"/>
    </row>
    <row r="911" spans="1:31">
      <c r="A911" s="358" t="s">
        <v>137</v>
      </c>
      <c r="B911" s="369">
        <v>908</v>
      </c>
      <c r="C911" s="372" t="s">
        <v>1439</v>
      </c>
      <c r="D911" s="358" t="s">
        <v>779</v>
      </c>
      <c r="E911" s="373">
        <v>45817.375</v>
      </c>
      <c r="F911" s="372" t="s">
        <v>140</v>
      </c>
      <c r="G911" s="372">
        <v>4</v>
      </c>
      <c r="H911" s="372" t="s">
        <v>22</v>
      </c>
      <c r="I911" s="372" t="s">
        <v>28</v>
      </c>
      <c r="J911" s="372"/>
      <c r="K911" s="21"/>
      <c r="L911" s="21"/>
      <c r="M911" s="22"/>
      <c r="N911" s="23"/>
      <c r="O911" s="62"/>
      <c r="P911" s="23" t="s">
        <v>30</v>
      </c>
      <c r="Q911" s="23">
        <v>45833</v>
      </c>
      <c r="R911" s="81" t="s">
        <v>67</v>
      </c>
      <c r="S911" s="22" t="s">
        <v>32</v>
      </c>
      <c r="T911" s="236">
        <v>4</v>
      </c>
      <c r="U911" s="24" t="s">
        <v>67</v>
      </c>
      <c r="V911" s="23">
        <v>45833</v>
      </c>
      <c r="W911" s="82"/>
      <c r="X911" s="85"/>
      <c r="Y911"/>
      <c r="Z911" s="412"/>
      <c r="AA911" s="412"/>
      <c r="AB911" s="412"/>
      <c r="AC911" s="72"/>
      <c r="AD911" s="96"/>
      <c r="AE911" s="96"/>
    </row>
    <row r="912" spans="1:31">
      <c r="A912" s="358" t="s">
        <v>137</v>
      </c>
      <c r="B912" s="369">
        <v>909</v>
      </c>
      <c r="C912" s="372" t="s">
        <v>1440</v>
      </c>
      <c r="D912" s="358" t="s">
        <v>1441</v>
      </c>
      <c r="E912" s="373">
        <v>45824.375</v>
      </c>
      <c r="F912" s="372" t="s">
        <v>140</v>
      </c>
      <c r="G912" s="372">
        <v>74</v>
      </c>
      <c r="H912" s="372" t="s">
        <v>22</v>
      </c>
      <c r="I912" s="372" t="s">
        <v>28</v>
      </c>
      <c r="J912" s="372"/>
      <c r="K912" s="21"/>
      <c r="L912" s="21"/>
      <c r="M912" s="22"/>
      <c r="N912" s="23"/>
      <c r="O912" s="23" t="s">
        <v>31</v>
      </c>
      <c r="P912" s="23" t="s">
        <v>30</v>
      </c>
      <c r="Q912" s="23">
        <v>45833</v>
      </c>
      <c r="R912" s="81" t="s">
        <v>67</v>
      </c>
      <c r="S912" s="22" t="s">
        <v>32</v>
      </c>
      <c r="T912" s="236">
        <v>79</v>
      </c>
      <c r="U912" s="24" t="s">
        <v>67</v>
      </c>
      <c r="V912" s="23">
        <v>45833</v>
      </c>
      <c r="W912" s="82"/>
      <c r="X912" s="85"/>
      <c r="Y912" s="89">
        <v>0</v>
      </c>
      <c r="Z912" s="90">
        <v>74</v>
      </c>
      <c r="AA912" s="90">
        <v>0</v>
      </c>
      <c r="AB912">
        <f>SUM(Y912:AA912)</f>
        <v>74</v>
      </c>
      <c r="AC912" s="72">
        <f t="shared" si="1"/>
        <v>0</v>
      </c>
      <c r="AD912" s="96">
        <f t="shared" si="2"/>
        <v>3</v>
      </c>
      <c r="AE912" s="96">
        <f>+AA912/AB912*AE$1</f>
        <v>0</v>
      </c>
    </row>
    <row r="913" spans="1:31">
      <c r="A913" s="358" t="s">
        <v>137</v>
      </c>
      <c r="B913" s="369">
        <v>910</v>
      </c>
      <c r="C913" s="372" t="s">
        <v>1442</v>
      </c>
      <c r="D913" s="358" t="s">
        <v>779</v>
      </c>
      <c r="E913" s="373">
        <v>45824.041666666664</v>
      </c>
      <c r="F913" s="372" t="s">
        <v>140</v>
      </c>
      <c r="G913" s="372">
        <v>2</v>
      </c>
      <c r="H913" s="372" t="s">
        <v>21</v>
      </c>
      <c r="I913" s="372" t="s">
        <v>127</v>
      </c>
      <c r="J913" s="372"/>
      <c r="K913" s="21"/>
      <c r="L913" s="21"/>
      <c r="M913" s="22"/>
      <c r="N913" s="23"/>
      <c r="O913" s="23"/>
      <c r="P913" s="23" t="s">
        <v>30</v>
      </c>
      <c r="Q913" s="23">
        <v>45833</v>
      </c>
      <c r="R913" s="81" t="s">
        <v>67</v>
      </c>
      <c r="S913" s="22" t="s">
        <v>32</v>
      </c>
      <c r="T913" s="236">
        <v>2</v>
      </c>
      <c r="U913" s="24" t="s">
        <v>67</v>
      </c>
      <c r="V913" s="23">
        <v>45833</v>
      </c>
      <c r="W913" s="82"/>
      <c r="X913" s="85"/>
      <c r="Y913"/>
      <c r="Z913" s="89"/>
      <c r="AA913" s="89"/>
      <c r="AB913" s="88"/>
      <c r="AC913" s="72"/>
      <c r="AD913" s="96"/>
      <c r="AE913" s="96"/>
    </row>
    <row r="914" spans="1:31">
      <c r="A914" s="358" t="s">
        <v>137</v>
      </c>
      <c r="B914" s="369">
        <v>911</v>
      </c>
      <c r="C914" s="372" t="s">
        <v>1443</v>
      </c>
      <c r="D914" s="358" t="s">
        <v>1444</v>
      </c>
      <c r="E914" s="373">
        <v>45831.375</v>
      </c>
      <c r="F914" s="372" t="s">
        <v>140</v>
      </c>
      <c r="G914" s="372">
        <v>74</v>
      </c>
      <c r="H914" s="372" t="s">
        <v>210</v>
      </c>
      <c r="I914" s="372" t="s">
        <v>211</v>
      </c>
      <c r="J914" s="372"/>
      <c r="K914" s="21"/>
      <c r="L914" s="21"/>
      <c r="M914" s="22"/>
      <c r="N914" s="23"/>
      <c r="O914" s="23" t="s">
        <v>31</v>
      </c>
      <c r="P914" s="23" t="s">
        <v>30</v>
      </c>
      <c r="Q914" s="23">
        <v>45869</v>
      </c>
      <c r="R914" s="81" t="s">
        <v>67</v>
      </c>
      <c r="S914" s="22" t="s">
        <v>32</v>
      </c>
      <c r="T914" s="236">
        <v>74</v>
      </c>
      <c r="U914" s="24" t="s">
        <v>67</v>
      </c>
      <c r="V914" s="23">
        <v>45869</v>
      </c>
      <c r="W914" s="360"/>
      <c r="X914" s="367"/>
      <c r="Y914" s="89">
        <v>0</v>
      </c>
      <c r="Z914" s="89">
        <v>74</v>
      </c>
      <c r="AA914" s="89">
        <v>0</v>
      </c>
      <c r="AB914">
        <f>SUM(Y914:AA914)</f>
        <v>74</v>
      </c>
      <c r="AC914" s="72">
        <f t="shared" si="1"/>
        <v>0</v>
      </c>
      <c r="AD914" s="96">
        <f t="shared" si="2"/>
        <v>3</v>
      </c>
      <c r="AE914" s="96"/>
    </row>
    <row r="915" spans="1:31">
      <c r="A915" s="358" t="s">
        <v>137</v>
      </c>
      <c r="B915" s="369">
        <v>912</v>
      </c>
      <c r="C915" s="372" t="s">
        <v>1280</v>
      </c>
      <c r="D915" s="373" t="s">
        <v>1445</v>
      </c>
      <c r="E915" s="373">
        <v>45810</v>
      </c>
      <c r="F915" s="372" t="s">
        <v>140</v>
      </c>
      <c r="G915" s="372">
        <v>29</v>
      </c>
      <c r="H915" s="372" t="s">
        <v>1077</v>
      </c>
      <c r="I915" s="372" t="s">
        <v>1138</v>
      </c>
      <c r="J915" s="372"/>
      <c r="K915" s="21"/>
      <c r="L915" s="21"/>
      <c r="M915" s="22"/>
      <c r="N915" s="23"/>
      <c r="O915" s="62"/>
      <c r="P915" s="23" t="s">
        <v>30</v>
      </c>
      <c r="Q915" s="23">
        <v>45832</v>
      </c>
      <c r="R915" s="228" t="s">
        <v>67</v>
      </c>
      <c r="S915" s="23" t="s">
        <v>32</v>
      </c>
      <c r="T915" s="236">
        <v>29</v>
      </c>
      <c r="U915" s="23" t="s">
        <v>67</v>
      </c>
      <c r="V915" s="23">
        <v>45832</v>
      </c>
      <c r="W915" s="82"/>
      <c r="X915" s="85"/>
      <c r="Y915"/>
      <c r="Z915"/>
      <c r="AA915"/>
      <c r="AC915" s="96"/>
      <c r="AD915" s="96"/>
      <c r="AE915" s="96"/>
    </row>
    <row r="916" spans="1:31">
      <c r="A916" s="358" t="s">
        <v>137</v>
      </c>
      <c r="B916" s="369">
        <v>913</v>
      </c>
      <c r="C916" s="372" t="s">
        <v>1446</v>
      </c>
      <c r="D916" s="372" t="s">
        <v>1447</v>
      </c>
      <c r="E916" s="377">
        <v>45838.375</v>
      </c>
      <c r="F916" s="372" t="s">
        <v>140</v>
      </c>
      <c r="G916" s="372">
        <v>3</v>
      </c>
      <c r="H916" s="372" t="s">
        <v>21</v>
      </c>
      <c r="I916" s="372" t="s">
        <v>127</v>
      </c>
      <c r="J916" s="372"/>
      <c r="K916" s="372"/>
      <c r="L916" s="372"/>
      <c r="M916" s="372"/>
      <c r="N916" s="372"/>
      <c r="O916" s="372"/>
      <c r="P916" s="23" t="s">
        <v>30</v>
      </c>
      <c r="Q916" s="23">
        <v>45849</v>
      </c>
      <c r="R916" s="228" t="s">
        <v>67</v>
      </c>
      <c r="S916" s="23" t="s">
        <v>32</v>
      </c>
      <c r="T916" s="372">
        <v>3</v>
      </c>
      <c r="U916" s="23" t="s">
        <v>67</v>
      </c>
      <c r="V916" s="23">
        <v>45849</v>
      </c>
      <c r="W916" s="372"/>
      <c r="X916" s="366"/>
      <c r="Y916" s="366"/>
      <c r="Z916" s="366"/>
      <c r="AA916" s="366"/>
      <c r="AB916" s="366"/>
      <c r="AC916" s="366"/>
      <c r="AD916" s="366"/>
      <c r="AE916" s="366"/>
    </row>
    <row r="917" spans="1:31">
      <c r="A917" s="358" t="s">
        <v>137</v>
      </c>
      <c r="B917" s="369">
        <v>914</v>
      </c>
      <c r="C917" s="372" t="s">
        <v>1448</v>
      </c>
      <c r="D917" s="372" t="s">
        <v>1449</v>
      </c>
      <c r="E917" s="377">
        <v>45838.375</v>
      </c>
      <c r="F917" s="372" t="s">
        <v>140</v>
      </c>
      <c r="G917" s="372">
        <v>2</v>
      </c>
      <c r="H917" s="372" t="s">
        <v>46</v>
      </c>
      <c r="I917" s="372" t="s">
        <v>47</v>
      </c>
      <c r="J917" s="372"/>
      <c r="K917" s="372"/>
      <c r="L917" s="372"/>
      <c r="M917" s="372"/>
      <c r="N917" s="372"/>
      <c r="O917" s="372"/>
      <c r="P917" s="23" t="s">
        <v>30</v>
      </c>
      <c r="Q917" s="23">
        <v>45849</v>
      </c>
      <c r="R917" s="228" t="s">
        <v>67</v>
      </c>
      <c r="S917" s="23" t="s">
        <v>32</v>
      </c>
      <c r="T917" s="372">
        <v>2</v>
      </c>
      <c r="U917" s="23" t="s">
        <v>67</v>
      </c>
      <c r="V917" s="23">
        <v>45849</v>
      </c>
      <c r="W917" s="372"/>
      <c r="X917" s="366"/>
      <c r="Y917" s="366"/>
      <c r="Z917" s="366"/>
      <c r="AA917" s="366"/>
      <c r="AB917" s="366"/>
      <c r="AC917" s="366"/>
      <c r="AD917" s="366"/>
      <c r="AE917" s="366"/>
    </row>
    <row r="918" spans="1:31">
      <c r="A918" s="358" t="s">
        <v>137</v>
      </c>
      <c r="B918" s="369">
        <v>915</v>
      </c>
      <c r="C918" s="372" t="s">
        <v>1450</v>
      </c>
      <c r="D918" s="372" t="s">
        <v>950</v>
      </c>
      <c r="E918" s="377">
        <v>45838.375</v>
      </c>
      <c r="F918" s="372" t="s">
        <v>140</v>
      </c>
      <c r="G918" s="372">
        <v>1</v>
      </c>
      <c r="H918" s="372" t="s">
        <v>46</v>
      </c>
      <c r="I918" s="372" t="s">
        <v>47</v>
      </c>
      <c r="J918" s="372"/>
      <c r="K918" s="372"/>
      <c r="L918" s="372"/>
      <c r="M918" s="372"/>
      <c r="N918" s="372"/>
      <c r="O918" s="372"/>
      <c r="P918" s="23" t="s">
        <v>30</v>
      </c>
      <c r="Q918" s="23">
        <v>45849</v>
      </c>
      <c r="R918" s="228" t="s">
        <v>67</v>
      </c>
      <c r="S918" s="23" t="s">
        <v>32</v>
      </c>
      <c r="T918" s="372">
        <v>1</v>
      </c>
      <c r="U918" s="23" t="s">
        <v>67</v>
      </c>
      <c r="V918" s="23">
        <v>45849</v>
      </c>
      <c r="W918" s="372"/>
      <c r="X918" s="366"/>
      <c r="Y918" s="366"/>
      <c r="Z918" s="366"/>
      <c r="AA918" s="366"/>
      <c r="AB918" s="366"/>
      <c r="AC918" s="366"/>
      <c r="AD918" s="366"/>
      <c r="AE918" s="366"/>
    </row>
    <row r="919" spans="1:31">
      <c r="A919" s="358" t="s">
        <v>137</v>
      </c>
      <c r="B919" s="369">
        <v>916</v>
      </c>
      <c r="C919" s="372" t="s">
        <v>1451</v>
      </c>
      <c r="D919" s="372" t="s">
        <v>1452</v>
      </c>
      <c r="E919" s="377">
        <v>45838.375</v>
      </c>
      <c r="F919" s="372" t="s">
        <v>140</v>
      </c>
      <c r="G919" s="372">
        <v>10</v>
      </c>
      <c r="H919" s="372" t="s">
        <v>1077</v>
      </c>
      <c r="I919" s="372" t="s">
        <v>1138</v>
      </c>
      <c r="J919" s="372"/>
      <c r="K919" s="372"/>
      <c r="L919" s="372"/>
      <c r="M919" s="372"/>
      <c r="N919" s="372"/>
      <c r="O919" s="372"/>
      <c r="P919" s="23" t="s">
        <v>30</v>
      </c>
      <c r="Q919" s="23">
        <v>45847</v>
      </c>
      <c r="R919" s="228" t="s">
        <v>67</v>
      </c>
      <c r="S919" s="23" t="s">
        <v>32</v>
      </c>
      <c r="T919" s="372">
        <v>10</v>
      </c>
      <c r="U919" s="23" t="s">
        <v>67</v>
      </c>
      <c r="V919" s="23">
        <v>45847</v>
      </c>
      <c r="W919" s="372"/>
      <c r="X919" s="366"/>
      <c r="Y919" s="366"/>
      <c r="Z919" s="366"/>
      <c r="AA919" s="366"/>
      <c r="AB919" s="366"/>
      <c r="AC919" s="366"/>
      <c r="AD919" s="366"/>
      <c r="AE919" s="366"/>
    </row>
    <row r="920" spans="1:31">
      <c r="A920" s="358" t="s">
        <v>137</v>
      </c>
      <c r="B920" s="369">
        <v>917</v>
      </c>
      <c r="C920" s="372" t="s">
        <v>1453</v>
      </c>
      <c r="D920" s="372" t="s">
        <v>1454</v>
      </c>
      <c r="E920" s="373">
        <v>45837</v>
      </c>
      <c r="F920" s="372" t="s">
        <v>140</v>
      </c>
      <c r="G920" s="372">
        <v>7</v>
      </c>
      <c r="H920" s="372" t="s">
        <v>46</v>
      </c>
      <c r="I920" s="372" t="s">
        <v>47</v>
      </c>
      <c r="J920" s="372"/>
      <c r="K920" s="372"/>
      <c r="L920" s="240"/>
      <c r="M920" s="22"/>
      <c r="N920" s="23"/>
      <c r="O920" s="23"/>
      <c r="P920" s="23" t="s">
        <v>30</v>
      </c>
      <c r="Q920" s="23">
        <v>45838</v>
      </c>
      <c r="R920" s="228" t="s">
        <v>67</v>
      </c>
      <c r="S920" s="23" t="s">
        <v>32</v>
      </c>
      <c r="T920" s="236">
        <v>7</v>
      </c>
      <c r="U920" s="23" t="s">
        <v>67</v>
      </c>
      <c r="V920" s="23">
        <v>45838</v>
      </c>
      <c r="W920" s="360"/>
      <c r="X920" s="367"/>
      <c r="Y920"/>
      <c r="Z920" s="412"/>
      <c r="AA920" s="412"/>
      <c r="AB920" s="412"/>
      <c r="AD920" s="96"/>
    </row>
    <row r="921" spans="1:31">
      <c r="A921" s="358" t="s">
        <v>137</v>
      </c>
      <c r="B921" s="369">
        <v>918</v>
      </c>
      <c r="C921" s="372" t="s">
        <v>1455</v>
      </c>
      <c r="D921" s="372" t="s">
        <v>1449</v>
      </c>
      <c r="E921" s="373">
        <v>45837</v>
      </c>
      <c r="F921" s="372" t="s">
        <v>140</v>
      </c>
      <c r="G921" s="372">
        <v>1</v>
      </c>
      <c r="H921" s="372" t="s">
        <v>46</v>
      </c>
      <c r="I921" s="372" t="s">
        <v>47</v>
      </c>
      <c r="J921" s="372"/>
      <c r="K921" s="372"/>
      <c r="L921" s="240"/>
      <c r="M921" s="22"/>
      <c r="N921" s="23"/>
      <c r="O921" s="23"/>
      <c r="P921" s="23" t="s">
        <v>30</v>
      </c>
      <c r="Q921" s="23">
        <v>45869</v>
      </c>
      <c r="R921" s="228" t="s">
        <v>67</v>
      </c>
      <c r="S921" s="23" t="s">
        <v>32</v>
      </c>
      <c r="T921" s="236">
        <v>1</v>
      </c>
      <c r="U921" s="23" t="s">
        <v>67</v>
      </c>
      <c r="V921" s="23">
        <v>45869</v>
      </c>
      <c r="W921" s="360"/>
      <c r="X921" s="367"/>
      <c r="Y921"/>
      <c r="Z921" s="412"/>
      <c r="AA921" s="412"/>
      <c r="AB921" s="412"/>
      <c r="AD921" s="96"/>
    </row>
    <row r="922" spans="1:31">
      <c r="A922" s="358" t="s">
        <v>24</v>
      </c>
      <c r="B922" s="369">
        <v>919</v>
      </c>
      <c r="C922" s="372" t="s">
        <v>121</v>
      </c>
      <c r="D922" s="373" t="s">
        <v>34</v>
      </c>
      <c r="E922" s="373">
        <v>45840</v>
      </c>
      <c r="F922" s="372" t="s">
        <v>1128</v>
      </c>
      <c r="G922" s="372">
        <v>10</v>
      </c>
      <c r="H922" s="372" t="s">
        <v>1077</v>
      </c>
      <c r="I922" s="372" t="s">
        <v>1138</v>
      </c>
      <c r="J922" s="372" t="s">
        <v>871</v>
      </c>
      <c r="K922" s="372"/>
      <c r="L922" s="358"/>
      <c r="M922" s="358"/>
      <c r="N922" s="358"/>
      <c r="O922" s="380"/>
      <c r="P922" s="380" t="s">
        <v>30</v>
      </c>
      <c r="Q922" s="23">
        <v>45883</v>
      </c>
      <c r="R922" s="81" t="s">
        <v>1077</v>
      </c>
      <c r="S922" s="22" t="s">
        <v>32</v>
      </c>
      <c r="T922" s="22">
        <v>10</v>
      </c>
      <c r="U922" s="24" t="s">
        <v>1077</v>
      </c>
      <c r="V922" s="23">
        <v>45883</v>
      </c>
      <c r="W922" s="241" t="s">
        <v>30</v>
      </c>
      <c r="X922" s="82" t="s">
        <v>30</v>
      </c>
      <c r="Y922" s="100" t="s">
        <v>30</v>
      </c>
      <c r="Z922"/>
      <c r="AA922" s="412"/>
      <c r="AB922" s="412"/>
      <c r="AC922" s="412"/>
    </row>
    <row r="923" spans="1:31">
      <c r="A923" s="358" t="s">
        <v>24</v>
      </c>
      <c r="B923" s="369">
        <v>920</v>
      </c>
      <c r="C923" s="372" t="s">
        <v>1456</v>
      </c>
      <c r="D923" s="373" t="s">
        <v>34</v>
      </c>
      <c r="E923" s="373">
        <v>45843</v>
      </c>
      <c r="F923" s="372" t="s">
        <v>202</v>
      </c>
      <c r="G923" s="372">
        <v>9</v>
      </c>
      <c r="H923" s="372" t="s">
        <v>21</v>
      </c>
      <c r="I923" s="372" t="s">
        <v>127</v>
      </c>
      <c r="J923" s="372" t="s">
        <v>871</v>
      </c>
      <c r="K923" s="372"/>
      <c r="L923" s="358"/>
      <c r="M923" s="358"/>
      <c r="N923" s="358"/>
      <c r="O923" s="380"/>
      <c r="P923" s="380" t="s">
        <v>30</v>
      </c>
      <c r="Q923" s="23">
        <v>45897</v>
      </c>
      <c r="R923" s="81" t="s">
        <v>28</v>
      </c>
      <c r="S923" s="22" t="s">
        <v>32</v>
      </c>
      <c r="T923" s="22">
        <v>9</v>
      </c>
      <c r="U923" s="24" t="s">
        <v>28</v>
      </c>
      <c r="V923" s="23">
        <v>45897</v>
      </c>
      <c r="W923" s="241" t="s">
        <v>30</v>
      </c>
      <c r="X923" s="82" t="s">
        <v>30</v>
      </c>
      <c r="Y923" s="100" t="s">
        <v>30</v>
      </c>
      <c r="Z923"/>
      <c r="AA923" s="412"/>
      <c r="AB923" s="412"/>
      <c r="AC923" s="412"/>
    </row>
    <row r="924" spans="1:31">
      <c r="A924" s="358" t="s">
        <v>24</v>
      </c>
      <c r="B924" s="369">
        <v>921</v>
      </c>
      <c r="C924" s="372" t="s">
        <v>1457</v>
      </c>
      <c r="D924" s="373" t="s">
        <v>34</v>
      </c>
      <c r="E924" s="373">
        <v>45843</v>
      </c>
      <c r="F924" s="372" t="s">
        <v>1458</v>
      </c>
      <c r="G924" s="372">
        <v>20</v>
      </c>
      <c r="H924" s="372" t="s">
        <v>1077</v>
      </c>
      <c r="I924" s="372" t="s">
        <v>1138</v>
      </c>
      <c r="J924" s="372" t="s">
        <v>871</v>
      </c>
      <c r="K924" s="372"/>
      <c r="L924" s="358"/>
      <c r="M924" s="358"/>
      <c r="N924" s="358"/>
      <c r="O924" s="380" t="s">
        <v>31</v>
      </c>
      <c r="P924" s="380" t="s">
        <v>30</v>
      </c>
      <c r="Q924" s="23">
        <v>45877</v>
      </c>
      <c r="R924" s="81" t="s">
        <v>1138</v>
      </c>
      <c r="S924" s="22" t="s">
        <v>32</v>
      </c>
      <c r="T924" s="22">
        <v>20</v>
      </c>
      <c r="U924" s="24" t="s">
        <v>1138</v>
      </c>
      <c r="V924" s="23">
        <v>45877</v>
      </c>
      <c r="W924" s="241" t="s">
        <v>30</v>
      </c>
      <c r="X924" s="82" t="s">
        <v>30</v>
      </c>
      <c r="Y924" s="82" t="s">
        <v>30</v>
      </c>
      <c r="Z924"/>
      <c r="AA924" s="412"/>
      <c r="AB924" s="412"/>
      <c r="AC924" s="412"/>
    </row>
    <row r="925" spans="1:31">
      <c r="A925" s="358" t="s">
        <v>24</v>
      </c>
      <c r="B925" s="369">
        <v>922</v>
      </c>
      <c r="C925" s="372" t="s">
        <v>1459</v>
      </c>
      <c r="D925" s="373" t="s">
        <v>34</v>
      </c>
      <c r="E925" s="373">
        <v>45843</v>
      </c>
      <c r="F925" s="372" t="s">
        <v>35</v>
      </c>
      <c r="G925" s="372">
        <v>9</v>
      </c>
      <c r="H925" s="372" t="s">
        <v>48</v>
      </c>
      <c r="I925" s="372" t="s">
        <v>47</v>
      </c>
      <c r="J925" s="372" t="s">
        <v>871</v>
      </c>
      <c r="K925" s="372"/>
      <c r="L925" s="358"/>
      <c r="M925" s="358"/>
      <c r="N925" s="358"/>
      <c r="O925" s="380"/>
      <c r="P925" s="380" t="s">
        <v>30</v>
      </c>
      <c r="Q925" s="23">
        <v>45880</v>
      </c>
      <c r="R925" s="81" t="s">
        <v>47</v>
      </c>
      <c r="S925" s="22" t="s">
        <v>32</v>
      </c>
      <c r="T925" s="22">
        <v>9</v>
      </c>
      <c r="U925" s="24" t="s">
        <v>47</v>
      </c>
      <c r="V925" s="23">
        <v>45880</v>
      </c>
      <c r="W925" s="241" t="s">
        <v>30</v>
      </c>
      <c r="X925" s="82" t="s">
        <v>30</v>
      </c>
      <c r="Y925" s="82" t="s">
        <v>30</v>
      </c>
      <c r="Z925"/>
      <c r="AA925" s="412"/>
      <c r="AB925" s="412"/>
      <c r="AC925" s="412"/>
    </row>
    <row r="926" spans="1:31">
      <c r="A926" s="358" t="s">
        <v>24</v>
      </c>
      <c r="B926" s="369">
        <v>923</v>
      </c>
      <c r="C926" s="372" t="s">
        <v>1460</v>
      </c>
      <c r="D926" s="373" t="s">
        <v>34</v>
      </c>
      <c r="E926" s="373">
        <v>45843</v>
      </c>
      <c r="F926" s="372" t="s">
        <v>368</v>
      </c>
      <c r="G926" s="372">
        <v>12</v>
      </c>
      <c r="H926" s="372" t="s">
        <v>48</v>
      </c>
      <c r="I926" s="372" t="s">
        <v>127</v>
      </c>
      <c r="J926" s="372" t="s">
        <v>871</v>
      </c>
      <c r="K926" s="93" t="s">
        <v>273</v>
      </c>
      <c r="L926" s="358"/>
      <c r="M926" s="358"/>
      <c r="N926" s="358"/>
      <c r="O926" s="380"/>
      <c r="P926" s="380" t="s">
        <v>1091</v>
      </c>
      <c r="Q926" s="23">
        <v>45896</v>
      </c>
      <c r="R926" s="81" t="s">
        <v>28</v>
      </c>
      <c r="S926" s="22" t="s">
        <v>32</v>
      </c>
      <c r="T926" s="22">
        <v>12</v>
      </c>
      <c r="U926" s="24" t="s">
        <v>28</v>
      </c>
      <c r="V926" s="23">
        <v>45896</v>
      </c>
      <c r="W926" s="85" t="s">
        <v>30</v>
      </c>
      <c r="X926" s="82" t="s">
        <v>30</v>
      </c>
      <c r="Y926" s="82" t="s">
        <v>30</v>
      </c>
      <c r="Z926"/>
      <c r="AA926"/>
    </row>
    <row r="927" spans="1:31">
      <c r="A927" s="358" t="s">
        <v>24</v>
      </c>
      <c r="B927" s="369">
        <v>924</v>
      </c>
      <c r="C927" s="372" t="s">
        <v>1461</v>
      </c>
      <c r="D927" s="373" t="s">
        <v>50</v>
      </c>
      <c r="E927" s="373">
        <v>45845</v>
      </c>
      <c r="F927" s="372" t="s">
        <v>65</v>
      </c>
      <c r="G927" s="372">
        <v>10</v>
      </c>
      <c r="H927" s="372" t="s">
        <v>1077</v>
      </c>
      <c r="I927" s="372" t="s">
        <v>1138</v>
      </c>
      <c r="J927" s="372" t="s">
        <v>871</v>
      </c>
      <c r="K927" s="372"/>
      <c r="L927" s="358"/>
      <c r="M927" s="358"/>
      <c r="N927" s="94"/>
      <c r="O927" s="380"/>
      <c r="P927" s="380" t="s">
        <v>30</v>
      </c>
      <c r="Q927" s="23">
        <v>45863</v>
      </c>
      <c r="R927" s="81" t="s">
        <v>1077</v>
      </c>
      <c r="S927" s="22" t="s">
        <v>32</v>
      </c>
      <c r="T927" s="22">
        <v>10</v>
      </c>
      <c r="U927" s="24" t="s">
        <v>1077</v>
      </c>
      <c r="V927" s="23">
        <v>45863</v>
      </c>
      <c r="W927" s="241" t="s">
        <v>30</v>
      </c>
      <c r="X927" s="82" t="s">
        <v>30</v>
      </c>
      <c r="Y927" s="82" t="s">
        <v>30</v>
      </c>
      <c r="Z927"/>
      <c r="AA927" s="412"/>
      <c r="AB927" s="412"/>
      <c r="AC927" s="412"/>
    </row>
    <row r="928" spans="1:31">
      <c r="A928" s="358" t="s">
        <v>24</v>
      </c>
      <c r="B928" s="369">
        <v>925</v>
      </c>
      <c r="C928" s="372" t="s">
        <v>1462</v>
      </c>
      <c r="D928" s="373" t="s">
        <v>1463</v>
      </c>
      <c r="E928" s="373">
        <v>45845</v>
      </c>
      <c r="F928" s="372" t="s">
        <v>395</v>
      </c>
      <c r="G928" s="372">
        <v>17</v>
      </c>
      <c r="H928" s="372" t="s">
        <v>21</v>
      </c>
      <c r="I928" s="372" t="s">
        <v>127</v>
      </c>
      <c r="J928" s="372" t="s">
        <v>871</v>
      </c>
      <c r="K928" s="93" t="s">
        <v>1076</v>
      </c>
      <c r="L928" s="358"/>
      <c r="M928" s="358"/>
      <c r="N928" s="380"/>
      <c r="O928" s="380" t="s">
        <v>31</v>
      </c>
      <c r="P928" s="380"/>
      <c r="Q928" s="23"/>
      <c r="R928" s="81" t="s">
        <v>127</v>
      </c>
      <c r="S928" s="22"/>
      <c r="T928" s="22"/>
      <c r="U928" s="22"/>
      <c r="V928" s="23"/>
      <c r="W928" s="95" t="s">
        <v>32</v>
      </c>
      <c r="X928" s="235" t="s">
        <v>32</v>
      </c>
      <c r="Y928" s="235" t="s">
        <v>32</v>
      </c>
      <c r="Z928"/>
      <c r="AA928" s="412"/>
      <c r="AB928" s="412"/>
      <c r="AC928" s="412"/>
    </row>
    <row r="929" spans="1:29">
      <c r="A929" s="358" t="s">
        <v>24</v>
      </c>
      <c r="B929" s="369">
        <v>926</v>
      </c>
      <c r="C929" s="372" t="s">
        <v>1464</v>
      </c>
      <c r="D929" s="373" t="s">
        <v>34</v>
      </c>
      <c r="E929" s="373">
        <v>45850</v>
      </c>
      <c r="F929" s="372" t="s">
        <v>324</v>
      </c>
      <c r="G929" s="372">
        <v>10</v>
      </c>
      <c r="H929" s="372" t="s">
        <v>48</v>
      </c>
      <c r="I929" s="372" t="s">
        <v>47</v>
      </c>
      <c r="J929" s="372" t="s">
        <v>871</v>
      </c>
      <c r="K929" s="93" t="s">
        <v>325</v>
      </c>
      <c r="L929" s="358"/>
      <c r="M929" s="358"/>
      <c r="N929" s="380"/>
      <c r="O929" s="380"/>
      <c r="P929" s="380" t="s">
        <v>1091</v>
      </c>
      <c r="Q929" s="23">
        <v>45895</v>
      </c>
      <c r="R929" s="81" t="s">
        <v>47</v>
      </c>
      <c r="S929" s="22" t="s">
        <v>32</v>
      </c>
      <c r="T929" s="22">
        <v>10</v>
      </c>
      <c r="U929" s="22" t="s">
        <v>28</v>
      </c>
      <c r="V929" s="23">
        <v>45895</v>
      </c>
      <c r="W929" s="241" t="s">
        <v>30</v>
      </c>
      <c r="X929" s="100" t="s">
        <v>30</v>
      </c>
      <c r="Y929" s="82" t="s">
        <v>30</v>
      </c>
      <c r="Z929"/>
      <c r="AA929" s="412"/>
      <c r="AB929" s="412"/>
      <c r="AC929" s="412"/>
    </row>
    <row r="930" spans="1:29">
      <c r="A930" s="358" t="s">
        <v>24</v>
      </c>
      <c r="B930" s="369">
        <v>927</v>
      </c>
      <c r="C930" s="372" t="s">
        <v>1465</v>
      </c>
      <c r="D930" s="373" t="s">
        <v>34</v>
      </c>
      <c r="E930" s="373">
        <v>45850</v>
      </c>
      <c r="F930" s="372" t="s">
        <v>194</v>
      </c>
      <c r="G930" s="372">
        <v>14</v>
      </c>
      <c r="H930" s="372" t="s">
        <v>48</v>
      </c>
      <c r="I930" s="372" t="s">
        <v>47</v>
      </c>
      <c r="J930" s="372" t="s">
        <v>871</v>
      </c>
      <c r="K930" s="93" t="s">
        <v>273</v>
      </c>
      <c r="L930" s="358"/>
      <c r="M930" s="358"/>
      <c r="N930" s="380"/>
      <c r="O930" s="380"/>
      <c r="P930" s="380" t="s">
        <v>30</v>
      </c>
      <c r="Q930" s="23">
        <v>45896</v>
      </c>
      <c r="R930" s="81" t="s">
        <v>28</v>
      </c>
      <c r="S930" s="22" t="s">
        <v>32</v>
      </c>
      <c r="T930" s="22">
        <v>14</v>
      </c>
      <c r="U930" s="24" t="s">
        <v>28</v>
      </c>
      <c r="V930" s="23">
        <v>45896</v>
      </c>
      <c r="W930" s="85" t="s">
        <v>30</v>
      </c>
      <c r="X930" s="82" t="s">
        <v>30</v>
      </c>
      <c r="Y930" s="82" t="s">
        <v>30</v>
      </c>
      <c r="Z930"/>
      <c r="AA930" s="412"/>
      <c r="AB930" s="412"/>
      <c r="AC930" s="412"/>
    </row>
    <row r="931" spans="1:29">
      <c r="A931" s="358" t="s">
        <v>24</v>
      </c>
      <c r="B931" s="369">
        <v>928</v>
      </c>
      <c r="C931" s="372" t="s">
        <v>1466</v>
      </c>
      <c r="D931" s="373" t="s">
        <v>102</v>
      </c>
      <c r="E931" s="373">
        <v>45850</v>
      </c>
      <c r="F931" s="372" t="s">
        <v>653</v>
      </c>
      <c r="G931" s="372">
        <v>7</v>
      </c>
      <c r="H931" s="372" t="s">
        <v>48</v>
      </c>
      <c r="I931" s="372" t="s">
        <v>47</v>
      </c>
      <c r="J931" s="372" t="s">
        <v>871</v>
      </c>
      <c r="K931" s="372"/>
      <c r="L931" s="358"/>
      <c r="M931" s="358"/>
      <c r="N931" s="380"/>
      <c r="O931" s="380"/>
      <c r="P931" s="380" t="s">
        <v>30</v>
      </c>
      <c r="Q931" s="23">
        <v>45880</v>
      </c>
      <c r="R931" s="81" t="s">
        <v>47</v>
      </c>
      <c r="S931" s="22" t="s">
        <v>32</v>
      </c>
      <c r="T931" s="22">
        <v>7</v>
      </c>
      <c r="U931" s="24" t="s">
        <v>47</v>
      </c>
      <c r="V931" s="23">
        <v>45880</v>
      </c>
      <c r="W931" s="241" t="s">
        <v>30</v>
      </c>
      <c r="X931" s="82" t="s">
        <v>30</v>
      </c>
      <c r="Y931" s="82" t="s">
        <v>30</v>
      </c>
      <c r="Z931"/>
      <c r="AA931" s="412"/>
      <c r="AB931" s="412"/>
      <c r="AC931" s="412"/>
    </row>
    <row r="932" spans="1:29">
      <c r="A932" s="358" t="s">
        <v>24</v>
      </c>
      <c r="B932" s="369">
        <v>929</v>
      </c>
      <c r="C932" s="372" t="s">
        <v>1467</v>
      </c>
      <c r="D932" s="373" t="s">
        <v>446</v>
      </c>
      <c r="E932" s="373">
        <v>45850</v>
      </c>
      <c r="F932" s="372" t="s">
        <v>653</v>
      </c>
      <c r="G932" s="372">
        <v>7</v>
      </c>
      <c r="H932" s="372" t="s">
        <v>48</v>
      </c>
      <c r="I932" s="372" t="s">
        <v>47</v>
      </c>
      <c r="J932" s="372" t="s">
        <v>871</v>
      </c>
      <c r="K932" s="93"/>
      <c r="L932" s="358"/>
      <c r="M932" s="358"/>
      <c r="N932" s="94"/>
      <c r="O932" s="380"/>
      <c r="P932" s="380" t="s">
        <v>30</v>
      </c>
      <c r="Q932" s="23">
        <v>45877</v>
      </c>
      <c r="R932" s="81" t="s">
        <v>47</v>
      </c>
      <c r="S932" s="22" t="s">
        <v>32</v>
      </c>
      <c r="T932" s="22">
        <v>6</v>
      </c>
      <c r="U932" s="24" t="s">
        <v>47</v>
      </c>
      <c r="V932" s="23">
        <v>45877</v>
      </c>
      <c r="W932" s="241" t="s">
        <v>30</v>
      </c>
      <c r="X932" s="82" t="s">
        <v>30</v>
      </c>
      <c r="Y932" s="82" t="s">
        <v>30</v>
      </c>
      <c r="Z932"/>
      <c r="AA932"/>
    </row>
    <row r="933" spans="1:29">
      <c r="A933" s="358" t="s">
        <v>24</v>
      </c>
      <c r="B933" s="369">
        <v>930</v>
      </c>
      <c r="C933" s="372" t="s">
        <v>1468</v>
      </c>
      <c r="D933" s="373" t="s">
        <v>34</v>
      </c>
      <c r="E933" s="373">
        <v>45850</v>
      </c>
      <c r="F933" s="372" t="s">
        <v>117</v>
      </c>
      <c r="G933" s="372">
        <v>11</v>
      </c>
      <c r="H933" s="372" t="s">
        <v>21</v>
      </c>
      <c r="I933" s="372" t="s">
        <v>127</v>
      </c>
      <c r="J933" s="372" t="s">
        <v>871</v>
      </c>
      <c r="K933" s="93" t="s">
        <v>283</v>
      </c>
      <c r="L933" s="358"/>
      <c r="M933" s="358"/>
      <c r="N933" s="94"/>
      <c r="O933" s="380"/>
      <c r="P933" s="23" t="s">
        <v>30</v>
      </c>
      <c r="Q933" s="23">
        <v>45897</v>
      </c>
      <c r="R933" s="81" t="s">
        <v>28</v>
      </c>
      <c r="S933" s="22" t="s">
        <v>32</v>
      </c>
      <c r="T933" s="22">
        <v>11</v>
      </c>
      <c r="U933" s="22" t="s">
        <v>28</v>
      </c>
      <c r="V933" s="23">
        <v>45897</v>
      </c>
      <c r="W933" s="241" t="s">
        <v>30</v>
      </c>
      <c r="X933" s="100" t="s">
        <v>30</v>
      </c>
      <c r="Y933" s="100" t="s">
        <v>30</v>
      </c>
      <c r="Z933"/>
      <c r="AA933"/>
    </row>
    <row r="934" spans="1:29">
      <c r="A934" s="358" t="s">
        <v>24</v>
      </c>
      <c r="B934" s="369">
        <v>931</v>
      </c>
      <c r="C934" s="372" t="s">
        <v>1469</v>
      </c>
      <c r="D934" s="373" t="s">
        <v>26</v>
      </c>
      <c r="E934" s="373">
        <v>45852</v>
      </c>
      <c r="F934" s="372" t="s">
        <v>1470</v>
      </c>
      <c r="G934" s="372">
        <v>12</v>
      </c>
      <c r="H934" s="372" t="s">
        <v>48</v>
      </c>
      <c r="I934" s="372" t="s">
        <v>47</v>
      </c>
      <c r="J934" s="372" t="s">
        <v>871</v>
      </c>
      <c r="K934" s="21"/>
      <c r="L934" s="358"/>
      <c r="M934" s="358"/>
      <c r="N934" s="380"/>
      <c r="O934" s="380"/>
      <c r="P934" s="380" t="s">
        <v>30</v>
      </c>
      <c r="Q934" s="23">
        <v>45881</v>
      </c>
      <c r="R934" s="81" t="s">
        <v>47</v>
      </c>
      <c r="S934" s="22" t="s">
        <v>32</v>
      </c>
      <c r="T934" s="22">
        <v>12</v>
      </c>
      <c r="U934" s="24" t="s">
        <v>47</v>
      </c>
      <c r="V934" s="23">
        <v>45881</v>
      </c>
      <c r="W934" s="241" t="s">
        <v>30</v>
      </c>
      <c r="X934" s="82" t="s">
        <v>30</v>
      </c>
      <c r="Y934" s="82" t="s">
        <v>30</v>
      </c>
      <c r="Z934"/>
      <c r="AA934"/>
    </row>
    <row r="935" spans="1:29">
      <c r="A935" s="358" t="s">
        <v>24</v>
      </c>
      <c r="B935" s="369">
        <v>932</v>
      </c>
      <c r="C935" s="372" t="s">
        <v>1471</v>
      </c>
      <c r="D935" s="373" t="s">
        <v>57</v>
      </c>
      <c r="E935" s="373">
        <v>45855</v>
      </c>
      <c r="F935" s="372" t="s">
        <v>1470</v>
      </c>
      <c r="G935" s="372">
        <v>15</v>
      </c>
      <c r="H935" s="372" t="s">
        <v>48</v>
      </c>
      <c r="I935" s="372" t="s">
        <v>47</v>
      </c>
      <c r="J935" s="372" t="s">
        <v>871</v>
      </c>
      <c r="K935" s="221" t="s">
        <v>1472</v>
      </c>
      <c r="L935" s="358"/>
      <c r="M935" s="358"/>
      <c r="N935" s="94"/>
      <c r="O935" s="380" t="s">
        <v>31</v>
      </c>
      <c r="P935" s="380" t="s">
        <v>32</v>
      </c>
      <c r="Q935" s="23"/>
      <c r="R935" s="81" t="s">
        <v>28</v>
      </c>
      <c r="S935" s="22" t="s">
        <v>32</v>
      </c>
      <c r="T935" s="22">
        <v>15</v>
      </c>
      <c r="U935" s="24" t="s">
        <v>28</v>
      </c>
      <c r="V935" s="23"/>
      <c r="W935" s="241" t="s">
        <v>30</v>
      </c>
      <c r="X935" s="82" t="s">
        <v>30</v>
      </c>
      <c r="Y935" s="100" t="s">
        <v>30</v>
      </c>
      <c r="Z935"/>
      <c r="AA935"/>
    </row>
    <row r="936" spans="1:29">
      <c r="A936" s="358" t="s">
        <v>24</v>
      </c>
      <c r="B936" s="369">
        <v>933</v>
      </c>
      <c r="C936" s="383" t="s">
        <v>1473</v>
      </c>
      <c r="D936" s="383" t="s">
        <v>716</v>
      </c>
      <c r="E936" s="373">
        <v>45855</v>
      </c>
      <c r="F936" s="383" t="s">
        <v>1474</v>
      </c>
      <c r="G936" s="383">
        <v>15</v>
      </c>
      <c r="H936" s="383" t="s">
        <v>1077</v>
      </c>
      <c r="I936" s="383" t="s">
        <v>1138</v>
      </c>
      <c r="J936" s="372" t="s">
        <v>871</v>
      </c>
      <c r="K936" s="372"/>
      <c r="L936" s="358"/>
      <c r="M936" s="358"/>
      <c r="N936" s="380"/>
      <c r="O936" s="380" t="s">
        <v>31</v>
      </c>
      <c r="P936" s="380" t="s">
        <v>30</v>
      </c>
      <c r="Q936" s="23">
        <v>45890</v>
      </c>
      <c r="R936" s="81" t="s">
        <v>1077</v>
      </c>
      <c r="S936" s="22" t="s">
        <v>32</v>
      </c>
      <c r="T936" s="22">
        <v>14</v>
      </c>
      <c r="U936" s="24" t="s">
        <v>1077</v>
      </c>
      <c r="V936" s="23">
        <v>45890</v>
      </c>
      <c r="W936" s="241" t="s">
        <v>30</v>
      </c>
      <c r="X936" s="82" t="s">
        <v>30</v>
      </c>
      <c r="Y936" s="82" t="s">
        <v>30</v>
      </c>
      <c r="Z936"/>
      <c r="AA936"/>
    </row>
    <row r="937" spans="1:29">
      <c r="A937" s="358" t="s">
        <v>24</v>
      </c>
      <c r="B937" s="369">
        <v>934</v>
      </c>
      <c r="C937" s="372" t="s">
        <v>1475</v>
      </c>
      <c r="D937" s="372" t="s">
        <v>50</v>
      </c>
      <c r="E937" s="373">
        <v>45856</v>
      </c>
      <c r="F937" s="372" t="s">
        <v>106</v>
      </c>
      <c r="G937" s="372">
        <v>12</v>
      </c>
      <c r="H937" s="372" t="s">
        <v>21</v>
      </c>
      <c r="I937" s="372" t="s">
        <v>127</v>
      </c>
      <c r="J937" s="372" t="s">
        <v>871</v>
      </c>
      <c r="K937" s="358" t="s">
        <v>1069</v>
      </c>
      <c r="L937" s="358"/>
      <c r="M937" s="358"/>
      <c r="N937" s="94"/>
      <c r="O937" s="380" t="s">
        <v>66</v>
      </c>
      <c r="P937" s="380" t="s">
        <v>30</v>
      </c>
      <c r="Q937" s="23">
        <v>45896</v>
      </c>
      <c r="R937" s="81" t="s">
        <v>28</v>
      </c>
      <c r="S937" s="22" t="s">
        <v>32</v>
      </c>
      <c r="T937" s="22">
        <v>12</v>
      </c>
      <c r="U937" s="24" t="s">
        <v>28</v>
      </c>
      <c r="V937" s="23">
        <v>45896</v>
      </c>
      <c r="W937" s="241" t="s">
        <v>30</v>
      </c>
      <c r="X937" s="82" t="s">
        <v>30</v>
      </c>
      <c r="Y937" s="82" t="s">
        <v>30</v>
      </c>
      <c r="Z937"/>
      <c r="AA937"/>
    </row>
    <row r="938" spans="1:29">
      <c r="A938" s="358" t="s">
        <v>24</v>
      </c>
      <c r="B938" s="369">
        <v>935</v>
      </c>
      <c r="C938" s="372" t="s">
        <v>1476</v>
      </c>
      <c r="D938" s="372" t="s">
        <v>64</v>
      </c>
      <c r="E938" s="373">
        <v>45856</v>
      </c>
      <c r="F938" s="372" t="s">
        <v>106</v>
      </c>
      <c r="G938" s="372">
        <v>12</v>
      </c>
      <c r="H938" s="372" t="s">
        <v>21</v>
      </c>
      <c r="I938" s="372" t="s">
        <v>127</v>
      </c>
      <c r="J938" s="372" t="s">
        <v>871</v>
      </c>
      <c r="K938" s="358" t="s">
        <v>1069</v>
      </c>
      <c r="L938" s="358"/>
      <c r="M938" s="358"/>
      <c r="N938" s="380"/>
      <c r="O938" s="380"/>
      <c r="P938" s="380" t="s">
        <v>30</v>
      </c>
      <c r="Q938" s="23">
        <v>45896</v>
      </c>
      <c r="R938" s="81" t="s">
        <v>28</v>
      </c>
      <c r="S938" s="22" t="s">
        <v>32</v>
      </c>
      <c r="T938" s="22">
        <v>12</v>
      </c>
      <c r="U938" s="24" t="s">
        <v>28</v>
      </c>
      <c r="V938" s="23">
        <v>45896</v>
      </c>
      <c r="W938" s="241" t="s">
        <v>30</v>
      </c>
      <c r="X938" s="82" t="s">
        <v>30</v>
      </c>
      <c r="Y938" s="82" t="s">
        <v>30</v>
      </c>
      <c r="Z938"/>
      <c r="AA938"/>
    </row>
    <row r="939" spans="1:29">
      <c r="A939" s="358" t="s">
        <v>24</v>
      </c>
      <c r="B939" s="369">
        <v>936</v>
      </c>
      <c r="C939" s="372" t="s">
        <v>1477</v>
      </c>
      <c r="D939" s="372" t="s">
        <v>26</v>
      </c>
      <c r="E939" s="373">
        <v>45856</v>
      </c>
      <c r="F939" s="372" t="s">
        <v>1478</v>
      </c>
      <c r="G939" s="372">
        <v>10</v>
      </c>
      <c r="H939" s="372" t="s">
        <v>48</v>
      </c>
      <c r="I939" s="372" t="s">
        <v>47</v>
      </c>
      <c r="J939" s="372" t="s">
        <v>871</v>
      </c>
      <c r="K939" s="21"/>
      <c r="L939" s="358"/>
      <c r="M939" s="22"/>
      <c r="N939" s="23"/>
      <c r="O939" s="380"/>
      <c r="P939" s="380" t="s">
        <v>30</v>
      </c>
      <c r="Q939" s="23">
        <v>45888</v>
      </c>
      <c r="R939" s="81" t="s">
        <v>28</v>
      </c>
      <c r="S939" s="22" t="s">
        <v>32</v>
      </c>
      <c r="T939" s="22">
        <v>9</v>
      </c>
      <c r="U939" s="24" t="s">
        <v>28</v>
      </c>
      <c r="V939" s="23">
        <v>45888</v>
      </c>
      <c r="W939" s="241" t="s">
        <v>30</v>
      </c>
      <c r="X939" s="82" t="s">
        <v>30</v>
      </c>
      <c r="Y939" s="100" t="s">
        <v>30</v>
      </c>
      <c r="Z939"/>
      <c r="AA939"/>
    </row>
    <row r="940" spans="1:29">
      <c r="A940" s="358" t="s">
        <v>24</v>
      </c>
      <c r="B940" s="369">
        <v>937</v>
      </c>
      <c r="C940" s="372" t="s">
        <v>1479</v>
      </c>
      <c r="D940" s="372" t="s">
        <v>446</v>
      </c>
      <c r="E940" s="373">
        <v>45857</v>
      </c>
      <c r="F940" s="372" t="s">
        <v>653</v>
      </c>
      <c r="G940" s="372">
        <v>7</v>
      </c>
      <c r="H940" s="372" t="s">
        <v>48</v>
      </c>
      <c r="I940" s="372" t="s">
        <v>47</v>
      </c>
      <c r="J940" s="372" t="s">
        <v>871</v>
      </c>
      <c r="K940" s="93" t="s">
        <v>1125</v>
      </c>
      <c r="L940" s="358"/>
      <c r="M940" s="22"/>
      <c r="N940" s="23"/>
      <c r="O940" s="380"/>
      <c r="P940" s="380"/>
      <c r="Q940" s="23"/>
      <c r="R940" s="81" t="s">
        <v>28</v>
      </c>
      <c r="S940" s="22"/>
      <c r="T940" s="22"/>
      <c r="U940" s="24"/>
      <c r="V940" s="23"/>
      <c r="W940" s="95" t="s">
        <v>32</v>
      </c>
      <c r="X940" s="235" t="s">
        <v>32</v>
      </c>
      <c r="Y940" s="235" t="s">
        <v>32</v>
      </c>
      <c r="Z940"/>
      <c r="AA940" s="412"/>
      <c r="AB940" s="412"/>
      <c r="AC940" s="412"/>
    </row>
    <row r="941" spans="1:29">
      <c r="A941" s="358" t="s">
        <v>24</v>
      </c>
      <c r="B941" s="369">
        <v>938</v>
      </c>
      <c r="C941" s="372" t="s">
        <v>1480</v>
      </c>
      <c r="D941" s="372" t="s">
        <v>102</v>
      </c>
      <c r="E941" s="373">
        <v>45857</v>
      </c>
      <c r="F941" s="372" t="s">
        <v>653</v>
      </c>
      <c r="G941" s="372">
        <v>7</v>
      </c>
      <c r="H941" s="372" t="s">
        <v>48</v>
      </c>
      <c r="I941" s="372" t="s">
        <v>47</v>
      </c>
      <c r="J941" s="372" t="s">
        <v>871</v>
      </c>
      <c r="K941" s="93" t="s">
        <v>1481</v>
      </c>
      <c r="L941" s="358"/>
      <c r="M941" s="22"/>
      <c r="N941" s="23"/>
      <c r="O941" s="380"/>
      <c r="P941" s="23" t="s">
        <v>30</v>
      </c>
      <c r="Q941" s="23">
        <v>45874</v>
      </c>
      <c r="R941" s="81" t="s">
        <v>67</v>
      </c>
      <c r="S941" s="22" t="s">
        <v>32</v>
      </c>
      <c r="T941" s="22">
        <v>4</v>
      </c>
      <c r="U941" s="22" t="s">
        <v>67</v>
      </c>
      <c r="V941" s="23">
        <v>45874</v>
      </c>
      <c r="W941" s="82" t="s">
        <v>30</v>
      </c>
      <c r="X941" s="103" t="s">
        <v>30</v>
      </c>
      <c r="Y941" s="85" t="s">
        <v>30</v>
      </c>
      <c r="Z941"/>
      <c r="AA941" s="412"/>
      <c r="AB941" s="412"/>
      <c r="AC941" s="412"/>
    </row>
    <row r="942" spans="1:29">
      <c r="A942" s="358" t="s">
        <v>24</v>
      </c>
      <c r="B942" s="369">
        <v>939</v>
      </c>
      <c r="C942" s="372" t="s">
        <v>1482</v>
      </c>
      <c r="D942" s="372" t="s">
        <v>34</v>
      </c>
      <c r="E942" s="373">
        <v>45857</v>
      </c>
      <c r="F942" s="372" t="s">
        <v>688</v>
      </c>
      <c r="G942" s="372">
        <v>8</v>
      </c>
      <c r="H942" s="372" t="s">
        <v>48</v>
      </c>
      <c r="I942" s="372" t="s">
        <v>47</v>
      </c>
      <c r="J942" s="372" t="s">
        <v>871</v>
      </c>
      <c r="K942" s="93" t="s">
        <v>273</v>
      </c>
      <c r="L942" s="358"/>
      <c r="M942" s="22"/>
      <c r="N942" s="23"/>
      <c r="O942" s="380"/>
      <c r="P942" s="23" t="s">
        <v>32</v>
      </c>
      <c r="Q942" s="23"/>
      <c r="R942" s="81" t="s">
        <v>28</v>
      </c>
      <c r="S942" s="22" t="s">
        <v>30</v>
      </c>
      <c r="T942" s="22">
        <v>7</v>
      </c>
      <c r="U942" s="22" t="s">
        <v>28</v>
      </c>
      <c r="V942" s="23">
        <v>45896</v>
      </c>
      <c r="W942" s="85" t="s">
        <v>30</v>
      </c>
      <c r="X942" s="82" t="s">
        <v>30</v>
      </c>
      <c r="Y942" s="82" t="s">
        <v>30</v>
      </c>
      <c r="Z942"/>
      <c r="AA942" s="412"/>
      <c r="AB942" s="412"/>
      <c r="AC942" s="412"/>
    </row>
    <row r="943" spans="1:29">
      <c r="A943" s="358" t="s">
        <v>24</v>
      </c>
      <c r="B943" s="369">
        <v>940</v>
      </c>
      <c r="C943" s="372" t="s">
        <v>1483</v>
      </c>
      <c r="D943" s="372" t="s">
        <v>34</v>
      </c>
      <c r="E943" s="373">
        <v>45857</v>
      </c>
      <c r="F943" s="372" t="s">
        <v>1484</v>
      </c>
      <c r="G943" s="372">
        <v>15</v>
      </c>
      <c r="H943" s="372" t="s">
        <v>48</v>
      </c>
      <c r="I943" s="372" t="s">
        <v>47</v>
      </c>
      <c r="J943" s="372" t="s">
        <v>871</v>
      </c>
      <c r="K943" s="93" t="s">
        <v>325</v>
      </c>
      <c r="L943" s="93"/>
      <c r="M943" s="22"/>
      <c r="N943" s="23"/>
      <c r="O943" s="380" t="s">
        <v>31</v>
      </c>
      <c r="P943" s="23" t="s">
        <v>32</v>
      </c>
      <c r="Q943" s="23"/>
      <c r="R943" s="81" t="s">
        <v>28</v>
      </c>
      <c r="S943" s="22" t="s">
        <v>30</v>
      </c>
      <c r="T943" s="22">
        <v>15</v>
      </c>
      <c r="U943" s="24" t="s">
        <v>28</v>
      </c>
      <c r="V943" s="23">
        <v>45895</v>
      </c>
      <c r="W943" s="241" t="s">
        <v>30</v>
      </c>
      <c r="X943" s="100" t="s">
        <v>30</v>
      </c>
      <c r="Y943" s="82" t="s">
        <v>30</v>
      </c>
      <c r="Z943"/>
      <c r="AA943"/>
    </row>
    <row r="944" spans="1:29">
      <c r="A944" s="358" t="s">
        <v>24</v>
      </c>
      <c r="B944" s="369">
        <v>941</v>
      </c>
      <c r="C944" s="372" t="s">
        <v>1485</v>
      </c>
      <c r="D944" s="372" t="s">
        <v>34</v>
      </c>
      <c r="E944" s="373">
        <v>45857</v>
      </c>
      <c r="F944" s="372" t="s">
        <v>674</v>
      </c>
      <c r="G944" s="372">
        <v>10</v>
      </c>
      <c r="H944" s="372" t="s">
        <v>48</v>
      </c>
      <c r="I944" s="372" t="s">
        <v>47</v>
      </c>
      <c r="J944" s="372" t="s">
        <v>871</v>
      </c>
      <c r="K944" s="221" t="s">
        <v>1486</v>
      </c>
      <c r="L944" s="93"/>
      <c r="M944" s="22"/>
      <c r="N944" s="23"/>
      <c r="O944" s="380"/>
      <c r="P944" s="23" t="s">
        <v>32</v>
      </c>
      <c r="Q944" s="23"/>
      <c r="R944" s="81" t="s">
        <v>28</v>
      </c>
      <c r="S944" s="22" t="s">
        <v>32</v>
      </c>
      <c r="T944" s="22">
        <v>10</v>
      </c>
      <c r="U944" s="22" t="s">
        <v>28</v>
      </c>
      <c r="V944" s="23">
        <v>45888</v>
      </c>
      <c r="W944" s="85" t="s">
        <v>30</v>
      </c>
      <c r="X944" s="82" t="s">
        <v>30</v>
      </c>
      <c r="Y944" s="82" t="s">
        <v>30</v>
      </c>
      <c r="Z944"/>
      <c r="AA944"/>
    </row>
    <row r="945" spans="1:29">
      <c r="A945" s="358" t="s">
        <v>24</v>
      </c>
      <c r="B945" s="369">
        <v>942</v>
      </c>
      <c r="C945" s="372" t="s">
        <v>1487</v>
      </c>
      <c r="D945" s="372" t="s">
        <v>34</v>
      </c>
      <c r="E945" s="373">
        <v>45857</v>
      </c>
      <c r="F945" s="372" t="s">
        <v>65</v>
      </c>
      <c r="G945" s="372">
        <v>13</v>
      </c>
      <c r="H945" s="372" t="s">
        <v>1077</v>
      </c>
      <c r="I945" s="372" t="s">
        <v>1138</v>
      </c>
      <c r="J945" s="372" t="s">
        <v>871</v>
      </c>
      <c r="K945" s="223"/>
      <c r="L945" s="372"/>
      <c r="M945" s="372"/>
      <c r="N945" s="372"/>
      <c r="O945" s="372"/>
      <c r="P945" s="380" t="s">
        <v>30</v>
      </c>
      <c r="Q945" s="23">
        <v>45876</v>
      </c>
      <c r="R945" s="81" t="s">
        <v>1138</v>
      </c>
      <c r="S945" s="22" t="s">
        <v>32</v>
      </c>
      <c r="T945" s="22">
        <v>13</v>
      </c>
      <c r="U945" s="24" t="s">
        <v>1138</v>
      </c>
      <c r="V945" s="23">
        <v>45876</v>
      </c>
      <c r="W945" s="241" t="s">
        <v>30</v>
      </c>
      <c r="X945" s="82" t="s">
        <v>30</v>
      </c>
      <c r="Y945" s="82" t="s">
        <v>30</v>
      </c>
      <c r="Z945"/>
      <c r="AA945"/>
    </row>
    <row r="946" spans="1:29">
      <c r="A946" s="358" t="s">
        <v>24</v>
      </c>
      <c r="B946" s="369">
        <v>943</v>
      </c>
      <c r="C946" s="372" t="s">
        <v>1488</v>
      </c>
      <c r="D946" s="372" t="s">
        <v>34</v>
      </c>
      <c r="E946" s="373">
        <v>45857</v>
      </c>
      <c r="F946" s="372" t="s">
        <v>65</v>
      </c>
      <c r="G946" s="372">
        <v>14</v>
      </c>
      <c r="H946" s="372" t="s">
        <v>1077</v>
      </c>
      <c r="I946" s="372" t="s">
        <v>1138</v>
      </c>
      <c r="J946" s="372" t="s">
        <v>871</v>
      </c>
      <c r="K946" s="221" t="s">
        <v>1489</v>
      </c>
      <c r="L946" s="93"/>
      <c r="M946" s="22"/>
      <c r="N946" s="23"/>
      <c r="O946" s="380"/>
      <c r="P946" s="23" t="s">
        <v>32</v>
      </c>
      <c r="Q946" s="23"/>
      <c r="R946" s="81" t="s">
        <v>1138</v>
      </c>
      <c r="S946" s="22" t="s">
        <v>32</v>
      </c>
      <c r="T946" s="22">
        <v>14</v>
      </c>
      <c r="U946" s="24" t="s">
        <v>1138</v>
      </c>
      <c r="V946" s="23">
        <v>45874</v>
      </c>
      <c r="W946" s="241" t="s">
        <v>30</v>
      </c>
      <c r="X946" s="82" t="s">
        <v>30</v>
      </c>
      <c r="Y946" s="82" t="s">
        <v>30</v>
      </c>
      <c r="Z946"/>
      <c r="AA946"/>
    </row>
    <row r="947" spans="1:29">
      <c r="A947" s="358" t="s">
        <v>24</v>
      </c>
      <c r="B947" s="369">
        <v>944</v>
      </c>
      <c r="C947" s="372" t="s">
        <v>1490</v>
      </c>
      <c r="D947" s="372" t="s">
        <v>1491</v>
      </c>
      <c r="E947" s="373">
        <v>45861</v>
      </c>
      <c r="F947" s="372" t="s">
        <v>1492</v>
      </c>
      <c r="G947" s="372">
        <v>18</v>
      </c>
      <c r="H947" s="372" t="s">
        <v>48</v>
      </c>
      <c r="I947" s="372" t="s">
        <v>47</v>
      </c>
      <c r="J947" s="372" t="s">
        <v>871</v>
      </c>
      <c r="K947" s="93" t="s">
        <v>1493</v>
      </c>
      <c r="L947" s="358"/>
      <c r="M947" s="22"/>
      <c r="N947" s="23"/>
      <c r="O947" s="380" t="s">
        <v>31</v>
      </c>
      <c r="P947" s="23" t="s">
        <v>30</v>
      </c>
      <c r="Q947" s="23">
        <v>45874</v>
      </c>
      <c r="R947" s="81" t="s">
        <v>67</v>
      </c>
      <c r="S947" s="22" t="s">
        <v>32</v>
      </c>
      <c r="T947" s="22">
        <v>18</v>
      </c>
      <c r="U947" s="24" t="s">
        <v>67</v>
      </c>
      <c r="V947" s="23">
        <v>45874</v>
      </c>
      <c r="W947" s="95" t="s">
        <v>32</v>
      </c>
      <c r="X947" s="103" t="s">
        <v>30</v>
      </c>
      <c r="Y947" s="103" t="s">
        <v>32</v>
      </c>
      <c r="Z947"/>
      <c r="AA947"/>
    </row>
    <row r="948" spans="1:29">
      <c r="A948" s="358" t="s">
        <v>24</v>
      </c>
      <c r="B948" s="369">
        <v>945</v>
      </c>
      <c r="C948" s="372" t="s">
        <v>1494</v>
      </c>
      <c r="D948" s="372" t="s">
        <v>43</v>
      </c>
      <c r="E948" s="373">
        <v>45862</v>
      </c>
      <c r="F948" s="372" t="s">
        <v>1495</v>
      </c>
      <c r="G948" s="372">
        <v>14</v>
      </c>
      <c r="H948" s="372" t="s">
        <v>1077</v>
      </c>
      <c r="I948" s="372" t="s">
        <v>1138</v>
      </c>
      <c r="J948" s="372" t="s">
        <v>871</v>
      </c>
      <c r="K948" s="223"/>
      <c r="L948" s="372"/>
      <c r="M948" s="22"/>
      <c r="N948" s="23"/>
      <c r="O948" s="380"/>
      <c r="P948" s="380" t="s">
        <v>30</v>
      </c>
      <c r="Q948" s="23">
        <v>45873</v>
      </c>
      <c r="R948" s="81" t="s">
        <v>1138</v>
      </c>
      <c r="S948" s="22" t="s">
        <v>32</v>
      </c>
      <c r="T948" s="22">
        <v>14</v>
      </c>
      <c r="U948" s="24" t="s">
        <v>1138</v>
      </c>
      <c r="V948" s="23">
        <v>45873</v>
      </c>
      <c r="W948" s="241" t="s">
        <v>30</v>
      </c>
      <c r="X948" s="82" t="s">
        <v>30</v>
      </c>
      <c r="Y948" s="82" t="s">
        <v>30</v>
      </c>
      <c r="Z948"/>
      <c r="AA948"/>
    </row>
    <row r="949" spans="1:29">
      <c r="A949" s="358" t="s">
        <v>24</v>
      </c>
      <c r="B949" s="369">
        <v>946</v>
      </c>
      <c r="C949" s="372" t="s">
        <v>1496</v>
      </c>
      <c r="D949" s="372" t="s">
        <v>50</v>
      </c>
      <c r="E949" s="373">
        <v>45863</v>
      </c>
      <c r="F949" s="372" t="s">
        <v>1495</v>
      </c>
      <c r="G949" s="372">
        <v>14</v>
      </c>
      <c r="H949" s="372" t="s">
        <v>1077</v>
      </c>
      <c r="I949" s="372" t="s">
        <v>1138</v>
      </c>
      <c r="J949" s="372" t="s">
        <v>871</v>
      </c>
      <c r="K949" s="372"/>
      <c r="L949" s="21"/>
      <c r="M949" s="22"/>
      <c r="N949" s="23"/>
      <c r="O949" s="380"/>
      <c r="P949" s="380" t="s">
        <v>30</v>
      </c>
      <c r="Q949" s="23">
        <v>45875</v>
      </c>
      <c r="R949" s="81" t="s">
        <v>1138</v>
      </c>
      <c r="S949" s="22" t="s">
        <v>32</v>
      </c>
      <c r="T949" s="22">
        <v>14</v>
      </c>
      <c r="U949" s="24" t="s">
        <v>1138</v>
      </c>
      <c r="V949" s="23">
        <v>45875</v>
      </c>
      <c r="W949" s="241" t="s">
        <v>30</v>
      </c>
      <c r="X949" s="82" t="s">
        <v>30</v>
      </c>
      <c r="Y949" s="82" t="s">
        <v>30</v>
      </c>
      <c r="Z949"/>
      <c r="AA949"/>
    </row>
    <row r="950" spans="1:29">
      <c r="A950" s="358" t="s">
        <v>24</v>
      </c>
      <c r="B950" s="369">
        <v>947</v>
      </c>
      <c r="C950" s="372" t="s">
        <v>1497</v>
      </c>
      <c r="D950" s="372" t="s">
        <v>50</v>
      </c>
      <c r="E950" s="373">
        <v>45863</v>
      </c>
      <c r="F950" s="372" t="s">
        <v>106</v>
      </c>
      <c r="G950" s="372">
        <v>11</v>
      </c>
      <c r="H950" s="372" t="s">
        <v>21</v>
      </c>
      <c r="I950" s="372" t="s">
        <v>127</v>
      </c>
      <c r="J950" s="372" t="s">
        <v>871</v>
      </c>
      <c r="K950" s="358" t="s">
        <v>1069</v>
      </c>
      <c r="L950" s="358"/>
      <c r="M950" s="22"/>
      <c r="N950" s="23"/>
      <c r="O950" s="380" t="s">
        <v>66</v>
      </c>
      <c r="P950" s="380" t="s">
        <v>30</v>
      </c>
      <c r="Q950" s="23">
        <v>45897</v>
      </c>
      <c r="R950" s="81" t="s">
        <v>28</v>
      </c>
      <c r="S950" s="22" t="s">
        <v>32</v>
      </c>
      <c r="T950" s="22">
        <v>11</v>
      </c>
      <c r="U950" s="24" t="s">
        <v>28</v>
      </c>
      <c r="V950" s="23">
        <v>45897</v>
      </c>
      <c r="W950" s="241" t="s">
        <v>30</v>
      </c>
      <c r="X950" s="82" t="s">
        <v>30</v>
      </c>
      <c r="Y950" s="82" t="s">
        <v>30</v>
      </c>
      <c r="Z950"/>
      <c r="AA950"/>
    </row>
    <row r="951" spans="1:29">
      <c r="A951" s="358" t="s">
        <v>24</v>
      </c>
      <c r="B951" s="369">
        <v>948</v>
      </c>
      <c r="C951" s="372" t="s">
        <v>1498</v>
      </c>
      <c r="D951" s="372" t="s">
        <v>64</v>
      </c>
      <c r="E951" s="373">
        <v>45863</v>
      </c>
      <c r="F951" s="372" t="s">
        <v>106</v>
      </c>
      <c r="G951" s="372">
        <v>11</v>
      </c>
      <c r="H951" s="372" t="s">
        <v>21</v>
      </c>
      <c r="I951" s="372" t="s">
        <v>127</v>
      </c>
      <c r="J951" s="372" t="s">
        <v>871</v>
      </c>
      <c r="K951" s="358" t="s">
        <v>1069</v>
      </c>
      <c r="L951" s="21"/>
      <c r="M951" s="22"/>
      <c r="N951" s="23"/>
      <c r="O951" s="380"/>
      <c r="P951" s="380" t="s">
        <v>30</v>
      </c>
      <c r="Q951" s="23">
        <v>45898</v>
      </c>
      <c r="R951" s="81" t="s">
        <v>28</v>
      </c>
      <c r="S951" s="22" t="s">
        <v>32</v>
      </c>
      <c r="T951" s="22">
        <v>11</v>
      </c>
      <c r="U951" s="24" t="s">
        <v>28</v>
      </c>
      <c r="V951" s="23">
        <v>45898</v>
      </c>
      <c r="W951" s="241" t="s">
        <v>30</v>
      </c>
      <c r="X951" s="82" t="s">
        <v>30</v>
      </c>
      <c r="Y951" s="82" t="s">
        <v>30</v>
      </c>
      <c r="Z951"/>
      <c r="AA951"/>
    </row>
    <row r="952" spans="1:29">
      <c r="A952" s="358" t="s">
        <v>24</v>
      </c>
      <c r="B952" s="369">
        <v>949</v>
      </c>
      <c r="C952" s="372" t="s">
        <v>1499</v>
      </c>
      <c r="D952" s="372" t="s">
        <v>64</v>
      </c>
      <c r="E952" s="373">
        <v>45863</v>
      </c>
      <c r="F952" s="372" t="s">
        <v>729</v>
      </c>
      <c r="G952" s="372">
        <v>11</v>
      </c>
      <c r="H952" s="372" t="s">
        <v>48</v>
      </c>
      <c r="I952" s="372" t="s">
        <v>47</v>
      </c>
      <c r="J952" s="372" t="s">
        <v>871</v>
      </c>
      <c r="K952" s="21"/>
      <c r="L952" s="372"/>
      <c r="M952" s="22"/>
      <c r="N952" s="23"/>
      <c r="O952" s="380"/>
      <c r="P952" s="23" t="s">
        <v>30</v>
      </c>
      <c r="Q952" s="23">
        <v>45894</v>
      </c>
      <c r="R952" s="81" t="s">
        <v>48</v>
      </c>
      <c r="S952" s="22" t="s">
        <v>32</v>
      </c>
      <c r="T952" s="22">
        <v>11</v>
      </c>
      <c r="U952" s="24" t="s">
        <v>48</v>
      </c>
      <c r="V952" s="23">
        <v>45894</v>
      </c>
      <c r="W952" s="241" t="s">
        <v>30</v>
      </c>
      <c r="X952" s="82" t="s">
        <v>30</v>
      </c>
      <c r="Y952" s="100" t="s">
        <v>30</v>
      </c>
      <c r="Z952"/>
      <c r="AA952" s="412"/>
      <c r="AB952" s="412"/>
      <c r="AC952" s="412"/>
    </row>
    <row r="953" spans="1:29">
      <c r="A953" s="358" t="s">
        <v>24</v>
      </c>
      <c r="B953" s="369">
        <v>950</v>
      </c>
      <c r="C953" s="372" t="s">
        <v>1500</v>
      </c>
      <c r="D953" s="372" t="s">
        <v>34</v>
      </c>
      <c r="E953" s="373">
        <v>45864</v>
      </c>
      <c r="F953" s="372" t="s">
        <v>1501</v>
      </c>
      <c r="G953" s="372">
        <v>15</v>
      </c>
      <c r="H953" s="372" t="s">
        <v>48</v>
      </c>
      <c r="I953" s="372" t="s">
        <v>47</v>
      </c>
      <c r="J953" s="372" t="s">
        <v>871</v>
      </c>
      <c r="K953" s="93" t="s">
        <v>273</v>
      </c>
      <c r="L953" s="21"/>
      <c r="M953" s="22"/>
      <c r="N953" s="23"/>
      <c r="O953" s="380" t="s">
        <v>31</v>
      </c>
      <c r="P953" s="23" t="s">
        <v>1091</v>
      </c>
      <c r="Q953" s="23">
        <v>45897</v>
      </c>
      <c r="R953" s="81" t="s">
        <v>28</v>
      </c>
      <c r="S953" s="22" t="s">
        <v>1140</v>
      </c>
      <c r="T953" s="22">
        <v>14</v>
      </c>
      <c r="U953" s="24" t="s">
        <v>28</v>
      </c>
      <c r="V953" s="23">
        <v>45897</v>
      </c>
      <c r="W953" s="85" t="s">
        <v>30</v>
      </c>
      <c r="X953" s="82" t="s">
        <v>30</v>
      </c>
      <c r="Y953" s="82" t="s">
        <v>30</v>
      </c>
      <c r="Z953"/>
      <c r="AA953" s="412"/>
      <c r="AB953" s="412"/>
      <c r="AC953" s="412"/>
    </row>
    <row r="954" spans="1:29">
      <c r="A954" s="358" t="s">
        <v>24</v>
      </c>
      <c r="B954" s="369">
        <v>951</v>
      </c>
      <c r="C954" s="372" t="s">
        <v>1502</v>
      </c>
      <c r="D954" s="372" t="s">
        <v>34</v>
      </c>
      <c r="E954" s="373">
        <v>45864</v>
      </c>
      <c r="F954" s="372" t="s">
        <v>324</v>
      </c>
      <c r="G954" s="372">
        <v>13</v>
      </c>
      <c r="H954" s="372" t="s">
        <v>48</v>
      </c>
      <c r="I954" s="372" t="s">
        <v>47</v>
      </c>
      <c r="J954" s="372" t="s">
        <v>871</v>
      </c>
      <c r="K954" s="93" t="s">
        <v>1096</v>
      </c>
      <c r="L954" s="21"/>
      <c r="M954" s="22"/>
      <c r="N954" s="23"/>
      <c r="O954" s="380"/>
      <c r="P954" s="23" t="s">
        <v>30</v>
      </c>
      <c r="Q954" s="23">
        <v>45874</v>
      </c>
      <c r="R954" s="81" t="s">
        <v>67</v>
      </c>
      <c r="S954" s="22" t="s">
        <v>32</v>
      </c>
      <c r="T954" s="22">
        <v>8</v>
      </c>
      <c r="U954" s="24" t="s">
        <v>67</v>
      </c>
      <c r="V954" s="23">
        <v>45874</v>
      </c>
      <c r="W954" s="100" t="s">
        <v>30</v>
      </c>
      <c r="X954" s="103" t="s">
        <v>30</v>
      </c>
      <c r="Y954" s="103" t="s">
        <v>30</v>
      </c>
      <c r="Z954"/>
      <c r="AA954" s="412"/>
      <c r="AB954" s="412"/>
      <c r="AC954" s="412"/>
    </row>
    <row r="955" spans="1:29">
      <c r="A955" s="358" t="s">
        <v>24</v>
      </c>
      <c r="B955" s="369">
        <v>952</v>
      </c>
      <c r="C955" s="372" t="s">
        <v>1503</v>
      </c>
      <c r="D955" s="372" t="s">
        <v>34</v>
      </c>
      <c r="E955" s="373">
        <v>45864</v>
      </c>
      <c r="F955" s="372" t="s">
        <v>272</v>
      </c>
      <c r="G955" s="372">
        <v>12</v>
      </c>
      <c r="H955" s="372" t="s">
        <v>48</v>
      </c>
      <c r="I955" s="372" t="s">
        <v>47</v>
      </c>
      <c r="J955" s="372" t="s">
        <v>871</v>
      </c>
      <c r="K955" s="372"/>
      <c r="L955" s="21"/>
      <c r="M955" s="22"/>
      <c r="N955" s="23"/>
      <c r="O955" s="380"/>
      <c r="P955" s="23" t="s">
        <v>30</v>
      </c>
      <c r="Q955" s="23">
        <v>45895</v>
      </c>
      <c r="R955" s="81" t="s">
        <v>48</v>
      </c>
      <c r="S955" s="22" t="s">
        <v>32</v>
      </c>
      <c r="T955" s="22">
        <v>12</v>
      </c>
      <c r="U955" s="24" t="s">
        <v>48</v>
      </c>
      <c r="V955" s="23">
        <v>45895</v>
      </c>
      <c r="W955" s="241" t="s">
        <v>30</v>
      </c>
      <c r="X955" s="82" t="s">
        <v>30</v>
      </c>
      <c r="Y955" s="82" t="s">
        <v>30</v>
      </c>
      <c r="Z955"/>
      <c r="AA955" s="412"/>
      <c r="AB955" s="412"/>
      <c r="AC955" s="412"/>
    </row>
    <row r="956" spans="1:29">
      <c r="A956" s="358" t="s">
        <v>24</v>
      </c>
      <c r="B956" s="369">
        <v>953</v>
      </c>
      <c r="C956" s="372" t="s">
        <v>1504</v>
      </c>
      <c r="D956" s="372" t="s">
        <v>34</v>
      </c>
      <c r="E956" s="373">
        <v>45864</v>
      </c>
      <c r="F956" s="372" t="s">
        <v>1505</v>
      </c>
      <c r="G956" s="372">
        <v>14</v>
      </c>
      <c r="H956" s="375" t="s">
        <v>21</v>
      </c>
      <c r="I956" s="372" t="s">
        <v>127</v>
      </c>
      <c r="J956" s="372" t="s">
        <v>871</v>
      </c>
      <c r="K956" s="221" t="s">
        <v>1506</v>
      </c>
      <c r="L956" s="21"/>
      <c r="M956" s="22"/>
      <c r="N956" s="23"/>
      <c r="O956" s="380"/>
      <c r="P956" s="23" t="s">
        <v>32</v>
      </c>
      <c r="Q956" s="23"/>
      <c r="R956" s="81" t="s">
        <v>28</v>
      </c>
      <c r="S956" s="22" t="s">
        <v>30</v>
      </c>
      <c r="T956" s="22">
        <v>14</v>
      </c>
      <c r="U956" s="24" t="s">
        <v>28</v>
      </c>
      <c r="V956" s="23">
        <v>45898</v>
      </c>
      <c r="W956" s="241" t="s">
        <v>30</v>
      </c>
      <c r="X956" s="82" t="s">
        <v>30</v>
      </c>
      <c r="Y956" s="82" t="s">
        <v>30</v>
      </c>
      <c r="Z956"/>
      <c r="AA956" s="412"/>
      <c r="AB956" s="412"/>
      <c r="AC956" s="412"/>
    </row>
    <row r="957" spans="1:29">
      <c r="A957" s="358" t="s">
        <v>24</v>
      </c>
      <c r="B957" s="369">
        <v>954</v>
      </c>
      <c r="C957" s="372" t="s">
        <v>1507</v>
      </c>
      <c r="D957" s="372" t="s">
        <v>34</v>
      </c>
      <c r="E957" s="373">
        <v>45864</v>
      </c>
      <c r="F957" s="372" t="s">
        <v>97</v>
      </c>
      <c r="G957" s="372">
        <v>7</v>
      </c>
      <c r="H957" s="375" t="s">
        <v>21</v>
      </c>
      <c r="I957" s="372" t="s">
        <v>127</v>
      </c>
      <c r="J957" s="372" t="s">
        <v>871</v>
      </c>
      <c r="K957" s="21"/>
      <c r="L957" s="21"/>
      <c r="M957" s="22"/>
      <c r="N957" s="23"/>
      <c r="O957" s="380"/>
      <c r="P957" s="23" t="s">
        <v>30</v>
      </c>
      <c r="Q957" s="23">
        <v>45894</v>
      </c>
      <c r="R957" s="81" t="s">
        <v>48</v>
      </c>
      <c r="S957" s="22" t="s">
        <v>32</v>
      </c>
      <c r="T957" s="22">
        <v>7</v>
      </c>
      <c r="U957" s="24" t="s">
        <v>48</v>
      </c>
      <c r="V957" s="23">
        <v>45894</v>
      </c>
      <c r="W957" s="241" t="s">
        <v>30</v>
      </c>
      <c r="X957" s="82" t="s">
        <v>30</v>
      </c>
      <c r="Y957" s="100" t="s">
        <v>30</v>
      </c>
      <c r="Z957"/>
      <c r="AA957" s="412"/>
      <c r="AB957" s="412"/>
      <c r="AC957" s="412"/>
    </row>
    <row r="958" spans="1:29">
      <c r="A958" s="358" t="s">
        <v>24</v>
      </c>
      <c r="B958" s="369">
        <v>955</v>
      </c>
      <c r="C958" s="372" t="s">
        <v>1508</v>
      </c>
      <c r="D958" s="372" t="s">
        <v>34</v>
      </c>
      <c r="E958" s="373">
        <v>45864</v>
      </c>
      <c r="F958" s="372" t="s">
        <v>206</v>
      </c>
      <c r="G958" s="372">
        <v>20</v>
      </c>
      <c r="H958" s="372" t="s">
        <v>21</v>
      </c>
      <c r="I958" s="372" t="s">
        <v>127</v>
      </c>
      <c r="J958" s="372" t="s">
        <v>871</v>
      </c>
      <c r="K958" s="93" t="s">
        <v>283</v>
      </c>
      <c r="L958" s="93"/>
      <c r="M958" s="22"/>
      <c r="N958" s="23"/>
      <c r="O958" s="380" t="s">
        <v>31</v>
      </c>
      <c r="P958" s="23" t="s">
        <v>30</v>
      </c>
      <c r="Q958" s="23">
        <v>45889</v>
      </c>
      <c r="R958" s="81" t="s">
        <v>1138</v>
      </c>
      <c r="S958" s="22" t="s">
        <v>32</v>
      </c>
      <c r="T958" s="22">
        <v>20</v>
      </c>
      <c r="U958" s="24" t="s">
        <v>1138</v>
      </c>
      <c r="V958" s="23">
        <v>45889</v>
      </c>
      <c r="W958" s="241" t="s">
        <v>30</v>
      </c>
      <c r="X958" s="100" t="s">
        <v>30</v>
      </c>
      <c r="Y958" s="82" t="s">
        <v>30</v>
      </c>
      <c r="Z958"/>
      <c r="AA958" s="412"/>
      <c r="AB958" s="412"/>
      <c r="AC958" s="412"/>
    </row>
    <row r="959" spans="1:29">
      <c r="A959" s="358" t="s">
        <v>24</v>
      </c>
      <c r="B959" s="369">
        <v>956</v>
      </c>
      <c r="C959" s="372" t="s">
        <v>1509</v>
      </c>
      <c r="D959" s="372" t="s">
        <v>102</v>
      </c>
      <c r="E959" s="373">
        <v>45867</v>
      </c>
      <c r="F959" s="372" t="s">
        <v>97</v>
      </c>
      <c r="G959" s="372">
        <v>12</v>
      </c>
      <c r="H959" s="375" t="s">
        <v>21</v>
      </c>
      <c r="I959" s="372" t="s">
        <v>47</v>
      </c>
      <c r="J959" s="372" t="s">
        <v>871</v>
      </c>
      <c r="K959" s="358" t="s">
        <v>1069</v>
      </c>
      <c r="L959" s="21"/>
      <c r="M959" s="22"/>
      <c r="N959" s="23"/>
      <c r="O959" s="380"/>
      <c r="P959" s="23" t="s">
        <v>30</v>
      </c>
      <c r="Q959" s="23">
        <v>45897</v>
      </c>
      <c r="R959" s="81" t="s">
        <v>48</v>
      </c>
      <c r="S959" s="22" t="s">
        <v>32</v>
      </c>
      <c r="T959" s="22">
        <v>12</v>
      </c>
      <c r="U959" s="24" t="s">
        <v>48</v>
      </c>
      <c r="V959" s="23">
        <v>45897</v>
      </c>
      <c r="W959" s="241" t="s">
        <v>30</v>
      </c>
      <c r="X959" s="82" t="s">
        <v>30</v>
      </c>
      <c r="Y959" s="82" t="s">
        <v>30</v>
      </c>
      <c r="Z959"/>
      <c r="AA959"/>
    </row>
    <row r="960" spans="1:29">
      <c r="A960" s="358" t="s">
        <v>24</v>
      </c>
      <c r="B960" s="369">
        <v>957</v>
      </c>
      <c r="C960" s="372" t="s">
        <v>1510</v>
      </c>
      <c r="D960" s="372" t="s">
        <v>26</v>
      </c>
      <c r="E960" s="373">
        <v>45867</v>
      </c>
      <c r="F960" s="372" t="s">
        <v>435</v>
      </c>
      <c r="G960" s="372">
        <v>17</v>
      </c>
      <c r="H960" s="375" t="s">
        <v>48</v>
      </c>
      <c r="I960" s="372" t="s">
        <v>47</v>
      </c>
      <c r="J960" s="372" t="s">
        <v>871</v>
      </c>
      <c r="K960" s="93"/>
      <c r="L960" s="21"/>
      <c r="M960" s="22"/>
      <c r="N960" s="23"/>
      <c r="O960" s="380" t="s">
        <v>31</v>
      </c>
      <c r="P960" s="23" t="s">
        <v>30</v>
      </c>
      <c r="Q960" s="23">
        <v>45896</v>
      </c>
      <c r="R960" s="81" t="s">
        <v>1077</v>
      </c>
      <c r="S960" s="22" t="s">
        <v>32</v>
      </c>
      <c r="T960" s="22">
        <v>17</v>
      </c>
      <c r="U960" s="24" t="s">
        <v>1077</v>
      </c>
      <c r="V960" s="23">
        <v>45896</v>
      </c>
      <c r="W960" s="241" t="s">
        <v>30</v>
      </c>
      <c r="X960" s="82" t="s">
        <v>30</v>
      </c>
      <c r="Y960" s="82" t="s">
        <v>30</v>
      </c>
      <c r="Z960"/>
      <c r="AA960"/>
    </row>
    <row r="961" spans="1:32">
      <c r="A961" s="358" t="s">
        <v>24</v>
      </c>
      <c r="B961" s="369">
        <v>958</v>
      </c>
      <c r="C961" s="372" t="s">
        <v>1511</v>
      </c>
      <c r="D961" s="372" t="s">
        <v>26</v>
      </c>
      <c r="E961" s="373">
        <v>45868</v>
      </c>
      <c r="F961" s="372" t="s">
        <v>435</v>
      </c>
      <c r="G961" s="372">
        <v>16</v>
      </c>
      <c r="H961" s="375" t="s">
        <v>48</v>
      </c>
      <c r="I961" s="372" t="s">
        <v>47</v>
      </c>
      <c r="J961" s="372" t="s">
        <v>871</v>
      </c>
      <c r="K961" s="93"/>
      <c r="L961" s="21"/>
      <c r="M961" s="22"/>
      <c r="N961" s="23"/>
      <c r="O961" s="380" t="s">
        <v>31</v>
      </c>
      <c r="P961" s="380" t="s">
        <v>30</v>
      </c>
      <c r="Q961" s="23">
        <v>45883</v>
      </c>
      <c r="R961" s="81" t="s">
        <v>1138</v>
      </c>
      <c r="S961" s="22" t="s">
        <v>32</v>
      </c>
      <c r="T961" s="22">
        <v>16</v>
      </c>
      <c r="U961" s="24" t="s">
        <v>1138</v>
      </c>
      <c r="V961" s="23">
        <v>45883</v>
      </c>
      <c r="W961" s="241" t="s">
        <v>30</v>
      </c>
      <c r="X961" s="82" t="s">
        <v>30</v>
      </c>
      <c r="Y961" s="82" t="s">
        <v>30</v>
      </c>
      <c r="Z961"/>
      <c r="AA961"/>
    </row>
    <row r="962" spans="1:32">
      <c r="A962" s="358" t="s">
        <v>137</v>
      </c>
      <c r="B962" s="369">
        <v>959</v>
      </c>
      <c r="C962" s="360" t="s">
        <v>1512</v>
      </c>
      <c r="D962" s="360" t="s">
        <v>829</v>
      </c>
      <c r="E962" s="373">
        <v>45845.041666666664</v>
      </c>
      <c r="F962" s="372" t="s">
        <v>140</v>
      </c>
      <c r="G962" s="372">
        <v>11</v>
      </c>
      <c r="H962" s="372" t="s">
        <v>1513</v>
      </c>
      <c r="I962" s="372" t="s">
        <v>1514</v>
      </c>
      <c r="J962" s="372" t="s">
        <v>871</v>
      </c>
      <c r="K962" s="238"/>
      <c r="L962" s="21"/>
      <c r="M962" s="22"/>
      <c r="N962" s="23"/>
      <c r="O962" s="380"/>
      <c r="P962" s="23" t="s">
        <v>30</v>
      </c>
      <c r="Q962" s="23">
        <v>45863</v>
      </c>
      <c r="R962" s="81" t="s">
        <v>67</v>
      </c>
      <c r="S962" s="22" t="s">
        <v>32</v>
      </c>
      <c r="T962" s="22">
        <v>11</v>
      </c>
      <c r="U962" s="24" t="s">
        <v>67</v>
      </c>
      <c r="V962" s="23">
        <v>45863</v>
      </c>
      <c r="W962" s="82" t="s">
        <v>113</v>
      </c>
      <c r="X962" s="85"/>
      <c r="Y962" s="85" t="s">
        <v>113</v>
      </c>
      <c r="Z962"/>
      <c r="AA962"/>
    </row>
    <row r="963" spans="1:32">
      <c r="A963" s="358" t="s">
        <v>137</v>
      </c>
      <c r="B963" s="369">
        <v>960</v>
      </c>
      <c r="C963" s="360" t="s">
        <v>1515</v>
      </c>
      <c r="D963" s="360" t="s">
        <v>1516</v>
      </c>
      <c r="E963" s="373">
        <v>45845.125</v>
      </c>
      <c r="F963" s="372" t="s">
        <v>140</v>
      </c>
      <c r="G963" s="372">
        <v>1</v>
      </c>
      <c r="H963" s="372" t="s">
        <v>1513</v>
      </c>
      <c r="I963" s="372" t="s">
        <v>1514</v>
      </c>
      <c r="J963" s="372" t="s">
        <v>871</v>
      </c>
      <c r="K963" s="238"/>
      <c r="L963" s="358"/>
      <c r="M963" s="22"/>
      <c r="N963" s="23"/>
      <c r="O963" s="380"/>
      <c r="P963" s="23" t="s">
        <v>30</v>
      </c>
      <c r="Q963" s="23">
        <v>45863</v>
      </c>
      <c r="R963" s="81" t="s">
        <v>67</v>
      </c>
      <c r="S963" s="22" t="s">
        <v>32</v>
      </c>
      <c r="T963" s="22">
        <v>1</v>
      </c>
      <c r="U963" s="24" t="s">
        <v>67</v>
      </c>
      <c r="V963" s="23">
        <v>45863</v>
      </c>
      <c r="W963" s="82" t="s">
        <v>113</v>
      </c>
      <c r="X963" s="85"/>
      <c r="Y963" s="85" t="s">
        <v>113</v>
      </c>
      <c r="Z963"/>
      <c r="AA963"/>
    </row>
    <row r="964" spans="1:32">
      <c r="A964" s="358" t="s">
        <v>137</v>
      </c>
      <c r="B964" s="369">
        <v>961</v>
      </c>
      <c r="C964" s="360" t="s">
        <v>1517</v>
      </c>
      <c r="D964" s="360" t="s">
        <v>1184</v>
      </c>
      <c r="E964" s="373">
        <v>45845.375</v>
      </c>
      <c r="F964" s="372" t="s">
        <v>140</v>
      </c>
      <c r="G964" s="372">
        <v>4</v>
      </c>
      <c r="H964" s="372" t="s">
        <v>21</v>
      </c>
      <c r="I964" s="372" t="s">
        <v>127</v>
      </c>
      <c r="J964" s="372" t="s">
        <v>871</v>
      </c>
      <c r="K964" s="21"/>
      <c r="L964" s="358"/>
      <c r="M964" s="22"/>
      <c r="N964" s="23"/>
      <c r="O964" s="380"/>
      <c r="P964" s="23" t="s">
        <v>30</v>
      </c>
      <c r="Q964" s="23">
        <v>45863</v>
      </c>
      <c r="R964" s="81" t="s">
        <v>67</v>
      </c>
      <c r="S964" s="22" t="s">
        <v>32</v>
      </c>
      <c r="T964" s="22">
        <v>4</v>
      </c>
      <c r="U964" s="24" t="s">
        <v>67</v>
      </c>
      <c r="V964" s="23">
        <v>45863</v>
      </c>
      <c r="W964" s="82" t="s">
        <v>113</v>
      </c>
      <c r="X964" s="85"/>
      <c r="Y964" s="85" t="s">
        <v>113</v>
      </c>
      <c r="Z964"/>
      <c r="AA964"/>
    </row>
    <row r="965" spans="1:32">
      <c r="A965" s="358" t="s">
        <v>137</v>
      </c>
      <c r="B965" s="369">
        <v>962</v>
      </c>
      <c r="C965" s="360" t="s">
        <v>1518</v>
      </c>
      <c r="D965" s="360" t="s">
        <v>213</v>
      </c>
      <c r="E965" s="373">
        <v>45845.375</v>
      </c>
      <c r="F965" s="372" t="s">
        <v>140</v>
      </c>
      <c r="G965" s="372">
        <v>6</v>
      </c>
      <c r="H965" s="372" t="s">
        <v>1519</v>
      </c>
      <c r="I965" s="372" t="s">
        <v>1520</v>
      </c>
      <c r="J965" s="372" t="s">
        <v>871</v>
      </c>
      <c r="K965" s="21"/>
      <c r="L965" s="21"/>
      <c r="M965" s="22"/>
      <c r="N965" s="23"/>
      <c r="O965" s="380"/>
      <c r="P965" s="23" t="s">
        <v>30</v>
      </c>
      <c r="Q965" s="23">
        <v>45863</v>
      </c>
      <c r="R965" s="81" t="s">
        <v>67</v>
      </c>
      <c r="S965" s="22" t="s">
        <v>32</v>
      </c>
      <c r="T965" s="22">
        <v>6</v>
      </c>
      <c r="U965" s="24" t="s">
        <v>67</v>
      </c>
      <c r="V965" s="23">
        <v>45863</v>
      </c>
      <c r="W965" s="82" t="s">
        <v>113</v>
      </c>
      <c r="X965" s="85"/>
      <c r="Y965" s="85" t="s">
        <v>113</v>
      </c>
      <c r="Z965"/>
      <c r="AA965"/>
    </row>
    <row r="966" spans="1:32">
      <c r="A966" s="358" t="s">
        <v>137</v>
      </c>
      <c r="B966" s="369">
        <v>963</v>
      </c>
      <c r="C966" s="360" t="s">
        <v>1521</v>
      </c>
      <c r="D966" s="360" t="s">
        <v>221</v>
      </c>
      <c r="E966" s="373">
        <v>45845.375</v>
      </c>
      <c r="F966" s="372" t="s">
        <v>140</v>
      </c>
      <c r="G966" s="372">
        <v>27</v>
      </c>
      <c r="H966" s="372" t="s">
        <v>1513</v>
      </c>
      <c r="I966" s="372" t="s">
        <v>1514</v>
      </c>
      <c r="J966" s="372" t="s">
        <v>871</v>
      </c>
      <c r="K966" s="93"/>
      <c r="L966" s="21"/>
      <c r="M966" s="22"/>
      <c r="N966" s="23"/>
      <c r="O966" s="380" t="s">
        <v>31</v>
      </c>
      <c r="P966" s="23" t="s">
        <v>30</v>
      </c>
      <c r="Q966" s="23">
        <v>45867</v>
      </c>
      <c r="R966" s="81" t="s">
        <v>67</v>
      </c>
      <c r="S966" s="22" t="s">
        <v>32</v>
      </c>
      <c r="T966" s="22">
        <v>26</v>
      </c>
      <c r="U966" s="24" t="s">
        <v>67</v>
      </c>
      <c r="V966" s="23">
        <v>45867</v>
      </c>
      <c r="W966" s="82" t="s">
        <v>113</v>
      </c>
      <c r="X966" s="85"/>
      <c r="Y966" s="85" t="s">
        <v>113</v>
      </c>
      <c r="Z966">
        <v>1</v>
      </c>
      <c r="AA966">
        <v>26</v>
      </c>
      <c r="AB966">
        <v>0</v>
      </c>
      <c r="AC966">
        <f>SUM(Z966:AB966)</f>
        <v>27</v>
      </c>
      <c r="AD966" s="72">
        <f>+Z966/AC966*AD$1</f>
        <v>0.1111111111111111</v>
      </c>
      <c r="AE966" s="96">
        <f>+AA966/AC966*AE$1</f>
        <v>0</v>
      </c>
      <c r="AF966" s="96">
        <f>+AB966/AC966*AF$1</f>
        <v>0</v>
      </c>
    </row>
    <row r="967" spans="1:32">
      <c r="A967" s="358" t="s">
        <v>137</v>
      </c>
      <c r="B967" s="369">
        <v>964</v>
      </c>
      <c r="C967" s="360" t="s">
        <v>1522</v>
      </c>
      <c r="D967" s="360" t="s">
        <v>989</v>
      </c>
      <c r="E967" s="373">
        <v>45845.375</v>
      </c>
      <c r="F967" s="372" t="s">
        <v>140</v>
      </c>
      <c r="G967" s="372">
        <v>2</v>
      </c>
      <c r="H967" s="372" t="s">
        <v>1077</v>
      </c>
      <c r="I967" s="372" t="s">
        <v>1514</v>
      </c>
      <c r="J967" s="372" t="s">
        <v>871</v>
      </c>
      <c r="K967" s="21"/>
      <c r="L967" s="21"/>
      <c r="M967" s="22"/>
      <c r="N967" s="23"/>
      <c r="O967" s="380"/>
      <c r="P967" s="23" t="s">
        <v>30</v>
      </c>
      <c r="Q967" s="23">
        <v>45867</v>
      </c>
      <c r="R967" s="81" t="s">
        <v>67</v>
      </c>
      <c r="S967" s="22" t="s">
        <v>32</v>
      </c>
      <c r="T967" s="22">
        <v>2</v>
      </c>
      <c r="U967" s="24" t="s">
        <v>67</v>
      </c>
      <c r="V967" s="23">
        <v>45867</v>
      </c>
      <c r="W967" s="82" t="s">
        <v>113</v>
      </c>
      <c r="X967" s="85"/>
      <c r="Y967" s="85" t="s">
        <v>113</v>
      </c>
      <c r="Z967"/>
      <c r="AA967" s="412"/>
      <c r="AB967" s="412"/>
      <c r="AC967" s="412"/>
    </row>
    <row r="968" spans="1:32">
      <c r="A968" s="358" t="s">
        <v>137</v>
      </c>
      <c r="B968" s="369">
        <v>965</v>
      </c>
      <c r="C968" s="360" t="s">
        <v>1523</v>
      </c>
      <c r="D968" s="360" t="s">
        <v>1524</v>
      </c>
      <c r="E968" s="373">
        <v>45845.375</v>
      </c>
      <c r="F968" s="372" t="s">
        <v>140</v>
      </c>
      <c r="G968" s="372">
        <v>2</v>
      </c>
      <c r="H968" s="372" t="s">
        <v>21</v>
      </c>
      <c r="I968" s="372" t="s">
        <v>127</v>
      </c>
      <c r="J968" s="372" t="s">
        <v>871</v>
      </c>
      <c r="K968" s="101" t="s">
        <v>1378</v>
      </c>
      <c r="L968" s="21"/>
      <c r="M968" s="22"/>
      <c r="N968" s="23"/>
      <c r="O968" s="380"/>
      <c r="P968" s="101"/>
      <c r="Q968" s="23"/>
      <c r="R968" s="81" t="s">
        <v>67</v>
      </c>
      <c r="S968" s="22"/>
      <c r="T968" s="22"/>
      <c r="U968" s="24" t="s">
        <v>67</v>
      </c>
      <c r="V968" s="23"/>
      <c r="W968" s="82" t="s">
        <v>113</v>
      </c>
      <c r="X968" s="85"/>
      <c r="Y968" s="85" t="s">
        <v>113</v>
      </c>
      <c r="Z968"/>
      <c r="AA968"/>
    </row>
    <row r="969" spans="1:32">
      <c r="A969" s="358" t="s">
        <v>137</v>
      </c>
      <c r="B969" s="369">
        <v>966</v>
      </c>
      <c r="C969" s="360" t="s">
        <v>1525</v>
      </c>
      <c r="D969" s="360" t="s">
        <v>334</v>
      </c>
      <c r="E969" s="373">
        <v>45845.375</v>
      </c>
      <c r="F969" s="372" t="s">
        <v>140</v>
      </c>
      <c r="G969" s="372">
        <v>3</v>
      </c>
      <c r="H969" s="372" t="s">
        <v>21</v>
      </c>
      <c r="I969" s="372" t="s">
        <v>127</v>
      </c>
      <c r="J969" s="372" t="s">
        <v>871</v>
      </c>
      <c r="K969" s="372"/>
      <c r="L969" s="21"/>
      <c r="M969" s="22"/>
      <c r="N969" s="23"/>
      <c r="O969" s="23"/>
      <c r="P969" s="23" t="s">
        <v>30</v>
      </c>
      <c r="Q969" s="23">
        <v>45867</v>
      </c>
      <c r="R969" s="81" t="s">
        <v>67</v>
      </c>
      <c r="S969" s="22" t="s">
        <v>32</v>
      </c>
      <c r="T969" s="22">
        <v>3</v>
      </c>
      <c r="U969" s="24" t="s">
        <v>67</v>
      </c>
      <c r="V969" s="23">
        <v>45867</v>
      </c>
      <c r="W969" s="82" t="s">
        <v>113</v>
      </c>
      <c r="X969" s="85"/>
      <c r="Y969" s="85" t="s">
        <v>113</v>
      </c>
      <c r="Z969" s="91"/>
      <c r="AA969" s="88"/>
      <c r="AB969" s="92"/>
      <c r="AC969" s="88"/>
      <c r="AD969" s="72"/>
      <c r="AE969" s="72"/>
      <c r="AF969" s="72"/>
    </row>
    <row r="970" spans="1:32">
      <c r="A970" s="358" t="s">
        <v>137</v>
      </c>
      <c r="B970" s="369">
        <v>967</v>
      </c>
      <c r="C970" s="360" t="s">
        <v>1526</v>
      </c>
      <c r="D970" s="360" t="s">
        <v>1212</v>
      </c>
      <c r="E970" s="373">
        <v>45845</v>
      </c>
      <c r="F970" s="372" t="s">
        <v>140</v>
      </c>
      <c r="G970" s="372">
        <v>5</v>
      </c>
      <c r="H970" s="372" t="s">
        <v>21</v>
      </c>
      <c r="I970" s="372" t="s">
        <v>127</v>
      </c>
      <c r="J970" s="372" t="s">
        <v>871</v>
      </c>
      <c r="K970" s="372"/>
      <c r="L970" s="21"/>
      <c r="M970" s="22"/>
      <c r="N970" s="23"/>
      <c r="O970" s="23"/>
      <c r="P970" s="23" t="s">
        <v>30</v>
      </c>
      <c r="Q970" s="23">
        <v>45867</v>
      </c>
      <c r="R970" s="81" t="s">
        <v>67</v>
      </c>
      <c r="S970" s="22" t="s">
        <v>32</v>
      </c>
      <c r="T970" s="22">
        <v>5</v>
      </c>
      <c r="U970" s="24" t="s">
        <v>67</v>
      </c>
      <c r="V970" s="23">
        <v>45867</v>
      </c>
      <c r="W970" s="82" t="s">
        <v>113</v>
      </c>
      <c r="X970" s="85"/>
      <c r="Y970" s="85" t="s">
        <v>113</v>
      </c>
      <c r="Z970"/>
      <c r="AA970"/>
    </row>
    <row r="971" spans="1:32">
      <c r="A971" s="358" t="s">
        <v>137</v>
      </c>
      <c r="B971" s="369">
        <v>968</v>
      </c>
      <c r="C971" s="360" t="s">
        <v>1527</v>
      </c>
      <c r="D971" s="360" t="s">
        <v>779</v>
      </c>
      <c r="E971" s="373">
        <v>45845</v>
      </c>
      <c r="F971" s="372" t="s">
        <v>140</v>
      </c>
      <c r="G971" s="372">
        <v>4</v>
      </c>
      <c r="H971" s="372" t="s">
        <v>1528</v>
      </c>
      <c r="I971" s="372" t="s">
        <v>1514</v>
      </c>
      <c r="J971" s="372" t="s">
        <v>871</v>
      </c>
      <c r="K971" s="21"/>
      <c r="L971" s="21"/>
      <c r="M971" s="22"/>
      <c r="N971" s="23"/>
      <c r="O971" s="23"/>
      <c r="P971" s="23" t="s">
        <v>30</v>
      </c>
      <c r="Q971" s="23">
        <v>45867</v>
      </c>
      <c r="R971" s="81" t="s">
        <v>67</v>
      </c>
      <c r="S971" s="22" t="s">
        <v>32</v>
      </c>
      <c r="T971" s="22">
        <v>5</v>
      </c>
      <c r="U971" s="24" t="s">
        <v>67</v>
      </c>
      <c r="V971" s="23">
        <v>45867</v>
      </c>
      <c r="W971" s="82" t="s">
        <v>113</v>
      </c>
      <c r="X971" s="85"/>
      <c r="Y971" s="85" t="s">
        <v>113</v>
      </c>
      <c r="Z971"/>
      <c r="AA971"/>
      <c r="AC971" s="88"/>
      <c r="AD971" s="72"/>
      <c r="AE971" s="72"/>
      <c r="AF971" s="72"/>
    </row>
    <row r="972" spans="1:32">
      <c r="A972" s="358" t="s">
        <v>137</v>
      </c>
      <c r="B972" s="369">
        <v>969</v>
      </c>
      <c r="C972" s="360" t="s">
        <v>1529</v>
      </c>
      <c r="D972" s="360" t="s">
        <v>865</v>
      </c>
      <c r="E972" s="373">
        <v>45845.75</v>
      </c>
      <c r="F972" s="372" t="s">
        <v>140</v>
      </c>
      <c r="G972" s="372">
        <v>4</v>
      </c>
      <c r="H972" s="372" t="s">
        <v>21</v>
      </c>
      <c r="I972" s="372" t="s">
        <v>127</v>
      </c>
      <c r="J972" s="372" t="s">
        <v>871</v>
      </c>
      <c r="K972" s="21"/>
      <c r="L972" s="21"/>
      <c r="M972" s="22"/>
      <c r="N972" s="23"/>
      <c r="O972" s="380"/>
      <c r="P972" s="23" t="s">
        <v>30</v>
      </c>
      <c r="Q972" s="23">
        <v>45867</v>
      </c>
      <c r="R972" s="81" t="s">
        <v>67</v>
      </c>
      <c r="S972" s="22" t="s">
        <v>32</v>
      </c>
      <c r="T972" s="22">
        <v>6</v>
      </c>
      <c r="U972" s="24" t="s">
        <v>67</v>
      </c>
      <c r="V972" s="23">
        <v>45867</v>
      </c>
      <c r="W972" s="82" t="s">
        <v>113</v>
      </c>
      <c r="X972" s="85"/>
      <c r="Y972" s="85" t="s">
        <v>113</v>
      </c>
      <c r="Z972"/>
      <c r="AA972"/>
      <c r="AC972" s="88"/>
      <c r="AD972" s="72"/>
      <c r="AE972" s="72"/>
      <c r="AF972" s="72"/>
    </row>
    <row r="973" spans="1:32">
      <c r="A973" s="358" t="s">
        <v>137</v>
      </c>
      <c r="B973" s="369">
        <v>970</v>
      </c>
      <c r="C973" s="360" t="s">
        <v>1530</v>
      </c>
      <c r="D973" s="360" t="s">
        <v>846</v>
      </c>
      <c r="E973" s="373">
        <v>45845</v>
      </c>
      <c r="F973" s="372" t="s">
        <v>140</v>
      </c>
      <c r="G973" s="372">
        <v>1</v>
      </c>
      <c r="H973" s="372" t="s">
        <v>1077</v>
      </c>
      <c r="I973" s="372" t="s">
        <v>1138</v>
      </c>
      <c r="J973" s="372" t="s">
        <v>871</v>
      </c>
      <c r="K973" s="21"/>
      <c r="L973" s="21"/>
      <c r="M973" s="22"/>
      <c r="N973" s="23"/>
      <c r="O973" s="380"/>
      <c r="P973" s="23" t="s">
        <v>30</v>
      </c>
      <c r="Q973" s="23">
        <v>45867</v>
      </c>
      <c r="R973" s="81" t="s">
        <v>67</v>
      </c>
      <c r="S973" s="22" t="s">
        <v>32</v>
      </c>
      <c r="T973" s="22">
        <v>4</v>
      </c>
      <c r="U973" s="24" t="s">
        <v>67</v>
      </c>
      <c r="V973" s="23">
        <v>45867</v>
      </c>
      <c r="W973" s="82" t="s">
        <v>113</v>
      </c>
      <c r="X973" s="85"/>
      <c r="Y973" s="85" t="s">
        <v>113</v>
      </c>
      <c r="Z973"/>
      <c r="AA973"/>
    </row>
    <row r="974" spans="1:32">
      <c r="A974" s="358" t="s">
        <v>137</v>
      </c>
      <c r="B974" s="369">
        <v>971</v>
      </c>
      <c r="C974" s="360" t="s">
        <v>1531</v>
      </c>
      <c r="D974" s="360" t="s">
        <v>969</v>
      </c>
      <c r="E974" s="373">
        <v>45848.375</v>
      </c>
      <c r="F974" s="372" t="s">
        <v>140</v>
      </c>
      <c r="G974" s="372">
        <v>1</v>
      </c>
      <c r="H974" s="372" t="s">
        <v>1077</v>
      </c>
      <c r="I974" s="372" t="s">
        <v>1138</v>
      </c>
      <c r="J974" s="372" t="s">
        <v>871</v>
      </c>
      <c r="K974" s="21"/>
      <c r="L974" s="21"/>
      <c r="M974" s="22"/>
      <c r="N974" s="23"/>
      <c r="O974" s="23"/>
      <c r="P974" s="23" t="s">
        <v>30</v>
      </c>
      <c r="Q974" s="23">
        <v>45867</v>
      </c>
      <c r="R974" s="81" t="s">
        <v>67</v>
      </c>
      <c r="S974" s="22" t="s">
        <v>32</v>
      </c>
      <c r="T974" s="22">
        <v>1</v>
      </c>
      <c r="U974" s="24" t="s">
        <v>67</v>
      </c>
      <c r="V974" s="23">
        <v>45867</v>
      </c>
      <c r="W974" s="82" t="s">
        <v>113</v>
      </c>
      <c r="X974" s="85"/>
      <c r="Y974" s="85" t="s">
        <v>113</v>
      </c>
      <c r="Z974"/>
      <c r="AA974"/>
    </row>
    <row r="975" spans="1:32">
      <c r="A975" s="358" t="s">
        <v>137</v>
      </c>
      <c r="B975" s="369">
        <v>972</v>
      </c>
      <c r="C975" s="360" t="s">
        <v>1532</v>
      </c>
      <c r="D975" s="360" t="s">
        <v>1236</v>
      </c>
      <c r="E975" s="373">
        <v>45845</v>
      </c>
      <c r="F975" s="372" t="s">
        <v>140</v>
      </c>
      <c r="G975" s="372">
        <v>1</v>
      </c>
      <c r="H975" s="372" t="s">
        <v>21</v>
      </c>
      <c r="I975" s="372" t="s">
        <v>127</v>
      </c>
      <c r="J975" s="372" t="s">
        <v>871</v>
      </c>
      <c r="K975" s="21"/>
      <c r="L975" s="21"/>
      <c r="M975" s="22"/>
      <c r="N975" s="23"/>
      <c r="O975" s="380"/>
      <c r="P975" s="23" t="s">
        <v>30</v>
      </c>
      <c r="Q975" s="23">
        <v>45849</v>
      </c>
      <c r="R975" s="81" t="s">
        <v>67</v>
      </c>
      <c r="S975" s="22" t="s">
        <v>32</v>
      </c>
      <c r="T975" s="22">
        <v>1</v>
      </c>
      <c r="U975" s="24" t="s">
        <v>67</v>
      </c>
      <c r="V975" s="23">
        <v>45849</v>
      </c>
      <c r="W975" s="82" t="s">
        <v>113</v>
      </c>
      <c r="X975" s="85"/>
      <c r="Y975" s="85" t="s">
        <v>113</v>
      </c>
      <c r="Z975"/>
      <c r="AA975"/>
      <c r="AC975" s="88"/>
      <c r="AD975" s="72"/>
      <c r="AE975" s="72"/>
      <c r="AF975" s="72"/>
    </row>
    <row r="976" spans="1:32">
      <c r="A976" s="358" t="s">
        <v>137</v>
      </c>
      <c r="B976" s="369">
        <v>973</v>
      </c>
      <c r="C976" s="360" t="s">
        <v>1533</v>
      </c>
      <c r="D976" s="360" t="s">
        <v>937</v>
      </c>
      <c r="E976" s="373">
        <v>45852</v>
      </c>
      <c r="F976" s="372" t="s">
        <v>140</v>
      </c>
      <c r="G976" s="372">
        <v>46</v>
      </c>
      <c r="H976" s="372" t="s">
        <v>1519</v>
      </c>
      <c r="I976" s="372" t="s">
        <v>1520</v>
      </c>
      <c r="J976" s="372" t="s">
        <v>871</v>
      </c>
      <c r="K976" s="104" t="s">
        <v>1534</v>
      </c>
      <c r="L976" s="21"/>
      <c r="M976" s="22"/>
      <c r="N976" s="23"/>
      <c r="O976" s="380" t="s">
        <v>31</v>
      </c>
      <c r="P976" s="104"/>
      <c r="Q976" s="23"/>
      <c r="R976" s="81" t="s">
        <v>67</v>
      </c>
      <c r="S976" s="22"/>
      <c r="T976" s="22"/>
      <c r="U976" s="24" t="s">
        <v>67</v>
      </c>
      <c r="V976" s="23"/>
      <c r="W976" s="82" t="s">
        <v>113</v>
      </c>
      <c r="X976" s="85"/>
      <c r="Y976" s="85" t="s">
        <v>113</v>
      </c>
      <c r="Z976">
        <v>23</v>
      </c>
      <c r="AA976">
        <v>26</v>
      </c>
      <c r="AB976">
        <v>15</v>
      </c>
      <c r="AC976">
        <f>SUM(Z976:AB976)</f>
        <v>64</v>
      </c>
      <c r="AD976" s="72">
        <f>+Z976/AC976*AD$1</f>
        <v>1.078125</v>
      </c>
      <c r="AE976" s="96">
        <f>+AA976/AC976*AE$1</f>
        <v>0</v>
      </c>
      <c r="AF976" s="96">
        <f>+AB976/AC976*AF$1</f>
        <v>0</v>
      </c>
    </row>
    <row r="977" spans="1:32">
      <c r="A977" s="358" t="s">
        <v>137</v>
      </c>
      <c r="B977" s="369">
        <v>974</v>
      </c>
      <c r="C977" s="360" t="s">
        <v>1535</v>
      </c>
      <c r="D977" s="360" t="s">
        <v>145</v>
      </c>
      <c r="E977" s="373">
        <v>45852.375</v>
      </c>
      <c r="F977" s="372" t="s">
        <v>140</v>
      </c>
      <c r="G977" s="372">
        <v>6</v>
      </c>
      <c r="H977" s="372" t="s">
        <v>21</v>
      </c>
      <c r="I977" s="372" t="s">
        <v>127</v>
      </c>
      <c r="J977" s="372" t="s">
        <v>871</v>
      </c>
      <c r="K977" s="242" t="s">
        <v>1536</v>
      </c>
      <c r="L977" s="21"/>
      <c r="M977" s="22"/>
      <c r="N977" s="23"/>
      <c r="O977" s="23"/>
      <c r="P977" s="104"/>
      <c r="Q977" s="23"/>
      <c r="R977" s="81" t="s">
        <v>67</v>
      </c>
      <c r="S977" s="22"/>
      <c r="T977" s="22"/>
      <c r="U977" s="24" t="s">
        <v>67</v>
      </c>
      <c r="V977" s="23"/>
      <c r="W977" s="82" t="s">
        <v>113</v>
      </c>
      <c r="X977" s="85"/>
      <c r="Y977" s="85" t="s">
        <v>113</v>
      </c>
      <c r="Z977"/>
      <c r="AA977"/>
    </row>
    <row r="978" spans="1:32">
      <c r="A978" s="358" t="s">
        <v>137</v>
      </c>
      <c r="B978" s="369">
        <v>975</v>
      </c>
      <c r="C978" s="360" t="s">
        <v>1537</v>
      </c>
      <c r="D978" s="360" t="s">
        <v>1250</v>
      </c>
      <c r="E978" s="373">
        <v>45852</v>
      </c>
      <c r="F978" s="372" t="s">
        <v>140</v>
      </c>
      <c r="G978" s="372">
        <v>9</v>
      </c>
      <c r="H978" s="372" t="s">
        <v>21</v>
      </c>
      <c r="I978" s="372" t="s">
        <v>127</v>
      </c>
      <c r="J978" s="372" t="s">
        <v>871</v>
      </c>
      <c r="K978" s="21"/>
      <c r="L978" s="21"/>
      <c r="M978" s="22"/>
      <c r="N978" s="23"/>
      <c r="O978" s="23"/>
      <c r="P978" s="23" t="s">
        <v>30</v>
      </c>
      <c r="Q978" s="23">
        <v>45869</v>
      </c>
      <c r="R978" s="81" t="s">
        <v>67</v>
      </c>
      <c r="S978" s="22" t="s">
        <v>32</v>
      </c>
      <c r="T978" s="22">
        <v>9</v>
      </c>
      <c r="U978" s="24" t="s">
        <v>67</v>
      </c>
      <c r="V978" s="23">
        <v>45869</v>
      </c>
      <c r="W978" s="82" t="s">
        <v>113</v>
      </c>
      <c r="X978" s="85"/>
      <c r="Y978" s="85" t="s">
        <v>113</v>
      </c>
      <c r="Z978"/>
      <c r="AA978"/>
    </row>
    <row r="979" spans="1:32">
      <c r="A979" s="358" t="s">
        <v>137</v>
      </c>
      <c r="B979" s="369">
        <v>976</v>
      </c>
      <c r="C979" s="360" t="s">
        <v>1538</v>
      </c>
      <c r="D979" s="360" t="s">
        <v>1398</v>
      </c>
      <c r="E979" s="373">
        <v>45852</v>
      </c>
      <c r="F979" s="372" t="s">
        <v>140</v>
      </c>
      <c r="G979" s="372">
        <v>1</v>
      </c>
      <c r="H979" s="372" t="s">
        <v>21</v>
      </c>
      <c r="I979" s="372" t="s">
        <v>127</v>
      </c>
      <c r="J979" s="372" t="s">
        <v>871</v>
      </c>
      <c r="K979" s="21"/>
      <c r="L979" s="21"/>
      <c r="M979" s="22"/>
      <c r="N979" s="23"/>
      <c r="O979" s="380"/>
      <c r="P979" s="23" t="s">
        <v>30</v>
      </c>
      <c r="Q979" s="23">
        <v>45876</v>
      </c>
      <c r="R979" s="81" t="s">
        <v>67</v>
      </c>
      <c r="S979" s="22" t="s">
        <v>32</v>
      </c>
      <c r="T979" s="22">
        <v>1</v>
      </c>
      <c r="U979" s="24" t="s">
        <v>67</v>
      </c>
      <c r="V979" s="23">
        <v>45876</v>
      </c>
      <c r="W979" s="82" t="s">
        <v>113</v>
      </c>
      <c r="X979" s="85"/>
      <c r="Y979" s="85" t="s">
        <v>113</v>
      </c>
      <c r="Z979"/>
      <c r="AA979"/>
      <c r="AC979" s="88"/>
      <c r="AD979" s="72"/>
      <c r="AE979" s="72"/>
      <c r="AF979" s="72"/>
    </row>
    <row r="980" spans="1:32">
      <c r="A980" s="358" t="s">
        <v>137</v>
      </c>
      <c r="B980" s="369">
        <v>977</v>
      </c>
      <c r="C980" s="360" t="s">
        <v>1539</v>
      </c>
      <c r="D980" s="360" t="s">
        <v>1245</v>
      </c>
      <c r="E980" s="373">
        <v>45852.375</v>
      </c>
      <c r="F980" s="372" t="s">
        <v>140</v>
      </c>
      <c r="G980" s="372">
        <v>1</v>
      </c>
      <c r="H980" s="372" t="s">
        <v>1077</v>
      </c>
      <c r="I980" s="372" t="s">
        <v>1138</v>
      </c>
      <c r="J980" s="372" t="s">
        <v>871</v>
      </c>
      <c r="K980" s="21"/>
      <c r="L980" s="21"/>
      <c r="M980" s="22"/>
      <c r="N980" s="23"/>
      <c r="O980" s="380"/>
      <c r="P980" s="23" t="s">
        <v>30</v>
      </c>
      <c r="Q980" s="23">
        <v>45869</v>
      </c>
      <c r="R980" s="81" t="s">
        <v>67</v>
      </c>
      <c r="S980" s="22" t="s">
        <v>32</v>
      </c>
      <c r="T980" s="22">
        <v>1</v>
      </c>
      <c r="U980" s="24" t="s">
        <v>67</v>
      </c>
      <c r="V980" s="23">
        <v>45869</v>
      </c>
      <c r="W980" s="82" t="s">
        <v>113</v>
      </c>
      <c r="X980" s="85"/>
      <c r="Y980" s="85" t="s">
        <v>113</v>
      </c>
      <c r="Z980"/>
      <c r="AA980" s="412"/>
      <c r="AB980" s="412"/>
      <c r="AC980" s="412"/>
    </row>
    <row r="981" spans="1:32">
      <c r="A981" s="358" t="s">
        <v>137</v>
      </c>
      <c r="B981" s="369">
        <v>978</v>
      </c>
      <c r="C981" s="360" t="s">
        <v>1540</v>
      </c>
      <c r="D981" s="360" t="s">
        <v>969</v>
      </c>
      <c r="E981" s="373">
        <v>45852.375</v>
      </c>
      <c r="F981" s="372" t="s">
        <v>140</v>
      </c>
      <c r="G981" s="372">
        <v>1</v>
      </c>
      <c r="H981" s="372" t="s">
        <v>1077</v>
      </c>
      <c r="I981" s="372" t="s">
        <v>1138</v>
      </c>
      <c r="J981" s="372" t="s">
        <v>871</v>
      </c>
      <c r="K981" s="21"/>
      <c r="L981" s="21"/>
      <c r="M981" s="22"/>
      <c r="N981" s="23"/>
      <c r="O981" s="23"/>
      <c r="P981" s="23" t="s">
        <v>30</v>
      </c>
      <c r="Q981" s="23">
        <v>45869</v>
      </c>
      <c r="R981" s="81" t="s">
        <v>67</v>
      </c>
      <c r="S981" s="22" t="s">
        <v>32</v>
      </c>
      <c r="T981" s="22">
        <v>2</v>
      </c>
      <c r="U981" s="24" t="s">
        <v>67</v>
      </c>
      <c r="V981" s="23">
        <v>45869</v>
      </c>
      <c r="W981" s="82" t="s">
        <v>113</v>
      </c>
      <c r="X981" s="85"/>
      <c r="Y981" s="85" t="s">
        <v>113</v>
      </c>
      <c r="Z981"/>
      <c r="AA981" s="412"/>
      <c r="AB981" s="412"/>
      <c r="AC981" s="412"/>
    </row>
    <row r="982" spans="1:32">
      <c r="A982" s="358" t="s">
        <v>137</v>
      </c>
      <c r="B982" s="369">
        <v>979</v>
      </c>
      <c r="C982" s="360" t="s">
        <v>1541</v>
      </c>
      <c r="D982" s="360" t="s">
        <v>1542</v>
      </c>
      <c r="E982" s="373">
        <v>45852.041666666664</v>
      </c>
      <c r="F982" s="372" t="s">
        <v>140</v>
      </c>
      <c r="G982" s="372">
        <v>1</v>
      </c>
      <c r="H982" s="372" t="s">
        <v>48</v>
      </c>
      <c r="I982" s="372" t="s">
        <v>47</v>
      </c>
      <c r="J982" s="372" t="s">
        <v>871</v>
      </c>
      <c r="K982" s="21"/>
      <c r="L982" s="21"/>
      <c r="M982" s="22"/>
      <c r="N982" s="23"/>
      <c r="O982" s="23"/>
      <c r="P982" s="23" t="s">
        <v>30</v>
      </c>
      <c r="Q982" s="23">
        <v>45869</v>
      </c>
      <c r="R982" s="81" t="s">
        <v>67</v>
      </c>
      <c r="S982" s="22" t="s">
        <v>32</v>
      </c>
      <c r="T982" s="22">
        <v>1</v>
      </c>
      <c r="U982" s="24" t="s">
        <v>67</v>
      </c>
      <c r="V982" s="23">
        <v>45869</v>
      </c>
      <c r="W982" s="82" t="s">
        <v>113</v>
      </c>
      <c r="X982" s="85"/>
      <c r="Y982" s="85" t="s">
        <v>113</v>
      </c>
      <c r="Z982"/>
      <c r="AA982" s="412"/>
      <c r="AB982" s="412"/>
      <c r="AC982" s="412"/>
    </row>
    <row r="983" spans="1:32">
      <c r="A983" s="358" t="s">
        <v>137</v>
      </c>
      <c r="B983" s="369">
        <v>980</v>
      </c>
      <c r="C983" s="360" t="s">
        <v>1543</v>
      </c>
      <c r="D983" s="360" t="s">
        <v>1544</v>
      </c>
      <c r="E983" s="373">
        <v>45852.375</v>
      </c>
      <c r="F983" s="372" t="s">
        <v>140</v>
      </c>
      <c r="G983" s="372">
        <v>2</v>
      </c>
      <c r="H983" s="372" t="s">
        <v>21</v>
      </c>
      <c r="I983" s="372" t="s">
        <v>127</v>
      </c>
      <c r="J983" s="372" t="s">
        <v>871</v>
      </c>
      <c r="K983" s="242" t="s">
        <v>1536</v>
      </c>
      <c r="L983" s="21"/>
      <c r="M983" s="22"/>
      <c r="N983" s="23"/>
      <c r="O983" s="23"/>
      <c r="P983" s="104"/>
      <c r="Q983" s="23"/>
      <c r="R983" s="81" t="s">
        <v>67</v>
      </c>
      <c r="S983" s="22"/>
      <c r="T983" s="22"/>
      <c r="U983" s="24" t="s">
        <v>67</v>
      </c>
      <c r="V983" s="23"/>
      <c r="W983" s="82" t="s">
        <v>113</v>
      </c>
      <c r="X983" s="85"/>
      <c r="Y983" s="85" t="s">
        <v>113</v>
      </c>
      <c r="Z983"/>
      <c r="AA983" s="412"/>
      <c r="AB983" s="412"/>
      <c r="AC983" s="412"/>
    </row>
    <row r="984" spans="1:32">
      <c r="A984" s="358" t="s">
        <v>137</v>
      </c>
      <c r="B984" s="369">
        <v>981</v>
      </c>
      <c r="C984" s="360" t="s">
        <v>1545</v>
      </c>
      <c r="D984" s="360" t="s">
        <v>1403</v>
      </c>
      <c r="E984" s="373">
        <v>45852.375</v>
      </c>
      <c r="F984" s="372" t="s">
        <v>140</v>
      </c>
      <c r="G984" s="372">
        <v>8</v>
      </c>
      <c r="H984" s="372" t="s">
        <v>1513</v>
      </c>
      <c r="I984" s="372" t="s">
        <v>1546</v>
      </c>
      <c r="J984" s="372" t="s">
        <v>871</v>
      </c>
      <c r="K984" s="242" t="s">
        <v>1536</v>
      </c>
      <c r="L984" s="21"/>
      <c r="M984" s="22"/>
      <c r="N984" s="23"/>
      <c r="O984" s="23"/>
      <c r="P984" s="104"/>
      <c r="Q984" s="23"/>
      <c r="R984" s="81" t="s">
        <v>67</v>
      </c>
      <c r="S984" s="22"/>
      <c r="T984" s="22"/>
      <c r="U984" s="24" t="s">
        <v>67</v>
      </c>
      <c r="V984" s="23"/>
      <c r="W984" s="82" t="s">
        <v>113</v>
      </c>
      <c r="X984" s="85"/>
      <c r="Y984" s="85" t="s">
        <v>113</v>
      </c>
      <c r="Z984"/>
      <c r="AA984"/>
    </row>
    <row r="985" spans="1:32">
      <c r="A985" s="358" t="s">
        <v>137</v>
      </c>
      <c r="B985" s="369">
        <v>982</v>
      </c>
      <c r="C985" s="360" t="s">
        <v>1547</v>
      </c>
      <c r="D985" s="360" t="s">
        <v>960</v>
      </c>
      <c r="E985" s="373">
        <v>45852.375</v>
      </c>
      <c r="F985" s="372" t="s">
        <v>140</v>
      </c>
      <c r="G985" s="372">
        <v>4</v>
      </c>
      <c r="H985" s="372" t="s">
        <v>21</v>
      </c>
      <c r="I985" s="372" t="s">
        <v>127</v>
      </c>
      <c r="J985" s="372" t="s">
        <v>871</v>
      </c>
      <c r="K985" s="242" t="s">
        <v>1536</v>
      </c>
      <c r="L985" s="21"/>
      <c r="M985" s="22"/>
      <c r="N985" s="23"/>
      <c r="O985" s="380"/>
      <c r="P985" s="104"/>
      <c r="Q985" s="23"/>
      <c r="R985" s="81" t="s">
        <v>67</v>
      </c>
      <c r="S985" s="22"/>
      <c r="T985" s="22"/>
      <c r="U985" s="24" t="s">
        <v>67</v>
      </c>
      <c r="V985" s="23"/>
      <c r="W985" s="82" t="s">
        <v>113</v>
      </c>
      <c r="X985" s="85"/>
      <c r="Y985" s="85" t="s">
        <v>113</v>
      </c>
      <c r="Z985"/>
      <c r="AA985"/>
    </row>
    <row r="986" spans="1:32">
      <c r="A986" s="358" t="s">
        <v>137</v>
      </c>
      <c r="B986" s="369">
        <v>983</v>
      </c>
      <c r="C986" s="360" t="s">
        <v>1548</v>
      </c>
      <c r="D986" s="360" t="s">
        <v>1549</v>
      </c>
      <c r="E986" s="373">
        <v>45852.375</v>
      </c>
      <c r="F986" s="372" t="s">
        <v>140</v>
      </c>
      <c r="G986" s="372">
        <v>2</v>
      </c>
      <c r="H986" s="372" t="s">
        <v>1077</v>
      </c>
      <c r="I986" s="372" t="s">
        <v>1138</v>
      </c>
      <c r="J986" s="372" t="s">
        <v>871</v>
      </c>
      <c r="K986" s="21"/>
      <c r="L986" s="21"/>
      <c r="M986" s="22"/>
      <c r="N986" s="23"/>
      <c r="O986" s="380"/>
      <c r="P986" s="23" t="s">
        <v>30</v>
      </c>
      <c r="Q986" s="23">
        <v>45870</v>
      </c>
      <c r="R986" s="81" t="s">
        <v>67</v>
      </c>
      <c r="S986" s="22" t="s">
        <v>32</v>
      </c>
      <c r="T986" s="22">
        <v>2</v>
      </c>
      <c r="U986" s="24" t="s">
        <v>67</v>
      </c>
      <c r="V986" s="23">
        <v>45870</v>
      </c>
      <c r="W986" s="82" t="s">
        <v>113</v>
      </c>
      <c r="X986" s="85"/>
      <c r="Y986" s="85" t="s">
        <v>113</v>
      </c>
      <c r="Z986"/>
      <c r="AA986"/>
    </row>
    <row r="987" spans="1:32">
      <c r="A987" s="358" t="s">
        <v>137</v>
      </c>
      <c r="B987" s="369">
        <v>984</v>
      </c>
      <c r="C987" s="360" t="s">
        <v>1550</v>
      </c>
      <c r="D987" s="360" t="s">
        <v>1198</v>
      </c>
      <c r="E987" s="373">
        <v>45852.375</v>
      </c>
      <c r="F987" s="372" t="s">
        <v>140</v>
      </c>
      <c r="G987" s="372">
        <v>5</v>
      </c>
      <c r="H987" s="372" t="s">
        <v>48</v>
      </c>
      <c r="I987" s="372" t="s">
        <v>47</v>
      </c>
      <c r="J987" s="372" t="s">
        <v>871</v>
      </c>
      <c r="K987" s="21"/>
      <c r="L987" s="21"/>
      <c r="M987" s="22"/>
      <c r="N987" s="23"/>
      <c r="O987" s="23"/>
      <c r="P987" s="23" t="s">
        <v>30</v>
      </c>
      <c r="Q987" s="23">
        <v>45870</v>
      </c>
      <c r="R987" s="81" t="s">
        <v>67</v>
      </c>
      <c r="S987" s="22" t="s">
        <v>32</v>
      </c>
      <c r="T987" s="22">
        <v>5</v>
      </c>
      <c r="U987" s="24" t="s">
        <v>67</v>
      </c>
      <c r="V987" s="23">
        <v>45870</v>
      </c>
      <c r="W987" s="82" t="s">
        <v>113</v>
      </c>
      <c r="X987" s="85"/>
      <c r="Y987" s="85" t="s">
        <v>113</v>
      </c>
      <c r="Z987"/>
      <c r="AA987"/>
    </row>
    <row r="988" spans="1:32">
      <c r="A988" s="358" t="s">
        <v>137</v>
      </c>
      <c r="B988" s="369">
        <v>985</v>
      </c>
      <c r="C988" s="360" t="s">
        <v>1551</v>
      </c>
      <c r="D988" s="360" t="s">
        <v>1042</v>
      </c>
      <c r="E988" s="373">
        <v>45852.375</v>
      </c>
      <c r="F988" s="372" t="s">
        <v>140</v>
      </c>
      <c r="G988" s="372">
        <v>2</v>
      </c>
      <c r="H988" s="372" t="s">
        <v>1077</v>
      </c>
      <c r="I988" s="372" t="s">
        <v>1138</v>
      </c>
      <c r="J988" s="372" t="s">
        <v>871</v>
      </c>
      <c r="K988" s="101" t="s">
        <v>1552</v>
      </c>
      <c r="L988" s="21"/>
      <c r="M988" s="22"/>
      <c r="N988" s="23"/>
      <c r="O988" s="23"/>
      <c r="P988" s="23" t="s">
        <v>30</v>
      </c>
      <c r="Q988" s="23">
        <v>45876</v>
      </c>
      <c r="R988" s="81" t="s">
        <v>67</v>
      </c>
      <c r="S988" s="22" t="s">
        <v>32</v>
      </c>
      <c r="T988" s="22">
        <v>2</v>
      </c>
      <c r="U988" s="24" t="s">
        <v>67</v>
      </c>
      <c r="V988" s="23">
        <v>45876</v>
      </c>
      <c r="W988" s="82" t="s">
        <v>113</v>
      </c>
      <c r="X988" s="85"/>
      <c r="Y988" s="85" t="s">
        <v>113</v>
      </c>
      <c r="Z988"/>
      <c r="AA988"/>
    </row>
    <row r="989" spans="1:32">
      <c r="A989" s="358" t="s">
        <v>137</v>
      </c>
      <c r="B989" s="369">
        <v>986</v>
      </c>
      <c r="C989" s="360" t="s">
        <v>1553</v>
      </c>
      <c r="D989" s="360" t="s">
        <v>1554</v>
      </c>
      <c r="E989" s="373">
        <v>45859.375</v>
      </c>
      <c r="F989" s="372" t="s">
        <v>140</v>
      </c>
      <c r="G989" s="372">
        <v>1</v>
      </c>
      <c r="H989" s="372" t="s">
        <v>21</v>
      </c>
      <c r="I989" s="372" t="s">
        <v>127</v>
      </c>
      <c r="J989" s="372" t="s">
        <v>871</v>
      </c>
      <c r="K989" s="101" t="s">
        <v>1378</v>
      </c>
      <c r="L989" s="21"/>
      <c r="M989" s="22"/>
      <c r="N989" s="23"/>
      <c r="O989" s="23"/>
      <c r="P989" s="101"/>
      <c r="Q989" s="23"/>
      <c r="R989" s="81" t="s">
        <v>67</v>
      </c>
      <c r="S989" s="22"/>
      <c r="U989" s="24" t="s">
        <v>67</v>
      </c>
      <c r="V989" s="23"/>
      <c r="W989" s="82" t="s">
        <v>113</v>
      </c>
      <c r="X989" s="85"/>
      <c r="Y989" s="85" t="s">
        <v>113</v>
      </c>
      <c r="Z989"/>
      <c r="AA989"/>
    </row>
    <row r="990" spans="1:32">
      <c r="A990" s="358" t="s">
        <v>137</v>
      </c>
      <c r="B990" s="369">
        <v>987</v>
      </c>
      <c r="C990" s="360" t="s">
        <v>1555</v>
      </c>
      <c r="D990" s="360" t="s">
        <v>829</v>
      </c>
      <c r="E990" s="373">
        <v>45859.375</v>
      </c>
      <c r="F990" s="372" t="s">
        <v>140</v>
      </c>
      <c r="G990" s="372">
        <v>38</v>
      </c>
      <c r="H990" s="372" t="s">
        <v>1513</v>
      </c>
      <c r="I990" s="372" t="s">
        <v>1546</v>
      </c>
      <c r="J990" s="372" t="s">
        <v>871</v>
      </c>
      <c r="K990" s="21"/>
      <c r="L990" s="21"/>
      <c r="M990" s="22"/>
      <c r="N990" s="23"/>
      <c r="O990" s="380" t="s">
        <v>31</v>
      </c>
      <c r="P990" s="23" t="s">
        <v>30</v>
      </c>
      <c r="Q990" s="23">
        <v>45875</v>
      </c>
      <c r="R990" s="81" t="s">
        <v>67</v>
      </c>
      <c r="S990" s="22" t="s">
        <v>32</v>
      </c>
      <c r="T990" s="22">
        <v>38</v>
      </c>
      <c r="U990" s="24" t="s">
        <v>67</v>
      </c>
      <c r="V990" s="23">
        <v>45875</v>
      </c>
      <c r="W990" s="82" t="s">
        <v>113</v>
      </c>
      <c r="X990" s="85"/>
      <c r="Y990" s="85" t="s">
        <v>113</v>
      </c>
      <c r="Z990">
        <v>28</v>
      </c>
      <c r="AA990">
        <v>10</v>
      </c>
      <c r="AB990">
        <v>0</v>
      </c>
      <c r="AC990">
        <f>SUM(Z990:AB990)</f>
        <v>38</v>
      </c>
      <c r="AD990" s="72">
        <f>+Z990/AC990*AD$1</f>
        <v>2.2105263157894735</v>
      </c>
      <c r="AE990" s="96">
        <f>+AA990/AC990*AE$1</f>
        <v>0</v>
      </c>
      <c r="AF990" s="96">
        <f>+AB990/AC990*AF$1</f>
        <v>0</v>
      </c>
    </row>
    <row r="991" spans="1:32">
      <c r="A991" s="358" t="s">
        <v>137</v>
      </c>
      <c r="B991" s="369">
        <v>988</v>
      </c>
      <c r="C991" s="360" t="s">
        <v>1556</v>
      </c>
      <c r="D991" s="360" t="s">
        <v>1198</v>
      </c>
      <c r="E991" s="373">
        <v>45859</v>
      </c>
      <c r="F991" s="372" t="s">
        <v>140</v>
      </c>
      <c r="G991" s="372">
        <v>15</v>
      </c>
      <c r="H991" s="372" t="s">
        <v>1513</v>
      </c>
      <c r="I991" s="372" t="s">
        <v>1546</v>
      </c>
      <c r="J991" s="372" t="s">
        <v>871</v>
      </c>
      <c r="K991" s="21"/>
      <c r="L991" s="21"/>
      <c r="M991" s="22"/>
      <c r="N991" s="23"/>
      <c r="O991" s="380" t="s">
        <v>31</v>
      </c>
      <c r="P991" s="23" t="s">
        <v>30</v>
      </c>
      <c r="Q991" s="23">
        <v>45875</v>
      </c>
      <c r="R991" s="81" t="s">
        <v>67</v>
      </c>
      <c r="S991" s="22" t="s">
        <v>32</v>
      </c>
      <c r="T991" s="22">
        <v>15</v>
      </c>
      <c r="U991" s="24" t="s">
        <v>67</v>
      </c>
      <c r="V991" s="23">
        <v>45875</v>
      </c>
      <c r="W991" s="82" t="s">
        <v>113</v>
      </c>
      <c r="X991" s="85"/>
      <c r="Y991" s="85" t="s">
        <v>113</v>
      </c>
      <c r="Z991">
        <v>7</v>
      </c>
      <c r="AA991">
        <v>8</v>
      </c>
      <c r="AB991">
        <v>0</v>
      </c>
      <c r="AC991">
        <f>SUM(Z991:AB991)</f>
        <v>15</v>
      </c>
      <c r="AD991" s="72">
        <f>+Z991/AC991*AD$1</f>
        <v>1.4</v>
      </c>
      <c r="AE991" s="96">
        <f>+AA991/AC991*AE$1</f>
        <v>0</v>
      </c>
      <c r="AF991" s="96">
        <f>+AB991/AC991*AF$1</f>
        <v>0</v>
      </c>
    </row>
    <row r="992" spans="1:32">
      <c r="A992" s="358" t="s">
        <v>137</v>
      </c>
      <c r="B992" s="369">
        <v>989</v>
      </c>
      <c r="C992" s="360" t="s">
        <v>1557</v>
      </c>
      <c r="D992" s="360" t="s">
        <v>1250</v>
      </c>
      <c r="E992" s="373">
        <v>45859.375</v>
      </c>
      <c r="F992" s="372" t="s">
        <v>140</v>
      </c>
      <c r="G992" s="372">
        <v>1</v>
      </c>
      <c r="H992" s="372" t="s">
        <v>1077</v>
      </c>
      <c r="I992" s="372" t="s">
        <v>1138</v>
      </c>
      <c r="J992" s="372" t="s">
        <v>871</v>
      </c>
      <c r="K992" s="21"/>
      <c r="L992" s="21"/>
      <c r="M992" s="22"/>
      <c r="N992" s="23"/>
      <c r="O992" s="23"/>
      <c r="P992" s="23" t="s">
        <v>30</v>
      </c>
      <c r="Q992" s="23">
        <v>45873</v>
      </c>
      <c r="R992" s="81" t="s">
        <v>67</v>
      </c>
      <c r="S992" s="22" t="s">
        <v>32</v>
      </c>
      <c r="T992" s="22">
        <v>1</v>
      </c>
      <c r="U992" s="24" t="s">
        <v>67</v>
      </c>
      <c r="V992" s="23">
        <v>45873</v>
      </c>
      <c r="W992" s="82" t="s">
        <v>113</v>
      </c>
      <c r="X992" s="85"/>
      <c r="Y992" s="85" t="s">
        <v>113</v>
      </c>
      <c r="Z992"/>
      <c r="AA992"/>
    </row>
    <row r="993" spans="1:32">
      <c r="A993" s="358" t="s">
        <v>137</v>
      </c>
      <c r="B993" s="369">
        <v>990</v>
      </c>
      <c r="C993" s="360" t="s">
        <v>1558</v>
      </c>
      <c r="D993" s="360" t="s">
        <v>1559</v>
      </c>
      <c r="E993" s="373">
        <v>45859.041666666664</v>
      </c>
      <c r="F993" s="372" t="s">
        <v>140</v>
      </c>
      <c r="G993" s="372">
        <v>7</v>
      </c>
      <c r="H993" s="372" t="s">
        <v>1513</v>
      </c>
      <c r="I993" s="372" t="s">
        <v>1546</v>
      </c>
      <c r="J993" s="372" t="s">
        <v>871</v>
      </c>
      <c r="K993" s="21"/>
      <c r="L993" s="21"/>
      <c r="M993" s="22"/>
      <c r="N993" s="23"/>
      <c r="O993" s="62"/>
      <c r="P993" s="23" t="s">
        <v>30</v>
      </c>
      <c r="Q993" s="23">
        <v>45873</v>
      </c>
      <c r="R993" s="81" t="s">
        <v>67</v>
      </c>
      <c r="S993" s="22" t="s">
        <v>32</v>
      </c>
      <c r="T993" s="22">
        <v>7</v>
      </c>
      <c r="U993" s="24" t="s">
        <v>67</v>
      </c>
      <c r="V993" s="23">
        <v>45873</v>
      </c>
      <c r="W993" s="82" t="s">
        <v>113</v>
      </c>
      <c r="X993" s="85"/>
      <c r="Y993" s="85" t="s">
        <v>113</v>
      </c>
      <c r="Z993"/>
      <c r="AA993"/>
      <c r="AD993" s="72"/>
      <c r="AE993" s="96"/>
      <c r="AF993" s="96"/>
    </row>
    <row r="994" spans="1:32">
      <c r="A994" s="358" t="s">
        <v>137</v>
      </c>
      <c r="B994" s="369">
        <v>991</v>
      </c>
      <c r="C994" s="360" t="s">
        <v>1560</v>
      </c>
      <c r="D994" s="360" t="s">
        <v>1184</v>
      </c>
      <c r="E994" s="373">
        <v>45859.375</v>
      </c>
      <c r="F994" s="372" t="s">
        <v>140</v>
      </c>
      <c r="G994" s="372">
        <v>8</v>
      </c>
      <c r="H994" s="372" t="s">
        <v>21</v>
      </c>
      <c r="I994" s="372" t="s">
        <v>127</v>
      </c>
      <c r="J994" s="372" t="s">
        <v>871</v>
      </c>
      <c r="K994" s="21"/>
      <c r="L994" s="21"/>
      <c r="M994" s="22"/>
      <c r="N994" s="23"/>
      <c r="O994" s="62"/>
      <c r="P994" s="23" t="s">
        <v>30</v>
      </c>
      <c r="Q994" s="23">
        <v>45873</v>
      </c>
      <c r="R994" s="81" t="s">
        <v>67</v>
      </c>
      <c r="S994" s="22" t="s">
        <v>32</v>
      </c>
      <c r="T994" s="22">
        <v>7</v>
      </c>
      <c r="U994" s="24" t="s">
        <v>67</v>
      </c>
      <c r="V994" s="23">
        <v>45873</v>
      </c>
      <c r="W994" s="82" t="s">
        <v>113</v>
      </c>
      <c r="X994" s="85"/>
      <c r="Y994" s="85" t="s">
        <v>113</v>
      </c>
      <c r="Z994"/>
      <c r="AA994"/>
      <c r="AD994" s="72"/>
      <c r="AE994" s="96"/>
      <c r="AF994" s="96"/>
    </row>
    <row r="995" spans="1:32">
      <c r="A995" s="358" t="s">
        <v>137</v>
      </c>
      <c r="B995" s="369">
        <v>992</v>
      </c>
      <c r="C995" s="360" t="s">
        <v>1561</v>
      </c>
      <c r="D995" s="360" t="s">
        <v>937</v>
      </c>
      <c r="E995" s="373">
        <v>45859.083333333336</v>
      </c>
      <c r="F995" s="372" t="s">
        <v>140</v>
      </c>
      <c r="G995" s="372">
        <v>23</v>
      </c>
      <c r="H995" s="372" t="s">
        <v>1513</v>
      </c>
      <c r="I995" s="372" t="s">
        <v>1546</v>
      </c>
      <c r="J995" s="372" t="s">
        <v>871</v>
      </c>
      <c r="K995" s="21"/>
      <c r="L995" s="21"/>
      <c r="M995" s="22"/>
      <c r="N995" s="23"/>
      <c r="O995" s="380" t="s">
        <v>31</v>
      </c>
      <c r="P995" s="23" t="s">
        <v>30</v>
      </c>
      <c r="Q995" s="23">
        <v>45876</v>
      </c>
      <c r="R995" s="81" t="s">
        <v>67</v>
      </c>
      <c r="S995" s="22" t="s">
        <v>32</v>
      </c>
      <c r="T995" s="22">
        <v>18</v>
      </c>
      <c r="U995" s="24" t="s">
        <v>67</v>
      </c>
      <c r="V995" s="23">
        <v>45876</v>
      </c>
      <c r="W995" s="82" t="s">
        <v>113</v>
      </c>
      <c r="X995" s="85"/>
      <c r="Y995" s="85" t="s">
        <v>113</v>
      </c>
      <c r="Z995">
        <v>10</v>
      </c>
      <c r="AA995">
        <v>13</v>
      </c>
      <c r="AB995">
        <v>0</v>
      </c>
      <c r="AC995">
        <f>SUM(Z995:AB995)</f>
        <v>23</v>
      </c>
      <c r="AD995" s="72">
        <f>+Z995/AC995*AD$1</f>
        <v>1.3043478260869565</v>
      </c>
      <c r="AE995" s="96">
        <f>+AA995/AC995*AE$1</f>
        <v>0</v>
      </c>
      <c r="AF995" s="96">
        <f>+AB995/AC995*AF$1</f>
        <v>0</v>
      </c>
    </row>
    <row r="996" spans="1:32">
      <c r="A996" s="358" t="s">
        <v>137</v>
      </c>
      <c r="B996" s="369">
        <v>993</v>
      </c>
      <c r="C996" s="360" t="s">
        <v>1562</v>
      </c>
      <c r="D996" s="360" t="s">
        <v>1516</v>
      </c>
      <c r="E996" s="373">
        <v>45859.083333333336</v>
      </c>
      <c r="F996" s="372" t="s">
        <v>140</v>
      </c>
      <c r="G996" s="372">
        <v>6</v>
      </c>
      <c r="H996" s="372" t="s">
        <v>21</v>
      </c>
      <c r="I996" s="372" t="s">
        <v>127</v>
      </c>
      <c r="J996" s="372" t="s">
        <v>871</v>
      </c>
      <c r="K996" s="21"/>
      <c r="L996" s="21"/>
      <c r="M996" s="22"/>
      <c r="N996" s="23"/>
      <c r="O996" s="62"/>
      <c r="P996" s="23" t="s">
        <v>30</v>
      </c>
      <c r="Q996" s="23">
        <v>45875</v>
      </c>
      <c r="R996" s="81" t="s">
        <v>67</v>
      </c>
      <c r="S996" s="22" t="s">
        <v>32</v>
      </c>
      <c r="T996" s="22">
        <v>6</v>
      </c>
      <c r="U996" s="24" t="s">
        <v>67</v>
      </c>
      <c r="V996" s="23">
        <v>45875</v>
      </c>
      <c r="W996" s="82" t="s">
        <v>113</v>
      </c>
      <c r="X996" s="85"/>
      <c r="Y996" s="85" t="s">
        <v>113</v>
      </c>
      <c r="Z996"/>
      <c r="AA996"/>
      <c r="AD996" s="96"/>
      <c r="AE996" s="96"/>
      <c r="AF996" s="96"/>
    </row>
    <row r="997" spans="1:32">
      <c r="A997" s="358" t="s">
        <v>137</v>
      </c>
      <c r="B997" s="369">
        <v>994</v>
      </c>
      <c r="C997" s="360" t="s">
        <v>1563</v>
      </c>
      <c r="D997" s="360" t="s">
        <v>1245</v>
      </c>
      <c r="E997" s="373">
        <v>45859.375</v>
      </c>
      <c r="F997" s="372" t="s">
        <v>140</v>
      </c>
      <c r="G997" s="372">
        <v>1</v>
      </c>
      <c r="H997" s="372" t="s">
        <v>21</v>
      </c>
      <c r="I997" s="372" t="s">
        <v>127</v>
      </c>
      <c r="J997" s="372" t="s">
        <v>871</v>
      </c>
      <c r="K997" s="242" t="s">
        <v>1536</v>
      </c>
      <c r="L997" s="21"/>
      <c r="M997" s="22"/>
      <c r="N997" s="23"/>
      <c r="O997" s="62"/>
      <c r="P997" s="104"/>
      <c r="Q997" s="23"/>
      <c r="R997" s="81" t="s">
        <v>67</v>
      </c>
      <c r="S997" s="22"/>
      <c r="T997" s="22"/>
      <c r="U997" s="24" t="s">
        <v>67</v>
      </c>
      <c r="V997" s="23"/>
      <c r="W997" s="82" t="s">
        <v>113</v>
      </c>
      <c r="X997" s="85"/>
      <c r="Y997" s="85" t="s">
        <v>113</v>
      </c>
      <c r="Z997"/>
      <c r="AA997"/>
      <c r="AD997" s="96"/>
      <c r="AE997" s="96"/>
      <c r="AF997" s="96"/>
    </row>
    <row r="998" spans="1:32">
      <c r="A998" s="358" t="s">
        <v>137</v>
      </c>
      <c r="B998" s="369">
        <v>995</v>
      </c>
      <c r="C998" s="360" t="s">
        <v>1564</v>
      </c>
      <c r="D998" s="360" t="s">
        <v>1565</v>
      </c>
      <c r="E998" s="373">
        <v>45859.375</v>
      </c>
      <c r="F998" s="372" t="s">
        <v>140</v>
      </c>
      <c r="G998" s="372">
        <v>8</v>
      </c>
      <c r="H998" s="372" t="s">
        <v>21</v>
      </c>
      <c r="I998" s="372" t="s">
        <v>127</v>
      </c>
      <c r="J998" s="372" t="s">
        <v>871</v>
      </c>
      <c r="K998" s="242" t="s">
        <v>1536</v>
      </c>
      <c r="L998" s="21"/>
      <c r="M998" s="22"/>
      <c r="N998" s="23"/>
      <c r="O998" s="23"/>
      <c r="P998" s="104"/>
      <c r="Q998" s="23"/>
      <c r="R998" s="81" t="s">
        <v>67</v>
      </c>
      <c r="S998" s="22"/>
      <c r="T998" s="22"/>
      <c r="U998" s="24" t="s">
        <v>67</v>
      </c>
      <c r="V998" s="23"/>
      <c r="W998" s="82" t="s">
        <v>113</v>
      </c>
      <c r="X998" s="85"/>
      <c r="Y998" s="85" t="s">
        <v>113</v>
      </c>
      <c r="Z998"/>
      <c r="AA998" s="89"/>
      <c r="AB998" s="89"/>
      <c r="AC998" s="88"/>
      <c r="AD998" s="96"/>
      <c r="AE998" s="96"/>
      <c r="AF998" s="96"/>
    </row>
    <row r="999" spans="1:32">
      <c r="A999" s="358" t="s">
        <v>137</v>
      </c>
      <c r="B999" s="369">
        <v>996</v>
      </c>
      <c r="C999" s="360" t="s">
        <v>1566</v>
      </c>
      <c r="D999" s="360" t="s">
        <v>1567</v>
      </c>
      <c r="E999" s="373">
        <v>45859.375</v>
      </c>
      <c r="F999" s="372" t="s">
        <v>140</v>
      </c>
      <c r="G999" s="372">
        <v>1</v>
      </c>
      <c r="H999" s="372" t="s">
        <v>21</v>
      </c>
      <c r="I999" s="372" t="s">
        <v>127</v>
      </c>
      <c r="J999" s="372" t="s">
        <v>871</v>
      </c>
      <c r="K999" s="242" t="s">
        <v>1536</v>
      </c>
      <c r="L999" s="21"/>
      <c r="M999" s="22"/>
      <c r="N999" s="23"/>
      <c r="O999" s="62"/>
      <c r="P999" s="104"/>
      <c r="Q999" s="62"/>
      <c r="R999" s="81" t="s">
        <v>67</v>
      </c>
      <c r="S999" s="22"/>
      <c r="T999" s="22"/>
      <c r="U999" s="24" t="s">
        <v>67</v>
      </c>
      <c r="V999" s="23"/>
      <c r="W999" s="82" t="s">
        <v>113</v>
      </c>
      <c r="X999" s="85"/>
      <c r="Y999" s="85" t="s">
        <v>113</v>
      </c>
      <c r="Z999" s="89"/>
      <c r="AA999" s="90"/>
      <c r="AB999" s="90"/>
      <c r="AD999" s="72"/>
      <c r="AE999" s="96"/>
      <c r="AF999" s="96"/>
    </row>
    <row r="1000" spans="1:32">
      <c r="A1000" s="358" t="s">
        <v>137</v>
      </c>
      <c r="B1000" s="369">
        <v>997</v>
      </c>
      <c r="C1000" s="360" t="s">
        <v>1568</v>
      </c>
      <c r="D1000" s="360" t="s">
        <v>818</v>
      </c>
      <c r="E1000" s="373">
        <v>45859.375</v>
      </c>
      <c r="F1000" s="372" t="s">
        <v>140</v>
      </c>
      <c r="G1000" s="372">
        <v>5</v>
      </c>
      <c r="H1000" s="372" t="s">
        <v>21</v>
      </c>
      <c r="I1000" s="372" t="s">
        <v>127</v>
      </c>
      <c r="J1000" s="372" t="s">
        <v>871</v>
      </c>
      <c r="K1000" s="242" t="s">
        <v>1536</v>
      </c>
      <c r="L1000" s="21"/>
      <c r="M1000" s="22"/>
      <c r="N1000" s="23"/>
      <c r="O1000" s="23"/>
      <c r="P1000" s="104"/>
      <c r="Q1000" s="23"/>
      <c r="R1000" s="81" t="s">
        <v>67</v>
      </c>
      <c r="S1000" s="22"/>
      <c r="T1000" s="22"/>
      <c r="U1000" s="24" t="s">
        <v>67</v>
      </c>
      <c r="V1000" s="23"/>
      <c r="W1000" s="82" t="s">
        <v>113</v>
      </c>
      <c r="X1000" s="85"/>
      <c r="Y1000" s="85" t="s">
        <v>113</v>
      </c>
      <c r="Z1000" s="89"/>
      <c r="AA1000" s="90"/>
      <c r="AB1000" s="90"/>
      <c r="AC1000" s="88"/>
      <c r="AD1000" s="96"/>
      <c r="AE1000" s="96"/>
      <c r="AF1000" s="96"/>
    </row>
    <row r="1001" spans="1:32">
      <c r="A1001" s="358" t="s">
        <v>137</v>
      </c>
      <c r="B1001" s="369">
        <v>998</v>
      </c>
      <c r="C1001" s="360" t="s">
        <v>1569</v>
      </c>
      <c r="D1001" s="360" t="s">
        <v>846</v>
      </c>
      <c r="E1001" s="373">
        <v>45859.375</v>
      </c>
      <c r="F1001" s="372" t="s">
        <v>140</v>
      </c>
      <c r="G1001" s="372">
        <v>2</v>
      </c>
      <c r="H1001" s="372" t="s">
        <v>1513</v>
      </c>
      <c r="I1001" s="372" t="s">
        <v>1546</v>
      </c>
      <c r="J1001" s="372" t="s">
        <v>871</v>
      </c>
      <c r="K1001" s="242" t="s">
        <v>1536</v>
      </c>
      <c r="L1001" s="21"/>
      <c r="M1001" s="22"/>
      <c r="N1001" s="23"/>
      <c r="O1001" s="62"/>
      <c r="P1001" s="104"/>
      <c r="Q1001" s="23"/>
      <c r="R1001" s="81" t="s">
        <v>67</v>
      </c>
      <c r="S1001" s="22"/>
      <c r="T1001" s="22"/>
      <c r="U1001" s="24" t="s">
        <v>67</v>
      </c>
      <c r="V1001" s="23"/>
      <c r="W1001" s="82" t="s">
        <v>113</v>
      </c>
      <c r="X1001" s="85"/>
      <c r="Y1001" s="85" t="s">
        <v>113</v>
      </c>
      <c r="Z1001" s="89"/>
      <c r="AA1001" s="90"/>
      <c r="AB1001" s="90"/>
      <c r="AD1001" s="72"/>
      <c r="AE1001" s="96"/>
      <c r="AF1001" s="96"/>
    </row>
    <row r="1002" spans="1:32">
      <c r="A1002" s="358" t="s">
        <v>137</v>
      </c>
      <c r="B1002" s="369">
        <v>999</v>
      </c>
      <c r="C1002" s="360" t="s">
        <v>1570</v>
      </c>
      <c r="D1002" s="360" t="s">
        <v>519</v>
      </c>
      <c r="E1002" s="373">
        <v>45866.375</v>
      </c>
      <c r="F1002" s="372" t="s">
        <v>140</v>
      </c>
      <c r="G1002" s="372">
        <v>7</v>
      </c>
      <c r="H1002" s="372" t="s">
        <v>1571</v>
      </c>
      <c r="I1002" s="372" t="s">
        <v>760</v>
      </c>
      <c r="J1002" s="372" t="s">
        <v>871</v>
      </c>
      <c r="K1002" s="21"/>
      <c r="L1002" s="21"/>
      <c r="M1002" s="22"/>
      <c r="N1002" s="23"/>
      <c r="O1002" s="23"/>
      <c r="P1002" s="23" t="s">
        <v>30</v>
      </c>
      <c r="Q1002" s="23">
        <v>45876</v>
      </c>
      <c r="R1002" s="81" t="s">
        <v>67</v>
      </c>
      <c r="S1002" s="22" t="s">
        <v>32</v>
      </c>
      <c r="T1002" s="22">
        <v>7</v>
      </c>
      <c r="U1002" s="24" t="s">
        <v>67</v>
      </c>
      <c r="V1002" s="23">
        <v>45876</v>
      </c>
      <c r="W1002" s="82" t="s">
        <v>113</v>
      </c>
      <c r="X1002" s="85"/>
      <c r="Y1002" s="85" t="s">
        <v>113</v>
      </c>
      <c r="Z1002" s="89"/>
      <c r="AA1002" s="90"/>
      <c r="AB1002" s="90"/>
      <c r="AC1002" s="412"/>
      <c r="AD1002" s="96"/>
      <c r="AE1002" s="96"/>
      <c r="AF1002" s="96"/>
    </row>
    <row r="1003" spans="1:32">
      <c r="A1003" s="358" t="s">
        <v>137</v>
      </c>
      <c r="B1003" s="369">
        <v>1000</v>
      </c>
      <c r="C1003" s="360" t="s">
        <v>1572</v>
      </c>
      <c r="D1003" s="360" t="s">
        <v>1250</v>
      </c>
      <c r="E1003" s="373">
        <v>45866.375</v>
      </c>
      <c r="F1003" s="372" t="s">
        <v>140</v>
      </c>
      <c r="G1003" s="372">
        <v>7</v>
      </c>
      <c r="H1003" s="372" t="s">
        <v>21</v>
      </c>
      <c r="I1003" s="372" t="s">
        <v>127</v>
      </c>
      <c r="J1003" s="372" t="s">
        <v>871</v>
      </c>
      <c r="K1003" s="242" t="s">
        <v>1536</v>
      </c>
      <c r="L1003" s="21"/>
      <c r="M1003" s="22"/>
      <c r="N1003" s="23"/>
      <c r="O1003" s="23"/>
      <c r="P1003" s="104"/>
      <c r="Q1003" s="23"/>
      <c r="R1003" s="81" t="s">
        <v>67</v>
      </c>
      <c r="S1003" s="22"/>
      <c r="T1003" s="22"/>
      <c r="U1003" s="24" t="s">
        <v>67</v>
      </c>
      <c r="V1003" s="23"/>
      <c r="W1003" s="82" t="s">
        <v>113</v>
      </c>
      <c r="X1003" s="85"/>
      <c r="Y1003" s="85" t="s">
        <v>113</v>
      </c>
      <c r="Z1003" s="89"/>
      <c r="AA1003" s="90"/>
      <c r="AB1003" s="90"/>
      <c r="AC1003" s="412"/>
      <c r="AD1003" s="96"/>
      <c r="AE1003" s="96"/>
      <c r="AF1003" s="96"/>
    </row>
    <row r="1004" spans="1:32">
      <c r="A1004" s="358" t="s">
        <v>137</v>
      </c>
      <c r="B1004" s="369">
        <v>1001</v>
      </c>
      <c r="C1004" s="360" t="s">
        <v>1573</v>
      </c>
      <c r="D1004" s="360" t="s">
        <v>1574</v>
      </c>
      <c r="E1004" s="373">
        <v>45866.375</v>
      </c>
      <c r="F1004" s="372" t="s">
        <v>140</v>
      </c>
      <c r="G1004" s="372">
        <v>5</v>
      </c>
      <c r="H1004" s="372" t="s">
        <v>21</v>
      </c>
      <c r="I1004" s="372" t="s">
        <v>127</v>
      </c>
      <c r="J1004" s="372" t="s">
        <v>871</v>
      </c>
      <c r="K1004" s="21"/>
      <c r="L1004" s="21"/>
      <c r="M1004" s="22"/>
      <c r="N1004" s="23"/>
      <c r="O1004" s="23"/>
      <c r="P1004" s="23" t="s">
        <v>30</v>
      </c>
      <c r="Q1004" s="23">
        <v>45875</v>
      </c>
      <c r="R1004" s="81" t="s">
        <v>67</v>
      </c>
      <c r="S1004" s="22" t="s">
        <v>32</v>
      </c>
      <c r="T1004" s="22">
        <v>5</v>
      </c>
      <c r="U1004" s="24" t="s">
        <v>67</v>
      </c>
      <c r="V1004" s="23">
        <v>45875</v>
      </c>
      <c r="W1004" s="82" t="s">
        <v>113</v>
      </c>
      <c r="X1004" s="85"/>
      <c r="Y1004" s="85" t="s">
        <v>113</v>
      </c>
      <c r="Z1004" s="89"/>
      <c r="AA1004" s="90"/>
      <c r="AB1004" s="90"/>
      <c r="AC1004" s="412"/>
      <c r="AD1004" s="96"/>
      <c r="AE1004" s="96"/>
      <c r="AF1004" s="96"/>
    </row>
    <row r="1005" spans="1:32">
      <c r="A1005" s="358" t="s">
        <v>137</v>
      </c>
      <c r="B1005" s="369">
        <v>1002</v>
      </c>
      <c r="C1005" s="360" t="s">
        <v>1575</v>
      </c>
      <c r="D1005" s="360" t="s">
        <v>969</v>
      </c>
      <c r="E1005" s="373">
        <v>45866.375</v>
      </c>
      <c r="F1005" s="372" t="s">
        <v>140</v>
      </c>
      <c r="G1005" s="372">
        <v>2</v>
      </c>
      <c r="H1005" s="372" t="s">
        <v>1077</v>
      </c>
      <c r="I1005" s="372" t="s">
        <v>1138</v>
      </c>
      <c r="J1005" s="372" t="s">
        <v>871</v>
      </c>
      <c r="K1005" s="21"/>
      <c r="L1005" s="21"/>
      <c r="M1005" s="22"/>
      <c r="N1005" s="23"/>
      <c r="O1005" s="23"/>
      <c r="P1005" s="23" t="s">
        <v>30</v>
      </c>
      <c r="Q1005" s="23">
        <v>45873</v>
      </c>
      <c r="R1005" s="81" t="s">
        <v>67</v>
      </c>
      <c r="S1005" s="22" t="s">
        <v>32</v>
      </c>
      <c r="T1005" s="22">
        <v>2</v>
      </c>
      <c r="U1005" s="24" t="s">
        <v>67</v>
      </c>
      <c r="V1005" s="23">
        <v>45873</v>
      </c>
      <c r="W1005" s="82" t="s">
        <v>113</v>
      </c>
      <c r="X1005" s="85"/>
      <c r="Y1005" s="85" t="s">
        <v>113</v>
      </c>
      <c r="Z1005" s="89"/>
      <c r="AA1005" s="90"/>
      <c r="AB1005" s="90"/>
      <c r="AC1005" s="412"/>
      <c r="AD1005" s="96"/>
      <c r="AE1005" s="96"/>
      <c r="AF1005" s="96"/>
    </row>
    <row r="1006" spans="1:32">
      <c r="A1006" s="358" t="s">
        <v>137</v>
      </c>
      <c r="B1006" s="369">
        <v>1003</v>
      </c>
      <c r="C1006" s="360" t="s">
        <v>1576</v>
      </c>
      <c r="D1006" s="360" t="s">
        <v>1184</v>
      </c>
      <c r="E1006" s="373">
        <v>45866.375</v>
      </c>
      <c r="F1006" s="372" t="s">
        <v>140</v>
      </c>
      <c r="G1006" s="372">
        <v>16</v>
      </c>
      <c r="H1006" s="372" t="s">
        <v>21</v>
      </c>
      <c r="I1006" s="372" t="s">
        <v>127</v>
      </c>
      <c r="J1006" s="372" t="s">
        <v>871</v>
      </c>
      <c r="K1006" s="21"/>
      <c r="L1006" s="21"/>
      <c r="M1006" s="22"/>
      <c r="N1006" s="23"/>
      <c r="O1006" s="380" t="s">
        <v>31</v>
      </c>
      <c r="P1006" s="23" t="s">
        <v>30</v>
      </c>
      <c r="Q1006" s="23">
        <v>45882</v>
      </c>
      <c r="R1006" s="81" t="s">
        <v>67</v>
      </c>
      <c r="S1006" s="22" t="s">
        <v>32</v>
      </c>
      <c r="T1006" s="22">
        <v>16</v>
      </c>
      <c r="U1006" s="24" t="s">
        <v>67</v>
      </c>
      <c r="V1006" s="23">
        <v>45882</v>
      </c>
      <c r="W1006" s="82" t="s">
        <v>113</v>
      </c>
      <c r="X1006" s="85"/>
      <c r="Y1006" s="85" t="s">
        <v>113</v>
      </c>
      <c r="Z1006">
        <v>16</v>
      </c>
      <c r="AA1006">
        <v>0</v>
      </c>
      <c r="AB1006">
        <v>0</v>
      </c>
      <c r="AC1006">
        <f>SUM(Z1006:AB1006)</f>
        <v>16</v>
      </c>
      <c r="AD1006" s="72">
        <f>+Z1006/AC1006*AD$1</f>
        <v>3</v>
      </c>
      <c r="AE1006" s="96">
        <f>+AA1006/AC1006*AE$1</f>
        <v>0</v>
      </c>
      <c r="AF1006" s="96">
        <f>+AB1006/AC1006*AF$1</f>
        <v>0</v>
      </c>
    </row>
    <row r="1007" spans="1:32">
      <c r="A1007" s="358" t="s">
        <v>137</v>
      </c>
      <c r="B1007" s="369">
        <v>1004</v>
      </c>
      <c r="C1007" s="360" t="s">
        <v>1577</v>
      </c>
      <c r="D1007" s="360" t="s">
        <v>1578</v>
      </c>
      <c r="E1007" s="373">
        <v>45866.375</v>
      </c>
      <c r="F1007" s="372" t="s">
        <v>140</v>
      </c>
      <c r="G1007" s="372">
        <v>13</v>
      </c>
      <c r="H1007" s="372" t="s">
        <v>1519</v>
      </c>
      <c r="I1007" s="372" t="s">
        <v>1520</v>
      </c>
      <c r="J1007" s="372" t="s">
        <v>871</v>
      </c>
      <c r="K1007" s="21"/>
      <c r="L1007" s="21"/>
      <c r="M1007" s="22"/>
      <c r="N1007" s="23"/>
      <c r="O1007" s="62"/>
      <c r="P1007" s="23" t="s">
        <v>30</v>
      </c>
      <c r="Q1007" s="23">
        <v>45873</v>
      </c>
      <c r="R1007" s="81" t="s">
        <v>67</v>
      </c>
      <c r="S1007" s="22" t="s">
        <v>32</v>
      </c>
      <c r="T1007" s="22">
        <v>13</v>
      </c>
      <c r="U1007" s="24" t="s">
        <v>67</v>
      </c>
      <c r="V1007" s="23">
        <v>45873</v>
      </c>
      <c r="W1007" s="82" t="s">
        <v>113</v>
      </c>
      <c r="X1007" s="85"/>
      <c r="Y1007" s="85" t="s">
        <v>113</v>
      </c>
      <c r="Z1007" s="89"/>
      <c r="AA1007" s="89"/>
      <c r="AB1007" s="89"/>
      <c r="AD1007" s="72"/>
      <c r="AE1007" s="96"/>
      <c r="AF1007" s="96"/>
    </row>
    <row r="1008" spans="1:32">
      <c r="A1008" s="358" t="s">
        <v>137</v>
      </c>
      <c r="B1008" s="369">
        <v>1005</v>
      </c>
      <c r="C1008" s="360" t="s">
        <v>1579</v>
      </c>
      <c r="D1008" s="360" t="s">
        <v>523</v>
      </c>
      <c r="E1008" s="373">
        <v>45866.375</v>
      </c>
      <c r="F1008" s="372" t="s">
        <v>140</v>
      </c>
      <c r="G1008" s="372">
        <v>11</v>
      </c>
      <c r="H1008" s="372" t="s">
        <v>1519</v>
      </c>
      <c r="I1008" s="372" t="s">
        <v>1520</v>
      </c>
      <c r="J1008" s="372" t="s">
        <v>871</v>
      </c>
      <c r="K1008" s="21"/>
      <c r="L1008" s="21"/>
      <c r="M1008" s="22"/>
      <c r="N1008" s="23"/>
      <c r="O1008" s="23"/>
      <c r="P1008" s="23" t="s">
        <v>30</v>
      </c>
      <c r="Q1008" s="23">
        <v>45875</v>
      </c>
      <c r="R1008" s="81" t="s">
        <v>67</v>
      </c>
      <c r="S1008" s="22" t="s">
        <v>32</v>
      </c>
      <c r="T1008" s="22">
        <v>11</v>
      </c>
      <c r="U1008" s="24" t="s">
        <v>67</v>
      </c>
      <c r="V1008" s="23">
        <v>45875</v>
      </c>
      <c r="W1008" s="82" t="s">
        <v>113</v>
      </c>
      <c r="X1008" s="85"/>
      <c r="Y1008" s="85" t="s">
        <v>113</v>
      </c>
      <c r="Z1008" s="89"/>
      <c r="AA1008" s="89"/>
      <c r="AB1008" s="89"/>
      <c r="AD1008" s="96"/>
      <c r="AE1008" s="96"/>
      <c r="AF1008" s="96"/>
    </row>
    <row r="1009" spans="1:32">
      <c r="A1009" s="358" t="s">
        <v>137</v>
      </c>
      <c r="B1009" s="369">
        <v>1006</v>
      </c>
      <c r="C1009" s="360" t="s">
        <v>1580</v>
      </c>
      <c r="D1009" s="360" t="s">
        <v>779</v>
      </c>
      <c r="E1009" s="373">
        <v>45866.041666666664</v>
      </c>
      <c r="F1009" s="372" t="s">
        <v>140</v>
      </c>
      <c r="G1009" s="372">
        <v>9</v>
      </c>
      <c r="H1009" s="372" t="s">
        <v>1519</v>
      </c>
      <c r="I1009" s="372" t="s">
        <v>1520</v>
      </c>
      <c r="J1009" s="372" t="s">
        <v>871</v>
      </c>
      <c r="K1009" s="21"/>
      <c r="L1009" s="21"/>
      <c r="M1009" s="22"/>
      <c r="N1009" s="23"/>
      <c r="O1009" s="23"/>
      <c r="P1009" s="23" t="s">
        <v>30</v>
      </c>
      <c r="Q1009" s="23">
        <v>45875</v>
      </c>
      <c r="R1009" s="81" t="s">
        <v>67</v>
      </c>
      <c r="S1009" s="22" t="s">
        <v>32</v>
      </c>
      <c r="T1009" s="22">
        <v>9</v>
      </c>
      <c r="U1009" s="24" t="s">
        <v>67</v>
      </c>
      <c r="V1009" s="23">
        <v>45875</v>
      </c>
      <c r="W1009" s="82" t="s">
        <v>113</v>
      </c>
      <c r="X1009" s="85"/>
      <c r="Y1009" s="85" t="s">
        <v>113</v>
      </c>
      <c r="Z1009" s="89"/>
      <c r="AA1009" s="89"/>
      <c r="AB1009" s="89"/>
      <c r="AD1009" s="96"/>
      <c r="AE1009" s="96"/>
      <c r="AF1009" s="96"/>
    </row>
    <row r="1010" spans="1:32">
      <c r="A1010" s="358" t="s">
        <v>137</v>
      </c>
      <c r="B1010" s="369">
        <v>1007</v>
      </c>
      <c r="C1010" s="360" t="s">
        <v>1581</v>
      </c>
      <c r="D1010" s="360" t="s">
        <v>865</v>
      </c>
      <c r="E1010" s="373">
        <v>45866.125</v>
      </c>
      <c r="F1010" s="372" t="s">
        <v>140</v>
      </c>
      <c r="G1010" s="372">
        <v>2</v>
      </c>
      <c r="H1010" s="372" t="s">
        <v>21</v>
      </c>
      <c r="I1010" s="372" t="s">
        <v>127</v>
      </c>
      <c r="J1010" s="372" t="s">
        <v>871</v>
      </c>
      <c r="K1010" s="21"/>
      <c r="L1010" s="21"/>
      <c r="M1010" s="22"/>
      <c r="N1010" s="23"/>
      <c r="O1010" s="23"/>
      <c r="P1010" s="23" t="s">
        <v>30</v>
      </c>
      <c r="Q1010" s="23">
        <v>45875</v>
      </c>
      <c r="R1010" s="81" t="s">
        <v>67</v>
      </c>
      <c r="S1010" s="22" t="s">
        <v>32</v>
      </c>
      <c r="T1010" s="22">
        <v>2</v>
      </c>
      <c r="U1010" s="24" t="s">
        <v>67</v>
      </c>
      <c r="V1010" s="23">
        <v>45875</v>
      </c>
      <c r="W1010" s="82" t="s">
        <v>113</v>
      </c>
      <c r="X1010" s="85"/>
      <c r="Y1010" s="85" t="s">
        <v>113</v>
      </c>
      <c r="Z1010" s="89"/>
      <c r="AA1010" s="89"/>
      <c r="AB1010" s="89"/>
      <c r="AD1010" s="96"/>
      <c r="AE1010" s="96"/>
      <c r="AF1010" s="96"/>
    </row>
    <row r="1011" spans="1:32">
      <c r="A1011" s="358" t="s">
        <v>137</v>
      </c>
      <c r="B1011" s="369">
        <v>1008</v>
      </c>
      <c r="C1011" s="360" t="s">
        <v>1582</v>
      </c>
      <c r="D1011" s="360" t="s">
        <v>1228</v>
      </c>
      <c r="E1011" s="373">
        <v>45845.375</v>
      </c>
      <c r="F1011" s="372" t="s">
        <v>140</v>
      </c>
      <c r="G1011" s="372">
        <v>8</v>
      </c>
      <c r="H1011" s="372" t="s">
        <v>1571</v>
      </c>
      <c r="I1011" s="372" t="s">
        <v>760</v>
      </c>
      <c r="J1011" s="372" t="s">
        <v>871</v>
      </c>
      <c r="K1011" s="21"/>
      <c r="L1011" s="21"/>
      <c r="M1011" s="22"/>
      <c r="N1011" s="23"/>
      <c r="O1011" s="23"/>
      <c r="P1011" s="23" t="s">
        <v>30</v>
      </c>
      <c r="Q1011" s="23">
        <v>45867</v>
      </c>
      <c r="R1011" s="81" t="s">
        <v>67</v>
      </c>
      <c r="S1011" s="22" t="s">
        <v>32</v>
      </c>
      <c r="T1011" s="22">
        <v>8</v>
      </c>
      <c r="U1011" s="24" t="s">
        <v>67</v>
      </c>
      <c r="V1011" s="23">
        <v>45867</v>
      </c>
      <c r="W1011" s="82" t="s">
        <v>113</v>
      </c>
      <c r="X1011" s="85"/>
      <c r="Y1011" s="85" t="s">
        <v>113</v>
      </c>
      <c r="Z1011" s="89"/>
      <c r="AA1011" s="89"/>
      <c r="AB1011" s="89"/>
      <c r="AD1011" s="96"/>
      <c r="AE1011" s="96"/>
      <c r="AF1011" s="96"/>
    </row>
    <row r="1012" spans="1:32">
      <c r="A1012" s="358" t="s">
        <v>137</v>
      </c>
      <c r="B1012" s="369">
        <v>1009</v>
      </c>
      <c r="C1012" s="360" t="s">
        <v>1583</v>
      </c>
      <c r="D1012" s="360" t="s">
        <v>1584</v>
      </c>
      <c r="E1012" s="373">
        <v>45845.375</v>
      </c>
      <c r="F1012" s="372" t="s">
        <v>140</v>
      </c>
      <c r="G1012" s="372">
        <v>2</v>
      </c>
      <c r="H1012" s="372" t="s">
        <v>21</v>
      </c>
      <c r="I1012" s="372" t="s">
        <v>127</v>
      </c>
      <c r="J1012" s="372" t="s">
        <v>871</v>
      </c>
      <c r="K1012" s="21"/>
      <c r="L1012" s="21"/>
      <c r="M1012" s="22"/>
      <c r="N1012" s="23"/>
      <c r="O1012" s="62"/>
      <c r="P1012" s="23" t="s">
        <v>30</v>
      </c>
      <c r="Q1012" s="23">
        <v>45867</v>
      </c>
      <c r="R1012" s="81" t="s">
        <v>67</v>
      </c>
      <c r="S1012" s="22" t="s">
        <v>32</v>
      </c>
      <c r="T1012" s="22">
        <v>2</v>
      </c>
      <c r="U1012" s="24" t="s">
        <v>67</v>
      </c>
      <c r="V1012" s="23">
        <v>45867</v>
      </c>
      <c r="W1012" s="82" t="s">
        <v>113</v>
      </c>
      <c r="X1012" s="85"/>
      <c r="Y1012" s="85" t="s">
        <v>113</v>
      </c>
      <c r="Z1012" s="89"/>
      <c r="AA1012" s="90"/>
      <c r="AB1012" s="90"/>
      <c r="AC1012" s="412"/>
      <c r="AD1012" s="96"/>
      <c r="AE1012" s="96"/>
      <c r="AF1012" s="96"/>
    </row>
    <row r="1013" spans="1:32">
      <c r="A1013" s="358" t="s">
        <v>137</v>
      </c>
      <c r="B1013" s="369">
        <v>1010</v>
      </c>
      <c r="C1013" s="360" t="s">
        <v>1585</v>
      </c>
      <c r="D1013" s="360" t="s">
        <v>1184</v>
      </c>
      <c r="E1013" s="373">
        <v>45845.041666666664</v>
      </c>
      <c r="F1013" s="372" t="s">
        <v>140</v>
      </c>
      <c r="G1013" s="372">
        <v>1</v>
      </c>
      <c r="H1013" s="372" t="s">
        <v>48</v>
      </c>
      <c r="I1013" s="372" t="s">
        <v>47</v>
      </c>
      <c r="J1013" s="372" t="s">
        <v>871</v>
      </c>
      <c r="K1013" s="21"/>
      <c r="L1013" s="21"/>
      <c r="M1013" s="22"/>
      <c r="N1013" s="23"/>
      <c r="O1013" s="23"/>
      <c r="P1013" s="23" t="s">
        <v>30</v>
      </c>
      <c r="Q1013" s="23">
        <v>45867</v>
      </c>
      <c r="R1013" s="81" t="s">
        <v>67</v>
      </c>
      <c r="S1013" s="22" t="s">
        <v>32</v>
      </c>
      <c r="T1013" s="22">
        <v>1</v>
      </c>
      <c r="U1013" s="24" t="s">
        <v>67</v>
      </c>
      <c r="V1013" s="23">
        <v>45867</v>
      </c>
      <c r="W1013" s="82" t="s">
        <v>113</v>
      </c>
      <c r="X1013" s="85"/>
      <c r="Y1013" s="85" t="s">
        <v>113</v>
      </c>
      <c r="Z1013" s="89"/>
      <c r="AA1013" s="90"/>
      <c r="AB1013" s="90"/>
      <c r="AC1013" s="88"/>
      <c r="AD1013" s="96"/>
      <c r="AE1013" s="96"/>
      <c r="AF1013" s="96"/>
    </row>
    <row r="1014" spans="1:32">
      <c r="A1014" s="358" t="s">
        <v>137</v>
      </c>
      <c r="B1014" s="369">
        <v>1011</v>
      </c>
      <c r="C1014" s="360" t="s">
        <v>1586</v>
      </c>
      <c r="D1014" s="360" t="s">
        <v>779</v>
      </c>
      <c r="E1014" s="373">
        <v>45845.375</v>
      </c>
      <c r="F1014" s="372" t="s">
        <v>140</v>
      </c>
      <c r="G1014" s="372">
        <v>4</v>
      </c>
      <c r="H1014" s="372" t="s">
        <v>21</v>
      </c>
      <c r="I1014" s="372" t="s">
        <v>127</v>
      </c>
      <c r="J1014" s="372" t="s">
        <v>871</v>
      </c>
      <c r="K1014" s="21"/>
      <c r="L1014" s="21"/>
      <c r="M1014" s="22"/>
      <c r="N1014" s="23"/>
      <c r="O1014" s="23"/>
      <c r="P1014" s="23" t="s">
        <v>30</v>
      </c>
      <c r="Q1014" s="23">
        <v>45867</v>
      </c>
      <c r="R1014" s="81" t="s">
        <v>67</v>
      </c>
      <c r="S1014" s="22" t="s">
        <v>32</v>
      </c>
      <c r="T1014" s="22">
        <v>4</v>
      </c>
      <c r="U1014" s="24" t="s">
        <v>67</v>
      </c>
      <c r="V1014" s="23">
        <v>45867</v>
      </c>
      <c r="W1014" s="82" t="s">
        <v>113</v>
      </c>
      <c r="X1014" s="85"/>
      <c r="Y1014" s="85" t="s">
        <v>113</v>
      </c>
      <c r="Z1014" s="89"/>
      <c r="AA1014" s="89"/>
      <c r="AB1014" s="89"/>
      <c r="AD1014" s="96"/>
      <c r="AE1014" s="96"/>
      <c r="AF1014" s="96"/>
    </row>
    <row r="1015" spans="1:32">
      <c r="A1015" s="358" t="s">
        <v>137</v>
      </c>
      <c r="B1015" s="369">
        <v>1012</v>
      </c>
      <c r="C1015" s="360" t="s">
        <v>1587</v>
      </c>
      <c r="D1015" s="360" t="s">
        <v>1588</v>
      </c>
      <c r="E1015" s="373">
        <v>45845.375</v>
      </c>
      <c r="F1015" s="372" t="s">
        <v>140</v>
      </c>
      <c r="G1015" s="372">
        <v>33</v>
      </c>
      <c r="H1015" s="372" t="s">
        <v>21</v>
      </c>
      <c r="I1015" s="372" t="s">
        <v>127</v>
      </c>
      <c r="J1015" s="372" t="s">
        <v>871</v>
      </c>
      <c r="K1015" s="21"/>
      <c r="L1015" s="21"/>
      <c r="M1015" s="22"/>
      <c r="N1015" s="23"/>
      <c r="O1015" s="380" t="s">
        <v>31</v>
      </c>
      <c r="P1015" s="23" t="s">
        <v>30</v>
      </c>
      <c r="Q1015" s="23">
        <v>45868</v>
      </c>
      <c r="R1015" s="81" t="s">
        <v>67</v>
      </c>
      <c r="S1015" s="22" t="s">
        <v>32</v>
      </c>
      <c r="T1015" s="22">
        <v>33</v>
      </c>
      <c r="U1015" s="24" t="s">
        <v>67</v>
      </c>
      <c r="V1015" s="23">
        <v>45868</v>
      </c>
      <c r="W1015" s="82" t="s">
        <v>113</v>
      </c>
      <c r="X1015" s="85"/>
      <c r="Y1015" s="85" t="s">
        <v>113</v>
      </c>
      <c r="Z1015">
        <v>33</v>
      </c>
      <c r="AA1015">
        <v>0</v>
      </c>
      <c r="AB1015">
        <v>0</v>
      </c>
      <c r="AC1015">
        <f>SUM(Z1015:AB1015)</f>
        <v>33</v>
      </c>
      <c r="AD1015" s="72">
        <f>+Z1015/AC1015*AD$1</f>
        <v>3</v>
      </c>
      <c r="AE1015" s="96">
        <f>+AA1015/AC1015*AE$1</f>
        <v>0</v>
      </c>
      <c r="AF1015" s="96">
        <f>+AB1015/AC1015*AF$1</f>
        <v>0</v>
      </c>
    </row>
    <row r="1016" spans="1:32">
      <c r="A1016" s="358" t="s">
        <v>137</v>
      </c>
      <c r="B1016" s="369">
        <v>1013</v>
      </c>
      <c r="C1016" s="360" t="s">
        <v>1589</v>
      </c>
      <c r="D1016" s="360" t="s">
        <v>846</v>
      </c>
      <c r="E1016" s="373">
        <v>45845.375</v>
      </c>
      <c r="F1016" s="372" t="s">
        <v>140</v>
      </c>
      <c r="G1016" s="372">
        <v>1</v>
      </c>
      <c r="H1016" s="372" t="s">
        <v>48</v>
      </c>
      <c r="I1016" s="372" t="s">
        <v>47</v>
      </c>
      <c r="J1016" s="372" t="s">
        <v>871</v>
      </c>
      <c r="K1016" s="21"/>
      <c r="L1016" s="21"/>
      <c r="M1016" s="22"/>
      <c r="N1016" s="23"/>
      <c r="O1016" s="23"/>
      <c r="P1016" s="23" t="s">
        <v>30</v>
      </c>
      <c r="Q1016" s="23">
        <v>45868</v>
      </c>
      <c r="R1016" s="81" t="s">
        <v>67</v>
      </c>
      <c r="S1016" s="22" t="s">
        <v>32</v>
      </c>
      <c r="T1016" s="22">
        <v>1</v>
      </c>
      <c r="U1016" s="24" t="s">
        <v>67</v>
      </c>
      <c r="V1016" s="23">
        <v>45868</v>
      </c>
      <c r="W1016" s="82" t="s">
        <v>113</v>
      </c>
      <c r="X1016" s="85"/>
      <c r="Y1016" s="85" t="s">
        <v>113</v>
      </c>
      <c r="Z1016" s="89"/>
      <c r="AA1016" s="89"/>
      <c r="AB1016" s="89"/>
      <c r="AD1016" s="96"/>
      <c r="AE1016" s="96"/>
      <c r="AF1016" s="96"/>
    </row>
    <row r="1017" spans="1:32">
      <c r="A1017" s="358" t="s">
        <v>137</v>
      </c>
      <c r="B1017" s="369">
        <v>1014</v>
      </c>
      <c r="C1017" s="360" t="s">
        <v>1590</v>
      </c>
      <c r="D1017" s="360" t="s">
        <v>1591</v>
      </c>
      <c r="E1017" s="373">
        <v>45852.375</v>
      </c>
      <c r="F1017" s="372" t="s">
        <v>140</v>
      </c>
      <c r="G1017" s="372">
        <v>8</v>
      </c>
      <c r="H1017" s="372" t="s">
        <v>48</v>
      </c>
      <c r="I1017" s="372" t="s">
        <v>47</v>
      </c>
      <c r="J1017" s="372" t="s">
        <v>871</v>
      </c>
      <c r="K1017" s="101" t="s">
        <v>1592</v>
      </c>
      <c r="L1017" s="21"/>
      <c r="M1017" s="22"/>
      <c r="N1017" s="23"/>
      <c r="O1017" s="62"/>
      <c r="P1017" s="101"/>
      <c r="Q1017" s="23"/>
      <c r="R1017" s="81" t="s">
        <v>67</v>
      </c>
      <c r="S1017" s="22"/>
      <c r="T1017" s="22"/>
      <c r="U1017" s="24" t="s">
        <v>67</v>
      </c>
      <c r="V1017" s="23"/>
      <c r="W1017" s="82" t="s">
        <v>113</v>
      </c>
      <c r="X1017" s="85"/>
      <c r="Y1017" s="85" t="s">
        <v>113</v>
      </c>
      <c r="Z1017" s="89"/>
      <c r="AA1017" s="89"/>
      <c r="AB1017" s="89"/>
      <c r="AD1017" s="96"/>
      <c r="AE1017" s="96"/>
      <c r="AF1017" s="96"/>
    </row>
    <row r="1018" spans="1:32">
      <c r="A1018" s="358" t="s">
        <v>137</v>
      </c>
      <c r="B1018" s="369">
        <v>1015</v>
      </c>
      <c r="C1018" s="360" t="s">
        <v>1593</v>
      </c>
      <c r="D1018" s="360" t="s">
        <v>1594</v>
      </c>
      <c r="E1018" s="373">
        <v>45852.375</v>
      </c>
      <c r="F1018" s="372" t="s">
        <v>140</v>
      </c>
      <c r="G1018" s="372">
        <v>11</v>
      </c>
      <c r="H1018" s="372" t="s">
        <v>1571</v>
      </c>
      <c r="I1018" s="372" t="s">
        <v>760</v>
      </c>
      <c r="J1018" s="372" t="s">
        <v>871</v>
      </c>
      <c r="K1018" s="101" t="s">
        <v>1595</v>
      </c>
      <c r="L1018" s="21"/>
      <c r="M1018" s="22"/>
      <c r="N1018" s="23"/>
      <c r="O1018" s="62"/>
      <c r="P1018" s="101"/>
      <c r="Q1018" s="23"/>
      <c r="R1018" s="81" t="s">
        <v>67</v>
      </c>
      <c r="S1018" s="22"/>
      <c r="T1018" s="22"/>
      <c r="U1018" s="24" t="s">
        <v>67</v>
      </c>
      <c r="V1018" s="23"/>
      <c r="W1018" s="82" t="s">
        <v>113</v>
      </c>
      <c r="X1018" s="85"/>
      <c r="Y1018" s="85" t="s">
        <v>113</v>
      </c>
      <c r="Z1018" s="89"/>
      <c r="AA1018" s="89"/>
      <c r="AB1018" s="89"/>
      <c r="AD1018" s="96"/>
      <c r="AE1018" s="96"/>
      <c r="AF1018" s="96"/>
    </row>
    <row r="1019" spans="1:32">
      <c r="A1019" s="358" t="s">
        <v>137</v>
      </c>
      <c r="B1019" s="369">
        <v>1016</v>
      </c>
      <c r="C1019" s="360" t="s">
        <v>1596</v>
      </c>
      <c r="D1019" s="360" t="s">
        <v>779</v>
      </c>
      <c r="E1019" s="373">
        <v>45852.041666666664</v>
      </c>
      <c r="F1019" s="372" t="s">
        <v>140</v>
      </c>
      <c r="G1019" s="372">
        <v>1</v>
      </c>
      <c r="H1019" s="372" t="s">
        <v>1077</v>
      </c>
      <c r="I1019" s="372" t="s">
        <v>1138</v>
      </c>
      <c r="J1019" s="372" t="s">
        <v>871</v>
      </c>
      <c r="K1019" s="21"/>
      <c r="L1019" s="21"/>
      <c r="M1019" s="22"/>
      <c r="N1019" s="23"/>
      <c r="O1019" s="62"/>
      <c r="P1019" s="23" t="s">
        <v>30</v>
      </c>
      <c r="Q1019" s="23">
        <v>45870</v>
      </c>
      <c r="R1019" s="81" t="s">
        <v>67</v>
      </c>
      <c r="S1019" s="22" t="s">
        <v>32</v>
      </c>
      <c r="T1019" s="22">
        <v>1</v>
      </c>
      <c r="U1019" s="24" t="s">
        <v>67</v>
      </c>
      <c r="V1019" s="23">
        <v>45870</v>
      </c>
      <c r="W1019" s="82" t="s">
        <v>113</v>
      </c>
      <c r="X1019" s="85"/>
      <c r="Y1019" s="85" t="s">
        <v>113</v>
      </c>
      <c r="Z1019" s="89"/>
      <c r="AA1019" s="89"/>
      <c r="AB1019" s="89"/>
      <c r="AD1019" s="96"/>
      <c r="AE1019" s="96"/>
      <c r="AF1019" s="96"/>
    </row>
    <row r="1020" spans="1:32">
      <c r="A1020" s="358" t="s">
        <v>137</v>
      </c>
      <c r="B1020" s="369">
        <v>1017</v>
      </c>
      <c r="C1020" s="360" t="s">
        <v>1597</v>
      </c>
      <c r="D1020" s="360" t="s">
        <v>1598</v>
      </c>
      <c r="E1020" s="373">
        <v>45859.375</v>
      </c>
      <c r="F1020" s="372" t="s">
        <v>140</v>
      </c>
      <c r="G1020" s="372">
        <v>1</v>
      </c>
      <c r="H1020" s="372" t="s">
        <v>21</v>
      </c>
      <c r="I1020" s="372" t="s">
        <v>127</v>
      </c>
      <c r="J1020" s="372" t="s">
        <v>871</v>
      </c>
      <c r="K1020" s="21"/>
      <c r="L1020" s="21"/>
      <c r="M1020" s="22"/>
      <c r="N1020" s="23"/>
      <c r="O1020" s="62"/>
      <c r="P1020" s="23" t="s">
        <v>30</v>
      </c>
      <c r="Q1020" s="23">
        <v>45873</v>
      </c>
      <c r="R1020" s="81" t="s">
        <v>67</v>
      </c>
      <c r="S1020" s="22" t="s">
        <v>32</v>
      </c>
      <c r="T1020" s="22">
        <v>1</v>
      </c>
      <c r="U1020" s="24" t="s">
        <v>67</v>
      </c>
      <c r="V1020" s="23">
        <v>45873</v>
      </c>
      <c r="W1020" s="82" t="s">
        <v>113</v>
      </c>
      <c r="X1020" s="85"/>
      <c r="Y1020" s="85" t="s">
        <v>113</v>
      </c>
      <c r="Z1020" s="89"/>
      <c r="AA1020" s="89"/>
      <c r="AB1020" s="89"/>
      <c r="AD1020" s="96"/>
      <c r="AE1020" s="96"/>
      <c r="AF1020" s="96"/>
    </row>
    <row r="1021" spans="1:32">
      <c r="A1021" s="358" t="s">
        <v>137</v>
      </c>
      <c r="B1021" s="369">
        <v>1018</v>
      </c>
      <c r="C1021" s="360" t="s">
        <v>1599</v>
      </c>
      <c r="D1021" s="360" t="s">
        <v>937</v>
      </c>
      <c r="E1021" s="373">
        <v>45859.375</v>
      </c>
      <c r="F1021" s="372" t="s">
        <v>140</v>
      </c>
      <c r="G1021" s="372">
        <v>10</v>
      </c>
      <c r="H1021" s="372" t="s">
        <v>1571</v>
      </c>
      <c r="I1021" s="372" t="s">
        <v>760</v>
      </c>
      <c r="J1021" s="372" t="s">
        <v>871</v>
      </c>
      <c r="K1021" s="21"/>
      <c r="L1021" s="21"/>
      <c r="M1021" s="22"/>
      <c r="N1021" s="23"/>
      <c r="O1021" s="62"/>
      <c r="P1021" s="23" t="s">
        <v>30</v>
      </c>
      <c r="Q1021" s="23">
        <v>45873</v>
      </c>
      <c r="R1021" s="81" t="s">
        <v>67</v>
      </c>
      <c r="S1021" s="22" t="s">
        <v>32</v>
      </c>
      <c r="T1021" s="22">
        <v>10</v>
      </c>
      <c r="U1021" s="24" t="s">
        <v>67</v>
      </c>
      <c r="V1021" s="23">
        <v>45873</v>
      </c>
      <c r="W1021" s="82" t="s">
        <v>113</v>
      </c>
      <c r="X1021" s="85"/>
      <c r="Y1021" s="85" t="s">
        <v>113</v>
      </c>
      <c r="Z1021" s="89"/>
      <c r="AA1021" s="90"/>
      <c r="AB1021" s="90"/>
      <c r="AC1021" s="412"/>
      <c r="AD1021" s="96"/>
      <c r="AE1021" s="96"/>
      <c r="AF1021" s="96"/>
    </row>
    <row r="1022" spans="1:32">
      <c r="A1022" s="358" t="s">
        <v>137</v>
      </c>
      <c r="B1022" s="369">
        <v>1019</v>
      </c>
      <c r="C1022" s="360" t="s">
        <v>1600</v>
      </c>
      <c r="D1022" s="360" t="s">
        <v>1601</v>
      </c>
      <c r="E1022" s="373">
        <v>45866.375</v>
      </c>
      <c r="F1022" s="372" t="s">
        <v>140</v>
      </c>
      <c r="G1022" s="372">
        <v>15</v>
      </c>
      <c r="H1022" s="372" t="s">
        <v>48</v>
      </c>
      <c r="I1022" s="372" t="s">
        <v>47</v>
      </c>
      <c r="J1022" s="372" t="s">
        <v>871</v>
      </c>
      <c r="K1022" s="21"/>
      <c r="L1022" s="21"/>
      <c r="M1022" s="22"/>
      <c r="N1022" s="23"/>
      <c r="O1022" s="380" t="s">
        <v>31</v>
      </c>
      <c r="P1022" s="23" t="s">
        <v>30</v>
      </c>
      <c r="Q1022" s="23">
        <v>45876</v>
      </c>
      <c r="R1022" s="81" t="s">
        <v>67</v>
      </c>
      <c r="S1022" s="22" t="s">
        <v>32</v>
      </c>
      <c r="T1022" s="22">
        <v>15</v>
      </c>
      <c r="U1022" s="24" t="s">
        <v>67</v>
      </c>
      <c r="V1022" s="23">
        <v>45876</v>
      </c>
      <c r="W1022" s="82" t="s">
        <v>113</v>
      </c>
      <c r="X1022" s="85"/>
      <c r="Y1022" s="85" t="s">
        <v>113</v>
      </c>
      <c r="Z1022">
        <v>0</v>
      </c>
      <c r="AA1022">
        <v>0</v>
      </c>
      <c r="AB1022">
        <v>15</v>
      </c>
      <c r="AC1022">
        <f>SUM(Z1022:AB1022)</f>
        <v>15</v>
      </c>
      <c r="AD1022" s="72">
        <f>+Z1022/AC1022*AD$1</f>
        <v>0</v>
      </c>
      <c r="AE1022" s="96">
        <f>+AA1022/AC1022*AE$1</f>
        <v>0</v>
      </c>
      <c r="AF1022" s="96">
        <f>+AB1022/AC1022*AF$1</f>
        <v>0</v>
      </c>
    </row>
    <row r="1023" spans="1:32">
      <c r="A1023" s="358" t="s">
        <v>137</v>
      </c>
      <c r="B1023" s="369">
        <v>1020</v>
      </c>
      <c r="C1023" s="360" t="s">
        <v>1602</v>
      </c>
      <c r="D1023" s="360" t="s">
        <v>1603</v>
      </c>
      <c r="E1023" s="373">
        <v>45866.375</v>
      </c>
      <c r="F1023" s="372" t="s">
        <v>140</v>
      </c>
      <c r="G1023" s="372">
        <v>6</v>
      </c>
      <c r="H1023" s="372" t="s">
        <v>48</v>
      </c>
      <c r="I1023" s="372" t="s">
        <v>47</v>
      </c>
      <c r="J1023" s="372" t="s">
        <v>871</v>
      </c>
      <c r="K1023" s="21"/>
      <c r="L1023" s="21"/>
      <c r="M1023" s="22"/>
      <c r="N1023" s="23"/>
      <c r="O1023" s="62"/>
      <c r="P1023" s="23" t="s">
        <v>30</v>
      </c>
      <c r="Q1023" s="23">
        <v>45876</v>
      </c>
      <c r="R1023" s="81" t="s">
        <v>67</v>
      </c>
      <c r="S1023" s="22" t="s">
        <v>32</v>
      </c>
      <c r="T1023" s="22">
        <v>6</v>
      </c>
      <c r="U1023" s="24" t="s">
        <v>67</v>
      </c>
      <c r="V1023" s="23">
        <v>45876</v>
      </c>
      <c r="W1023" s="82" t="s">
        <v>113</v>
      </c>
      <c r="X1023" s="85"/>
      <c r="Y1023" s="85" t="s">
        <v>113</v>
      </c>
      <c r="Z1023">
        <v>21</v>
      </c>
      <c r="AA1023">
        <v>34</v>
      </c>
      <c r="AB1023">
        <v>0</v>
      </c>
      <c r="AC1023">
        <f>SUM(Z1023:AB1023)</f>
        <v>55</v>
      </c>
      <c r="AD1023" s="72">
        <f>+Z1023/AC1023*AD$1</f>
        <v>1.1454545454545455</v>
      </c>
      <c r="AE1023" s="96">
        <f>+AA1023/AC1023*AE$1</f>
        <v>0</v>
      </c>
      <c r="AF1023" s="96">
        <f>+AB1023/AC1023*AF$1</f>
        <v>0</v>
      </c>
    </row>
    <row r="1024" spans="1:32">
      <c r="A1024" s="358" t="s">
        <v>137</v>
      </c>
      <c r="B1024" s="369">
        <v>1021</v>
      </c>
      <c r="C1024" s="360" t="s">
        <v>1604</v>
      </c>
      <c r="D1024" s="360" t="s">
        <v>1605</v>
      </c>
      <c r="E1024" s="373">
        <v>45866.375</v>
      </c>
      <c r="F1024" s="372" t="s">
        <v>140</v>
      </c>
      <c r="G1024" s="372">
        <v>2</v>
      </c>
      <c r="H1024" s="372" t="s">
        <v>21</v>
      </c>
      <c r="I1024" s="372" t="s">
        <v>47</v>
      </c>
      <c r="J1024" s="372" t="s">
        <v>871</v>
      </c>
      <c r="K1024" s="21"/>
      <c r="L1024" s="21"/>
      <c r="M1024" s="22"/>
      <c r="N1024" s="23"/>
      <c r="O1024" s="23"/>
      <c r="P1024" s="23" t="s">
        <v>30</v>
      </c>
      <c r="Q1024" s="23">
        <v>45876</v>
      </c>
      <c r="R1024" s="81" t="s">
        <v>67</v>
      </c>
      <c r="S1024" s="22" t="s">
        <v>32</v>
      </c>
      <c r="T1024" s="22">
        <v>2</v>
      </c>
      <c r="U1024" s="24" t="s">
        <v>67</v>
      </c>
      <c r="V1024" s="23">
        <v>45876</v>
      </c>
      <c r="W1024" s="82" t="s">
        <v>113</v>
      </c>
      <c r="X1024" s="85"/>
      <c r="Y1024" s="85" t="s">
        <v>113</v>
      </c>
      <c r="Z1024" s="89"/>
      <c r="AA1024" s="89"/>
      <c r="AB1024" s="89"/>
      <c r="AD1024" s="96"/>
      <c r="AE1024" s="96"/>
      <c r="AF1024" s="96"/>
    </row>
    <row r="1025" spans="1:32">
      <c r="A1025" s="358" t="s">
        <v>137</v>
      </c>
      <c r="B1025" s="369">
        <v>1022</v>
      </c>
      <c r="C1025" s="360" t="s">
        <v>1606</v>
      </c>
      <c r="D1025" s="360" t="s">
        <v>779</v>
      </c>
      <c r="E1025" s="373">
        <v>45866.041666666664</v>
      </c>
      <c r="F1025" s="372" t="s">
        <v>140</v>
      </c>
      <c r="G1025" s="372">
        <v>1</v>
      </c>
      <c r="H1025" s="372" t="s">
        <v>1077</v>
      </c>
      <c r="I1025" s="372" t="s">
        <v>1138</v>
      </c>
      <c r="J1025" s="372" t="s">
        <v>871</v>
      </c>
      <c r="K1025" s="21"/>
      <c r="L1025" s="21"/>
      <c r="M1025" s="22"/>
      <c r="N1025" s="23"/>
      <c r="O1025" s="62"/>
      <c r="P1025" s="23" t="s">
        <v>30</v>
      </c>
      <c r="Q1025" s="23">
        <v>45876</v>
      </c>
      <c r="R1025" s="81" t="s">
        <v>67</v>
      </c>
      <c r="S1025" s="22" t="s">
        <v>32</v>
      </c>
      <c r="T1025" s="22">
        <v>1</v>
      </c>
      <c r="U1025" s="24" t="s">
        <v>67</v>
      </c>
      <c r="V1025" s="23">
        <v>45876</v>
      </c>
      <c r="W1025" s="82" t="s">
        <v>113</v>
      </c>
      <c r="X1025" s="85"/>
      <c r="Y1025" s="85" t="s">
        <v>113</v>
      </c>
      <c r="Z1025"/>
      <c r="AA1025"/>
      <c r="AD1025" s="96"/>
      <c r="AE1025" s="96"/>
      <c r="AF1025" s="96"/>
    </row>
    <row r="1026" spans="1:32">
      <c r="A1026" s="358" t="s">
        <v>24</v>
      </c>
      <c r="B1026" s="369">
        <v>1023</v>
      </c>
      <c r="C1026" s="372" t="s">
        <v>1607</v>
      </c>
      <c r="D1026" s="373" t="s">
        <v>34</v>
      </c>
      <c r="E1026" s="373">
        <v>45871</v>
      </c>
      <c r="F1026" s="372" t="s">
        <v>1608</v>
      </c>
      <c r="G1026" s="372">
        <v>15</v>
      </c>
      <c r="H1026" s="372" t="s">
        <v>48</v>
      </c>
      <c r="I1026" s="372" t="s">
        <v>47</v>
      </c>
      <c r="J1026" s="372" t="s">
        <v>871</v>
      </c>
      <c r="K1026" s="372"/>
      <c r="L1026" s="358"/>
      <c r="M1026" s="358"/>
      <c r="N1026" s="358"/>
      <c r="O1026" s="380" t="s">
        <v>31</v>
      </c>
      <c r="P1026" s="380" t="s">
        <v>30</v>
      </c>
      <c r="Q1026" s="23">
        <v>45903</v>
      </c>
      <c r="R1026" s="81" t="s">
        <v>28</v>
      </c>
      <c r="S1026" s="22" t="s">
        <v>32</v>
      </c>
      <c r="T1026" s="22">
        <v>15</v>
      </c>
      <c r="U1026" s="24" t="s">
        <v>28</v>
      </c>
      <c r="V1026" s="23">
        <v>45903</v>
      </c>
      <c r="W1026" s="100" t="s">
        <v>30</v>
      </c>
      <c r="X1026" s="82" t="s">
        <v>30</v>
      </c>
      <c r="Y1026" s="100" t="s">
        <v>30</v>
      </c>
      <c r="Z1026"/>
      <c r="AA1026" s="412"/>
      <c r="AB1026" s="412"/>
      <c r="AC1026" s="412"/>
    </row>
    <row r="1027" spans="1:32">
      <c r="A1027" s="358" t="s">
        <v>24</v>
      </c>
      <c r="B1027" s="369">
        <v>1024</v>
      </c>
      <c r="C1027" s="372" t="s">
        <v>1609</v>
      </c>
      <c r="D1027" s="373" t="s">
        <v>1610</v>
      </c>
      <c r="E1027" s="373">
        <v>45871</v>
      </c>
      <c r="F1027" s="372" t="s">
        <v>1611</v>
      </c>
      <c r="G1027" s="372">
        <v>35</v>
      </c>
      <c r="H1027" s="372" t="s">
        <v>48</v>
      </c>
      <c r="I1027" s="372" t="s">
        <v>47</v>
      </c>
      <c r="J1027" s="372" t="s">
        <v>871</v>
      </c>
      <c r="K1027" s="372"/>
      <c r="L1027" s="358"/>
      <c r="M1027" s="358"/>
      <c r="N1027" s="358"/>
      <c r="O1027" s="380" t="s">
        <v>31</v>
      </c>
      <c r="P1027" s="380" t="s">
        <v>30</v>
      </c>
      <c r="Q1027" s="23">
        <v>45923</v>
      </c>
      <c r="R1027" s="81" t="s">
        <v>67</v>
      </c>
      <c r="S1027" s="22" t="s">
        <v>32</v>
      </c>
      <c r="T1027" s="22">
        <v>35</v>
      </c>
      <c r="U1027" s="24" t="s">
        <v>67</v>
      </c>
      <c r="V1027" s="23">
        <v>45923</v>
      </c>
      <c r="W1027" s="82" t="s">
        <v>30</v>
      </c>
      <c r="X1027" s="82" t="s">
        <v>30</v>
      </c>
      <c r="Y1027" s="100" t="s">
        <v>30</v>
      </c>
      <c r="Z1027"/>
      <c r="AA1027" s="412"/>
      <c r="AB1027" s="412"/>
      <c r="AC1027" s="412"/>
    </row>
    <row r="1028" spans="1:32">
      <c r="A1028" s="358" t="s">
        <v>24</v>
      </c>
      <c r="B1028" s="369">
        <v>1025</v>
      </c>
      <c r="C1028" s="372" t="s">
        <v>1612</v>
      </c>
      <c r="D1028" s="373" t="s">
        <v>1613</v>
      </c>
      <c r="E1028" s="373">
        <v>45871</v>
      </c>
      <c r="F1028" s="372" t="s">
        <v>401</v>
      </c>
      <c r="G1028" s="372">
        <v>35</v>
      </c>
      <c r="H1028" s="372" t="s">
        <v>48</v>
      </c>
      <c r="I1028" s="372" t="s">
        <v>47</v>
      </c>
      <c r="J1028" s="372" t="s">
        <v>871</v>
      </c>
      <c r="K1028" s="372"/>
      <c r="L1028" s="358"/>
      <c r="M1028" s="358"/>
      <c r="N1028" s="358"/>
      <c r="O1028" s="380" t="s">
        <v>31</v>
      </c>
      <c r="P1028" s="380" t="s">
        <v>30</v>
      </c>
      <c r="Q1028" s="23">
        <v>45918</v>
      </c>
      <c r="R1028" s="81" t="s">
        <v>67</v>
      </c>
      <c r="S1028" s="22" t="s">
        <v>32</v>
      </c>
      <c r="T1028" s="22">
        <v>35</v>
      </c>
      <c r="U1028" s="24" t="s">
        <v>67</v>
      </c>
      <c r="V1028" s="23">
        <v>45918</v>
      </c>
      <c r="W1028" s="82" t="s">
        <v>30</v>
      </c>
      <c r="X1028" s="82" t="s">
        <v>30</v>
      </c>
      <c r="Y1028" s="100" t="s">
        <v>30</v>
      </c>
      <c r="Z1028"/>
      <c r="AA1028" s="412"/>
      <c r="AB1028" s="412"/>
      <c r="AC1028" s="412"/>
    </row>
    <row r="1029" spans="1:32">
      <c r="A1029" s="358" t="s">
        <v>24</v>
      </c>
      <c r="B1029" s="369">
        <v>1026</v>
      </c>
      <c r="C1029" s="372" t="s">
        <v>1614</v>
      </c>
      <c r="D1029" s="373" t="s">
        <v>34</v>
      </c>
      <c r="E1029" s="373">
        <v>45871</v>
      </c>
      <c r="F1029" s="372" t="s">
        <v>35</v>
      </c>
      <c r="G1029" s="372">
        <v>12</v>
      </c>
      <c r="H1029" s="372" t="s">
        <v>48</v>
      </c>
      <c r="I1029" s="372" t="s">
        <v>47</v>
      </c>
      <c r="J1029" s="372" t="s">
        <v>871</v>
      </c>
      <c r="K1029" s="372"/>
      <c r="L1029" s="358"/>
      <c r="M1029" s="358"/>
      <c r="N1029" s="358"/>
      <c r="O1029" s="380"/>
      <c r="P1029" s="380" t="s">
        <v>30</v>
      </c>
      <c r="Q1029" s="23">
        <v>45918</v>
      </c>
      <c r="R1029" s="81" t="s">
        <v>67</v>
      </c>
      <c r="S1029" s="22" t="s">
        <v>32</v>
      </c>
      <c r="T1029" s="22">
        <v>13</v>
      </c>
      <c r="U1029" s="24" t="s">
        <v>67</v>
      </c>
      <c r="V1029" s="23">
        <v>45918</v>
      </c>
      <c r="W1029" s="82" t="s">
        <v>30</v>
      </c>
      <c r="X1029" s="100" t="s">
        <v>30</v>
      </c>
      <c r="Y1029" s="100" t="s">
        <v>30</v>
      </c>
      <c r="Z1029"/>
      <c r="AA1029" s="412"/>
      <c r="AB1029" s="412"/>
      <c r="AC1029" s="412"/>
    </row>
    <row r="1030" spans="1:32">
      <c r="A1030" s="358" t="s">
        <v>24</v>
      </c>
      <c r="B1030" s="369">
        <v>1027</v>
      </c>
      <c r="C1030" s="372" t="s">
        <v>1615</v>
      </c>
      <c r="D1030" s="373" t="s">
        <v>34</v>
      </c>
      <c r="E1030" s="373">
        <v>45871</v>
      </c>
      <c r="F1030" s="372" t="s">
        <v>187</v>
      </c>
      <c r="G1030" s="372">
        <v>7</v>
      </c>
      <c r="H1030" s="372" t="s">
        <v>48</v>
      </c>
      <c r="I1030" s="372" t="s">
        <v>47</v>
      </c>
      <c r="J1030" s="372" t="s">
        <v>871</v>
      </c>
      <c r="K1030" s="93"/>
      <c r="L1030" s="358"/>
      <c r="M1030" s="358"/>
      <c r="N1030" s="358"/>
      <c r="O1030" s="380"/>
      <c r="P1030" s="380" t="s">
        <v>30</v>
      </c>
      <c r="Q1030" s="23">
        <v>45903</v>
      </c>
      <c r="R1030" s="81" t="s">
        <v>28</v>
      </c>
      <c r="S1030" s="22" t="s">
        <v>32</v>
      </c>
      <c r="T1030" s="22">
        <v>5</v>
      </c>
      <c r="U1030" s="24" t="s">
        <v>28</v>
      </c>
      <c r="V1030" s="23">
        <v>45903</v>
      </c>
      <c r="W1030" s="82" t="s">
        <v>30</v>
      </c>
      <c r="X1030" s="82" t="s">
        <v>30</v>
      </c>
      <c r="Y1030" s="100" t="s">
        <v>30</v>
      </c>
      <c r="Z1030"/>
      <c r="AA1030"/>
    </row>
    <row r="1031" spans="1:32">
      <c r="A1031" s="358" t="s">
        <v>24</v>
      </c>
      <c r="B1031" s="369">
        <v>1028</v>
      </c>
      <c r="C1031" s="222" t="s">
        <v>1616</v>
      </c>
      <c r="D1031" s="243" t="s">
        <v>1617</v>
      </c>
      <c r="E1031" s="243">
        <v>45871</v>
      </c>
      <c r="F1031" s="222" t="s">
        <v>1618</v>
      </c>
      <c r="G1031" s="222">
        <v>15</v>
      </c>
      <c r="H1031" s="222" t="s">
        <v>1077</v>
      </c>
      <c r="I1031" s="222" t="s">
        <v>1138</v>
      </c>
      <c r="J1031" s="222" t="s">
        <v>871</v>
      </c>
      <c r="K1031" s="221" t="s">
        <v>1619</v>
      </c>
      <c r="L1031" s="221"/>
      <c r="M1031" s="221"/>
      <c r="N1031" s="107"/>
      <c r="O1031" s="107" t="s">
        <v>31</v>
      </c>
      <c r="P1031" s="107"/>
      <c r="Q1031" s="244"/>
      <c r="R1031" s="245" t="s">
        <v>28</v>
      </c>
      <c r="S1031" s="242"/>
      <c r="T1031" s="242"/>
      <c r="U1031" s="245"/>
      <c r="V1031" s="244"/>
      <c r="W1031" s="100" t="s">
        <v>30</v>
      </c>
      <c r="X1031" s="100" t="s">
        <v>30</v>
      </c>
      <c r="Y1031" s="100" t="s">
        <v>30</v>
      </c>
      <c r="Z1031"/>
      <c r="AA1031" s="412"/>
      <c r="AB1031" s="412"/>
      <c r="AC1031" s="412"/>
    </row>
    <row r="1032" spans="1:32">
      <c r="A1032" s="358" t="s">
        <v>24</v>
      </c>
      <c r="B1032" s="369">
        <v>1029</v>
      </c>
      <c r="C1032" s="372" t="s">
        <v>1620</v>
      </c>
      <c r="D1032" s="373" t="s">
        <v>34</v>
      </c>
      <c r="E1032" s="373">
        <v>45871</v>
      </c>
      <c r="F1032" s="372" t="s">
        <v>1621</v>
      </c>
      <c r="G1032" s="372">
        <v>10</v>
      </c>
      <c r="H1032" s="372" t="s">
        <v>21</v>
      </c>
      <c r="I1032" s="372" t="s">
        <v>127</v>
      </c>
      <c r="J1032" s="372" t="s">
        <v>871</v>
      </c>
      <c r="K1032" s="93" t="s">
        <v>1622</v>
      </c>
      <c r="L1032" s="358"/>
      <c r="M1032" s="358"/>
      <c r="N1032" s="380"/>
      <c r="O1032" s="380"/>
      <c r="P1032" s="380" t="s">
        <v>30</v>
      </c>
      <c r="Q1032" s="23">
        <v>45930</v>
      </c>
      <c r="R1032" s="81" t="s">
        <v>67</v>
      </c>
      <c r="S1032" s="22" t="s">
        <v>32</v>
      </c>
      <c r="T1032" s="22">
        <v>10</v>
      </c>
      <c r="U1032" s="22" t="s">
        <v>67</v>
      </c>
      <c r="V1032" s="23">
        <v>45930</v>
      </c>
      <c r="W1032" s="95" t="s">
        <v>32</v>
      </c>
      <c r="X1032" s="100" t="s">
        <v>30</v>
      </c>
      <c r="Y1032" s="100" t="s">
        <v>32</v>
      </c>
      <c r="Z1032"/>
      <c r="AA1032" s="412"/>
      <c r="AB1032" s="412"/>
      <c r="AC1032" s="412"/>
    </row>
    <row r="1033" spans="1:32">
      <c r="A1033" s="358" t="s">
        <v>24</v>
      </c>
      <c r="B1033" s="369">
        <v>1030</v>
      </c>
      <c r="C1033" s="372" t="s">
        <v>1623</v>
      </c>
      <c r="D1033" s="373" t="s">
        <v>1463</v>
      </c>
      <c r="E1033" s="373">
        <v>45874</v>
      </c>
      <c r="F1033" s="372" t="s">
        <v>1624</v>
      </c>
      <c r="G1033" s="372">
        <v>13</v>
      </c>
      <c r="H1033" s="372" t="s">
        <v>21</v>
      </c>
      <c r="I1033" s="372" t="s">
        <v>127</v>
      </c>
      <c r="J1033" s="372" t="s">
        <v>871</v>
      </c>
      <c r="K1033" s="93"/>
      <c r="L1033" s="358"/>
      <c r="M1033" s="358"/>
      <c r="N1033" s="380"/>
      <c r="O1033" s="380"/>
      <c r="P1033" s="380" t="s">
        <v>30</v>
      </c>
      <c r="Q1033" s="23">
        <v>45922</v>
      </c>
      <c r="R1033" s="81" t="s">
        <v>127</v>
      </c>
      <c r="S1033" s="22" t="s">
        <v>32</v>
      </c>
      <c r="T1033" s="22">
        <v>13</v>
      </c>
      <c r="U1033" s="22" t="s">
        <v>127</v>
      </c>
      <c r="V1033" s="23">
        <v>45922</v>
      </c>
      <c r="W1033" s="82" t="s">
        <v>30</v>
      </c>
      <c r="X1033" s="100" t="s">
        <v>30</v>
      </c>
      <c r="Y1033" s="100" t="s">
        <v>30</v>
      </c>
      <c r="Z1033"/>
      <c r="AA1033" s="412"/>
      <c r="AB1033" s="412"/>
      <c r="AC1033" s="412"/>
    </row>
    <row r="1034" spans="1:32">
      <c r="A1034" s="358" t="s">
        <v>24</v>
      </c>
      <c r="B1034" s="369">
        <v>1031</v>
      </c>
      <c r="C1034" s="372" t="s">
        <v>1625</v>
      </c>
      <c r="D1034" s="373" t="s">
        <v>34</v>
      </c>
      <c r="E1034" s="373">
        <v>45874</v>
      </c>
      <c r="F1034" s="372" t="s">
        <v>1626</v>
      </c>
      <c r="G1034" s="372">
        <v>26</v>
      </c>
      <c r="H1034" s="372" t="s">
        <v>1077</v>
      </c>
      <c r="I1034" s="372" t="s">
        <v>1138</v>
      </c>
      <c r="J1034" s="372" t="s">
        <v>871</v>
      </c>
      <c r="K1034" s="93"/>
      <c r="L1034" s="358"/>
      <c r="M1034" s="358"/>
      <c r="N1034" s="380"/>
      <c r="O1034" s="380" t="s">
        <v>31</v>
      </c>
      <c r="P1034" s="380" t="s">
        <v>30</v>
      </c>
      <c r="Q1034" s="23">
        <v>45930</v>
      </c>
      <c r="R1034" s="81" t="s">
        <v>48</v>
      </c>
      <c r="S1034" s="22" t="s">
        <v>32</v>
      </c>
      <c r="T1034" s="22">
        <v>26</v>
      </c>
      <c r="U1034" s="24" t="s">
        <v>48</v>
      </c>
      <c r="V1034" s="23">
        <v>45930</v>
      </c>
      <c r="W1034" s="100" t="s">
        <v>30</v>
      </c>
      <c r="X1034" s="82" t="s">
        <v>30</v>
      </c>
      <c r="Y1034" s="100" t="s">
        <v>30</v>
      </c>
      <c r="Z1034"/>
      <c r="AA1034" s="412"/>
      <c r="AB1034" s="412"/>
      <c r="AC1034" s="412"/>
    </row>
    <row r="1035" spans="1:32">
      <c r="A1035" s="358" t="s">
        <v>24</v>
      </c>
      <c r="B1035" s="369">
        <v>1032</v>
      </c>
      <c r="C1035" s="372" t="s">
        <v>1627</v>
      </c>
      <c r="D1035" s="373" t="s">
        <v>64</v>
      </c>
      <c r="E1035" s="373">
        <v>45876</v>
      </c>
      <c r="F1035" s="372" t="s">
        <v>909</v>
      </c>
      <c r="G1035" s="372">
        <v>15</v>
      </c>
      <c r="H1035" s="372" t="s">
        <v>21</v>
      </c>
      <c r="I1035" s="372" t="s">
        <v>127</v>
      </c>
      <c r="J1035" s="372" t="s">
        <v>871</v>
      </c>
      <c r="K1035" s="372"/>
      <c r="L1035" s="358"/>
      <c r="M1035" s="358"/>
      <c r="N1035" s="380"/>
      <c r="O1035" s="380" t="s">
        <v>31</v>
      </c>
      <c r="P1035" s="380" t="s">
        <v>30</v>
      </c>
      <c r="Q1035" s="23">
        <v>45930</v>
      </c>
      <c r="R1035" s="81" t="s">
        <v>67</v>
      </c>
      <c r="S1035" s="22" t="s">
        <v>32</v>
      </c>
      <c r="T1035" s="22">
        <v>15</v>
      </c>
      <c r="U1035" s="24" t="s">
        <v>67</v>
      </c>
      <c r="V1035" s="23">
        <v>45930</v>
      </c>
      <c r="W1035" s="82" t="s">
        <v>30</v>
      </c>
      <c r="X1035" s="82" t="s">
        <v>30</v>
      </c>
      <c r="Y1035" s="100" t="s">
        <v>30</v>
      </c>
      <c r="Z1035"/>
      <c r="AA1035" s="412"/>
      <c r="AB1035" s="412"/>
      <c r="AC1035" s="412"/>
    </row>
    <row r="1036" spans="1:32">
      <c r="A1036" s="358" t="s">
        <v>24</v>
      </c>
      <c r="B1036" s="369">
        <v>1033</v>
      </c>
      <c r="C1036" s="372" t="s">
        <v>1628</v>
      </c>
      <c r="D1036" s="373" t="s">
        <v>102</v>
      </c>
      <c r="E1036" s="373">
        <v>45876</v>
      </c>
      <c r="F1036" s="372" t="s">
        <v>1342</v>
      </c>
      <c r="G1036" s="372">
        <v>9</v>
      </c>
      <c r="H1036" s="372" t="s">
        <v>48</v>
      </c>
      <c r="I1036" s="372" t="s">
        <v>47</v>
      </c>
      <c r="J1036" s="372" t="s">
        <v>871</v>
      </c>
      <c r="K1036" s="93"/>
      <c r="L1036" s="358"/>
      <c r="M1036" s="358"/>
      <c r="N1036" s="94"/>
      <c r="O1036" s="380"/>
      <c r="P1036" s="380" t="s">
        <v>30</v>
      </c>
      <c r="Q1036" s="23">
        <v>45916</v>
      </c>
      <c r="R1036" s="81" t="s">
        <v>67</v>
      </c>
      <c r="S1036" s="22" t="s">
        <v>32</v>
      </c>
      <c r="T1036" s="22">
        <v>9</v>
      </c>
      <c r="U1036" s="24" t="s">
        <v>67</v>
      </c>
      <c r="V1036" s="23">
        <v>45916</v>
      </c>
      <c r="W1036" s="82" t="s">
        <v>30</v>
      </c>
      <c r="X1036" s="82" t="s">
        <v>30</v>
      </c>
      <c r="Y1036" s="100" t="s">
        <v>30</v>
      </c>
      <c r="Z1036"/>
      <c r="AA1036"/>
    </row>
    <row r="1037" spans="1:32">
      <c r="A1037" s="358" t="s">
        <v>24</v>
      </c>
      <c r="B1037" s="369">
        <v>1034</v>
      </c>
      <c r="C1037" s="372" t="s">
        <v>1629</v>
      </c>
      <c r="D1037" s="373" t="s">
        <v>64</v>
      </c>
      <c r="E1037" s="373">
        <v>45878</v>
      </c>
      <c r="F1037" s="372" t="s">
        <v>65</v>
      </c>
      <c r="G1037" s="372">
        <v>8</v>
      </c>
      <c r="H1037" s="372" t="s">
        <v>1077</v>
      </c>
      <c r="I1037" s="372" t="s">
        <v>1138</v>
      </c>
      <c r="J1037" s="372" t="s">
        <v>871</v>
      </c>
      <c r="K1037" s="93"/>
      <c r="L1037" s="358"/>
      <c r="M1037" s="358"/>
      <c r="N1037" s="94"/>
      <c r="O1037" s="380" t="s">
        <v>66</v>
      </c>
      <c r="P1037" s="23" t="s">
        <v>30</v>
      </c>
      <c r="Q1037" s="23">
        <v>45912</v>
      </c>
      <c r="R1037" s="81" t="s">
        <v>67</v>
      </c>
      <c r="S1037" s="22" t="s">
        <v>32</v>
      </c>
      <c r="T1037" s="22">
        <v>4</v>
      </c>
      <c r="U1037" s="22" t="s">
        <v>1077</v>
      </c>
      <c r="V1037" s="23">
        <v>45912</v>
      </c>
      <c r="W1037" s="82" t="s">
        <v>30</v>
      </c>
      <c r="X1037" s="100" t="s">
        <v>30</v>
      </c>
      <c r="Y1037" s="100" t="s">
        <v>30</v>
      </c>
      <c r="Z1037"/>
      <c r="AA1037"/>
    </row>
    <row r="1038" spans="1:32">
      <c r="A1038" s="358" t="s">
        <v>24</v>
      </c>
      <c r="B1038" s="369">
        <v>1035</v>
      </c>
      <c r="C1038" s="372" t="s">
        <v>1630</v>
      </c>
      <c r="D1038" s="373" t="s">
        <v>43</v>
      </c>
      <c r="E1038" s="373">
        <v>45878</v>
      </c>
      <c r="F1038" s="372" t="s">
        <v>65</v>
      </c>
      <c r="G1038" s="372">
        <v>8</v>
      </c>
      <c r="H1038" s="372" t="s">
        <v>1077</v>
      </c>
      <c r="I1038" s="372" t="s">
        <v>1138</v>
      </c>
      <c r="J1038" s="372" t="s">
        <v>871</v>
      </c>
      <c r="K1038" s="21"/>
      <c r="L1038" s="358"/>
      <c r="M1038" s="358"/>
      <c r="N1038" s="380"/>
      <c r="O1038" s="380" t="s">
        <v>66</v>
      </c>
      <c r="P1038" s="23" t="s">
        <v>30</v>
      </c>
      <c r="Q1038" s="23">
        <v>45912</v>
      </c>
      <c r="R1038" s="81" t="s">
        <v>67</v>
      </c>
      <c r="S1038" s="22" t="s">
        <v>32</v>
      </c>
      <c r="T1038" s="22">
        <v>4</v>
      </c>
      <c r="U1038" s="22" t="s">
        <v>1077</v>
      </c>
      <c r="V1038" s="23">
        <v>45912</v>
      </c>
      <c r="W1038" s="82" t="s">
        <v>30</v>
      </c>
      <c r="X1038" s="82" t="s">
        <v>30</v>
      </c>
      <c r="Y1038" s="100" t="s">
        <v>30</v>
      </c>
      <c r="Z1038"/>
      <c r="AA1038"/>
    </row>
    <row r="1039" spans="1:32">
      <c r="A1039" s="358" t="s">
        <v>24</v>
      </c>
      <c r="B1039" s="369">
        <v>1036</v>
      </c>
      <c r="C1039" s="372" t="s">
        <v>1631</v>
      </c>
      <c r="D1039" s="373" t="s">
        <v>50</v>
      </c>
      <c r="E1039" s="373">
        <v>45878</v>
      </c>
      <c r="F1039" s="372" t="s">
        <v>65</v>
      </c>
      <c r="G1039" s="372">
        <v>8</v>
      </c>
      <c r="H1039" s="372" t="s">
        <v>1077</v>
      </c>
      <c r="I1039" s="372" t="s">
        <v>1138</v>
      </c>
      <c r="J1039" s="372" t="s">
        <v>871</v>
      </c>
      <c r="K1039" s="102"/>
      <c r="L1039" s="358"/>
      <c r="M1039" s="358"/>
      <c r="N1039" s="94"/>
      <c r="O1039" s="380" t="s">
        <v>66</v>
      </c>
      <c r="P1039" s="23" t="s">
        <v>30</v>
      </c>
      <c r="Q1039" s="23">
        <v>45912</v>
      </c>
      <c r="R1039" s="81" t="s">
        <v>67</v>
      </c>
      <c r="S1039" s="22" t="s">
        <v>32</v>
      </c>
      <c r="T1039" s="22">
        <v>4</v>
      </c>
      <c r="U1039" s="22" t="s">
        <v>1077</v>
      </c>
      <c r="V1039" s="23">
        <v>45912</v>
      </c>
      <c r="W1039" s="82" t="s">
        <v>30</v>
      </c>
      <c r="X1039" s="82" t="s">
        <v>30</v>
      </c>
      <c r="Y1039" s="100" t="s">
        <v>30</v>
      </c>
      <c r="Z1039"/>
      <c r="AA1039"/>
    </row>
    <row r="1040" spans="1:32">
      <c r="A1040" s="358" t="s">
        <v>24</v>
      </c>
      <c r="B1040" s="369">
        <v>1037</v>
      </c>
      <c r="C1040" s="383" t="s">
        <v>1632</v>
      </c>
      <c r="D1040" s="383" t="s">
        <v>34</v>
      </c>
      <c r="E1040" s="373">
        <v>45878</v>
      </c>
      <c r="F1040" s="383" t="s">
        <v>1626</v>
      </c>
      <c r="G1040" s="383">
        <v>25</v>
      </c>
      <c r="H1040" s="383" t="s">
        <v>1077</v>
      </c>
      <c r="I1040" s="383" t="s">
        <v>1138</v>
      </c>
      <c r="J1040" s="372" t="s">
        <v>871</v>
      </c>
      <c r="K1040" s="93" t="s">
        <v>1633</v>
      </c>
      <c r="L1040" s="358"/>
      <c r="M1040" s="358"/>
      <c r="N1040" s="380"/>
      <c r="O1040" s="380" t="s">
        <v>31</v>
      </c>
      <c r="P1040" s="23" t="s">
        <v>30</v>
      </c>
      <c r="Q1040" s="23">
        <v>45930</v>
      </c>
      <c r="R1040" s="81" t="s">
        <v>67</v>
      </c>
      <c r="S1040" s="22" t="s">
        <v>32</v>
      </c>
      <c r="T1040" s="22">
        <v>25</v>
      </c>
      <c r="U1040" s="24" t="s">
        <v>67</v>
      </c>
      <c r="V1040" s="23">
        <v>45930</v>
      </c>
      <c r="W1040" s="82" t="s">
        <v>30</v>
      </c>
      <c r="X1040" s="82" t="s">
        <v>30</v>
      </c>
      <c r="Y1040" s="100" t="s">
        <v>30</v>
      </c>
      <c r="Z1040"/>
      <c r="AA1040"/>
    </row>
    <row r="1041" spans="1:29">
      <c r="A1041" s="358" t="s">
        <v>24</v>
      </c>
      <c r="B1041" s="369">
        <v>1038</v>
      </c>
      <c r="C1041" s="222" t="s">
        <v>1634</v>
      </c>
      <c r="D1041" s="222" t="s">
        <v>34</v>
      </c>
      <c r="E1041" s="243">
        <v>45878</v>
      </c>
      <c r="F1041" s="222" t="s">
        <v>695</v>
      </c>
      <c r="G1041" s="222">
        <v>13</v>
      </c>
      <c r="H1041" s="222" t="s">
        <v>48</v>
      </c>
      <c r="I1041" s="222" t="s">
        <v>47</v>
      </c>
      <c r="J1041" s="222" t="s">
        <v>871</v>
      </c>
      <c r="K1041" s="221" t="s">
        <v>1635</v>
      </c>
      <c r="L1041" s="221"/>
      <c r="M1041" s="221"/>
      <c r="N1041" s="107"/>
      <c r="O1041" s="107"/>
      <c r="P1041" s="107"/>
      <c r="Q1041" s="23">
        <v>45918</v>
      </c>
      <c r="R1041" s="81" t="s">
        <v>28</v>
      </c>
      <c r="S1041" s="22" t="s">
        <v>29</v>
      </c>
      <c r="T1041" s="22">
        <v>7</v>
      </c>
      <c r="U1041" s="24" t="s">
        <v>28</v>
      </c>
      <c r="V1041" s="23">
        <v>45918</v>
      </c>
      <c r="W1041" s="82" t="s">
        <v>32</v>
      </c>
      <c r="X1041" s="100" t="s">
        <v>30</v>
      </c>
      <c r="Y1041" s="100" t="s">
        <v>32</v>
      </c>
      <c r="Z1041"/>
      <c r="AA1041"/>
    </row>
    <row r="1042" spans="1:29">
      <c r="A1042" s="358" t="s">
        <v>24</v>
      </c>
      <c r="B1042" s="369">
        <v>1039</v>
      </c>
      <c r="C1042" s="372" t="s">
        <v>1636</v>
      </c>
      <c r="D1042" s="372" t="s">
        <v>193</v>
      </c>
      <c r="E1042" s="373">
        <v>45878</v>
      </c>
      <c r="F1042" s="372" t="s">
        <v>1637</v>
      </c>
      <c r="G1042" s="372">
        <v>15</v>
      </c>
      <c r="H1042" s="372" t="s">
        <v>48</v>
      </c>
      <c r="I1042" s="372" t="s">
        <v>47</v>
      </c>
      <c r="J1042" s="372" t="s">
        <v>871</v>
      </c>
      <c r="K1042" s="358"/>
      <c r="L1042" s="358"/>
      <c r="M1042" s="358"/>
      <c r="N1042" s="380"/>
      <c r="O1042" s="380" t="s">
        <v>31</v>
      </c>
      <c r="P1042" s="380" t="s">
        <v>30</v>
      </c>
      <c r="Q1042" s="23">
        <v>45902</v>
      </c>
      <c r="R1042" s="81" t="s">
        <v>1638</v>
      </c>
      <c r="S1042" s="22" t="s">
        <v>32</v>
      </c>
      <c r="T1042" s="22">
        <v>8</v>
      </c>
      <c r="U1042" s="24" t="s">
        <v>1638</v>
      </c>
      <c r="V1042" s="23">
        <v>45902</v>
      </c>
      <c r="W1042" s="82" t="s">
        <v>30</v>
      </c>
      <c r="X1042" s="100" t="s">
        <v>30</v>
      </c>
      <c r="Y1042" s="100" t="s">
        <v>30</v>
      </c>
      <c r="Z1042"/>
      <c r="AA1042"/>
    </row>
    <row r="1043" spans="1:29">
      <c r="A1043" s="358" t="s">
        <v>24</v>
      </c>
      <c r="B1043" s="369">
        <v>1040</v>
      </c>
      <c r="C1043" s="372" t="s">
        <v>1639</v>
      </c>
      <c r="D1043" s="372" t="s">
        <v>34</v>
      </c>
      <c r="E1043" s="373">
        <v>45878</v>
      </c>
      <c r="F1043" s="372" t="s">
        <v>439</v>
      </c>
      <c r="G1043" s="372">
        <v>23</v>
      </c>
      <c r="H1043" s="372" t="s">
        <v>21</v>
      </c>
      <c r="I1043" s="372" t="s">
        <v>127</v>
      </c>
      <c r="J1043" s="372" t="s">
        <v>871</v>
      </c>
      <c r="K1043" s="21"/>
      <c r="L1043" s="358"/>
      <c r="M1043" s="22"/>
      <c r="N1043" s="23"/>
      <c r="O1043" s="380" t="s">
        <v>31</v>
      </c>
      <c r="P1043" s="380" t="s">
        <v>30</v>
      </c>
      <c r="Q1043" s="23">
        <v>45919</v>
      </c>
      <c r="R1043" s="81" t="s">
        <v>28</v>
      </c>
      <c r="S1043" s="22" t="s">
        <v>32</v>
      </c>
      <c r="T1043" s="22">
        <v>22</v>
      </c>
      <c r="U1043" s="24" t="s">
        <v>28</v>
      </c>
      <c r="V1043" s="23">
        <v>45919</v>
      </c>
      <c r="W1043" s="82" t="s">
        <v>30</v>
      </c>
      <c r="X1043" s="82" t="s">
        <v>30</v>
      </c>
      <c r="Y1043" s="100" t="s">
        <v>30</v>
      </c>
      <c r="Z1043"/>
      <c r="AA1043"/>
    </row>
    <row r="1044" spans="1:29">
      <c r="A1044" s="358" t="s">
        <v>24</v>
      </c>
      <c r="B1044" s="369">
        <v>1041</v>
      </c>
      <c r="C1044" s="372" t="s">
        <v>1640</v>
      </c>
      <c r="D1044" s="372" t="s">
        <v>1641</v>
      </c>
      <c r="E1044" s="373">
        <v>45882</v>
      </c>
      <c r="F1044" s="372" t="s">
        <v>1642</v>
      </c>
      <c r="G1044" s="372">
        <v>12</v>
      </c>
      <c r="H1044" s="372" t="s">
        <v>48</v>
      </c>
      <c r="I1044" s="372" t="s">
        <v>47</v>
      </c>
      <c r="J1044" s="372" t="s">
        <v>871</v>
      </c>
      <c r="K1044" s="93"/>
      <c r="L1044" s="358"/>
      <c r="M1044" s="22"/>
      <c r="N1044" s="23"/>
      <c r="O1044" s="380"/>
      <c r="P1044" s="380" t="s">
        <v>30</v>
      </c>
      <c r="Q1044" s="23">
        <v>45916</v>
      </c>
      <c r="R1044" s="81" t="s">
        <v>67</v>
      </c>
      <c r="S1044" s="22" t="s">
        <v>32</v>
      </c>
      <c r="T1044" s="22">
        <v>12</v>
      </c>
      <c r="U1044" s="24" t="s">
        <v>67</v>
      </c>
      <c r="V1044" s="23">
        <v>45916</v>
      </c>
      <c r="W1044" s="100" t="s">
        <v>30</v>
      </c>
      <c r="X1044" s="82" t="s">
        <v>30</v>
      </c>
      <c r="Y1044" s="100" t="s">
        <v>30</v>
      </c>
      <c r="Z1044"/>
      <c r="AA1044" s="412"/>
      <c r="AB1044" s="412"/>
      <c r="AC1044" s="412"/>
    </row>
    <row r="1045" spans="1:29">
      <c r="A1045" s="358" t="s">
        <v>24</v>
      </c>
      <c r="B1045" s="369">
        <v>1042</v>
      </c>
      <c r="C1045" s="372" t="s">
        <v>1643</v>
      </c>
      <c r="D1045" s="372" t="s">
        <v>34</v>
      </c>
      <c r="E1045" s="373">
        <v>45890</v>
      </c>
      <c r="F1045" s="372" t="s">
        <v>1342</v>
      </c>
      <c r="G1045" s="372">
        <v>7</v>
      </c>
      <c r="H1045" s="372" t="s">
        <v>1077</v>
      </c>
      <c r="I1045" s="372" t="s">
        <v>1138</v>
      </c>
      <c r="J1045" s="372" t="s">
        <v>871</v>
      </c>
      <c r="K1045" s="93"/>
      <c r="L1045" s="358"/>
      <c r="M1045" s="22"/>
      <c r="N1045" s="23"/>
      <c r="O1045" s="380"/>
      <c r="P1045" s="23" t="s">
        <v>30</v>
      </c>
      <c r="Q1045" s="23">
        <v>45918</v>
      </c>
      <c r="R1045" s="81" t="s">
        <v>28</v>
      </c>
      <c r="S1045" s="22" t="s">
        <v>32</v>
      </c>
      <c r="T1045" s="22">
        <v>6</v>
      </c>
      <c r="U1045" s="22" t="s">
        <v>28</v>
      </c>
      <c r="V1045" s="23">
        <v>45918</v>
      </c>
      <c r="W1045" s="82" t="s">
        <v>30</v>
      </c>
      <c r="X1045" s="100" t="s">
        <v>30</v>
      </c>
      <c r="Y1045" s="100" t="s">
        <v>30</v>
      </c>
      <c r="Z1045"/>
      <c r="AA1045" s="412"/>
      <c r="AB1045" s="412"/>
      <c r="AC1045" s="412"/>
    </row>
    <row r="1046" spans="1:29">
      <c r="A1046" s="358" t="s">
        <v>24</v>
      </c>
      <c r="B1046" s="369">
        <v>1043</v>
      </c>
      <c r="C1046" s="372" t="s">
        <v>1644</v>
      </c>
      <c r="D1046" s="372" t="s">
        <v>446</v>
      </c>
      <c r="E1046" s="373">
        <v>45894</v>
      </c>
      <c r="F1046" s="372" t="s">
        <v>737</v>
      </c>
      <c r="G1046" s="372">
        <v>10</v>
      </c>
      <c r="H1046" s="372" t="s">
        <v>21</v>
      </c>
      <c r="I1046" s="372" t="s">
        <v>127</v>
      </c>
      <c r="J1046" s="372" t="s">
        <v>871</v>
      </c>
      <c r="K1046" s="93"/>
      <c r="L1046" s="358"/>
      <c r="M1046" s="22"/>
      <c r="N1046" s="23"/>
      <c r="O1046" s="380"/>
      <c r="P1046" s="23" t="s">
        <v>30</v>
      </c>
      <c r="Q1046" s="23">
        <v>45917</v>
      </c>
      <c r="R1046" s="81" t="s">
        <v>67</v>
      </c>
      <c r="S1046" s="22" t="s">
        <v>32</v>
      </c>
      <c r="T1046" s="22">
        <v>10</v>
      </c>
      <c r="U1046" s="22" t="s">
        <v>67</v>
      </c>
      <c r="V1046" s="23">
        <v>45917</v>
      </c>
      <c r="W1046" s="82" t="s">
        <v>30</v>
      </c>
      <c r="X1046" s="82" t="s">
        <v>30</v>
      </c>
      <c r="Y1046" s="100" t="s">
        <v>30</v>
      </c>
      <c r="Z1046"/>
      <c r="AA1046" s="412"/>
      <c r="AB1046" s="412"/>
      <c r="AC1046" s="412"/>
    </row>
    <row r="1047" spans="1:29">
      <c r="A1047" s="358" t="s">
        <v>24</v>
      </c>
      <c r="B1047" s="369">
        <v>1044</v>
      </c>
      <c r="C1047" s="372" t="s">
        <v>1645</v>
      </c>
      <c r="D1047" s="372" t="s">
        <v>469</v>
      </c>
      <c r="E1047" s="373">
        <v>45894</v>
      </c>
      <c r="F1047" s="372" t="s">
        <v>1646</v>
      </c>
      <c r="G1047" s="372">
        <v>14</v>
      </c>
      <c r="H1047" s="372" t="s">
        <v>48</v>
      </c>
      <c r="I1047" s="372" t="s">
        <v>47</v>
      </c>
      <c r="J1047" s="372" t="s">
        <v>871</v>
      </c>
      <c r="K1047" s="93" t="s">
        <v>1647</v>
      </c>
      <c r="L1047" s="93"/>
      <c r="M1047" s="22"/>
      <c r="N1047" s="23"/>
      <c r="O1047" s="380"/>
      <c r="P1047" s="23" t="s">
        <v>30</v>
      </c>
      <c r="Q1047" s="23">
        <v>45919</v>
      </c>
      <c r="R1047" s="81" t="s">
        <v>28</v>
      </c>
      <c r="S1047" s="22" t="s">
        <v>32</v>
      </c>
      <c r="T1047" s="22">
        <v>14</v>
      </c>
      <c r="U1047" s="24" t="s">
        <v>28</v>
      </c>
      <c r="V1047" s="23">
        <v>45919</v>
      </c>
      <c r="W1047" s="95" t="s">
        <v>32</v>
      </c>
      <c r="X1047" s="100" t="s">
        <v>30</v>
      </c>
      <c r="Y1047" s="100" t="s">
        <v>32</v>
      </c>
      <c r="Z1047"/>
      <c r="AA1047"/>
    </row>
    <row r="1048" spans="1:29">
      <c r="A1048" s="358" t="s">
        <v>24</v>
      </c>
      <c r="B1048" s="369">
        <v>1045</v>
      </c>
      <c r="C1048" s="372" t="s">
        <v>1648</v>
      </c>
      <c r="D1048" s="372" t="s">
        <v>374</v>
      </c>
      <c r="E1048" s="373">
        <v>45894</v>
      </c>
      <c r="F1048" s="372" t="s">
        <v>1649</v>
      </c>
      <c r="G1048" s="372">
        <v>11</v>
      </c>
      <c r="H1048" s="372" t="s">
        <v>1077</v>
      </c>
      <c r="I1048" s="372" t="s">
        <v>1138</v>
      </c>
      <c r="J1048" s="372" t="s">
        <v>871</v>
      </c>
      <c r="K1048" s="93" t="s">
        <v>1650</v>
      </c>
      <c r="L1048" s="93"/>
      <c r="M1048" s="22"/>
      <c r="N1048" s="23"/>
      <c r="O1048" s="380"/>
      <c r="P1048" s="23" t="s">
        <v>32</v>
      </c>
      <c r="Q1048" s="23">
        <v>45897</v>
      </c>
      <c r="R1048" s="81" t="s">
        <v>1138</v>
      </c>
      <c r="S1048" s="22" t="s">
        <v>32</v>
      </c>
      <c r="T1048" s="22">
        <v>11</v>
      </c>
      <c r="U1048" s="22" t="s">
        <v>1138</v>
      </c>
      <c r="V1048" s="23">
        <v>45897</v>
      </c>
      <c r="W1048" s="95" t="s">
        <v>32</v>
      </c>
      <c r="X1048" s="82" t="s">
        <v>30</v>
      </c>
      <c r="Y1048" s="100" t="s">
        <v>32</v>
      </c>
      <c r="Z1048"/>
      <c r="AA1048"/>
    </row>
    <row r="1049" spans="1:29">
      <c r="A1049" s="358" t="s">
        <v>24</v>
      </c>
      <c r="B1049" s="369">
        <v>1046</v>
      </c>
      <c r="C1049" s="372" t="s">
        <v>1651</v>
      </c>
      <c r="D1049" s="372" t="s">
        <v>102</v>
      </c>
      <c r="E1049" s="373">
        <v>45895</v>
      </c>
      <c r="F1049" s="372" t="s">
        <v>737</v>
      </c>
      <c r="G1049" s="372">
        <v>10</v>
      </c>
      <c r="H1049" s="372" t="s">
        <v>21</v>
      </c>
      <c r="I1049" s="372" t="s">
        <v>127</v>
      </c>
      <c r="J1049" s="372" t="s">
        <v>871</v>
      </c>
      <c r="K1049" s="223"/>
      <c r="L1049" s="372"/>
      <c r="M1049" s="372"/>
      <c r="N1049" s="372"/>
      <c r="O1049" s="372"/>
      <c r="P1049" s="380" t="s">
        <v>30</v>
      </c>
      <c r="Q1049" s="23">
        <v>45917</v>
      </c>
      <c r="R1049" s="81" t="s">
        <v>67</v>
      </c>
      <c r="S1049" s="22" t="s">
        <v>32</v>
      </c>
      <c r="T1049" s="22">
        <v>10</v>
      </c>
      <c r="U1049" s="22" t="s">
        <v>67</v>
      </c>
      <c r="V1049" s="23">
        <v>45917</v>
      </c>
      <c r="W1049" s="82" t="s">
        <v>30</v>
      </c>
      <c r="X1049" s="82" t="s">
        <v>30</v>
      </c>
      <c r="Y1049" s="100" t="s">
        <v>30</v>
      </c>
      <c r="Z1049"/>
      <c r="AA1049"/>
    </row>
    <row r="1050" spans="1:29">
      <c r="A1050" s="358" t="s">
        <v>24</v>
      </c>
      <c r="B1050" s="369">
        <v>1047</v>
      </c>
      <c r="C1050" s="372" t="s">
        <v>1652</v>
      </c>
      <c r="D1050" s="372" t="s">
        <v>102</v>
      </c>
      <c r="E1050" s="373">
        <v>45895</v>
      </c>
      <c r="F1050" s="372" t="s">
        <v>430</v>
      </c>
      <c r="G1050" s="372">
        <v>16</v>
      </c>
      <c r="H1050" s="372" t="s">
        <v>1077</v>
      </c>
      <c r="I1050" s="372" t="s">
        <v>1138</v>
      </c>
      <c r="J1050" s="372" t="s">
        <v>871</v>
      </c>
      <c r="K1050" s="102"/>
      <c r="L1050" s="93"/>
      <c r="M1050" s="22"/>
      <c r="N1050" s="23"/>
      <c r="O1050" s="380" t="s">
        <v>31</v>
      </c>
      <c r="P1050" s="23" t="s">
        <v>30</v>
      </c>
      <c r="Q1050" s="23">
        <v>45904</v>
      </c>
      <c r="R1050" s="81" t="s">
        <v>1138</v>
      </c>
      <c r="S1050" s="22" t="s">
        <v>32</v>
      </c>
      <c r="T1050" s="22">
        <v>16</v>
      </c>
      <c r="U1050" s="24" t="s">
        <v>1138</v>
      </c>
      <c r="V1050" s="23">
        <v>45904</v>
      </c>
      <c r="W1050" s="82" t="s">
        <v>30</v>
      </c>
      <c r="X1050" s="82" t="s">
        <v>30</v>
      </c>
      <c r="Y1050" s="100" t="s">
        <v>30</v>
      </c>
      <c r="Z1050"/>
      <c r="AA1050"/>
    </row>
    <row r="1051" spans="1:29">
      <c r="A1051" s="358" t="s">
        <v>24</v>
      </c>
      <c r="B1051" s="369">
        <v>1048</v>
      </c>
      <c r="C1051" s="372" t="s">
        <v>1653</v>
      </c>
      <c r="D1051" s="372" t="s">
        <v>477</v>
      </c>
      <c r="E1051" s="373">
        <v>45895</v>
      </c>
      <c r="F1051" s="372" t="s">
        <v>27</v>
      </c>
      <c r="G1051" s="372">
        <v>17</v>
      </c>
      <c r="H1051" s="372" t="s">
        <v>48</v>
      </c>
      <c r="I1051" s="372" t="s">
        <v>47</v>
      </c>
      <c r="J1051" s="372" t="s">
        <v>871</v>
      </c>
      <c r="K1051" s="93"/>
      <c r="L1051" s="358"/>
      <c r="M1051" s="22"/>
      <c r="N1051" s="23"/>
      <c r="O1051" s="380" t="s">
        <v>31</v>
      </c>
      <c r="P1051" s="23" t="s">
        <v>32</v>
      </c>
      <c r="Q1051" s="23">
        <v>45909</v>
      </c>
      <c r="R1051" s="81" t="s">
        <v>67</v>
      </c>
      <c r="S1051" s="22" t="s">
        <v>32</v>
      </c>
      <c r="T1051" s="22">
        <v>17</v>
      </c>
      <c r="U1051" s="24" t="s">
        <v>67</v>
      </c>
      <c r="V1051" s="23">
        <v>45909</v>
      </c>
      <c r="W1051" s="82" t="s">
        <v>30</v>
      </c>
      <c r="X1051" s="100" t="s">
        <v>30</v>
      </c>
      <c r="Y1051" s="100" t="s">
        <v>30</v>
      </c>
      <c r="Z1051"/>
      <c r="AA1051"/>
    </row>
    <row r="1052" spans="1:29">
      <c r="A1052" s="358" t="s">
        <v>24</v>
      </c>
      <c r="B1052" s="369">
        <v>1049</v>
      </c>
      <c r="C1052" s="372" t="s">
        <v>1654</v>
      </c>
      <c r="D1052" s="372" t="s">
        <v>26</v>
      </c>
      <c r="E1052" s="373">
        <v>45896</v>
      </c>
      <c r="F1052" s="372" t="s">
        <v>435</v>
      </c>
      <c r="G1052" s="372">
        <v>17</v>
      </c>
      <c r="H1052" s="372" t="s">
        <v>48</v>
      </c>
      <c r="I1052" s="372" t="s">
        <v>47</v>
      </c>
      <c r="J1052" s="372" t="s">
        <v>871</v>
      </c>
      <c r="K1052" s="223"/>
      <c r="L1052" s="372"/>
      <c r="M1052" s="22"/>
      <c r="N1052" s="23"/>
      <c r="O1052" s="380" t="s">
        <v>31</v>
      </c>
      <c r="P1052" s="380" t="s">
        <v>30</v>
      </c>
      <c r="Q1052" s="23">
        <v>45912</v>
      </c>
      <c r="R1052" s="81" t="s">
        <v>67</v>
      </c>
      <c r="S1052" s="22" t="s">
        <v>32</v>
      </c>
      <c r="T1052" s="22">
        <v>17</v>
      </c>
      <c r="U1052" s="24" t="s">
        <v>67</v>
      </c>
      <c r="V1052" s="23">
        <v>45912</v>
      </c>
      <c r="W1052" s="82" t="s">
        <v>30</v>
      </c>
      <c r="X1052" s="82" t="s">
        <v>30</v>
      </c>
      <c r="Y1052" s="100" t="s">
        <v>30</v>
      </c>
      <c r="Z1052"/>
      <c r="AA1052"/>
    </row>
    <row r="1053" spans="1:29">
      <c r="A1053" s="358" t="s">
        <v>24</v>
      </c>
      <c r="B1053" s="369">
        <v>1050</v>
      </c>
      <c r="C1053" s="372" t="s">
        <v>1655</v>
      </c>
      <c r="D1053" s="372" t="s">
        <v>26</v>
      </c>
      <c r="E1053" s="373">
        <v>45897</v>
      </c>
      <c r="F1053" s="372" t="s">
        <v>435</v>
      </c>
      <c r="G1053" s="372">
        <v>17</v>
      </c>
      <c r="H1053" s="372" t="s">
        <v>48</v>
      </c>
      <c r="I1053" s="372" t="s">
        <v>47</v>
      </c>
      <c r="J1053" s="372" t="s">
        <v>871</v>
      </c>
      <c r="K1053" s="372"/>
      <c r="L1053" s="21"/>
      <c r="M1053" s="22"/>
      <c r="N1053" s="23"/>
      <c r="O1053" s="380" t="s">
        <v>31</v>
      </c>
      <c r="P1053" s="380" t="s">
        <v>30</v>
      </c>
      <c r="Q1053" s="23">
        <v>45912</v>
      </c>
      <c r="R1053" s="81" t="s">
        <v>67</v>
      </c>
      <c r="S1053" s="22" t="s">
        <v>32</v>
      </c>
      <c r="T1053" s="22">
        <v>17</v>
      </c>
      <c r="U1053" s="24" t="s">
        <v>67</v>
      </c>
      <c r="V1053" s="23">
        <v>45912</v>
      </c>
      <c r="W1053" s="82" t="s">
        <v>30</v>
      </c>
      <c r="X1053" s="82" t="s">
        <v>30</v>
      </c>
      <c r="Y1053" s="100" t="s">
        <v>30</v>
      </c>
      <c r="Z1053"/>
      <c r="AA1053"/>
    </row>
    <row r="1054" spans="1:29">
      <c r="A1054" s="358" t="s">
        <v>24</v>
      </c>
      <c r="B1054" s="369">
        <v>1051</v>
      </c>
      <c r="C1054" s="372" t="s">
        <v>1656</v>
      </c>
      <c r="D1054" s="372" t="s">
        <v>50</v>
      </c>
      <c r="E1054" s="373">
        <v>45897</v>
      </c>
      <c r="F1054" s="372" t="s">
        <v>27</v>
      </c>
      <c r="G1054" s="372">
        <v>15</v>
      </c>
      <c r="H1054" s="372" t="s">
        <v>48</v>
      </c>
      <c r="I1054" s="372" t="s">
        <v>47</v>
      </c>
      <c r="J1054" s="372" t="s">
        <v>871</v>
      </c>
      <c r="K1054" s="93" t="s">
        <v>1657</v>
      </c>
      <c r="L1054" s="358"/>
      <c r="M1054" s="22"/>
      <c r="N1054" s="23"/>
      <c r="O1054" s="380" t="s">
        <v>31</v>
      </c>
      <c r="P1054" s="23" t="s">
        <v>30</v>
      </c>
      <c r="Q1054" s="23">
        <v>45917</v>
      </c>
      <c r="R1054" s="81" t="s">
        <v>47</v>
      </c>
      <c r="S1054" s="22" t="s">
        <v>32</v>
      </c>
      <c r="T1054" s="22">
        <v>13</v>
      </c>
      <c r="U1054" s="24" t="s">
        <v>47</v>
      </c>
      <c r="V1054" s="23">
        <v>45917</v>
      </c>
      <c r="W1054" s="95" t="s">
        <v>32</v>
      </c>
      <c r="X1054" s="82" t="s">
        <v>30</v>
      </c>
      <c r="Y1054" s="100" t="s">
        <v>32</v>
      </c>
      <c r="Z1054"/>
      <c r="AA1054"/>
    </row>
    <row r="1055" spans="1:29">
      <c r="A1055" s="358" t="s">
        <v>24</v>
      </c>
      <c r="B1055" s="369">
        <v>1052</v>
      </c>
      <c r="C1055" s="372" t="s">
        <v>1658</v>
      </c>
      <c r="D1055" s="372" t="s">
        <v>178</v>
      </c>
      <c r="E1055" s="373">
        <v>45899</v>
      </c>
      <c r="F1055" s="372" t="s">
        <v>931</v>
      </c>
      <c r="G1055" s="372">
        <v>8</v>
      </c>
      <c r="H1055" s="372" t="s">
        <v>1077</v>
      </c>
      <c r="I1055" s="372" t="s">
        <v>1138</v>
      </c>
      <c r="J1055" s="372" t="s">
        <v>871</v>
      </c>
      <c r="K1055" s="358"/>
      <c r="L1055" s="21"/>
      <c r="M1055" s="22"/>
      <c r="N1055" s="23"/>
      <c r="O1055" s="380"/>
      <c r="P1055" s="380" t="s">
        <v>30</v>
      </c>
      <c r="Q1055" s="23">
        <v>45908</v>
      </c>
      <c r="R1055" s="81" t="s">
        <v>1138</v>
      </c>
      <c r="S1055" s="22" t="s">
        <v>32</v>
      </c>
      <c r="T1055" s="22">
        <v>8</v>
      </c>
      <c r="U1055" s="24" t="s">
        <v>1138</v>
      </c>
      <c r="V1055" s="23">
        <v>45908</v>
      </c>
      <c r="W1055" s="82" t="s">
        <v>30</v>
      </c>
      <c r="X1055" s="82" t="s">
        <v>30</v>
      </c>
      <c r="Y1055" s="100" t="s">
        <v>30</v>
      </c>
      <c r="Z1055"/>
      <c r="AA1055"/>
    </row>
    <row r="1056" spans="1:29">
      <c r="A1056" s="358" t="s">
        <v>137</v>
      </c>
      <c r="B1056" s="369">
        <v>1053</v>
      </c>
      <c r="C1056" s="360" t="s">
        <v>1659</v>
      </c>
      <c r="D1056" s="360" t="s">
        <v>937</v>
      </c>
      <c r="E1056" s="373">
        <v>45873</v>
      </c>
      <c r="F1056" s="372" t="s">
        <v>140</v>
      </c>
      <c r="G1056" s="372">
        <v>9</v>
      </c>
      <c r="H1056" s="372" t="s">
        <v>1513</v>
      </c>
      <c r="I1056" s="372" t="s">
        <v>1546</v>
      </c>
      <c r="J1056" s="372" t="s">
        <v>871</v>
      </c>
      <c r="K1056" s="21"/>
      <c r="L1056" s="372"/>
      <c r="M1056" s="22"/>
      <c r="N1056" s="23"/>
      <c r="O1056" s="380"/>
      <c r="P1056" s="23"/>
      <c r="Q1056" s="23"/>
      <c r="R1056" s="81" t="s">
        <v>67</v>
      </c>
      <c r="S1056" s="22"/>
      <c r="T1056" s="22">
        <v>9</v>
      </c>
      <c r="U1056" s="24"/>
      <c r="V1056" s="23">
        <v>45880</v>
      </c>
      <c r="W1056" s="246" t="s">
        <v>113</v>
      </c>
      <c r="X1056" s="85"/>
      <c r="Y1056" s="103" t="s">
        <v>113</v>
      </c>
      <c r="Z1056"/>
      <c r="AA1056" s="412"/>
      <c r="AB1056" s="412"/>
      <c r="AC1056" s="412"/>
    </row>
    <row r="1057" spans="1:32">
      <c r="A1057" s="358" t="s">
        <v>137</v>
      </c>
      <c r="B1057" s="369">
        <v>1054</v>
      </c>
      <c r="C1057" s="360" t="s">
        <v>1660</v>
      </c>
      <c r="D1057" s="360" t="s">
        <v>779</v>
      </c>
      <c r="E1057" s="373">
        <v>45873.375</v>
      </c>
      <c r="F1057" s="372" t="s">
        <v>140</v>
      </c>
      <c r="G1057" s="372">
        <v>4</v>
      </c>
      <c r="H1057" s="372" t="s">
        <v>1513</v>
      </c>
      <c r="I1057" s="372" t="s">
        <v>1546</v>
      </c>
      <c r="J1057" s="372" t="s">
        <v>871</v>
      </c>
      <c r="K1057" s="93"/>
      <c r="L1057" s="21"/>
      <c r="M1057" s="22"/>
      <c r="N1057" s="23"/>
      <c r="O1057" s="380"/>
      <c r="P1057" s="23"/>
      <c r="Q1057" s="23"/>
      <c r="R1057" s="81" t="s">
        <v>67</v>
      </c>
      <c r="S1057" s="22"/>
      <c r="T1057" s="22">
        <v>4</v>
      </c>
      <c r="U1057" s="24"/>
      <c r="V1057" s="23">
        <v>45880</v>
      </c>
      <c r="W1057" s="82" t="s">
        <v>113</v>
      </c>
      <c r="X1057" s="82"/>
      <c r="Y1057" s="100" t="s">
        <v>113</v>
      </c>
      <c r="Z1057"/>
      <c r="AA1057" s="412"/>
      <c r="AB1057" s="412"/>
      <c r="AC1057" s="412"/>
    </row>
    <row r="1058" spans="1:32">
      <c r="A1058" s="358" t="s">
        <v>137</v>
      </c>
      <c r="B1058" s="369">
        <v>1055</v>
      </c>
      <c r="C1058" s="360" t="s">
        <v>1661</v>
      </c>
      <c r="D1058" s="360" t="s">
        <v>213</v>
      </c>
      <c r="E1058" s="373">
        <v>45873.375</v>
      </c>
      <c r="F1058" s="372" t="s">
        <v>140</v>
      </c>
      <c r="G1058" s="372">
        <v>11</v>
      </c>
      <c r="H1058" s="372" t="s">
        <v>1513</v>
      </c>
      <c r="I1058" s="372" t="s">
        <v>1546</v>
      </c>
      <c r="J1058" s="372" t="s">
        <v>871</v>
      </c>
      <c r="K1058" s="93"/>
      <c r="L1058" s="21"/>
      <c r="M1058" s="22"/>
      <c r="N1058" s="23"/>
      <c r="O1058" s="380"/>
      <c r="P1058" s="23"/>
      <c r="Q1058" s="23"/>
      <c r="R1058" s="81" t="s">
        <v>67</v>
      </c>
      <c r="S1058" s="22"/>
      <c r="T1058" s="22">
        <v>11</v>
      </c>
      <c r="U1058" s="24"/>
      <c r="V1058" s="23">
        <v>45880</v>
      </c>
      <c r="W1058" s="82" t="s">
        <v>113</v>
      </c>
      <c r="X1058" s="82"/>
      <c r="Y1058" s="100" t="s">
        <v>113</v>
      </c>
      <c r="Z1058"/>
      <c r="AA1058" s="412"/>
      <c r="AB1058" s="412"/>
      <c r="AC1058" s="412"/>
    </row>
    <row r="1059" spans="1:32">
      <c r="A1059" s="358" t="s">
        <v>137</v>
      </c>
      <c r="B1059" s="369">
        <v>1056</v>
      </c>
      <c r="C1059" s="360" t="s">
        <v>1662</v>
      </c>
      <c r="D1059" s="360" t="s">
        <v>1208</v>
      </c>
      <c r="E1059" s="373">
        <v>45873.125</v>
      </c>
      <c r="F1059" s="372" t="s">
        <v>140</v>
      </c>
      <c r="G1059" s="372">
        <v>4</v>
      </c>
      <c r="H1059" s="372" t="s">
        <v>1077</v>
      </c>
      <c r="I1059" s="372" t="s">
        <v>1138</v>
      </c>
      <c r="J1059" s="372" t="s">
        <v>871</v>
      </c>
      <c r="K1059" s="372"/>
      <c r="L1059" s="21"/>
      <c r="M1059" s="22"/>
      <c r="N1059" s="23"/>
      <c r="O1059" s="380"/>
      <c r="P1059" s="23"/>
      <c r="Q1059" s="23"/>
      <c r="R1059" s="81" t="s">
        <v>67</v>
      </c>
      <c r="S1059" s="22"/>
      <c r="T1059" s="22">
        <v>4</v>
      </c>
      <c r="U1059" s="24"/>
      <c r="V1059" s="23">
        <v>45882</v>
      </c>
      <c r="W1059" s="82" t="s">
        <v>113</v>
      </c>
      <c r="X1059" s="82"/>
      <c r="Y1059" s="100" t="s">
        <v>113</v>
      </c>
      <c r="Z1059"/>
      <c r="AA1059" s="412"/>
      <c r="AB1059" s="412"/>
      <c r="AC1059" s="412"/>
    </row>
    <row r="1060" spans="1:32">
      <c r="A1060" s="358" t="s">
        <v>137</v>
      </c>
      <c r="B1060" s="369">
        <v>1057</v>
      </c>
      <c r="C1060" s="360" t="s">
        <v>1663</v>
      </c>
      <c r="D1060" s="360" t="s">
        <v>1403</v>
      </c>
      <c r="E1060" s="373">
        <v>45873.375</v>
      </c>
      <c r="F1060" s="372" t="s">
        <v>140</v>
      </c>
      <c r="G1060" s="372">
        <v>22</v>
      </c>
      <c r="H1060" s="372" t="s">
        <v>1664</v>
      </c>
      <c r="I1060" s="372" t="s">
        <v>1665</v>
      </c>
      <c r="J1060" s="372" t="s">
        <v>871</v>
      </c>
      <c r="K1060" s="102"/>
      <c r="L1060" s="21"/>
      <c r="M1060" s="22"/>
      <c r="N1060" s="23"/>
      <c r="O1060" s="380" t="s">
        <v>31</v>
      </c>
      <c r="P1060" s="23"/>
      <c r="Q1060" s="23"/>
      <c r="R1060" s="81" t="s">
        <v>67</v>
      </c>
      <c r="S1060" s="22"/>
      <c r="T1060" s="22">
        <v>21</v>
      </c>
      <c r="U1060" s="24"/>
      <c r="V1060" s="23">
        <v>45880</v>
      </c>
      <c r="W1060" s="82" t="s">
        <v>113</v>
      </c>
      <c r="X1060" s="82"/>
      <c r="Y1060" s="100" t="s">
        <v>113</v>
      </c>
      <c r="Z1060">
        <v>7</v>
      </c>
      <c r="AA1060">
        <v>3</v>
      </c>
      <c r="AB1060">
        <v>12</v>
      </c>
      <c r="AC1060">
        <f>SUM(Z1060:AB1060)</f>
        <v>22</v>
      </c>
      <c r="AD1060" s="72">
        <f>+Z1060/AC1060*AD$1</f>
        <v>0.95454545454545459</v>
      </c>
      <c r="AE1060" s="96">
        <f>+AA1060/AC1060*AE$1</f>
        <v>0</v>
      </c>
      <c r="AF1060" s="96">
        <f>+AB1060/AC1060*AF$1</f>
        <v>0</v>
      </c>
    </row>
    <row r="1061" spans="1:32">
      <c r="A1061" s="358" t="s">
        <v>137</v>
      </c>
      <c r="B1061" s="369">
        <v>1058</v>
      </c>
      <c r="C1061" s="360" t="s">
        <v>1666</v>
      </c>
      <c r="D1061" s="360" t="s">
        <v>1184</v>
      </c>
      <c r="E1061" s="373">
        <v>45873.041666666664</v>
      </c>
      <c r="F1061" s="372" t="s">
        <v>140</v>
      </c>
      <c r="G1061" s="372">
        <v>7</v>
      </c>
      <c r="H1061" s="372" t="s">
        <v>21</v>
      </c>
      <c r="I1061" s="372" t="s">
        <v>127</v>
      </c>
      <c r="J1061" s="372" t="s">
        <v>871</v>
      </c>
      <c r="K1061" s="21"/>
      <c r="L1061" s="21"/>
      <c r="M1061" s="22"/>
      <c r="N1061" s="23"/>
      <c r="O1061" s="380"/>
      <c r="P1061" s="23"/>
      <c r="Q1061" s="23"/>
      <c r="R1061" s="81" t="s">
        <v>67</v>
      </c>
      <c r="S1061" s="22"/>
      <c r="T1061" s="22">
        <v>7</v>
      </c>
      <c r="U1061" s="24"/>
      <c r="V1061" s="23">
        <v>45880</v>
      </c>
      <c r="W1061" s="82" t="s">
        <v>113</v>
      </c>
      <c r="X1061" s="82"/>
      <c r="Y1061" s="100" t="s">
        <v>113</v>
      </c>
      <c r="Z1061"/>
      <c r="AA1061" s="412"/>
      <c r="AB1061" s="412"/>
      <c r="AC1061" s="412"/>
    </row>
    <row r="1062" spans="1:32">
      <c r="A1062" s="358" t="s">
        <v>137</v>
      </c>
      <c r="B1062" s="369">
        <v>1059</v>
      </c>
      <c r="C1062" s="360" t="s">
        <v>1667</v>
      </c>
      <c r="D1062" s="360" t="s">
        <v>1230</v>
      </c>
      <c r="E1062" s="373">
        <v>45873</v>
      </c>
      <c r="F1062" s="372" t="s">
        <v>140</v>
      </c>
      <c r="G1062" s="372">
        <v>3</v>
      </c>
      <c r="H1062" s="372" t="s">
        <v>1077</v>
      </c>
      <c r="I1062" s="372" t="s">
        <v>1138</v>
      </c>
      <c r="J1062" s="372" t="s">
        <v>871</v>
      </c>
      <c r="K1062" s="93"/>
      <c r="L1062" s="93"/>
      <c r="M1062" s="22"/>
      <c r="N1062" s="23"/>
      <c r="O1062" s="380"/>
      <c r="P1062" s="23"/>
      <c r="Q1062" s="23"/>
      <c r="R1062" s="81" t="s">
        <v>67</v>
      </c>
      <c r="S1062" s="22"/>
      <c r="T1062" s="22">
        <v>3</v>
      </c>
      <c r="U1062" s="24"/>
      <c r="V1062" s="23">
        <v>45880</v>
      </c>
      <c r="W1062" s="82" t="s">
        <v>113</v>
      </c>
      <c r="X1062" s="82"/>
      <c r="Y1062" s="100" t="s">
        <v>113</v>
      </c>
      <c r="Z1062"/>
      <c r="AA1062" s="412"/>
      <c r="AB1062" s="412"/>
      <c r="AC1062" s="412"/>
    </row>
    <row r="1063" spans="1:32">
      <c r="A1063" s="358" t="s">
        <v>137</v>
      </c>
      <c r="B1063" s="369">
        <v>1060</v>
      </c>
      <c r="C1063" s="360" t="s">
        <v>1668</v>
      </c>
      <c r="D1063" s="360" t="s">
        <v>1250</v>
      </c>
      <c r="E1063" s="373">
        <v>45873.375</v>
      </c>
      <c r="F1063" s="372" t="s">
        <v>140</v>
      </c>
      <c r="G1063" s="372">
        <v>4</v>
      </c>
      <c r="H1063" s="372" t="s">
        <v>1669</v>
      </c>
      <c r="I1063" s="372" t="s">
        <v>1670</v>
      </c>
      <c r="J1063" s="372" t="s">
        <v>871</v>
      </c>
      <c r="K1063" s="358"/>
      <c r="L1063" s="21"/>
      <c r="M1063" s="22"/>
      <c r="N1063" s="23"/>
      <c r="O1063" s="380"/>
      <c r="P1063" s="23"/>
      <c r="Q1063" s="23"/>
      <c r="R1063" s="81" t="s">
        <v>67</v>
      </c>
      <c r="S1063" s="22"/>
      <c r="T1063" s="22">
        <v>4</v>
      </c>
      <c r="U1063" s="24"/>
      <c r="V1063" s="23">
        <v>45882</v>
      </c>
      <c r="W1063" s="82" t="s">
        <v>113</v>
      </c>
      <c r="X1063" s="82"/>
      <c r="Y1063" s="100" t="s">
        <v>113</v>
      </c>
      <c r="Z1063"/>
      <c r="AA1063"/>
    </row>
    <row r="1064" spans="1:32">
      <c r="A1064" s="358" t="s">
        <v>137</v>
      </c>
      <c r="B1064" s="369">
        <v>1061</v>
      </c>
      <c r="C1064" s="360" t="s">
        <v>1671</v>
      </c>
      <c r="D1064" s="360" t="s">
        <v>1257</v>
      </c>
      <c r="E1064" s="373">
        <v>45873</v>
      </c>
      <c r="F1064" s="372" t="s">
        <v>140</v>
      </c>
      <c r="G1064" s="372">
        <v>2</v>
      </c>
      <c r="H1064" s="372" t="s">
        <v>1077</v>
      </c>
      <c r="I1064" s="372" t="s">
        <v>1138</v>
      </c>
      <c r="J1064" s="372" t="s">
        <v>871</v>
      </c>
      <c r="K1064" s="93"/>
      <c r="L1064" s="21"/>
      <c r="M1064" s="22"/>
      <c r="N1064" s="23"/>
      <c r="O1064" s="380"/>
      <c r="P1064" s="23"/>
      <c r="Q1064" s="23"/>
      <c r="R1064" s="81" t="s">
        <v>67</v>
      </c>
      <c r="S1064" s="22"/>
      <c r="T1064" s="22">
        <v>2</v>
      </c>
      <c r="U1064" s="24"/>
      <c r="V1064" s="23">
        <v>45877</v>
      </c>
      <c r="W1064" s="82" t="s">
        <v>113</v>
      </c>
      <c r="X1064" s="82"/>
      <c r="Y1064" s="100" t="s">
        <v>113</v>
      </c>
      <c r="Z1064"/>
      <c r="AA1064"/>
    </row>
    <row r="1065" spans="1:32">
      <c r="A1065" s="358" t="s">
        <v>137</v>
      </c>
      <c r="B1065" s="369">
        <v>1062</v>
      </c>
      <c r="C1065" s="360" t="s">
        <v>1672</v>
      </c>
      <c r="D1065" s="360" t="s">
        <v>1250</v>
      </c>
      <c r="E1065" s="373">
        <v>45880.375</v>
      </c>
      <c r="F1065" s="372" t="s">
        <v>140</v>
      </c>
      <c r="G1065" s="372">
        <v>3</v>
      </c>
      <c r="H1065" s="372" t="s">
        <v>1077</v>
      </c>
      <c r="I1065" s="372" t="s">
        <v>1138</v>
      </c>
      <c r="J1065" s="372" t="s">
        <v>871</v>
      </c>
      <c r="K1065" s="93"/>
      <c r="L1065" s="21"/>
      <c r="M1065" s="22"/>
      <c r="N1065" s="23"/>
      <c r="O1065" s="380"/>
      <c r="P1065" s="380"/>
      <c r="Q1065" s="23"/>
      <c r="R1065" s="81" t="s">
        <v>67</v>
      </c>
      <c r="S1065" s="22"/>
      <c r="T1065" s="22">
        <v>3</v>
      </c>
      <c r="U1065" s="24"/>
      <c r="V1065" s="23">
        <v>45880</v>
      </c>
      <c r="W1065" s="82" t="s">
        <v>113</v>
      </c>
      <c r="X1065" s="82"/>
      <c r="Y1065" s="100" t="s">
        <v>113</v>
      </c>
      <c r="Z1065"/>
      <c r="AA1065"/>
    </row>
    <row r="1066" spans="1:32">
      <c r="A1066" s="358" t="s">
        <v>137</v>
      </c>
      <c r="B1066" s="369">
        <v>1063</v>
      </c>
      <c r="C1066" s="360" t="s">
        <v>1673</v>
      </c>
      <c r="D1066" s="360" t="s">
        <v>1198</v>
      </c>
      <c r="E1066" s="373">
        <v>45880.083333333336</v>
      </c>
      <c r="F1066" s="372" t="s">
        <v>140</v>
      </c>
      <c r="G1066" s="372">
        <v>9</v>
      </c>
      <c r="H1066" s="372" t="s">
        <v>1513</v>
      </c>
      <c r="I1066" s="372" t="s">
        <v>1546</v>
      </c>
      <c r="J1066" s="372" t="s">
        <v>871</v>
      </c>
      <c r="K1066" s="238"/>
      <c r="L1066" s="21"/>
      <c r="M1066" s="22"/>
      <c r="N1066" s="23"/>
      <c r="O1066" s="380"/>
      <c r="P1066" s="23"/>
      <c r="Q1066" s="23"/>
      <c r="R1066" s="81" t="s">
        <v>67</v>
      </c>
      <c r="S1066" s="22"/>
      <c r="T1066" s="22">
        <v>9</v>
      </c>
      <c r="U1066" s="24"/>
      <c r="V1066" s="23">
        <v>45901</v>
      </c>
      <c r="W1066" s="82" t="s">
        <v>113</v>
      </c>
      <c r="X1066" s="82"/>
      <c r="Y1066" s="100" t="s">
        <v>113</v>
      </c>
      <c r="Z1066"/>
      <c r="AA1066"/>
    </row>
    <row r="1067" spans="1:32">
      <c r="A1067" s="358" t="s">
        <v>137</v>
      </c>
      <c r="B1067" s="369">
        <v>1064</v>
      </c>
      <c r="C1067" s="360" t="s">
        <v>1674</v>
      </c>
      <c r="D1067" s="360" t="s">
        <v>829</v>
      </c>
      <c r="E1067" s="373">
        <v>45880.083333333336</v>
      </c>
      <c r="F1067" s="372" t="s">
        <v>140</v>
      </c>
      <c r="G1067" s="372">
        <v>1</v>
      </c>
      <c r="H1067" s="372" t="s">
        <v>21</v>
      </c>
      <c r="I1067" s="372" t="s">
        <v>127</v>
      </c>
      <c r="J1067" s="372" t="s">
        <v>871</v>
      </c>
      <c r="K1067" s="238"/>
      <c r="L1067" s="358"/>
      <c r="M1067" s="22"/>
      <c r="N1067" s="23"/>
      <c r="O1067" s="380"/>
      <c r="P1067" s="23"/>
      <c r="Q1067" s="23"/>
      <c r="R1067" s="81" t="s">
        <v>67</v>
      </c>
      <c r="S1067" s="22"/>
      <c r="T1067" s="22">
        <v>1</v>
      </c>
      <c r="U1067" s="24"/>
      <c r="V1067" s="23">
        <v>45901</v>
      </c>
      <c r="W1067" s="82" t="s">
        <v>113</v>
      </c>
      <c r="X1067" s="82"/>
      <c r="Y1067" s="100" t="s">
        <v>113</v>
      </c>
      <c r="Z1067"/>
      <c r="AA1067"/>
    </row>
    <row r="1068" spans="1:32">
      <c r="A1068" s="358" t="s">
        <v>137</v>
      </c>
      <c r="B1068" s="369">
        <v>1065</v>
      </c>
      <c r="C1068" s="360" t="s">
        <v>1675</v>
      </c>
      <c r="D1068" s="360" t="s">
        <v>937</v>
      </c>
      <c r="E1068" s="373">
        <v>45880.375</v>
      </c>
      <c r="F1068" s="372" t="s">
        <v>140</v>
      </c>
      <c r="G1068" s="372">
        <v>3</v>
      </c>
      <c r="H1068" s="372" t="s">
        <v>21</v>
      </c>
      <c r="I1068" s="372" t="s">
        <v>127</v>
      </c>
      <c r="J1068" s="372" t="s">
        <v>871</v>
      </c>
      <c r="K1068" s="21"/>
      <c r="L1068" s="358"/>
      <c r="M1068" s="22"/>
      <c r="N1068" s="23"/>
      <c r="O1068" s="380"/>
      <c r="P1068" s="23"/>
      <c r="Q1068" s="23"/>
      <c r="R1068" s="81" t="s">
        <v>67</v>
      </c>
      <c r="S1068" s="22"/>
      <c r="T1068" s="22">
        <v>3</v>
      </c>
      <c r="U1068" s="24"/>
      <c r="V1068" s="23">
        <v>45901</v>
      </c>
      <c r="W1068" s="82" t="s">
        <v>113</v>
      </c>
      <c r="X1068" s="82"/>
      <c r="Y1068" s="100" t="s">
        <v>113</v>
      </c>
      <c r="Z1068"/>
      <c r="AA1068"/>
    </row>
    <row r="1069" spans="1:32">
      <c r="A1069" s="358" t="s">
        <v>137</v>
      </c>
      <c r="B1069" s="369">
        <v>1066</v>
      </c>
      <c r="C1069" s="360" t="s">
        <v>1676</v>
      </c>
      <c r="D1069" s="360" t="s">
        <v>1184</v>
      </c>
      <c r="E1069" s="373">
        <v>45880.375</v>
      </c>
      <c r="F1069" s="372" t="s">
        <v>140</v>
      </c>
      <c r="G1069" s="372">
        <v>1</v>
      </c>
      <c r="H1069" s="372" t="s">
        <v>1077</v>
      </c>
      <c r="I1069" s="372" t="s">
        <v>1138</v>
      </c>
      <c r="J1069" s="372" t="s">
        <v>871</v>
      </c>
      <c r="K1069" s="21"/>
      <c r="L1069" s="21"/>
      <c r="M1069" s="22"/>
      <c r="N1069" s="23"/>
      <c r="O1069" s="380"/>
      <c r="P1069" s="23"/>
      <c r="Q1069" s="23"/>
      <c r="R1069" s="81" t="s">
        <v>67</v>
      </c>
      <c r="S1069" s="22"/>
      <c r="T1069" s="22">
        <v>1</v>
      </c>
      <c r="U1069" s="24"/>
      <c r="V1069" s="23">
        <v>45901</v>
      </c>
      <c r="W1069" s="82" t="s">
        <v>113</v>
      </c>
      <c r="X1069" s="82"/>
      <c r="Y1069" s="100" t="s">
        <v>113</v>
      </c>
      <c r="Z1069"/>
      <c r="AA1069"/>
    </row>
    <row r="1070" spans="1:32">
      <c r="A1070" s="358" t="s">
        <v>137</v>
      </c>
      <c r="B1070" s="369">
        <v>1067</v>
      </c>
      <c r="C1070" s="360" t="s">
        <v>1677</v>
      </c>
      <c r="D1070" s="360" t="s">
        <v>1257</v>
      </c>
      <c r="E1070" s="373">
        <v>45880</v>
      </c>
      <c r="F1070" s="372" t="s">
        <v>140</v>
      </c>
      <c r="G1070" s="372">
        <v>1</v>
      </c>
      <c r="H1070" s="372" t="s">
        <v>1077</v>
      </c>
      <c r="I1070" s="372" t="s">
        <v>1138</v>
      </c>
      <c r="J1070" s="372" t="s">
        <v>871</v>
      </c>
      <c r="K1070" s="93"/>
      <c r="L1070" s="21"/>
      <c r="M1070" s="22"/>
      <c r="N1070" s="23"/>
      <c r="O1070" s="380"/>
      <c r="P1070" s="23"/>
      <c r="Q1070" s="23"/>
      <c r="R1070" s="81" t="s">
        <v>67</v>
      </c>
      <c r="S1070" s="22"/>
      <c r="T1070" s="22">
        <v>1</v>
      </c>
      <c r="U1070" s="24"/>
      <c r="V1070" s="23">
        <v>45882</v>
      </c>
      <c r="W1070" s="82" t="s">
        <v>113</v>
      </c>
      <c r="X1070" s="82"/>
      <c r="Y1070" s="100" t="s">
        <v>113</v>
      </c>
      <c r="Z1070"/>
      <c r="AA1070"/>
      <c r="AD1070" s="72"/>
      <c r="AE1070" s="96"/>
      <c r="AF1070" s="96"/>
    </row>
    <row r="1071" spans="1:32">
      <c r="A1071" s="358" t="s">
        <v>137</v>
      </c>
      <c r="B1071" s="369">
        <v>1068</v>
      </c>
      <c r="C1071" s="360" t="s">
        <v>1678</v>
      </c>
      <c r="D1071" s="360" t="s">
        <v>1198</v>
      </c>
      <c r="E1071" s="373">
        <v>45887.083333333336</v>
      </c>
      <c r="F1071" s="372" t="s">
        <v>140</v>
      </c>
      <c r="G1071" s="372">
        <v>4</v>
      </c>
      <c r="H1071" s="372" t="s">
        <v>1669</v>
      </c>
      <c r="I1071" s="372" t="s">
        <v>1670</v>
      </c>
      <c r="J1071" s="372" t="s">
        <v>871</v>
      </c>
      <c r="K1071" s="21"/>
      <c r="L1071" s="21"/>
      <c r="M1071" s="22"/>
      <c r="N1071" s="23"/>
      <c r="O1071" s="380"/>
      <c r="P1071" s="23"/>
      <c r="Q1071" s="23"/>
      <c r="R1071" s="81" t="s">
        <v>67</v>
      </c>
      <c r="S1071" s="22"/>
      <c r="T1071" s="22">
        <v>4</v>
      </c>
      <c r="U1071" s="24"/>
      <c r="V1071" s="23">
        <v>45901</v>
      </c>
      <c r="W1071" s="82" t="s">
        <v>113</v>
      </c>
      <c r="X1071" s="82"/>
      <c r="Y1071" s="100" t="s">
        <v>113</v>
      </c>
      <c r="Z1071"/>
      <c r="AA1071" s="412"/>
      <c r="AB1071" s="412"/>
      <c r="AC1071" s="412"/>
    </row>
    <row r="1072" spans="1:32">
      <c r="A1072" s="358" t="s">
        <v>137</v>
      </c>
      <c r="B1072" s="369">
        <v>1069</v>
      </c>
      <c r="C1072" s="360" t="s">
        <v>1679</v>
      </c>
      <c r="D1072" s="360" t="s">
        <v>829</v>
      </c>
      <c r="E1072" s="373">
        <v>45887</v>
      </c>
      <c r="F1072" s="372" t="s">
        <v>140</v>
      </c>
      <c r="G1072" s="372">
        <v>3</v>
      </c>
      <c r="H1072" s="372" t="s">
        <v>21</v>
      </c>
      <c r="I1072" s="372" t="s">
        <v>127</v>
      </c>
      <c r="J1072" s="372" t="s">
        <v>871</v>
      </c>
      <c r="K1072" s="101"/>
      <c r="L1072" s="21"/>
      <c r="M1072" s="22"/>
      <c r="N1072" s="23"/>
      <c r="O1072" s="380"/>
      <c r="P1072" s="101"/>
      <c r="Q1072" s="23"/>
      <c r="R1072" s="81" t="s">
        <v>67</v>
      </c>
      <c r="S1072" s="22"/>
      <c r="T1072" s="22">
        <v>3</v>
      </c>
      <c r="U1072" s="24"/>
      <c r="V1072" s="23">
        <v>45901</v>
      </c>
      <c r="W1072" s="82" t="s">
        <v>113</v>
      </c>
      <c r="X1072" s="82"/>
      <c r="Y1072" s="100" t="s">
        <v>113</v>
      </c>
      <c r="Z1072"/>
      <c r="AA1072"/>
    </row>
    <row r="1073" spans="1:32">
      <c r="A1073" s="358" t="s">
        <v>137</v>
      </c>
      <c r="B1073" s="369">
        <v>1070</v>
      </c>
      <c r="C1073" s="360" t="s">
        <v>1680</v>
      </c>
      <c r="D1073" s="360" t="s">
        <v>1681</v>
      </c>
      <c r="E1073" s="373">
        <v>45887.375</v>
      </c>
      <c r="F1073" s="372" t="s">
        <v>140</v>
      </c>
      <c r="G1073" s="372">
        <v>23</v>
      </c>
      <c r="H1073" s="372" t="s">
        <v>1077</v>
      </c>
      <c r="I1073" s="372" t="s">
        <v>1138</v>
      </c>
      <c r="J1073" s="372" t="s">
        <v>871</v>
      </c>
      <c r="K1073" s="372"/>
      <c r="L1073" s="21"/>
      <c r="M1073" s="22"/>
      <c r="N1073" s="23"/>
      <c r="O1073" s="380" t="s">
        <v>31</v>
      </c>
      <c r="P1073" s="23"/>
      <c r="Q1073" s="23"/>
      <c r="R1073" s="81" t="s">
        <v>67</v>
      </c>
      <c r="S1073" s="22"/>
      <c r="T1073" s="22">
        <v>23</v>
      </c>
      <c r="U1073" s="24"/>
      <c r="V1073" s="23">
        <v>45903</v>
      </c>
      <c r="W1073" s="82" t="s">
        <v>113</v>
      </c>
      <c r="X1073" s="82"/>
      <c r="Y1073" s="100" t="s">
        <v>113</v>
      </c>
      <c r="Z1073">
        <v>0</v>
      </c>
      <c r="AA1073">
        <v>23</v>
      </c>
      <c r="AB1073">
        <v>0</v>
      </c>
      <c r="AC1073">
        <f>SUM(Z1073:AB1073)</f>
        <v>23</v>
      </c>
      <c r="AD1073" s="72">
        <f>+Z1073/AC1073*AD$1</f>
        <v>0</v>
      </c>
      <c r="AE1073" s="96">
        <f>+AA1073/AC1073*AE$1</f>
        <v>0</v>
      </c>
      <c r="AF1073" s="96">
        <f>+AB1073/AC1073*AF$1</f>
        <v>0</v>
      </c>
    </row>
    <row r="1074" spans="1:32">
      <c r="A1074" s="358" t="s">
        <v>137</v>
      </c>
      <c r="B1074" s="369">
        <v>1071</v>
      </c>
      <c r="C1074" s="360" t="s">
        <v>1682</v>
      </c>
      <c r="D1074" s="360" t="s">
        <v>1683</v>
      </c>
      <c r="E1074" s="373">
        <v>45887.375</v>
      </c>
      <c r="F1074" s="372" t="s">
        <v>140</v>
      </c>
      <c r="G1074" s="372">
        <v>1</v>
      </c>
      <c r="H1074" s="372" t="s">
        <v>21</v>
      </c>
      <c r="I1074" s="372" t="s">
        <v>127</v>
      </c>
      <c r="J1074" s="372" t="s">
        <v>871</v>
      </c>
      <c r="K1074" s="372"/>
      <c r="L1074" s="21"/>
      <c r="M1074" s="22"/>
      <c r="N1074" s="23"/>
      <c r="O1074" s="23"/>
      <c r="P1074" s="23"/>
      <c r="Q1074" s="23"/>
      <c r="R1074" s="81" t="s">
        <v>67</v>
      </c>
      <c r="S1074" s="22"/>
      <c r="T1074" s="22">
        <v>1</v>
      </c>
      <c r="U1074" s="24"/>
      <c r="V1074" s="23">
        <v>45901</v>
      </c>
      <c r="W1074" s="82" t="s">
        <v>113</v>
      </c>
      <c r="X1074" s="82"/>
      <c r="Y1074" s="100" t="s">
        <v>113</v>
      </c>
      <c r="Z1074"/>
      <c r="AA1074"/>
    </row>
    <row r="1075" spans="1:32">
      <c r="A1075" s="358" t="s">
        <v>137</v>
      </c>
      <c r="B1075" s="369">
        <v>1072</v>
      </c>
      <c r="C1075" s="360" t="s">
        <v>1684</v>
      </c>
      <c r="D1075" s="360" t="s">
        <v>1250</v>
      </c>
      <c r="E1075" s="373">
        <v>45887.375</v>
      </c>
      <c r="F1075" s="372" t="s">
        <v>140</v>
      </c>
      <c r="G1075" s="372">
        <v>21</v>
      </c>
      <c r="H1075" s="372" t="s">
        <v>1664</v>
      </c>
      <c r="I1075" s="372" t="s">
        <v>1665</v>
      </c>
      <c r="J1075" s="372" t="s">
        <v>871</v>
      </c>
      <c r="K1075" s="21"/>
      <c r="L1075" s="21"/>
      <c r="M1075" s="22"/>
      <c r="N1075" s="23"/>
      <c r="O1075" s="380" t="s">
        <v>31</v>
      </c>
      <c r="P1075" s="23"/>
      <c r="Q1075" s="23"/>
      <c r="R1075" s="81" t="s">
        <v>67</v>
      </c>
      <c r="S1075" s="22"/>
      <c r="T1075" s="22">
        <v>21</v>
      </c>
      <c r="U1075" s="24"/>
      <c r="V1075" s="23">
        <v>45904</v>
      </c>
      <c r="W1075" s="82" t="s">
        <v>113</v>
      </c>
      <c r="X1075" s="82"/>
      <c r="Y1075" s="100" t="s">
        <v>113</v>
      </c>
      <c r="Z1075">
        <v>1</v>
      </c>
      <c r="AA1075">
        <v>19</v>
      </c>
      <c r="AB1075">
        <v>1</v>
      </c>
      <c r="AC1075">
        <f>SUM(Z1075:AB1075)</f>
        <v>21</v>
      </c>
      <c r="AD1075" s="72">
        <f>+Z1075/AC1075*AD$1</f>
        <v>0.14285714285714285</v>
      </c>
      <c r="AE1075" s="96">
        <f>+AA1075/AC1075*AE$1</f>
        <v>0</v>
      </c>
      <c r="AF1075" s="96">
        <f>+AB1075/AC1075*AF$1</f>
        <v>0</v>
      </c>
    </row>
    <row r="1076" spans="1:32">
      <c r="A1076" s="358" t="s">
        <v>137</v>
      </c>
      <c r="B1076" s="369">
        <v>1073</v>
      </c>
      <c r="C1076" s="360" t="s">
        <v>1685</v>
      </c>
      <c r="D1076" s="360" t="s">
        <v>1029</v>
      </c>
      <c r="E1076" s="373">
        <v>45887.375</v>
      </c>
      <c r="F1076" s="372" t="s">
        <v>140</v>
      </c>
      <c r="G1076" s="372">
        <v>1</v>
      </c>
      <c r="H1076" s="372" t="s">
        <v>1077</v>
      </c>
      <c r="I1076" s="372" t="s">
        <v>1138</v>
      </c>
      <c r="J1076" s="372" t="s">
        <v>871</v>
      </c>
      <c r="K1076" s="21"/>
      <c r="L1076" s="21"/>
      <c r="M1076" s="22"/>
      <c r="N1076" s="23"/>
      <c r="O1076" s="380"/>
      <c r="P1076" s="23"/>
      <c r="Q1076" s="23"/>
      <c r="R1076" s="81" t="s">
        <v>67</v>
      </c>
      <c r="S1076" s="22"/>
      <c r="T1076" s="22">
        <v>1</v>
      </c>
      <c r="U1076" s="24"/>
      <c r="V1076" s="23">
        <v>45901</v>
      </c>
      <c r="W1076" s="82" t="s">
        <v>113</v>
      </c>
      <c r="X1076" s="82"/>
      <c r="Y1076" s="100" t="s">
        <v>113</v>
      </c>
      <c r="Z1076"/>
      <c r="AA1076"/>
      <c r="AC1076" s="88"/>
      <c r="AD1076" s="72"/>
      <c r="AE1076" s="72"/>
      <c r="AF1076" s="72"/>
    </row>
    <row r="1077" spans="1:32">
      <c r="A1077" s="358" t="s">
        <v>137</v>
      </c>
      <c r="B1077" s="369">
        <v>1074</v>
      </c>
      <c r="C1077" s="360" t="s">
        <v>1686</v>
      </c>
      <c r="D1077" s="360" t="s">
        <v>1184</v>
      </c>
      <c r="E1077" s="373">
        <v>45887.041666666664</v>
      </c>
      <c r="F1077" s="372" t="s">
        <v>140</v>
      </c>
      <c r="G1077" s="372">
        <v>1</v>
      </c>
      <c r="H1077" s="372" t="s">
        <v>21</v>
      </c>
      <c r="I1077" s="372" t="s">
        <v>127</v>
      </c>
      <c r="J1077" s="372" t="s">
        <v>871</v>
      </c>
      <c r="K1077" s="21"/>
      <c r="L1077" s="21"/>
      <c r="M1077" s="22"/>
      <c r="N1077" s="23"/>
      <c r="O1077" s="380"/>
      <c r="P1077" s="23"/>
      <c r="Q1077" s="23"/>
      <c r="R1077" s="81" t="s">
        <v>67</v>
      </c>
      <c r="S1077" s="22"/>
      <c r="T1077" s="22">
        <v>1</v>
      </c>
      <c r="U1077" s="24"/>
      <c r="V1077" s="23">
        <v>45901</v>
      </c>
      <c r="W1077" s="82" t="s">
        <v>113</v>
      </c>
      <c r="X1077" s="82"/>
      <c r="Y1077" s="100" t="s">
        <v>113</v>
      </c>
      <c r="Z1077"/>
      <c r="AA1077"/>
    </row>
    <row r="1078" spans="1:32">
      <c r="A1078" s="358" t="s">
        <v>137</v>
      </c>
      <c r="B1078" s="369">
        <v>1075</v>
      </c>
      <c r="C1078" s="360" t="s">
        <v>1687</v>
      </c>
      <c r="D1078" s="360" t="s">
        <v>352</v>
      </c>
      <c r="E1078" s="373">
        <v>45887.375</v>
      </c>
      <c r="F1078" s="372" t="s">
        <v>140</v>
      </c>
      <c r="G1078" s="372">
        <v>13</v>
      </c>
      <c r="H1078" s="372" t="s">
        <v>1077</v>
      </c>
      <c r="I1078" s="372" t="s">
        <v>1138</v>
      </c>
      <c r="J1078" s="372" t="s">
        <v>871</v>
      </c>
      <c r="K1078" s="21"/>
      <c r="L1078" s="21"/>
      <c r="M1078" s="22"/>
      <c r="N1078" s="23"/>
      <c r="O1078" s="23"/>
      <c r="P1078" s="23"/>
      <c r="Q1078" s="23"/>
      <c r="R1078" s="81" t="s">
        <v>67</v>
      </c>
      <c r="S1078" s="22"/>
      <c r="T1078" s="22">
        <v>13</v>
      </c>
      <c r="U1078" s="24"/>
      <c r="V1078" s="23">
        <v>45904</v>
      </c>
      <c r="W1078" s="82" t="s">
        <v>113</v>
      </c>
      <c r="X1078" s="82"/>
      <c r="Y1078" s="100" t="s">
        <v>113</v>
      </c>
      <c r="Z1078"/>
      <c r="AA1078"/>
    </row>
    <row r="1079" spans="1:32">
      <c r="A1079" s="358" t="s">
        <v>137</v>
      </c>
      <c r="B1079" s="369">
        <v>1076</v>
      </c>
      <c r="C1079" s="360" t="s">
        <v>1688</v>
      </c>
      <c r="D1079" s="360" t="s">
        <v>1689</v>
      </c>
      <c r="E1079" s="373">
        <v>45887.083333333336</v>
      </c>
      <c r="F1079" s="372" t="s">
        <v>140</v>
      </c>
      <c r="G1079" s="372">
        <v>1</v>
      </c>
      <c r="H1079" s="372" t="s">
        <v>1077</v>
      </c>
      <c r="I1079" s="372" t="s">
        <v>1138</v>
      </c>
      <c r="J1079" s="372" t="s">
        <v>871</v>
      </c>
      <c r="K1079" s="21"/>
      <c r="L1079" s="21"/>
      <c r="M1079" s="22"/>
      <c r="N1079" s="23"/>
      <c r="O1079" s="380"/>
      <c r="P1079" s="23"/>
      <c r="Q1079" s="23"/>
      <c r="R1079" s="81" t="s">
        <v>67</v>
      </c>
      <c r="S1079" s="22"/>
      <c r="T1079" s="22">
        <v>1</v>
      </c>
      <c r="U1079" s="24"/>
      <c r="V1079" s="23">
        <v>45901</v>
      </c>
      <c r="W1079" s="82" t="s">
        <v>113</v>
      </c>
      <c r="X1079" s="82"/>
      <c r="Y1079" s="100" t="s">
        <v>113</v>
      </c>
      <c r="Z1079"/>
      <c r="AA1079"/>
      <c r="AC1079" s="88"/>
      <c r="AD1079" s="72"/>
      <c r="AE1079" s="72"/>
      <c r="AF1079" s="72"/>
    </row>
    <row r="1080" spans="1:32">
      <c r="A1080" s="358" t="s">
        <v>137</v>
      </c>
      <c r="B1080" s="369">
        <v>1077</v>
      </c>
      <c r="C1080" s="360" t="s">
        <v>1690</v>
      </c>
      <c r="D1080" s="360" t="s">
        <v>1184</v>
      </c>
      <c r="E1080" s="373">
        <v>45894</v>
      </c>
      <c r="F1080" s="372" t="s">
        <v>140</v>
      </c>
      <c r="G1080" s="372">
        <v>1</v>
      </c>
      <c r="H1080" s="372" t="s">
        <v>1513</v>
      </c>
      <c r="I1080" s="372" t="s">
        <v>1546</v>
      </c>
      <c r="J1080" s="372" t="s">
        <v>871</v>
      </c>
      <c r="K1080" s="104"/>
      <c r="L1080" s="21"/>
      <c r="M1080" s="22"/>
      <c r="N1080" s="23"/>
      <c r="O1080" s="380"/>
      <c r="P1080" s="104"/>
      <c r="Q1080" s="23"/>
      <c r="R1080" s="81" t="s">
        <v>67</v>
      </c>
      <c r="S1080" s="22"/>
      <c r="T1080" s="22">
        <v>1</v>
      </c>
      <c r="U1080" s="24"/>
      <c r="V1080" s="23"/>
      <c r="W1080" s="82" t="s">
        <v>113</v>
      </c>
      <c r="X1080" s="82"/>
      <c r="Y1080" s="100" t="s">
        <v>113</v>
      </c>
      <c r="Z1080"/>
      <c r="AA1080"/>
      <c r="AD1080" s="72"/>
      <c r="AE1080" s="96"/>
      <c r="AF1080" s="96"/>
    </row>
    <row r="1081" spans="1:32">
      <c r="A1081" s="358" t="s">
        <v>137</v>
      </c>
      <c r="B1081" s="369">
        <v>1078</v>
      </c>
      <c r="C1081" s="360" t="s">
        <v>1691</v>
      </c>
      <c r="D1081" s="360" t="s">
        <v>1212</v>
      </c>
      <c r="E1081" s="373">
        <v>45894.083333333336</v>
      </c>
      <c r="F1081" s="372" t="s">
        <v>140</v>
      </c>
      <c r="G1081" s="372">
        <v>6</v>
      </c>
      <c r="H1081" s="372" t="s">
        <v>1513</v>
      </c>
      <c r="I1081" s="372" t="s">
        <v>1546</v>
      </c>
      <c r="J1081" s="372" t="s">
        <v>871</v>
      </c>
      <c r="K1081" s="104"/>
      <c r="L1081" s="21"/>
      <c r="M1081" s="22"/>
      <c r="N1081" s="23"/>
      <c r="O1081" s="23"/>
      <c r="P1081" s="104"/>
      <c r="Q1081" s="23"/>
      <c r="R1081" s="81" t="s">
        <v>67</v>
      </c>
      <c r="S1081" s="22"/>
      <c r="T1081" s="22">
        <v>6</v>
      </c>
      <c r="U1081" s="24"/>
      <c r="V1081" s="23">
        <v>45902</v>
      </c>
      <c r="W1081" s="82" t="s">
        <v>113</v>
      </c>
      <c r="X1081" s="82"/>
      <c r="Y1081" s="100" t="s">
        <v>113</v>
      </c>
      <c r="Z1081"/>
      <c r="AA1081"/>
    </row>
    <row r="1082" spans="1:32">
      <c r="A1082" s="358" t="s">
        <v>137</v>
      </c>
      <c r="B1082" s="369">
        <v>1079</v>
      </c>
      <c r="C1082" s="360" t="s">
        <v>1692</v>
      </c>
      <c r="D1082" s="360" t="s">
        <v>829</v>
      </c>
      <c r="E1082" s="373">
        <v>45894.375</v>
      </c>
      <c r="F1082" s="372" t="s">
        <v>140</v>
      </c>
      <c r="G1082" s="372">
        <v>3</v>
      </c>
      <c r="H1082" s="372" t="s">
        <v>1513</v>
      </c>
      <c r="I1082" s="372" t="s">
        <v>1546</v>
      </c>
      <c r="J1082" s="372" t="s">
        <v>871</v>
      </c>
      <c r="K1082" s="21"/>
      <c r="L1082" s="21"/>
      <c r="M1082" s="22"/>
      <c r="N1082" s="23"/>
      <c r="O1082" s="23"/>
      <c r="P1082" s="23"/>
      <c r="Q1082" s="23"/>
      <c r="R1082" s="81" t="s">
        <v>67</v>
      </c>
      <c r="S1082" s="22"/>
      <c r="T1082" s="22">
        <v>2</v>
      </c>
      <c r="U1082" s="24"/>
      <c r="V1082" s="23">
        <v>45903</v>
      </c>
      <c r="W1082" s="82" t="s">
        <v>113</v>
      </c>
      <c r="X1082" s="82"/>
      <c r="Y1082" s="100" t="s">
        <v>113</v>
      </c>
      <c r="Z1082"/>
      <c r="AA1082"/>
    </row>
    <row r="1083" spans="1:32">
      <c r="A1083" s="358" t="s">
        <v>137</v>
      </c>
      <c r="B1083" s="369">
        <v>1080</v>
      </c>
      <c r="C1083" s="360" t="s">
        <v>1693</v>
      </c>
      <c r="D1083" s="360" t="s">
        <v>1047</v>
      </c>
      <c r="E1083" s="373">
        <v>45894.375</v>
      </c>
      <c r="F1083" s="372" t="s">
        <v>140</v>
      </c>
      <c r="G1083" s="372">
        <v>1</v>
      </c>
      <c r="H1083" s="372" t="s">
        <v>21</v>
      </c>
      <c r="I1083" s="372" t="s">
        <v>127</v>
      </c>
      <c r="J1083" s="372" t="s">
        <v>871</v>
      </c>
      <c r="K1083" s="21"/>
      <c r="L1083" s="21"/>
      <c r="M1083" s="22"/>
      <c r="N1083" s="23"/>
      <c r="O1083" s="380"/>
      <c r="P1083" s="23"/>
      <c r="Q1083" s="23"/>
      <c r="R1083" s="81" t="s">
        <v>67</v>
      </c>
      <c r="S1083" s="22"/>
      <c r="T1083" s="22">
        <v>1</v>
      </c>
      <c r="U1083" s="24"/>
      <c r="V1083" s="23">
        <v>45901</v>
      </c>
      <c r="W1083" s="82" t="s">
        <v>113</v>
      </c>
      <c r="X1083" s="82"/>
      <c r="Y1083" s="100" t="s">
        <v>113</v>
      </c>
      <c r="Z1083"/>
      <c r="AA1083"/>
      <c r="AC1083" s="88"/>
      <c r="AD1083" s="72"/>
      <c r="AE1083" s="72"/>
      <c r="AF1083" s="72"/>
    </row>
    <row r="1084" spans="1:32">
      <c r="A1084" s="358" t="s">
        <v>137</v>
      </c>
      <c r="B1084" s="369">
        <v>1081</v>
      </c>
      <c r="C1084" s="360" t="s">
        <v>1694</v>
      </c>
      <c r="D1084" s="360" t="s">
        <v>1198</v>
      </c>
      <c r="E1084" s="373">
        <v>45894.375</v>
      </c>
      <c r="F1084" s="372" t="s">
        <v>140</v>
      </c>
      <c r="G1084" s="372">
        <v>3</v>
      </c>
      <c r="H1084" s="372" t="s">
        <v>1513</v>
      </c>
      <c r="I1084" s="372" t="s">
        <v>1546</v>
      </c>
      <c r="J1084" s="372" t="s">
        <v>871</v>
      </c>
      <c r="K1084" s="21"/>
      <c r="L1084" s="21"/>
      <c r="M1084" s="22"/>
      <c r="N1084" s="23"/>
      <c r="O1084" s="380"/>
      <c r="P1084" s="23"/>
      <c r="Q1084" s="23"/>
      <c r="R1084" s="81" t="s">
        <v>67</v>
      </c>
      <c r="S1084" s="22"/>
      <c r="T1084" s="22">
        <v>3</v>
      </c>
      <c r="U1084" s="24"/>
      <c r="V1084" s="23">
        <v>45901</v>
      </c>
      <c r="W1084" s="82" t="s">
        <v>113</v>
      </c>
      <c r="X1084" s="82"/>
      <c r="Y1084" s="100" t="s">
        <v>113</v>
      </c>
      <c r="Z1084"/>
      <c r="AA1084" s="412"/>
      <c r="AB1084" s="412"/>
      <c r="AC1084" s="412"/>
    </row>
    <row r="1085" spans="1:32">
      <c r="A1085" s="358" t="s">
        <v>137</v>
      </c>
      <c r="B1085" s="369">
        <v>1082</v>
      </c>
      <c r="C1085" s="360" t="s">
        <v>1695</v>
      </c>
      <c r="D1085" s="360" t="s">
        <v>937</v>
      </c>
      <c r="E1085" s="373">
        <v>45894.083333333336</v>
      </c>
      <c r="F1085" s="372" t="s">
        <v>140</v>
      </c>
      <c r="G1085" s="372">
        <v>14</v>
      </c>
      <c r="H1085" s="372" t="s">
        <v>1513</v>
      </c>
      <c r="I1085" s="372" t="s">
        <v>1546</v>
      </c>
      <c r="J1085" s="372" t="s">
        <v>871</v>
      </c>
      <c r="K1085" s="21"/>
      <c r="L1085" s="21"/>
      <c r="M1085" s="22"/>
      <c r="N1085" s="23"/>
      <c r="O1085" s="380" t="s">
        <v>31</v>
      </c>
      <c r="P1085" s="23"/>
      <c r="Q1085" s="23"/>
      <c r="R1085" s="81" t="s">
        <v>67</v>
      </c>
      <c r="S1085" s="22"/>
      <c r="T1085" s="22">
        <v>14</v>
      </c>
      <c r="U1085" s="24"/>
      <c r="V1085" s="23">
        <v>45903</v>
      </c>
      <c r="W1085" s="82" t="s">
        <v>113</v>
      </c>
      <c r="X1085" s="82"/>
      <c r="Y1085" s="100" t="s">
        <v>113</v>
      </c>
      <c r="Z1085">
        <v>1</v>
      </c>
      <c r="AA1085">
        <v>13</v>
      </c>
      <c r="AB1085">
        <v>0</v>
      </c>
      <c r="AC1085">
        <f>SUM(Z1085:AB1085)</f>
        <v>14</v>
      </c>
      <c r="AD1085" s="72">
        <f>+Z1085/AC1085*AD$1</f>
        <v>0.21428571428571427</v>
      </c>
      <c r="AE1085" s="96">
        <f>+AA1085/AC1085*AE$1</f>
        <v>0</v>
      </c>
      <c r="AF1085" s="96">
        <f>+AB1085/AC1085*AF$1</f>
        <v>0</v>
      </c>
    </row>
    <row r="1086" spans="1:32">
      <c r="A1086" s="358" t="s">
        <v>137</v>
      </c>
      <c r="B1086" s="369">
        <v>1083</v>
      </c>
      <c r="C1086" s="360" t="s">
        <v>1696</v>
      </c>
      <c r="D1086" s="360" t="s">
        <v>1230</v>
      </c>
      <c r="E1086" s="373">
        <v>45894.375</v>
      </c>
      <c r="F1086" s="372" t="s">
        <v>140</v>
      </c>
      <c r="G1086" s="372">
        <v>1</v>
      </c>
      <c r="H1086" s="372" t="s">
        <v>21</v>
      </c>
      <c r="I1086" s="372" t="s">
        <v>127</v>
      </c>
      <c r="J1086" s="372" t="s">
        <v>871</v>
      </c>
      <c r="K1086" s="21"/>
      <c r="L1086" s="21"/>
      <c r="M1086" s="22"/>
      <c r="N1086" s="23"/>
      <c r="O1086" s="23"/>
      <c r="P1086" s="23"/>
      <c r="Q1086" s="23"/>
      <c r="R1086" s="81" t="s">
        <v>67</v>
      </c>
      <c r="S1086" s="22"/>
      <c r="T1086" s="22">
        <v>1</v>
      </c>
      <c r="U1086" s="24"/>
      <c r="V1086" s="23">
        <v>45902</v>
      </c>
      <c r="W1086" s="82" t="s">
        <v>113</v>
      </c>
      <c r="X1086" s="82"/>
      <c r="Y1086" s="100" t="s">
        <v>113</v>
      </c>
      <c r="Z1086"/>
      <c r="AA1086" s="412"/>
      <c r="AB1086" s="412"/>
      <c r="AC1086" s="412"/>
    </row>
    <row r="1087" spans="1:32">
      <c r="A1087" s="358" t="s">
        <v>137</v>
      </c>
      <c r="B1087" s="369">
        <v>1084</v>
      </c>
      <c r="C1087" s="360" t="s">
        <v>1697</v>
      </c>
      <c r="D1087" s="360" t="s">
        <v>818</v>
      </c>
      <c r="E1087" s="373">
        <v>45894.041666666664</v>
      </c>
      <c r="F1087" s="372" t="s">
        <v>140</v>
      </c>
      <c r="G1087" s="372">
        <v>3</v>
      </c>
      <c r="H1087" s="372" t="s">
        <v>21</v>
      </c>
      <c r="I1087" s="372" t="s">
        <v>127</v>
      </c>
      <c r="J1087" s="372" t="s">
        <v>871</v>
      </c>
      <c r="K1087" s="104"/>
      <c r="L1087" s="21"/>
      <c r="M1087" s="22"/>
      <c r="N1087" s="23"/>
      <c r="O1087" s="23"/>
      <c r="P1087" s="104"/>
      <c r="Q1087" s="23"/>
      <c r="R1087" s="81" t="s">
        <v>67</v>
      </c>
      <c r="S1087" s="22"/>
      <c r="T1087" s="22">
        <v>1</v>
      </c>
      <c r="U1087" s="24"/>
      <c r="V1087" s="23"/>
      <c r="W1087" s="82" t="s">
        <v>113</v>
      </c>
      <c r="X1087" s="82"/>
      <c r="Y1087" s="100" t="s">
        <v>113</v>
      </c>
      <c r="Z1087"/>
      <c r="AA1087" s="412"/>
      <c r="AB1087" s="412"/>
      <c r="AC1087" s="412"/>
    </row>
    <row r="1088" spans="1:32">
      <c r="A1088" s="358" t="s">
        <v>137</v>
      </c>
      <c r="B1088" s="369">
        <v>1085</v>
      </c>
      <c r="C1088" s="360" t="s">
        <v>1698</v>
      </c>
      <c r="D1088" s="360" t="s">
        <v>1699</v>
      </c>
      <c r="E1088" s="373">
        <v>45894.375</v>
      </c>
      <c r="F1088" s="372" t="s">
        <v>140</v>
      </c>
      <c r="G1088" s="372">
        <v>1</v>
      </c>
      <c r="H1088" s="372" t="s">
        <v>21</v>
      </c>
      <c r="I1088" s="372" t="s">
        <v>127</v>
      </c>
      <c r="J1088" s="372" t="s">
        <v>871</v>
      </c>
      <c r="K1088" s="104"/>
      <c r="L1088" s="21"/>
      <c r="M1088" s="22"/>
      <c r="N1088" s="23"/>
      <c r="O1088" s="23"/>
      <c r="P1088" s="104"/>
      <c r="Q1088" s="23"/>
      <c r="R1088" s="81" t="s">
        <v>67</v>
      </c>
      <c r="S1088" s="22"/>
      <c r="T1088" s="22">
        <v>1</v>
      </c>
      <c r="U1088" s="24"/>
      <c r="V1088" s="23">
        <v>45911</v>
      </c>
      <c r="W1088" s="82" t="s">
        <v>113</v>
      </c>
      <c r="X1088" s="82"/>
      <c r="Y1088" s="100" t="s">
        <v>113</v>
      </c>
      <c r="Z1088"/>
      <c r="AA1088"/>
    </row>
    <row r="1089" spans="1:32">
      <c r="A1089" s="358" t="s">
        <v>137</v>
      </c>
      <c r="B1089" s="369">
        <v>1086</v>
      </c>
      <c r="C1089" s="360" t="s">
        <v>1700</v>
      </c>
      <c r="D1089" s="360" t="s">
        <v>1701</v>
      </c>
      <c r="E1089" s="373">
        <v>45894.375</v>
      </c>
      <c r="F1089" s="372" t="s">
        <v>140</v>
      </c>
      <c r="G1089" s="372">
        <v>2</v>
      </c>
      <c r="H1089" s="372" t="s">
        <v>21</v>
      </c>
      <c r="I1089" s="372" t="s">
        <v>127</v>
      </c>
      <c r="J1089" s="372" t="s">
        <v>871</v>
      </c>
      <c r="K1089" s="104"/>
      <c r="L1089" s="21"/>
      <c r="M1089" s="22"/>
      <c r="N1089" s="23"/>
      <c r="O1089" s="380"/>
      <c r="P1089" s="104"/>
      <c r="Q1089" s="23"/>
      <c r="R1089" s="81" t="s">
        <v>67</v>
      </c>
      <c r="S1089" s="22"/>
      <c r="T1089" s="22">
        <v>2</v>
      </c>
      <c r="U1089" s="24"/>
      <c r="V1089" s="23"/>
      <c r="W1089" s="82" t="s">
        <v>113</v>
      </c>
      <c r="X1089" s="82"/>
      <c r="Y1089" s="100" t="s">
        <v>113</v>
      </c>
      <c r="Z1089"/>
      <c r="AA1089"/>
    </row>
    <row r="1090" spans="1:32">
      <c r="A1090" s="358" t="s">
        <v>137</v>
      </c>
      <c r="B1090" s="369">
        <v>1087</v>
      </c>
      <c r="C1090" s="360" t="s">
        <v>1702</v>
      </c>
      <c r="D1090" s="360" t="s">
        <v>1689</v>
      </c>
      <c r="E1090" s="373">
        <v>45894.083333333336</v>
      </c>
      <c r="F1090" s="372" t="s">
        <v>140</v>
      </c>
      <c r="G1090" s="372">
        <v>1</v>
      </c>
      <c r="H1090" s="372" t="s">
        <v>1077</v>
      </c>
      <c r="I1090" s="372" t="s">
        <v>1138</v>
      </c>
      <c r="J1090" s="372" t="s">
        <v>871</v>
      </c>
      <c r="K1090" s="21"/>
      <c r="L1090" s="21"/>
      <c r="M1090" s="22"/>
      <c r="N1090" s="23"/>
      <c r="O1090" s="380"/>
      <c r="P1090" s="23"/>
      <c r="Q1090" s="23"/>
      <c r="R1090" s="81" t="s">
        <v>67</v>
      </c>
      <c r="S1090" s="22"/>
      <c r="T1090" s="22">
        <v>1</v>
      </c>
      <c r="U1090" s="24"/>
      <c r="V1090" s="23">
        <v>45902</v>
      </c>
      <c r="W1090" s="82" t="s">
        <v>113</v>
      </c>
      <c r="X1090" s="82"/>
      <c r="Y1090" s="100" t="s">
        <v>113</v>
      </c>
      <c r="Z1090"/>
      <c r="AA1090"/>
    </row>
    <row r="1091" spans="1:32">
      <c r="A1091" s="358" t="s">
        <v>137</v>
      </c>
      <c r="B1091" s="369">
        <v>1088</v>
      </c>
      <c r="C1091" s="360" t="s">
        <v>1703</v>
      </c>
      <c r="D1091" s="360" t="s">
        <v>1704</v>
      </c>
      <c r="E1091" s="373">
        <v>45894.375</v>
      </c>
      <c r="F1091" s="372" t="s">
        <v>140</v>
      </c>
      <c r="G1091" s="372">
        <v>1</v>
      </c>
      <c r="H1091" s="372" t="s">
        <v>21</v>
      </c>
      <c r="I1091" s="372" t="s">
        <v>127</v>
      </c>
      <c r="J1091" s="372" t="s">
        <v>871</v>
      </c>
      <c r="K1091" s="21"/>
      <c r="L1091" s="21"/>
      <c r="M1091" s="22"/>
      <c r="N1091" s="23"/>
      <c r="O1091" s="23"/>
      <c r="P1091" s="101"/>
      <c r="Q1091" s="23"/>
      <c r="R1091" s="81" t="s">
        <v>67</v>
      </c>
      <c r="S1091" s="22"/>
      <c r="T1091" s="22">
        <v>1</v>
      </c>
      <c r="U1091" s="24"/>
      <c r="V1091" s="23"/>
      <c r="W1091" s="82" t="s">
        <v>113</v>
      </c>
      <c r="X1091" s="82"/>
      <c r="Y1091" s="100" t="s">
        <v>113</v>
      </c>
      <c r="Z1091"/>
      <c r="AA1091"/>
    </row>
    <row r="1092" spans="1:32">
      <c r="A1092" s="358" t="s">
        <v>137</v>
      </c>
      <c r="B1092" s="369">
        <v>1089</v>
      </c>
      <c r="C1092" s="360" t="s">
        <v>1705</v>
      </c>
      <c r="D1092" s="360" t="s">
        <v>147</v>
      </c>
      <c r="E1092" s="373">
        <v>45873.375</v>
      </c>
      <c r="F1092" s="372" t="s">
        <v>140</v>
      </c>
      <c r="G1092" s="372">
        <v>15</v>
      </c>
      <c r="H1092" s="372" t="s">
        <v>48</v>
      </c>
      <c r="I1092" s="372" t="s">
        <v>47</v>
      </c>
      <c r="J1092" s="372" t="s">
        <v>871</v>
      </c>
      <c r="K1092" s="101"/>
      <c r="L1092" s="21"/>
      <c r="M1092" s="22"/>
      <c r="N1092" s="23"/>
      <c r="O1092" s="380" t="s">
        <v>31</v>
      </c>
      <c r="P1092" s="101"/>
      <c r="Q1092" s="23"/>
      <c r="R1092" s="81" t="s">
        <v>67</v>
      </c>
      <c r="S1092" s="22"/>
      <c r="T1092" s="22">
        <v>15</v>
      </c>
      <c r="U1092" s="24"/>
      <c r="V1092" s="23">
        <v>45880</v>
      </c>
      <c r="W1092" s="82" t="s">
        <v>113</v>
      </c>
      <c r="X1092" s="82"/>
      <c r="Y1092" s="100" t="s">
        <v>113</v>
      </c>
      <c r="Z1092" s="91">
        <v>0</v>
      </c>
      <c r="AA1092" s="91">
        <v>0</v>
      </c>
      <c r="AB1092">
        <v>15</v>
      </c>
      <c r="AC1092">
        <f>SUM(Z1092:AB1092)</f>
        <v>15</v>
      </c>
      <c r="AD1092" s="72">
        <f>+Z1092/AC1092*AD$1</f>
        <v>0</v>
      </c>
      <c r="AE1092" s="96">
        <f>+AA1092/AC1092*AE$1</f>
        <v>0</v>
      </c>
      <c r="AF1092" s="96">
        <f>+AB1092/AC1092*AF$1</f>
        <v>0</v>
      </c>
    </row>
    <row r="1093" spans="1:32">
      <c r="A1093" s="358" t="s">
        <v>137</v>
      </c>
      <c r="B1093" s="369">
        <v>1090</v>
      </c>
      <c r="C1093" s="360" t="s">
        <v>1706</v>
      </c>
      <c r="D1093" s="360" t="s">
        <v>1184</v>
      </c>
      <c r="E1093" s="373">
        <v>45873</v>
      </c>
      <c r="F1093" s="372" t="s">
        <v>140</v>
      </c>
      <c r="G1093" s="372">
        <v>8</v>
      </c>
      <c r="H1093" s="372" t="s">
        <v>48</v>
      </c>
      <c r="I1093" s="372" t="s">
        <v>47</v>
      </c>
      <c r="J1093" s="372" t="s">
        <v>871</v>
      </c>
      <c r="K1093" s="101"/>
      <c r="L1093" s="21"/>
      <c r="M1093" s="22"/>
      <c r="N1093" s="23"/>
      <c r="O1093" s="23"/>
      <c r="P1093" s="101"/>
      <c r="Q1093" s="23"/>
      <c r="R1093" s="81" t="s">
        <v>67</v>
      </c>
      <c r="S1093" s="22"/>
      <c r="T1093" s="7">
        <v>8</v>
      </c>
      <c r="U1093" s="24"/>
      <c r="V1093" s="23">
        <v>45880</v>
      </c>
      <c r="W1093" s="82" t="s">
        <v>113</v>
      </c>
      <c r="X1093" s="82"/>
      <c r="Y1093" s="100" t="s">
        <v>113</v>
      </c>
      <c r="Z1093"/>
      <c r="AA1093"/>
      <c r="AD1093" s="72"/>
      <c r="AE1093" s="96"/>
      <c r="AF1093" s="96"/>
    </row>
    <row r="1094" spans="1:32">
      <c r="A1094" s="358" t="s">
        <v>137</v>
      </c>
      <c r="B1094" s="369">
        <v>1091</v>
      </c>
      <c r="C1094" s="360" t="s">
        <v>1707</v>
      </c>
      <c r="D1094" s="360" t="s">
        <v>149</v>
      </c>
      <c r="E1094" s="373">
        <v>45880.375</v>
      </c>
      <c r="F1094" s="372" t="s">
        <v>140</v>
      </c>
      <c r="G1094" s="372">
        <v>15</v>
      </c>
      <c r="H1094" s="372" t="s">
        <v>48</v>
      </c>
      <c r="I1094" s="372" t="s">
        <v>47</v>
      </c>
      <c r="J1094" s="372" t="s">
        <v>871</v>
      </c>
      <c r="K1094" s="21"/>
      <c r="L1094" s="21"/>
      <c r="M1094" s="22"/>
      <c r="N1094" s="23"/>
      <c r="O1094" s="380" t="s">
        <v>31</v>
      </c>
      <c r="P1094" s="23"/>
      <c r="Q1094" s="23"/>
      <c r="R1094" s="81" t="s">
        <v>67</v>
      </c>
      <c r="S1094" s="22"/>
      <c r="T1094" s="22">
        <v>15</v>
      </c>
      <c r="U1094" s="24"/>
      <c r="V1094" s="23">
        <v>45880</v>
      </c>
      <c r="W1094" s="82" t="s">
        <v>113</v>
      </c>
      <c r="X1094" s="82"/>
      <c r="Y1094" s="100" t="s">
        <v>113</v>
      </c>
      <c r="Z1094" s="91">
        <v>0</v>
      </c>
      <c r="AA1094" s="91">
        <v>0</v>
      </c>
      <c r="AB1094">
        <v>15</v>
      </c>
      <c r="AC1094">
        <f>SUM(Z1094:AB1094)</f>
        <v>15</v>
      </c>
      <c r="AD1094" s="72">
        <f>+Z1094/AC1094*AD$1</f>
        <v>0</v>
      </c>
      <c r="AE1094" s="96">
        <f>+AA1094/AC1094*AE$1</f>
        <v>0</v>
      </c>
      <c r="AF1094" s="96">
        <f>+AB1094/AC1094*AF$1</f>
        <v>0</v>
      </c>
    </row>
    <row r="1095" spans="1:32">
      <c r="A1095" s="358" t="s">
        <v>137</v>
      </c>
      <c r="B1095" s="369">
        <v>1092</v>
      </c>
      <c r="C1095" s="360" t="s">
        <v>1708</v>
      </c>
      <c r="D1095" s="360" t="s">
        <v>779</v>
      </c>
      <c r="E1095" s="373">
        <v>45880</v>
      </c>
      <c r="F1095" s="372" t="s">
        <v>140</v>
      </c>
      <c r="G1095" s="372">
        <v>2</v>
      </c>
      <c r="H1095" s="372" t="s">
        <v>48</v>
      </c>
      <c r="I1095" s="372" t="s">
        <v>47</v>
      </c>
      <c r="J1095" s="372" t="s">
        <v>871</v>
      </c>
      <c r="K1095" s="21"/>
      <c r="L1095" s="21"/>
      <c r="M1095" s="22"/>
      <c r="N1095" s="23"/>
      <c r="O1095" s="380"/>
      <c r="P1095" s="23"/>
      <c r="Q1095" s="23"/>
      <c r="R1095" s="81" t="s">
        <v>67</v>
      </c>
      <c r="S1095" s="22"/>
      <c r="T1095" s="22">
        <v>2</v>
      </c>
      <c r="U1095" s="24"/>
      <c r="V1095" s="23">
        <v>45901</v>
      </c>
      <c r="W1095" s="82" t="s">
        <v>113</v>
      </c>
      <c r="X1095" s="82"/>
      <c r="Y1095" s="100" t="s">
        <v>113</v>
      </c>
      <c r="Z1095"/>
      <c r="AA1095"/>
      <c r="AD1095" s="72"/>
      <c r="AE1095" s="96"/>
      <c r="AF1095" s="96"/>
    </row>
    <row r="1096" spans="1:32">
      <c r="A1096" s="358" t="s">
        <v>137</v>
      </c>
      <c r="B1096" s="369">
        <v>1093</v>
      </c>
      <c r="C1096" s="360" t="s">
        <v>1709</v>
      </c>
      <c r="D1096" s="360" t="s">
        <v>1184</v>
      </c>
      <c r="E1096" s="373">
        <v>45880.041666666664</v>
      </c>
      <c r="F1096" s="372" t="s">
        <v>140</v>
      </c>
      <c r="G1096" s="372">
        <v>2</v>
      </c>
      <c r="H1096" s="372" t="s">
        <v>48</v>
      </c>
      <c r="I1096" s="372" t="s">
        <v>47</v>
      </c>
      <c r="J1096" s="372" t="s">
        <v>871</v>
      </c>
      <c r="K1096" s="21"/>
      <c r="L1096" s="21"/>
      <c r="M1096" s="22"/>
      <c r="N1096" s="23"/>
      <c r="O1096" s="23"/>
      <c r="P1096" s="101"/>
      <c r="Q1096" s="23"/>
      <c r="R1096" s="81" t="s">
        <v>67</v>
      </c>
      <c r="S1096" s="22"/>
      <c r="T1096" s="22">
        <v>2</v>
      </c>
      <c r="U1096" s="24"/>
      <c r="V1096" s="23"/>
      <c r="W1096" s="82" t="s">
        <v>113</v>
      </c>
      <c r="X1096" s="82"/>
      <c r="Y1096" s="100" t="s">
        <v>113</v>
      </c>
      <c r="Z1096"/>
      <c r="AA1096"/>
    </row>
    <row r="1097" spans="1:32">
      <c r="A1097" s="358" t="s">
        <v>137</v>
      </c>
      <c r="B1097" s="369">
        <v>1094</v>
      </c>
      <c r="C1097" s="360" t="s">
        <v>1710</v>
      </c>
      <c r="D1097" s="360" t="s">
        <v>1250</v>
      </c>
      <c r="E1097" s="373">
        <v>45887</v>
      </c>
      <c r="F1097" s="372" t="s">
        <v>140</v>
      </c>
      <c r="G1097" s="372">
        <v>4</v>
      </c>
      <c r="H1097" s="372" t="s">
        <v>48</v>
      </c>
      <c r="I1097" s="372" t="s">
        <v>47</v>
      </c>
      <c r="J1097" s="372" t="s">
        <v>871</v>
      </c>
      <c r="K1097" s="21"/>
      <c r="L1097" s="21"/>
      <c r="M1097" s="22"/>
      <c r="N1097" s="23"/>
      <c r="O1097" s="62"/>
      <c r="P1097" s="23"/>
      <c r="Q1097" s="23"/>
      <c r="R1097" s="81" t="s">
        <v>67</v>
      </c>
      <c r="S1097" s="22"/>
      <c r="T1097" s="22">
        <v>4</v>
      </c>
      <c r="U1097" s="24"/>
      <c r="V1097" s="23">
        <v>45901</v>
      </c>
      <c r="W1097" s="82" t="s">
        <v>113</v>
      </c>
      <c r="X1097" s="82"/>
      <c r="Y1097" s="100" t="s">
        <v>113</v>
      </c>
      <c r="Z1097"/>
      <c r="AA1097"/>
      <c r="AD1097" s="72"/>
      <c r="AE1097" s="96"/>
      <c r="AF1097" s="96"/>
    </row>
    <row r="1098" spans="1:32">
      <c r="A1098" s="358" t="s">
        <v>137</v>
      </c>
      <c r="B1098" s="369">
        <v>1095</v>
      </c>
      <c r="C1098" s="360" t="s">
        <v>1711</v>
      </c>
      <c r="D1098" s="360" t="s">
        <v>1712</v>
      </c>
      <c r="E1098" s="373">
        <v>45887.041666666664</v>
      </c>
      <c r="F1098" s="372" t="s">
        <v>140</v>
      </c>
      <c r="G1098" s="372">
        <v>1</v>
      </c>
      <c r="H1098" s="372" t="s">
        <v>21</v>
      </c>
      <c r="I1098" s="372" t="s">
        <v>127</v>
      </c>
      <c r="J1098" s="372" t="s">
        <v>871</v>
      </c>
      <c r="K1098" s="21"/>
      <c r="L1098" s="21"/>
      <c r="M1098" s="22"/>
      <c r="N1098" s="23"/>
      <c r="O1098" s="62"/>
      <c r="P1098" s="23"/>
      <c r="Q1098" s="23"/>
      <c r="R1098" s="81" t="s">
        <v>67</v>
      </c>
      <c r="S1098" s="22"/>
      <c r="T1098" s="22">
        <v>1</v>
      </c>
      <c r="U1098" s="24"/>
      <c r="V1098" s="23">
        <v>45901</v>
      </c>
      <c r="W1098" s="82" t="s">
        <v>113</v>
      </c>
      <c r="X1098" s="82"/>
      <c r="Y1098" s="100" t="s">
        <v>113</v>
      </c>
      <c r="Z1098"/>
      <c r="AA1098"/>
      <c r="AD1098" s="72"/>
      <c r="AE1098" s="96"/>
      <c r="AF1098" s="96"/>
    </row>
    <row r="1099" spans="1:32">
      <c r="A1099" s="358" t="s">
        <v>137</v>
      </c>
      <c r="B1099" s="369">
        <v>1096</v>
      </c>
      <c r="C1099" s="360" t="s">
        <v>1713</v>
      </c>
      <c r="D1099" s="360" t="s">
        <v>1184</v>
      </c>
      <c r="E1099" s="373">
        <v>45887.208333333336</v>
      </c>
      <c r="F1099" s="372" t="s">
        <v>140</v>
      </c>
      <c r="G1099" s="372">
        <v>3</v>
      </c>
      <c r="H1099" s="372" t="s">
        <v>48</v>
      </c>
      <c r="I1099" s="372" t="s">
        <v>47</v>
      </c>
      <c r="J1099" s="372" t="s">
        <v>871</v>
      </c>
      <c r="K1099" s="21"/>
      <c r="L1099" s="21"/>
      <c r="M1099" s="22"/>
      <c r="N1099" s="23"/>
      <c r="O1099" s="380"/>
      <c r="P1099" s="23"/>
      <c r="Q1099" s="23"/>
      <c r="R1099" s="81" t="s">
        <v>67</v>
      </c>
      <c r="S1099" s="22"/>
      <c r="T1099" s="22">
        <v>3</v>
      </c>
      <c r="U1099" s="24"/>
      <c r="V1099" s="23">
        <v>45901</v>
      </c>
      <c r="W1099" s="82" t="s">
        <v>113</v>
      </c>
      <c r="X1099" s="82"/>
      <c r="Y1099" s="100" t="s">
        <v>113</v>
      </c>
      <c r="Z1099"/>
      <c r="AA1099"/>
      <c r="AD1099" s="72"/>
      <c r="AE1099" s="96"/>
      <c r="AF1099" s="96"/>
    </row>
    <row r="1100" spans="1:32">
      <c r="A1100" s="358" t="s">
        <v>137</v>
      </c>
      <c r="B1100" s="369">
        <v>1097</v>
      </c>
      <c r="C1100" s="360" t="s">
        <v>1714</v>
      </c>
      <c r="D1100" s="360" t="s">
        <v>779</v>
      </c>
      <c r="E1100" s="373">
        <v>45887.375</v>
      </c>
      <c r="F1100" s="372" t="s">
        <v>140</v>
      </c>
      <c r="G1100" s="372">
        <v>4</v>
      </c>
      <c r="H1100" s="372" t="s">
        <v>21</v>
      </c>
      <c r="I1100" s="372" t="s">
        <v>127</v>
      </c>
      <c r="J1100" s="372" t="s">
        <v>871</v>
      </c>
      <c r="K1100" s="21"/>
      <c r="L1100" s="21"/>
      <c r="M1100" s="22"/>
      <c r="N1100" s="23"/>
      <c r="O1100" s="62"/>
      <c r="P1100" s="23"/>
      <c r="Q1100" s="23"/>
      <c r="R1100" s="81" t="s">
        <v>67</v>
      </c>
      <c r="S1100" s="22"/>
      <c r="T1100" s="22">
        <v>4</v>
      </c>
      <c r="U1100" s="24"/>
      <c r="V1100" s="23">
        <v>45901</v>
      </c>
      <c r="W1100" s="82" t="s">
        <v>113</v>
      </c>
      <c r="X1100" s="82"/>
      <c r="Y1100" s="100" t="s">
        <v>113</v>
      </c>
      <c r="Z1100"/>
      <c r="AA1100"/>
      <c r="AD1100" s="96"/>
      <c r="AE1100" s="96"/>
      <c r="AF1100" s="96"/>
    </row>
    <row r="1101" spans="1:32">
      <c r="A1101" s="358" t="s">
        <v>137</v>
      </c>
      <c r="B1101" s="369">
        <v>1098</v>
      </c>
      <c r="C1101" s="360" t="s">
        <v>1715</v>
      </c>
      <c r="D1101" s="360" t="s">
        <v>1257</v>
      </c>
      <c r="E1101" s="373">
        <v>45894</v>
      </c>
      <c r="F1101" s="372" t="s">
        <v>140</v>
      </c>
      <c r="G1101" s="372">
        <v>1</v>
      </c>
      <c r="H1101" s="372" t="s">
        <v>48</v>
      </c>
      <c r="I1101" s="372" t="s">
        <v>47</v>
      </c>
      <c r="J1101" s="372" t="s">
        <v>871</v>
      </c>
      <c r="K1101" s="104"/>
      <c r="L1101" s="21"/>
      <c r="M1101" s="22"/>
      <c r="N1101" s="23"/>
      <c r="O1101" s="62"/>
      <c r="P1101" s="104" t="s">
        <v>1716</v>
      </c>
      <c r="Q1101" s="23"/>
      <c r="R1101" s="81" t="s">
        <v>67</v>
      </c>
      <c r="S1101" s="22"/>
      <c r="T1101" s="22"/>
      <c r="U1101" s="24"/>
      <c r="V1101" s="23"/>
      <c r="W1101" s="82" t="s">
        <v>113</v>
      </c>
      <c r="X1101" s="82"/>
      <c r="Y1101" s="100" t="s">
        <v>113</v>
      </c>
      <c r="Z1101"/>
      <c r="AA1101"/>
      <c r="AD1101" s="96"/>
      <c r="AE1101" s="96"/>
      <c r="AF1101" s="96"/>
    </row>
    <row r="1102" spans="1:32">
      <c r="A1102" s="358" t="s">
        <v>137</v>
      </c>
      <c r="B1102" s="369">
        <v>1099</v>
      </c>
      <c r="C1102" s="360" t="s">
        <v>1717</v>
      </c>
      <c r="D1102" s="360" t="s">
        <v>1718</v>
      </c>
      <c r="E1102" s="373">
        <v>45894.041666666664</v>
      </c>
      <c r="F1102" s="372" t="s">
        <v>140</v>
      </c>
      <c r="G1102" s="372">
        <v>2</v>
      </c>
      <c r="H1102" s="372" t="s">
        <v>21</v>
      </c>
      <c r="I1102" s="372" t="s">
        <v>127</v>
      </c>
      <c r="J1102" s="372" t="s">
        <v>871</v>
      </c>
      <c r="K1102" s="104"/>
      <c r="L1102" s="21"/>
      <c r="M1102" s="22"/>
      <c r="N1102" s="23"/>
      <c r="O1102" s="23"/>
      <c r="P1102" s="104"/>
      <c r="Q1102" s="23"/>
      <c r="R1102" s="81" t="s">
        <v>67</v>
      </c>
      <c r="S1102" s="22"/>
      <c r="T1102" s="22">
        <v>2</v>
      </c>
      <c r="U1102" s="24"/>
      <c r="V1102" s="23">
        <v>45903</v>
      </c>
      <c r="W1102" s="82" t="s">
        <v>113</v>
      </c>
      <c r="X1102" s="82"/>
      <c r="Y1102" s="100" t="s">
        <v>113</v>
      </c>
      <c r="Z1102"/>
      <c r="AA1102" s="89"/>
      <c r="AB1102" s="89"/>
      <c r="AC1102" s="88"/>
      <c r="AD1102" s="96"/>
      <c r="AE1102" s="96"/>
      <c r="AF1102" s="96"/>
    </row>
    <row r="1103" spans="1:32">
      <c r="A1103" s="358" t="s">
        <v>24</v>
      </c>
      <c r="B1103" s="369">
        <v>1100</v>
      </c>
      <c r="C1103" s="372" t="s">
        <v>1630</v>
      </c>
      <c r="D1103" s="373" t="s">
        <v>34</v>
      </c>
      <c r="E1103" s="373">
        <v>45901</v>
      </c>
      <c r="F1103" s="372" t="s">
        <v>100</v>
      </c>
      <c r="G1103" s="372">
        <v>11</v>
      </c>
      <c r="H1103" s="372" t="s">
        <v>1077</v>
      </c>
      <c r="I1103" s="372" t="s">
        <v>1138</v>
      </c>
      <c r="J1103" s="372" t="s">
        <v>871</v>
      </c>
      <c r="K1103" s="373"/>
      <c r="L1103" s="358"/>
      <c r="M1103" s="358"/>
      <c r="N1103" s="358"/>
      <c r="O1103" s="380"/>
      <c r="P1103" s="23" t="s">
        <v>30</v>
      </c>
      <c r="Q1103" s="23">
        <v>45918</v>
      </c>
      <c r="R1103" s="81" t="s">
        <v>1138</v>
      </c>
      <c r="S1103" s="22" t="s">
        <v>32</v>
      </c>
      <c r="T1103" s="22">
        <v>11</v>
      </c>
      <c r="U1103" s="24" t="s">
        <v>1138</v>
      </c>
      <c r="V1103" s="23">
        <v>45918</v>
      </c>
      <c r="W1103" s="100" t="s">
        <v>30</v>
      </c>
      <c r="X1103" s="100" t="s">
        <v>30</v>
      </c>
      <c r="Y1103" s="100" t="s">
        <v>30</v>
      </c>
      <c r="Z1103" s="100" t="s">
        <v>30</v>
      </c>
      <c r="AA1103"/>
      <c r="AB1103" s="412"/>
      <c r="AC1103" s="412"/>
      <c r="AD1103" s="412"/>
      <c r="AE1103" s="412"/>
    </row>
    <row r="1104" spans="1:32">
      <c r="A1104" s="358" t="s">
        <v>24</v>
      </c>
      <c r="B1104" s="369">
        <v>1101</v>
      </c>
      <c r="C1104" s="372" t="s">
        <v>1719</v>
      </c>
      <c r="D1104" s="373" t="s">
        <v>34</v>
      </c>
      <c r="E1104" s="373">
        <v>45901</v>
      </c>
      <c r="F1104" s="372" t="s">
        <v>65</v>
      </c>
      <c r="G1104" s="372">
        <v>10</v>
      </c>
      <c r="H1104" s="372" t="s">
        <v>1077</v>
      </c>
      <c r="I1104" s="372" t="s">
        <v>1138</v>
      </c>
      <c r="J1104" s="372" t="s">
        <v>871</v>
      </c>
      <c r="K1104" s="373"/>
      <c r="L1104" s="358"/>
      <c r="M1104" s="358"/>
      <c r="N1104" s="358"/>
      <c r="O1104" s="380"/>
      <c r="P1104" s="23" t="s">
        <v>30</v>
      </c>
      <c r="Q1104" s="23">
        <v>45919</v>
      </c>
      <c r="R1104" s="81" t="s">
        <v>1138</v>
      </c>
      <c r="S1104" s="22" t="s">
        <v>32</v>
      </c>
      <c r="T1104" s="22">
        <v>10</v>
      </c>
      <c r="U1104" s="24" t="s">
        <v>1138</v>
      </c>
      <c r="V1104" s="23">
        <v>45919</v>
      </c>
      <c r="W1104" s="100" t="s">
        <v>30</v>
      </c>
      <c r="X1104" s="100" t="s">
        <v>30</v>
      </c>
      <c r="Y1104" s="100" t="s">
        <v>30</v>
      </c>
      <c r="Z1104" s="100" t="s">
        <v>30</v>
      </c>
      <c r="AA1104"/>
      <c r="AB1104" s="412"/>
      <c r="AC1104" s="412"/>
      <c r="AD1104" s="412"/>
      <c r="AE1104" s="412"/>
    </row>
    <row r="1105" spans="1:31">
      <c r="A1105" s="358" t="s">
        <v>24</v>
      </c>
      <c r="B1105" s="369">
        <v>1102</v>
      </c>
      <c r="C1105" s="372" t="s">
        <v>1720</v>
      </c>
      <c r="D1105" s="373" t="s">
        <v>102</v>
      </c>
      <c r="E1105" s="373">
        <v>45901</v>
      </c>
      <c r="F1105" s="372" t="s">
        <v>885</v>
      </c>
      <c r="G1105" s="372">
        <v>7</v>
      </c>
      <c r="H1105" s="372" t="s">
        <v>1721</v>
      </c>
      <c r="I1105" s="372" t="s">
        <v>1638</v>
      </c>
      <c r="J1105" s="372" t="s">
        <v>871</v>
      </c>
      <c r="K1105" s="373"/>
      <c r="L1105" s="358"/>
      <c r="M1105" s="358"/>
      <c r="N1105" s="358"/>
      <c r="O1105" s="380"/>
      <c r="P1105" s="23" t="s">
        <v>30</v>
      </c>
      <c r="Q1105" s="23">
        <v>45918</v>
      </c>
      <c r="R1105" s="81" t="s">
        <v>1638</v>
      </c>
      <c r="S1105" s="22" t="s">
        <v>32</v>
      </c>
      <c r="T1105" s="22">
        <v>7</v>
      </c>
      <c r="U1105" s="24" t="s">
        <v>1638</v>
      </c>
      <c r="V1105" s="23">
        <v>45918</v>
      </c>
      <c r="W1105" s="82" t="s">
        <v>30</v>
      </c>
      <c r="X1105" s="100" t="s">
        <v>30</v>
      </c>
      <c r="Y1105" s="100" t="s">
        <v>30</v>
      </c>
      <c r="Z1105" s="82" t="s">
        <v>30</v>
      </c>
      <c r="AA1105"/>
      <c r="AB1105" s="412"/>
      <c r="AC1105" s="412"/>
      <c r="AD1105" s="412"/>
      <c r="AE1105" s="412"/>
    </row>
    <row r="1106" spans="1:31">
      <c r="A1106" s="358" t="s">
        <v>24</v>
      </c>
      <c r="B1106" s="369">
        <v>1103</v>
      </c>
      <c r="C1106" s="372" t="s">
        <v>1722</v>
      </c>
      <c r="D1106" s="373" t="s">
        <v>384</v>
      </c>
      <c r="E1106" s="373">
        <v>45902</v>
      </c>
      <c r="F1106" s="372" t="s">
        <v>885</v>
      </c>
      <c r="G1106" s="372">
        <v>7</v>
      </c>
      <c r="H1106" s="372" t="s">
        <v>1721</v>
      </c>
      <c r="I1106" s="372" t="s">
        <v>1638</v>
      </c>
      <c r="J1106" s="372" t="s">
        <v>871</v>
      </c>
      <c r="K1106" s="373"/>
      <c r="L1106" s="358"/>
      <c r="M1106" s="358"/>
      <c r="N1106" s="358"/>
      <c r="O1106" s="380"/>
      <c r="P1106" s="23" t="s">
        <v>30</v>
      </c>
      <c r="Q1106" s="23">
        <v>45918</v>
      </c>
      <c r="R1106" s="81" t="s">
        <v>1638</v>
      </c>
      <c r="S1106" s="22" t="s">
        <v>32</v>
      </c>
      <c r="T1106" s="22">
        <v>7</v>
      </c>
      <c r="U1106" s="24" t="s">
        <v>1638</v>
      </c>
      <c r="V1106" s="23">
        <v>45918</v>
      </c>
      <c r="W1106" s="82" t="s">
        <v>30</v>
      </c>
      <c r="X1106" s="100" t="s">
        <v>30</v>
      </c>
      <c r="Y1106" s="100" t="s">
        <v>30</v>
      </c>
      <c r="Z1106" s="82" t="s">
        <v>30</v>
      </c>
      <c r="AA1106"/>
      <c r="AB1106" s="412"/>
      <c r="AC1106" s="412"/>
      <c r="AD1106" s="412"/>
      <c r="AE1106" s="412"/>
    </row>
    <row r="1107" spans="1:31">
      <c r="A1107" s="358" t="s">
        <v>24</v>
      </c>
      <c r="B1107" s="369">
        <v>1104</v>
      </c>
      <c r="C1107" s="372" t="s">
        <v>1723</v>
      </c>
      <c r="D1107" s="373" t="s">
        <v>43</v>
      </c>
      <c r="E1107" s="373">
        <v>45904</v>
      </c>
      <c r="F1107" s="372" t="s">
        <v>644</v>
      </c>
      <c r="G1107" s="372">
        <v>23</v>
      </c>
      <c r="H1107" s="372" t="s">
        <v>127</v>
      </c>
      <c r="I1107" s="372" t="s">
        <v>36</v>
      </c>
      <c r="J1107" s="372" t="s">
        <v>871</v>
      </c>
      <c r="K1107" s="373"/>
      <c r="L1107" s="221"/>
      <c r="M1107" s="358"/>
      <c r="N1107" s="358"/>
      <c r="O1107" s="247" t="s">
        <v>31</v>
      </c>
      <c r="P1107" s="23" t="s">
        <v>30</v>
      </c>
      <c r="Q1107" s="23">
        <v>45945</v>
      </c>
      <c r="R1107" s="81" t="s">
        <v>28</v>
      </c>
      <c r="S1107" s="22" t="s">
        <v>32</v>
      </c>
      <c r="T1107" s="22">
        <v>24</v>
      </c>
      <c r="U1107" s="24" t="s">
        <v>28</v>
      </c>
      <c r="V1107" s="23">
        <v>45945</v>
      </c>
      <c r="W1107" s="82" t="s">
        <v>30</v>
      </c>
      <c r="X1107" s="100" t="s">
        <v>30</v>
      </c>
      <c r="Y1107" s="100" t="s">
        <v>30</v>
      </c>
      <c r="Z1107" s="100" t="s">
        <v>30</v>
      </c>
      <c r="AA1107"/>
    </row>
    <row r="1108" spans="1:31">
      <c r="A1108" s="358" t="s">
        <v>24</v>
      </c>
      <c r="B1108" s="369">
        <v>1105</v>
      </c>
      <c r="C1108" s="372" t="s">
        <v>1724</v>
      </c>
      <c r="D1108" s="373" t="s">
        <v>193</v>
      </c>
      <c r="E1108" s="373">
        <v>45905</v>
      </c>
      <c r="F1108" s="372" t="s">
        <v>161</v>
      </c>
      <c r="G1108" s="372">
        <v>12</v>
      </c>
      <c r="H1108" s="372" t="s">
        <v>1725</v>
      </c>
      <c r="I1108" s="372" t="s">
        <v>47</v>
      </c>
      <c r="J1108" s="372" t="s">
        <v>871</v>
      </c>
      <c r="K1108" s="373"/>
      <c r="L1108" s="358"/>
      <c r="M1108" s="358"/>
      <c r="N1108" s="94"/>
      <c r="O1108" s="380"/>
      <c r="P1108" s="23" t="s">
        <v>30</v>
      </c>
      <c r="Q1108" s="23">
        <v>45919</v>
      </c>
      <c r="R1108" s="81" t="s">
        <v>47</v>
      </c>
      <c r="S1108" s="22" t="s">
        <v>32</v>
      </c>
      <c r="T1108" s="22">
        <v>9</v>
      </c>
      <c r="U1108" s="24" t="s">
        <v>47</v>
      </c>
      <c r="V1108" s="23">
        <v>45919</v>
      </c>
      <c r="W1108" s="100" t="s">
        <v>30</v>
      </c>
      <c r="X1108" s="100" t="s">
        <v>30</v>
      </c>
      <c r="Y1108" s="100" t="s">
        <v>30</v>
      </c>
      <c r="Z1108" s="82" t="s">
        <v>30</v>
      </c>
      <c r="AA1108"/>
      <c r="AB1108" s="412"/>
      <c r="AC1108" s="412"/>
      <c r="AD1108" s="412"/>
      <c r="AE1108" s="412"/>
    </row>
    <row r="1109" spans="1:31">
      <c r="A1109" s="358" t="s">
        <v>24</v>
      </c>
      <c r="B1109" s="369">
        <v>1106</v>
      </c>
      <c r="C1109" s="372" t="s">
        <v>1726</v>
      </c>
      <c r="D1109" s="373" t="s">
        <v>34</v>
      </c>
      <c r="E1109" s="373">
        <v>45906</v>
      </c>
      <c r="F1109" s="372" t="s">
        <v>743</v>
      </c>
      <c r="G1109" s="372">
        <v>12</v>
      </c>
      <c r="H1109" s="372" t="s">
        <v>1725</v>
      </c>
      <c r="I1109" s="372" t="s">
        <v>47</v>
      </c>
      <c r="J1109" s="372" t="s">
        <v>871</v>
      </c>
      <c r="K1109" s="373"/>
      <c r="L1109" s="358"/>
      <c r="M1109" s="358"/>
      <c r="N1109" s="380"/>
      <c r="O1109" s="380"/>
      <c r="P1109" s="23" t="s">
        <v>30</v>
      </c>
      <c r="Q1109" s="23">
        <v>45931</v>
      </c>
      <c r="R1109" s="81" t="s">
        <v>47</v>
      </c>
      <c r="S1109" s="22" t="s">
        <v>32</v>
      </c>
      <c r="T1109" s="22">
        <v>11</v>
      </c>
      <c r="U1109" s="22" t="s">
        <v>47</v>
      </c>
      <c r="V1109" s="23">
        <v>45931</v>
      </c>
      <c r="W1109" s="100" t="s">
        <v>30</v>
      </c>
      <c r="X1109" s="100" t="s">
        <v>30</v>
      </c>
      <c r="Y1109" s="100" t="s">
        <v>30</v>
      </c>
      <c r="Z1109" s="110" t="s">
        <v>1091</v>
      </c>
      <c r="AA1109"/>
      <c r="AB1109" s="412"/>
      <c r="AC1109" s="412"/>
      <c r="AD1109" s="412"/>
      <c r="AE1109" s="412"/>
    </row>
    <row r="1110" spans="1:31">
      <c r="A1110" s="358" t="s">
        <v>24</v>
      </c>
      <c r="B1110" s="369">
        <v>1107</v>
      </c>
      <c r="C1110" s="372" t="s">
        <v>1727</v>
      </c>
      <c r="D1110" s="373" t="s">
        <v>34</v>
      </c>
      <c r="E1110" s="373">
        <v>45906</v>
      </c>
      <c r="F1110" s="372" t="s">
        <v>35</v>
      </c>
      <c r="G1110" s="372">
        <v>15</v>
      </c>
      <c r="H1110" s="372" t="s">
        <v>1721</v>
      </c>
      <c r="I1110" s="372" t="s">
        <v>1638</v>
      </c>
      <c r="J1110" s="372" t="s">
        <v>871</v>
      </c>
      <c r="K1110" s="373"/>
      <c r="L1110" s="358"/>
      <c r="M1110" s="358"/>
      <c r="N1110" s="380"/>
      <c r="O1110" s="247" t="s">
        <v>31</v>
      </c>
      <c r="P1110" s="23" t="s">
        <v>30</v>
      </c>
      <c r="Q1110" s="23">
        <v>45923</v>
      </c>
      <c r="R1110" s="81" t="s">
        <v>1638</v>
      </c>
      <c r="S1110" s="22" t="s">
        <v>32</v>
      </c>
      <c r="T1110" s="22">
        <v>15</v>
      </c>
      <c r="U1110" s="22" t="s">
        <v>1638</v>
      </c>
      <c r="V1110" s="23">
        <v>45923</v>
      </c>
      <c r="W1110" s="82" t="s">
        <v>30</v>
      </c>
      <c r="X1110" s="100" t="s">
        <v>30</v>
      </c>
      <c r="Y1110" s="100" t="s">
        <v>30</v>
      </c>
      <c r="Z1110" s="82" t="s">
        <v>30</v>
      </c>
      <c r="AA1110"/>
      <c r="AB1110" s="412"/>
      <c r="AC1110" s="412"/>
      <c r="AD1110" s="412"/>
      <c r="AE1110" s="412"/>
    </row>
    <row r="1111" spans="1:31">
      <c r="A1111" s="358" t="s">
        <v>24</v>
      </c>
      <c r="B1111" s="369">
        <v>1108</v>
      </c>
      <c r="C1111" s="372" t="s">
        <v>1728</v>
      </c>
      <c r="D1111" s="373" t="s">
        <v>34</v>
      </c>
      <c r="E1111" s="373">
        <v>45906</v>
      </c>
      <c r="F1111" s="372" t="s">
        <v>1124</v>
      </c>
      <c r="G1111" s="372">
        <v>9</v>
      </c>
      <c r="H1111" s="372" t="s">
        <v>1077</v>
      </c>
      <c r="I1111" s="372" t="s">
        <v>1138</v>
      </c>
      <c r="J1111" s="372" t="s">
        <v>871</v>
      </c>
      <c r="K1111" s="373"/>
      <c r="L1111" s="358"/>
      <c r="M1111" s="358"/>
      <c r="N1111" s="380"/>
      <c r="O1111" s="380"/>
      <c r="P1111" s="23" t="s">
        <v>30</v>
      </c>
      <c r="Q1111" s="23">
        <v>45922</v>
      </c>
      <c r="R1111" s="81" t="s">
        <v>1138</v>
      </c>
      <c r="S1111" s="22" t="s">
        <v>32</v>
      </c>
      <c r="T1111" s="22">
        <v>9</v>
      </c>
      <c r="U1111" s="24" t="s">
        <v>1138</v>
      </c>
      <c r="V1111" s="23">
        <v>45922</v>
      </c>
      <c r="W1111" s="100" t="s">
        <v>30</v>
      </c>
      <c r="X1111" s="100" t="s">
        <v>30</v>
      </c>
      <c r="Y1111" s="100" t="s">
        <v>30</v>
      </c>
      <c r="Z1111" s="100" t="s">
        <v>30</v>
      </c>
      <c r="AA1111"/>
      <c r="AB1111" s="412"/>
      <c r="AC1111" s="412"/>
      <c r="AD1111" s="412"/>
      <c r="AE1111" s="412"/>
    </row>
    <row r="1112" spans="1:31">
      <c r="A1112" s="358" t="s">
        <v>24</v>
      </c>
      <c r="B1112" s="369">
        <v>1109</v>
      </c>
      <c r="C1112" s="372" t="s">
        <v>1729</v>
      </c>
      <c r="D1112" s="373" t="s">
        <v>34</v>
      </c>
      <c r="E1112" s="373">
        <v>45906</v>
      </c>
      <c r="F1112" s="372" t="s">
        <v>206</v>
      </c>
      <c r="G1112" s="372">
        <v>12</v>
      </c>
      <c r="H1112" s="372" t="s">
        <v>1721</v>
      </c>
      <c r="I1112" s="372" t="s">
        <v>1638</v>
      </c>
      <c r="J1112" s="372" t="s">
        <v>871</v>
      </c>
      <c r="K1112" s="373"/>
      <c r="L1112" s="358"/>
      <c r="M1112" s="358"/>
      <c r="N1112" s="380"/>
      <c r="O1112" s="380"/>
      <c r="P1112" s="23" t="s">
        <v>30</v>
      </c>
      <c r="Q1112" s="23">
        <v>45924</v>
      </c>
      <c r="R1112" s="81" t="s">
        <v>1638</v>
      </c>
      <c r="S1112" s="22" t="s">
        <v>1140</v>
      </c>
      <c r="T1112" s="22">
        <v>12</v>
      </c>
      <c r="U1112" s="24" t="s">
        <v>1638</v>
      </c>
      <c r="V1112" s="23">
        <v>45924</v>
      </c>
      <c r="W1112" s="82" t="s">
        <v>30</v>
      </c>
      <c r="X1112" s="100" t="s">
        <v>30</v>
      </c>
      <c r="Y1112" s="100" t="s">
        <v>30</v>
      </c>
      <c r="Z1112" s="82" t="s">
        <v>30</v>
      </c>
      <c r="AA1112"/>
      <c r="AB1112" s="412"/>
      <c r="AC1112" s="412"/>
      <c r="AD1112" s="412"/>
      <c r="AE1112" s="412"/>
    </row>
    <row r="1113" spans="1:31">
      <c r="A1113" s="358" t="s">
        <v>24</v>
      </c>
      <c r="B1113" s="369">
        <v>1110</v>
      </c>
      <c r="C1113" s="372" t="s">
        <v>1730</v>
      </c>
      <c r="D1113" s="373" t="s">
        <v>34</v>
      </c>
      <c r="E1113" s="373">
        <v>45911</v>
      </c>
      <c r="F1113" s="372" t="s">
        <v>1124</v>
      </c>
      <c r="G1113" s="372">
        <v>15</v>
      </c>
      <c r="H1113" s="372" t="s">
        <v>1077</v>
      </c>
      <c r="I1113" s="372" t="s">
        <v>1138</v>
      </c>
      <c r="J1113" s="372" t="s">
        <v>871</v>
      </c>
      <c r="K1113" s="373"/>
      <c r="L1113" s="358"/>
      <c r="M1113" s="358"/>
      <c r="N1113" s="94"/>
      <c r="O1113" s="247" t="s">
        <v>31</v>
      </c>
      <c r="P1113" s="23" t="s">
        <v>30</v>
      </c>
      <c r="Q1113" s="23">
        <v>45923</v>
      </c>
      <c r="R1113" s="81" t="s">
        <v>1138</v>
      </c>
      <c r="S1113" s="22" t="s">
        <v>32</v>
      </c>
      <c r="T1113" s="22">
        <v>16</v>
      </c>
      <c r="U1113" s="24" t="s">
        <v>1138</v>
      </c>
      <c r="V1113" s="23">
        <v>45923</v>
      </c>
      <c r="W1113" s="100" t="s">
        <v>30</v>
      </c>
      <c r="X1113" s="100" t="s">
        <v>30</v>
      </c>
      <c r="Y1113" s="100" t="s">
        <v>30</v>
      </c>
      <c r="Z1113" s="100" t="s">
        <v>30</v>
      </c>
      <c r="AA1113"/>
    </row>
    <row r="1114" spans="1:31">
      <c r="A1114" s="358" t="s">
        <v>24</v>
      </c>
      <c r="B1114" s="369">
        <v>1111</v>
      </c>
      <c r="C1114" s="372" t="s">
        <v>1731</v>
      </c>
      <c r="D1114" s="373" t="s">
        <v>102</v>
      </c>
      <c r="E1114" s="373">
        <v>45911</v>
      </c>
      <c r="F1114" s="372" t="s">
        <v>653</v>
      </c>
      <c r="G1114" s="372">
        <v>14</v>
      </c>
      <c r="H1114" s="372" t="s">
        <v>1725</v>
      </c>
      <c r="I1114" s="372" t="s">
        <v>47</v>
      </c>
      <c r="J1114" s="372" t="s">
        <v>871</v>
      </c>
      <c r="K1114" s="373"/>
      <c r="L1114" s="248"/>
      <c r="M1114" s="358"/>
      <c r="N1114" s="94"/>
      <c r="O1114" s="380"/>
      <c r="P1114" s="23" t="s">
        <v>30</v>
      </c>
      <c r="Q1114" s="23">
        <v>45943</v>
      </c>
      <c r="R1114" s="81" t="s">
        <v>1138</v>
      </c>
      <c r="S1114" s="22" t="s">
        <v>32</v>
      </c>
      <c r="T1114" s="22">
        <v>14</v>
      </c>
      <c r="U1114" s="22" t="s">
        <v>1138</v>
      </c>
      <c r="V1114" s="23">
        <v>45943</v>
      </c>
      <c r="W1114" s="100" t="s">
        <v>30</v>
      </c>
      <c r="X1114" s="100" t="s">
        <v>30</v>
      </c>
      <c r="Y1114" s="100" t="s">
        <v>30</v>
      </c>
      <c r="Z1114" s="82" t="s">
        <v>30</v>
      </c>
      <c r="AA1114"/>
    </row>
    <row r="1115" spans="1:31">
      <c r="A1115" s="358" t="s">
        <v>24</v>
      </c>
      <c r="B1115" s="369">
        <v>1112</v>
      </c>
      <c r="C1115" s="372" t="s">
        <v>1732</v>
      </c>
      <c r="D1115" s="373" t="s">
        <v>34</v>
      </c>
      <c r="E1115" s="373">
        <v>45913</v>
      </c>
      <c r="F1115" s="372" t="s">
        <v>106</v>
      </c>
      <c r="G1115" s="372">
        <v>12</v>
      </c>
      <c r="H1115" s="372" t="s">
        <v>127</v>
      </c>
      <c r="I1115" s="372" t="s">
        <v>36</v>
      </c>
      <c r="J1115" s="372" t="s">
        <v>871</v>
      </c>
      <c r="K1115" s="373"/>
      <c r="L1115" s="358"/>
      <c r="M1115" s="358"/>
      <c r="N1115" s="380"/>
      <c r="O1115" s="380"/>
      <c r="P1115" s="380" t="s">
        <v>30</v>
      </c>
      <c r="Q1115" s="23">
        <v>45938</v>
      </c>
      <c r="R1115" s="81" t="s">
        <v>28</v>
      </c>
      <c r="S1115" s="22" t="s">
        <v>32</v>
      </c>
      <c r="T1115" s="22">
        <v>11</v>
      </c>
      <c r="U1115" s="24" t="s">
        <v>28</v>
      </c>
      <c r="V1115" s="23">
        <v>45938</v>
      </c>
      <c r="W1115" s="82" t="s">
        <v>30</v>
      </c>
      <c r="X1115" s="100" t="s">
        <v>30</v>
      </c>
      <c r="Y1115" s="100" t="s">
        <v>30</v>
      </c>
      <c r="Z1115" s="106" t="s">
        <v>30</v>
      </c>
      <c r="AA1115"/>
    </row>
    <row r="1116" spans="1:31">
      <c r="A1116" s="358" t="s">
        <v>24</v>
      </c>
      <c r="B1116" s="369">
        <v>1113</v>
      </c>
      <c r="C1116" s="372" t="s">
        <v>1733</v>
      </c>
      <c r="D1116" s="373" t="s">
        <v>34</v>
      </c>
      <c r="E1116" s="373">
        <v>45913</v>
      </c>
      <c r="F1116" s="372" t="s">
        <v>202</v>
      </c>
      <c r="G1116" s="372">
        <v>16</v>
      </c>
      <c r="H1116" s="372" t="s">
        <v>127</v>
      </c>
      <c r="I1116" s="372" t="s">
        <v>36</v>
      </c>
      <c r="J1116" s="372" t="s">
        <v>871</v>
      </c>
      <c r="L1116" s="249" t="s">
        <v>1734</v>
      </c>
      <c r="M1116" s="358"/>
      <c r="N1116" s="94"/>
      <c r="O1116" s="247" t="s">
        <v>31</v>
      </c>
      <c r="P1116" s="380"/>
      <c r="Q1116" s="23"/>
      <c r="R1116" s="81" t="s">
        <v>28</v>
      </c>
      <c r="S1116" s="22"/>
      <c r="T1116" s="22"/>
      <c r="U1116" s="24"/>
      <c r="V1116" s="23"/>
      <c r="W1116" s="100" t="s">
        <v>30</v>
      </c>
      <c r="X1116" s="100" t="s">
        <v>30</v>
      </c>
      <c r="Y1116" s="100" t="s">
        <v>30</v>
      </c>
      <c r="Z1116" s="106" t="s">
        <v>30</v>
      </c>
      <c r="AA1116"/>
    </row>
    <row r="1117" spans="1:31">
      <c r="A1117" s="358" t="s">
        <v>24</v>
      </c>
      <c r="B1117" s="369">
        <v>1114</v>
      </c>
      <c r="C1117" s="383" t="s">
        <v>1735</v>
      </c>
      <c r="D1117" s="383" t="s">
        <v>64</v>
      </c>
      <c r="E1117" s="373">
        <v>45913</v>
      </c>
      <c r="F1117" s="383" t="s">
        <v>1736</v>
      </c>
      <c r="G1117" s="383">
        <v>20</v>
      </c>
      <c r="H1117" s="383" t="s">
        <v>1725</v>
      </c>
      <c r="I1117" s="383" t="s">
        <v>47</v>
      </c>
      <c r="J1117" s="372" t="s">
        <v>871</v>
      </c>
      <c r="K1117" s="373"/>
      <c r="L1117" s="358"/>
      <c r="M1117" s="358"/>
      <c r="N1117" s="380"/>
      <c r="O1117" s="247" t="s">
        <v>31</v>
      </c>
      <c r="P1117" s="23" t="s">
        <v>30</v>
      </c>
      <c r="Q1117" s="23">
        <v>45923</v>
      </c>
      <c r="R1117" s="81" t="s">
        <v>47</v>
      </c>
      <c r="S1117" s="22" t="s">
        <v>32</v>
      </c>
      <c r="T1117" s="22">
        <v>20</v>
      </c>
      <c r="U1117" s="24" t="s">
        <v>47</v>
      </c>
      <c r="V1117" s="23">
        <v>45920</v>
      </c>
      <c r="W1117" s="100" t="s">
        <v>30</v>
      </c>
      <c r="X1117" s="100" t="s">
        <v>30</v>
      </c>
      <c r="Y1117" s="100" t="s">
        <v>30</v>
      </c>
      <c r="Z1117" s="100" t="s">
        <v>30</v>
      </c>
      <c r="AA1117"/>
    </row>
    <row r="1118" spans="1:31">
      <c r="A1118" s="358" t="s">
        <v>24</v>
      </c>
      <c r="B1118" s="369">
        <v>1115</v>
      </c>
      <c r="C1118" s="372" t="s">
        <v>1737</v>
      </c>
      <c r="D1118" s="372" t="s">
        <v>102</v>
      </c>
      <c r="E1118" s="373">
        <v>45913</v>
      </c>
      <c r="F1118" s="372" t="s">
        <v>1132</v>
      </c>
      <c r="G1118" s="372">
        <v>14</v>
      </c>
      <c r="H1118" s="383" t="s">
        <v>1725</v>
      </c>
      <c r="I1118" s="383" t="s">
        <v>47</v>
      </c>
      <c r="J1118" s="372" t="s">
        <v>871</v>
      </c>
      <c r="K1118" s="373"/>
      <c r="L1118" s="358"/>
      <c r="M1118" s="358"/>
      <c r="N1118" s="94"/>
      <c r="O1118" s="380"/>
      <c r="P1118" s="23" t="s">
        <v>30</v>
      </c>
      <c r="Q1118" s="23">
        <v>45925</v>
      </c>
      <c r="R1118" s="81" t="s">
        <v>47</v>
      </c>
      <c r="S1118" s="22" t="s">
        <v>32</v>
      </c>
      <c r="T1118" s="22">
        <v>14</v>
      </c>
      <c r="U1118" s="24" t="s">
        <v>47</v>
      </c>
      <c r="V1118" s="23">
        <v>45925</v>
      </c>
      <c r="W1118" s="100" t="s">
        <v>30</v>
      </c>
      <c r="X1118" s="100" t="s">
        <v>30</v>
      </c>
      <c r="Y1118" s="100" t="s">
        <v>30</v>
      </c>
      <c r="Z1118" s="82" t="s">
        <v>30</v>
      </c>
      <c r="AA1118"/>
    </row>
    <row r="1119" spans="1:31">
      <c r="A1119" s="358" t="s">
        <v>24</v>
      </c>
      <c r="B1119" s="369">
        <v>1116</v>
      </c>
      <c r="C1119" s="372" t="s">
        <v>1738</v>
      </c>
      <c r="D1119" s="372" t="s">
        <v>406</v>
      </c>
      <c r="E1119" s="373">
        <v>45913</v>
      </c>
      <c r="F1119" s="372" t="s">
        <v>272</v>
      </c>
      <c r="G1119" s="372">
        <v>15</v>
      </c>
      <c r="H1119" s="372" t="s">
        <v>1725</v>
      </c>
      <c r="I1119" s="225" t="s">
        <v>47</v>
      </c>
      <c r="J1119" s="372" t="s">
        <v>871</v>
      </c>
      <c r="K1119" s="373"/>
      <c r="L1119" s="358"/>
      <c r="M1119" s="358"/>
      <c r="N1119" s="380"/>
      <c r="O1119" s="247" t="s">
        <v>31</v>
      </c>
      <c r="P1119" s="23" t="s">
        <v>30</v>
      </c>
      <c r="Q1119" s="23">
        <v>45959</v>
      </c>
      <c r="R1119" s="81" t="s">
        <v>47</v>
      </c>
      <c r="S1119" s="22" t="s">
        <v>32</v>
      </c>
      <c r="T1119" s="22">
        <v>16</v>
      </c>
      <c r="U1119" s="24" t="s">
        <v>47</v>
      </c>
      <c r="V1119" s="23">
        <v>45959</v>
      </c>
      <c r="W1119" s="100" t="s">
        <v>30</v>
      </c>
      <c r="X1119" s="95" t="s">
        <v>32</v>
      </c>
      <c r="Y1119" s="95" t="s">
        <v>32</v>
      </c>
      <c r="Z1119" s="106" t="s">
        <v>30</v>
      </c>
      <c r="AA1119"/>
    </row>
    <row r="1120" spans="1:31">
      <c r="A1120" s="358" t="s">
        <v>24</v>
      </c>
      <c r="B1120" s="369">
        <v>1117</v>
      </c>
      <c r="C1120" s="372" t="s">
        <v>1739</v>
      </c>
      <c r="D1120" s="372" t="s">
        <v>34</v>
      </c>
      <c r="E1120" s="373">
        <v>45913</v>
      </c>
      <c r="F1120" s="372" t="s">
        <v>631</v>
      </c>
      <c r="G1120" s="372">
        <v>12</v>
      </c>
      <c r="H1120" s="372" t="s">
        <v>1725</v>
      </c>
      <c r="I1120" s="372" t="s">
        <v>47</v>
      </c>
      <c r="J1120" s="372" t="s">
        <v>871</v>
      </c>
      <c r="K1120" s="373"/>
      <c r="L1120" s="358"/>
      <c r="M1120" s="22"/>
      <c r="N1120" s="23"/>
      <c r="O1120" s="380"/>
      <c r="P1120" s="380" t="s">
        <v>30</v>
      </c>
      <c r="Q1120" s="23">
        <v>45952</v>
      </c>
      <c r="R1120" s="81" t="s">
        <v>47</v>
      </c>
      <c r="S1120" s="22" t="s">
        <v>1740</v>
      </c>
      <c r="T1120" s="22">
        <v>13</v>
      </c>
      <c r="U1120" s="24" t="s">
        <v>47</v>
      </c>
      <c r="V1120" s="23">
        <v>45952</v>
      </c>
      <c r="W1120" s="100" t="s">
        <v>30</v>
      </c>
      <c r="X1120" s="100" t="s">
        <v>30</v>
      </c>
      <c r="Y1120" s="100" t="s">
        <v>30</v>
      </c>
      <c r="Z1120" s="106" t="s">
        <v>30</v>
      </c>
      <c r="AA1120"/>
    </row>
    <row r="1121" spans="1:34">
      <c r="A1121" s="358" t="s">
        <v>24</v>
      </c>
      <c r="B1121" s="369">
        <v>1118</v>
      </c>
      <c r="C1121" s="372" t="s">
        <v>1741</v>
      </c>
      <c r="D1121" s="372" t="s">
        <v>64</v>
      </c>
      <c r="E1121" s="373">
        <v>45913</v>
      </c>
      <c r="F1121" s="372" t="s">
        <v>181</v>
      </c>
      <c r="G1121" s="372">
        <v>21</v>
      </c>
      <c r="H1121" s="372" t="s">
        <v>1077</v>
      </c>
      <c r="I1121" s="372" t="s">
        <v>1138</v>
      </c>
      <c r="J1121" s="372" t="s">
        <v>871</v>
      </c>
      <c r="K1121" s="373"/>
      <c r="L1121" s="248"/>
      <c r="M1121" s="22"/>
      <c r="N1121" s="23"/>
      <c r="O1121" s="247" t="s">
        <v>31</v>
      </c>
      <c r="P1121" s="380" t="s">
        <v>30</v>
      </c>
      <c r="Q1121" s="23">
        <v>45931</v>
      </c>
      <c r="R1121" s="81" t="s">
        <v>1138</v>
      </c>
      <c r="S1121" s="22" t="s">
        <v>32</v>
      </c>
      <c r="T1121" s="22">
        <v>21</v>
      </c>
      <c r="U1121" s="24" t="s">
        <v>1138</v>
      </c>
      <c r="V1121" s="23">
        <v>45931</v>
      </c>
      <c r="W1121" s="100" t="s">
        <v>30</v>
      </c>
      <c r="X1121" s="100" t="s">
        <v>30</v>
      </c>
      <c r="Y1121" s="100" t="s">
        <v>30</v>
      </c>
      <c r="Z1121" s="106" t="s">
        <v>30</v>
      </c>
      <c r="AA1121"/>
      <c r="AB1121" s="412"/>
      <c r="AC1121" s="412"/>
      <c r="AD1121" s="412"/>
      <c r="AE1121" s="412"/>
    </row>
    <row r="1122" spans="1:34">
      <c r="A1122" s="358" t="s">
        <v>24</v>
      </c>
      <c r="B1122" s="369">
        <v>1119</v>
      </c>
      <c r="C1122" s="372" t="s">
        <v>1742</v>
      </c>
      <c r="D1122" s="372" t="s">
        <v>34</v>
      </c>
      <c r="E1122" s="373">
        <v>45913</v>
      </c>
      <c r="F1122" s="372" t="s">
        <v>1314</v>
      </c>
      <c r="G1122" s="372">
        <v>14</v>
      </c>
      <c r="H1122" s="372" t="s">
        <v>1725</v>
      </c>
      <c r="I1122" s="372" t="s">
        <v>47</v>
      </c>
      <c r="J1122" s="372" t="s">
        <v>871</v>
      </c>
      <c r="K1122" s="373"/>
      <c r="L1122" s="358"/>
      <c r="M1122" s="22"/>
      <c r="N1122" s="23"/>
      <c r="O1122" s="380"/>
      <c r="P1122" s="23" t="s">
        <v>30</v>
      </c>
      <c r="Q1122" s="23">
        <v>45930</v>
      </c>
      <c r="R1122" s="81" t="s">
        <v>47</v>
      </c>
      <c r="S1122" s="22" t="s">
        <v>32</v>
      </c>
      <c r="T1122" s="22">
        <v>13</v>
      </c>
      <c r="U1122" s="22" t="s">
        <v>47</v>
      </c>
      <c r="V1122" s="23">
        <v>45930</v>
      </c>
      <c r="W1122" s="100" t="s">
        <v>30</v>
      </c>
      <c r="X1122" s="100" t="s">
        <v>30</v>
      </c>
      <c r="Y1122" s="100" t="s">
        <v>30</v>
      </c>
      <c r="Z1122" s="82" t="s">
        <v>30</v>
      </c>
      <c r="AA1122"/>
      <c r="AB1122" s="412"/>
      <c r="AC1122" s="412"/>
      <c r="AD1122" s="412"/>
      <c r="AE1122" s="412"/>
    </row>
    <row r="1123" spans="1:34">
      <c r="A1123" s="358" t="s">
        <v>24</v>
      </c>
      <c r="B1123" s="369">
        <v>1120</v>
      </c>
      <c r="C1123" s="372" t="s">
        <v>1743</v>
      </c>
      <c r="D1123" s="372" t="s">
        <v>34</v>
      </c>
      <c r="E1123" s="373">
        <v>45913</v>
      </c>
      <c r="F1123" s="372" t="s">
        <v>65</v>
      </c>
      <c r="G1123" s="372">
        <v>7</v>
      </c>
      <c r="H1123" s="372" t="s">
        <v>1077</v>
      </c>
      <c r="I1123" s="372" t="s">
        <v>1138</v>
      </c>
      <c r="J1123" s="372" t="s">
        <v>871</v>
      </c>
      <c r="K1123" s="373"/>
      <c r="L1123" s="358"/>
      <c r="M1123" s="22"/>
      <c r="N1123" s="23"/>
      <c r="O1123" s="380"/>
      <c r="P1123" s="23" t="s">
        <v>30</v>
      </c>
      <c r="Q1123" s="23">
        <v>45931</v>
      </c>
      <c r="R1123" s="81" t="s">
        <v>1138</v>
      </c>
      <c r="S1123" s="22" t="s">
        <v>32</v>
      </c>
      <c r="T1123" s="22">
        <v>7</v>
      </c>
      <c r="U1123" s="22" t="s">
        <v>1138</v>
      </c>
      <c r="V1123" s="23">
        <v>45931</v>
      </c>
      <c r="W1123" s="100" t="s">
        <v>30</v>
      </c>
      <c r="X1123" s="100" t="s">
        <v>30</v>
      </c>
      <c r="Y1123" s="100" t="s">
        <v>30</v>
      </c>
      <c r="Z1123" s="106" t="s">
        <v>30</v>
      </c>
      <c r="AA1123"/>
      <c r="AB1123" s="412"/>
      <c r="AC1123" s="412"/>
      <c r="AD1123" s="412"/>
      <c r="AE1123" s="412"/>
    </row>
    <row r="1124" spans="1:34">
      <c r="A1124" s="358" t="s">
        <v>24</v>
      </c>
      <c r="B1124" s="369">
        <v>1121</v>
      </c>
      <c r="C1124" s="372" t="s">
        <v>1744</v>
      </c>
      <c r="D1124" s="372" t="s">
        <v>34</v>
      </c>
      <c r="E1124" s="373">
        <v>45913</v>
      </c>
      <c r="F1124" s="372" t="s">
        <v>65</v>
      </c>
      <c r="G1124" s="372">
        <v>6</v>
      </c>
      <c r="H1124" s="372" t="s">
        <v>1077</v>
      </c>
      <c r="I1124" s="372" t="s">
        <v>1138</v>
      </c>
      <c r="J1124" s="372" t="s">
        <v>871</v>
      </c>
      <c r="K1124" s="373"/>
      <c r="L1124" s="248"/>
      <c r="M1124" s="22"/>
      <c r="N1124" s="23"/>
      <c r="O1124" s="380"/>
      <c r="P1124" s="23" t="s">
        <v>30</v>
      </c>
      <c r="Q1124" s="23">
        <v>45933</v>
      </c>
      <c r="R1124" s="81" t="s">
        <v>1138</v>
      </c>
      <c r="S1124" s="22" t="s">
        <v>32</v>
      </c>
      <c r="T1124" s="22">
        <v>6</v>
      </c>
      <c r="U1124" s="24" t="s">
        <v>1138</v>
      </c>
      <c r="V1124" s="23">
        <v>45933</v>
      </c>
      <c r="W1124" s="100" t="s">
        <v>30</v>
      </c>
      <c r="X1124" s="100" t="s">
        <v>30</v>
      </c>
      <c r="Y1124" s="100" t="s">
        <v>30</v>
      </c>
      <c r="Z1124" s="106" t="s">
        <v>30</v>
      </c>
      <c r="AA1124"/>
    </row>
    <row r="1125" spans="1:34">
      <c r="A1125" s="358" t="s">
        <v>24</v>
      </c>
      <c r="B1125" s="369">
        <v>1122</v>
      </c>
      <c r="C1125" s="372" t="s">
        <v>1745</v>
      </c>
      <c r="D1125" s="372" t="s">
        <v>1746</v>
      </c>
      <c r="E1125" s="373">
        <v>45917</v>
      </c>
      <c r="F1125" s="372" t="s">
        <v>395</v>
      </c>
      <c r="G1125" s="372">
        <v>11</v>
      </c>
      <c r="H1125" s="372" t="s">
        <v>1721</v>
      </c>
      <c r="I1125" s="372" t="s">
        <v>1638</v>
      </c>
      <c r="J1125" s="372" t="s">
        <v>237</v>
      </c>
      <c r="K1125" s="372"/>
      <c r="L1125" s="93"/>
      <c r="M1125" s="22"/>
      <c r="N1125" s="23"/>
      <c r="O1125" s="380"/>
      <c r="P1125" s="23" t="s">
        <v>30</v>
      </c>
      <c r="Q1125" s="23">
        <v>45951</v>
      </c>
      <c r="R1125" s="81" t="s">
        <v>28</v>
      </c>
      <c r="S1125" s="22" t="s">
        <v>1140</v>
      </c>
      <c r="T1125" s="22">
        <v>10</v>
      </c>
      <c r="U1125" s="22" t="s">
        <v>28</v>
      </c>
      <c r="V1125" s="23">
        <v>45951</v>
      </c>
      <c r="W1125" s="82" t="s">
        <v>30</v>
      </c>
      <c r="X1125" s="82" t="s">
        <v>30</v>
      </c>
      <c r="Y1125" s="100" t="s">
        <v>30</v>
      </c>
      <c r="Z1125" s="82" t="s">
        <v>30</v>
      </c>
      <c r="AA1125"/>
    </row>
    <row r="1126" spans="1:34">
      <c r="A1126" s="358" t="s">
        <v>24</v>
      </c>
      <c r="B1126" s="369">
        <v>1123</v>
      </c>
      <c r="C1126" s="372" t="s">
        <v>1747</v>
      </c>
      <c r="D1126" s="372" t="s">
        <v>50</v>
      </c>
      <c r="E1126" s="373">
        <v>45919</v>
      </c>
      <c r="F1126" s="372" t="s">
        <v>729</v>
      </c>
      <c r="G1126" s="372">
        <v>12</v>
      </c>
      <c r="H1126" s="372" t="s">
        <v>1721</v>
      </c>
      <c r="I1126" s="372" t="s">
        <v>1638</v>
      </c>
      <c r="J1126" s="372" t="s">
        <v>237</v>
      </c>
      <c r="K1126" s="372"/>
      <c r="L1126" s="220"/>
      <c r="M1126" s="372"/>
      <c r="N1126" s="372"/>
      <c r="O1126" s="372"/>
      <c r="P1126" s="23" t="s">
        <v>30</v>
      </c>
      <c r="Q1126" s="23">
        <v>45959</v>
      </c>
      <c r="R1126" s="81" t="s">
        <v>1638</v>
      </c>
      <c r="S1126" s="22" t="s">
        <v>32</v>
      </c>
      <c r="T1126" s="22">
        <v>11</v>
      </c>
      <c r="U1126" s="24" t="s">
        <v>1638</v>
      </c>
      <c r="V1126" s="23">
        <v>45959</v>
      </c>
      <c r="W1126" s="95" t="s">
        <v>32</v>
      </c>
      <c r="X1126" s="100" t="s">
        <v>30</v>
      </c>
      <c r="Y1126" s="100" t="s">
        <v>30</v>
      </c>
      <c r="Z1126" s="106"/>
      <c r="AA1126"/>
    </row>
    <row r="1127" spans="1:34">
      <c r="A1127" s="358" t="s">
        <v>24</v>
      </c>
      <c r="B1127" s="369">
        <v>1124</v>
      </c>
      <c r="C1127" s="372" t="s">
        <v>1748</v>
      </c>
      <c r="D1127" s="372" t="s">
        <v>83</v>
      </c>
      <c r="E1127" s="373">
        <v>45919</v>
      </c>
      <c r="F1127" s="372" t="s">
        <v>1749</v>
      </c>
      <c r="G1127" s="372">
        <v>22</v>
      </c>
      <c r="H1127" s="372" t="s">
        <v>1725</v>
      </c>
      <c r="I1127" s="372" t="s">
        <v>47</v>
      </c>
      <c r="J1127" s="372" t="s">
        <v>237</v>
      </c>
      <c r="K1127" s="372"/>
      <c r="L1127" s="248"/>
      <c r="M1127" s="22"/>
      <c r="N1127" s="23"/>
      <c r="O1127" s="247" t="s">
        <v>31</v>
      </c>
      <c r="P1127" s="23" t="s">
        <v>30</v>
      </c>
      <c r="Q1127" s="23">
        <v>45960</v>
      </c>
      <c r="R1127" s="81" t="s">
        <v>1638</v>
      </c>
      <c r="S1127" s="22" t="s">
        <v>32</v>
      </c>
      <c r="T1127" s="22">
        <v>21</v>
      </c>
      <c r="U1127" s="24" t="s">
        <v>1638</v>
      </c>
      <c r="V1127" s="23">
        <v>45960</v>
      </c>
      <c r="W1127" s="82" t="s">
        <v>30</v>
      </c>
      <c r="X1127" s="82" t="s">
        <v>30</v>
      </c>
      <c r="Y1127" s="100" t="s">
        <v>30</v>
      </c>
      <c r="Z1127" s="106" t="s">
        <v>30</v>
      </c>
      <c r="AA1127"/>
    </row>
    <row r="1128" spans="1:34">
      <c r="A1128" s="358" t="s">
        <v>24</v>
      </c>
      <c r="B1128" s="369">
        <v>1125</v>
      </c>
      <c r="C1128" s="372" t="s">
        <v>1750</v>
      </c>
      <c r="D1128" s="372" t="s">
        <v>83</v>
      </c>
      <c r="E1128" s="373">
        <v>45920</v>
      </c>
      <c r="F1128" s="372" t="s">
        <v>106</v>
      </c>
      <c r="G1128" s="372">
        <v>11</v>
      </c>
      <c r="H1128" s="372" t="s">
        <v>127</v>
      </c>
      <c r="I1128" s="372" t="s">
        <v>36</v>
      </c>
      <c r="J1128" s="372" t="s">
        <v>871</v>
      </c>
      <c r="K1128" s="372"/>
      <c r="L1128" s="358"/>
      <c r="M1128" s="22"/>
      <c r="N1128" s="23"/>
      <c r="O1128" s="380"/>
      <c r="P1128" s="23" t="s">
        <v>30</v>
      </c>
      <c r="Q1128" s="23">
        <v>45939</v>
      </c>
      <c r="R1128" s="81" t="s">
        <v>28</v>
      </c>
      <c r="S1128" s="22" t="s">
        <v>32</v>
      </c>
      <c r="T1128" s="22">
        <v>11</v>
      </c>
      <c r="U1128" s="24" t="s">
        <v>28</v>
      </c>
      <c r="V1128" s="23">
        <v>45939</v>
      </c>
      <c r="W1128" s="82" t="s">
        <v>30</v>
      </c>
      <c r="X1128" s="82" t="s">
        <v>30</v>
      </c>
      <c r="Y1128" s="82" t="s">
        <v>30</v>
      </c>
      <c r="Z1128" s="106" t="s">
        <v>30</v>
      </c>
      <c r="AA1128"/>
    </row>
    <row r="1129" spans="1:34">
      <c r="A1129" s="358" t="s">
        <v>24</v>
      </c>
      <c r="B1129" s="369">
        <v>1126</v>
      </c>
      <c r="C1129" s="372" t="s">
        <v>1751</v>
      </c>
      <c r="D1129" s="372" t="s">
        <v>34</v>
      </c>
      <c r="E1129" s="373">
        <v>45920</v>
      </c>
      <c r="F1129" s="372" t="s">
        <v>1305</v>
      </c>
      <c r="G1129" s="372">
        <v>9</v>
      </c>
      <c r="H1129" s="372" t="s">
        <v>127</v>
      </c>
      <c r="I1129" s="372" t="s">
        <v>36</v>
      </c>
      <c r="J1129" s="372" t="s">
        <v>871</v>
      </c>
      <c r="K1129" s="372"/>
      <c r="L1129" s="21"/>
      <c r="M1129" s="22"/>
      <c r="N1129" s="23"/>
      <c r="O1129" s="380"/>
      <c r="P1129" s="23" t="s">
        <v>30</v>
      </c>
      <c r="Q1129" s="23">
        <v>45939</v>
      </c>
      <c r="R1129" s="81" t="s">
        <v>28</v>
      </c>
      <c r="S1129" s="22" t="s">
        <v>32</v>
      </c>
      <c r="T1129" s="22">
        <v>9</v>
      </c>
      <c r="U1129" s="24" t="s">
        <v>28</v>
      </c>
      <c r="V1129" s="23">
        <v>45939</v>
      </c>
      <c r="W1129" s="82" t="s">
        <v>30</v>
      </c>
      <c r="X1129" s="82" t="s">
        <v>30</v>
      </c>
      <c r="Y1129" s="82" t="s">
        <v>30</v>
      </c>
      <c r="Z1129" s="82" t="s">
        <v>30</v>
      </c>
      <c r="AA1129"/>
    </row>
    <row r="1130" spans="1:34">
      <c r="A1130" s="358" t="s">
        <v>24</v>
      </c>
      <c r="B1130" s="369">
        <v>1127</v>
      </c>
      <c r="C1130" s="372" t="s">
        <v>1752</v>
      </c>
      <c r="D1130" s="372" t="s">
        <v>102</v>
      </c>
      <c r="E1130" s="373">
        <v>45920</v>
      </c>
      <c r="F1130" s="372" t="s">
        <v>927</v>
      </c>
      <c r="G1130" s="372">
        <v>13</v>
      </c>
      <c r="H1130" s="372" t="s">
        <v>1077</v>
      </c>
      <c r="I1130" s="372" t="s">
        <v>1138</v>
      </c>
      <c r="J1130" s="372" t="s">
        <v>871</v>
      </c>
      <c r="K1130" s="372"/>
      <c r="L1130" s="248"/>
      <c r="M1130" s="22"/>
      <c r="N1130" s="23"/>
      <c r="O1130" s="380"/>
      <c r="P1130" s="380" t="s">
        <v>30</v>
      </c>
      <c r="Q1130" s="23">
        <v>45932</v>
      </c>
      <c r="R1130" s="81" t="s">
        <v>1638</v>
      </c>
      <c r="S1130" s="22" t="s">
        <v>32</v>
      </c>
      <c r="T1130" s="22">
        <v>13</v>
      </c>
      <c r="U1130" s="24" t="s">
        <v>1638</v>
      </c>
      <c r="V1130" s="23">
        <v>45932</v>
      </c>
      <c r="W1130" s="100" t="s">
        <v>30</v>
      </c>
      <c r="X1130" s="100" t="s">
        <v>30</v>
      </c>
      <c r="Y1130" s="82" t="s">
        <v>30</v>
      </c>
      <c r="Z1130" s="82" t="s">
        <v>30</v>
      </c>
      <c r="AA1130"/>
    </row>
    <row r="1131" spans="1:34">
      <c r="A1131" s="358" t="s">
        <v>24</v>
      </c>
      <c r="B1131" s="369">
        <v>1128</v>
      </c>
      <c r="C1131" s="372" t="s">
        <v>1753</v>
      </c>
      <c r="D1131" s="372" t="s">
        <v>34</v>
      </c>
      <c r="E1131" s="373">
        <v>45920</v>
      </c>
      <c r="F1131" s="372" t="s">
        <v>165</v>
      </c>
      <c r="G1131" s="372">
        <v>13</v>
      </c>
      <c r="H1131" s="372" t="s">
        <v>1077</v>
      </c>
      <c r="I1131" s="372" t="s">
        <v>1138</v>
      </c>
      <c r="J1131" s="372" t="s">
        <v>871</v>
      </c>
      <c r="K1131" s="372"/>
      <c r="L1131" s="21"/>
      <c r="M1131" s="22"/>
      <c r="N1131" s="23"/>
      <c r="O1131" s="380"/>
      <c r="P1131" s="380" t="s">
        <v>30</v>
      </c>
      <c r="Q1131" s="23">
        <v>45930</v>
      </c>
      <c r="R1131" s="81" t="s">
        <v>47</v>
      </c>
      <c r="S1131" s="22" t="s">
        <v>32</v>
      </c>
      <c r="T1131" s="22">
        <v>13</v>
      </c>
      <c r="U1131" s="24" t="s">
        <v>47</v>
      </c>
      <c r="V1131" s="23">
        <v>45930</v>
      </c>
      <c r="W1131" s="82" t="s">
        <v>30</v>
      </c>
      <c r="X1131" s="82" t="s">
        <v>30</v>
      </c>
      <c r="Y1131" s="82" t="s">
        <v>30</v>
      </c>
      <c r="Z1131" s="110" t="s">
        <v>1091</v>
      </c>
      <c r="AA1131"/>
    </row>
    <row r="1132" spans="1:34">
      <c r="A1132" s="358" t="s">
        <v>24</v>
      </c>
      <c r="B1132" s="369">
        <v>1129</v>
      </c>
      <c r="C1132" s="372" t="s">
        <v>122</v>
      </c>
      <c r="D1132" s="372" t="s">
        <v>1754</v>
      </c>
      <c r="E1132" s="373">
        <v>45922</v>
      </c>
      <c r="F1132" s="372" t="s">
        <v>110</v>
      </c>
      <c r="G1132" s="372">
        <v>10</v>
      </c>
      <c r="H1132" s="372" t="s">
        <v>1755</v>
      </c>
      <c r="I1132" s="372" t="s">
        <v>1755</v>
      </c>
      <c r="J1132" s="372" t="s">
        <v>871</v>
      </c>
      <c r="K1132" s="372"/>
      <c r="L1132" s="372"/>
      <c r="M1132" s="22"/>
      <c r="N1132" s="23"/>
      <c r="O1132" s="380"/>
      <c r="P1132" s="23" t="s">
        <v>30</v>
      </c>
      <c r="Q1132" s="23">
        <v>45940</v>
      </c>
      <c r="R1132" s="81" t="s">
        <v>48</v>
      </c>
      <c r="S1132" s="22" t="s">
        <v>32</v>
      </c>
      <c r="T1132" s="22">
        <v>10</v>
      </c>
      <c r="U1132" s="24" t="s">
        <v>48</v>
      </c>
      <c r="V1132" s="23">
        <v>45940</v>
      </c>
      <c r="W1132" s="82" t="s">
        <v>113</v>
      </c>
      <c r="X1132" s="82" t="s">
        <v>113</v>
      </c>
      <c r="Y1132" s="82" t="s">
        <v>113</v>
      </c>
      <c r="Z1132" s="103"/>
      <c r="AA1132"/>
      <c r="AB1132" s="412"/>
      <c r="AC1132" s="412"/>
      <c r="AD1132" s="412"/>
      <c r="AE1132" s="412"/>
    </row>
    <row r="1133" spans="1:34">
      <c r="A1133" s="358" t="s">
        <v>24</v>
      </c>
      <c r="B1133" s="369">
        <v>1130</v>
      </c>
      <c r="C1133" s="372" t="s">
        <v>1756</v>
      </c>
      <c r="D1133" s="372" t="s">
        <v>57</v>
      </c>
      <c r="E1133" s="373">
        <v>45922</v>
      </c>
      <c r="F1133" s="372" t="s">
        <v>1757</v>
      </c>
      <c r="G1133" s="372">
        <v>12</v>
      </c>
      <c r="H1133" s="372" t="s">
        <v>1725</v>
      </c>
      <c r="I1133" s="372" t="s">
        <v>47</v>
      </c>
      <c r="J1133" s="372" t="s">
        <v>871</v>
      </c>
      <c r="K1133" s="372"/>
      <c r="L1133" s="21"/>
      <c r="M1133" s="22"/>
      <c r="N1133" s="23"/>
      <c r="O1133" s="380"/>
      <c r="P1133" s="23" t="s">
        <v>30</v>
      </c>
      <c r="Q1133" s="23">
        <v>45943</v>
      </c>
      <c r="R1133" s="81" t="s">
        <v>28</v>
      </c>
      <c r="S1133" s="22" t="s">
        <v>32</v>
      </c>
      <c r="T1133" s="22">
        <v>12</v>
      </c>
      <c r="U1133" s="24" t="s">
        <v>28</v>
      </c>
      <c r="V1133" s="23">
        <v>45943</v>
      </c>
      <c r="W1133" s="82" t="s">
        <v>30</v>
      </c>
      <c r="X1133" s="82" t="s">
        <v>30</v>
      </c>
      <c r="Y1133" s="82" t="s">
        <v>30</v>
      </c>
      <c r="Z1133" s="106" t="s">
        <v>30</v>
      </c>
      <c r="AA1133"/>
      <c r="AB1133" s="412"/>
      <c r="AC1133" s="412"/>
      <c r="AD1133" s="412"/>
      <c r="AE1133" s="412"/>
    </row>
    <row r="1134" spans="1:34">
      <c r="A1134" s="358" t="s">
        <v>24</v>
      </c>
      <c r="B1134" s="369">
        <v>1131</v>
      </c>
      <c r="C1134" s="372" t="s">
        <v>1758</v>
      </c>
      <c r="D1134" s="372" t="s">
        <v>43</v>
      </c>
      <c r="E1134" s="373">
        <v>45922</v>
      </c>
      <c r="F1134" s="372" t="s">
        <v>65</v>
      </c>
      <c r="G1134" s="372">
        <v>15</v>
      </c>
      <c r="H1134" s="372" t="s">
        <v>1077</v>
      </c>
      <c r="I1134" s="372" t="s">
        <v>1138</v>
      </c>
      <c r="J1134" s="372" t="s">
        <v>237</v>
      </c>
      <c r="K1134" s="372"/>
      <c r="L1134" s="220"/>
      <c r="M1134" s="22"/>
      <c r="N1134" s="23"/>
      <c r="O1134" s="247" t="s">
        <v>31</v>
      </c>
      <c r="P1134" s="23" t="s">
        <v>30</v>
      </c>
      <c r="Q1134" s="23">
        <v>45952</v>
      </c>
      <c r="R1134" s="81" t="s">
        <v>1138</v>
      </c>
      <c r="S1134" s="22" t="s">
        <v>1140</v>
      </c>
      <c r="T1134" s="22">
        <v>11</v>
      </c>
      <c r="U1134" s="24" t="s">
        <v>1138</v>
      </c>
      <c r="V1134" s="23">
        <v>45952</v>
      </c>
      <c r="W1134" s="82" t="s">
        <v>30</v>
      </c>
      <c r="X1134" s="95" t="s">
        <v>32</v>
      </c>
      <c r="Y1134" s="95" t="s">
        <v>32</v>
      </c>
      <c r="Z1134" s="106" t="s">
        <v>30</v>
      </c>
      <c r="AA1134"/>
      <c r="AB1134" s="412"/>
      <c r="AC1134" s="412"/>
      <c r="AD1134" s="412"/>
      <c r="AE1134" s="412"/>
    </row>
    <row r="1135" spans="1:34">
      <c r="A1135" s="358" t="s">
        <v>24</v>
      </c>
      <c r="B1135" s="369">
        <v>1132</v>
      </c>
      <c r="C1135" s="372" t="s">
        <v>1759</v>
      </c>
      <c r="D1135" s="372" t="s">
        <v>26</v>
      </c>
      <c r="E1135" s="373">
        <v>45923</v>
      </c>
      <c r="F1135" s="372" t="s">
        <v>1757</v>
      </c>
      <c r="G1135" s="372">
        <v>11</v>
      </c>
      <c r="H1135" s="372" t="s">
        <v>1725</v>
      </c>
      <c r="I1135" s="372" t="s">
        <v>47</v>
      </c>
      <c r="J1135" s="372" t="s">
        <v>871</v>
      </c>
      <c r="K1135" s="372"/>
      <c r="L1135" s="220"/>
      <c r="M1135" s="22"/>
      <c r="N1135" s="23"/>
      <c r="O1135" s="380"/>
      <c r="P1135" s="23" t="s">
        <v>30</v>
      </c>
      <c r="Q1135" s="23">
        <v>45952</v>
      </c>
      <c r="R1135" s="81" t="s">
        <v>28</v>
      </c>
      <c r="S1135" s="22" t="s">
        <v>32</v>
      </c>
      <c r="T1135" s="22">
        <v>11</v>
      </c>
      <c r="U1135" s="24" t="s">
        <v>28</v>
      </c>
      <c r="V1135" s="23">
        <v>45952</v>
      </c>
      <c r="W1135" s="82" t="s">
        <v>30</v>
      </c>
      <c r="X1135" s="82" t="s">
        <v>30</v>
      </c>
      <c r="Y1135" s="82" t="s">
        <v>30</v>
      </c>
      <c r="Z1135" s="106" t="s">
        <v>30</v>
      </c>
      <c r="AA1135"/>
      <c r="AB1135" s="412"/>
      <c r="AC1135" s="412"/>
      <c r="AD1135" s="412"/>
      <c r="AE1135" s="412"/>
    </row>
    <row r="1136" spans="1:34">
      <c r="A1136" s="358" t="s">
        <v>24</v>
      </c>
      <c r="B1136" s="369">
        <v>1133</v>
      </c>
      <c r="C1136" s="372" t="s">
        <v>1760</v>
      </c>
      <c r="D1136" s="372" t="s">
        <v>43</v>
      </c>
      <c r="E1136" s="373">
        <v>45923</v>
      </c>
      <c r="F1136" s="372" t="s">
        <v>1761</v>
      </c>
      <c r="G1136" s="372">
        <v>10</v>
      </c>
      <c r="H1136" s="372" t="s">
        <v>1077</v>
      </c>
      <c r="I1136" s="372" t="s">
        <v>1138</v>
      </c>
      <c r="J1136" s="372" t="s">
        <v>871</v>
      </c>
      <c r="K1136" s="372"/>
      <c r="L1136" s="220"/>
      <c r="M1136" s="22"/>
      <c r="N1136" s="23"/>
      <c r="O1136" s="380"/>
      <c r="P1136" s="23" t="s">
        <v>30</v>
      </c>
      <c r="Q1136" s="23">
        <v>45936</v>
      </c>
      <c r="R1136" s="81" t="s">
        <v>1138</v>
      </c>
      <c r="S1136" s="22" t="s">
        <v>32</v>
      </c>
      <c r="T1136" s="22">
        <v>10</v>
      </c>
      <c r="U1136" s="24" t="s">
        <v>1138</v>
      </c>
      <c r="V1136" s="23">
        <v>45936</v>
      </c>
      <c r="W1136" s="82" t="s">
        <v>30</v>
      </c>
      <c r="X1136" s="82" t="s">
        <v>30</v>
      </c>
      <c r="Y1136" s="82" t="s">
        <v>30</v>
      </c>
      <c r="Z1136" s="106" t="s">
        <v>30</v>
      </c>
      <c r="AA1136"/>
      <c r="AF1136" s="72"/>
      <c r="AG1136" s="96"/>
      <c r="AH1136" s="96"/>
    </row>
    <row r="1137" spans="1:34">
      <c r="A1137" s="358" t="s">
        <v>24</v>
      </c>
      <c r="B1137" s="369">
        <v>1134</v>
      </c>
      <c r="C1137" s="372" t="s">
        <v>1762</v>
      </c>
      <c r="D1137" s="372" t="s">
        <v>425</v>
      </c>
      <c r="E1137" s="373">
        <v>45924</v>
      </c>
      <c r="F1137" s="372" t="s">
        <v>464</v>
      </c>
      <c r="G1137" s="372">
        <v>12</v>
      </c>
      <c r="H1137" s="372" t="s">
        <v>1725</v>
      </c>
      <c r="I1137" s="372" t="s">
        <v>47</v>
      </c>
      <c r="J1137" s="372" t="s">
        <v>871</v>
      </c>
      <c r="K1137" s="372"/>
      <c r="L1137" s="220"/>
      <c r="M1137" s="22"/>
      <c r="N1137" s="23"/>
      <c r="O1137" s="380"/>
      <c r="P1137" s="23" t="s">
        <v>30</v>
      </c>
      <c r="Q1137" s="23">
        <v>45960</v>
      </c>
      <c r="R1137" s="81" t="s">
        <v>67</v>
      </c>
      <c r="S1137" s="22" t="s">
        <v>32</v>
      </c>
      <c r="T1137" s="22">
        <v>12</v>
      </c>
      <c r="U1137" s="24" t="s">
        <v>67</v>
      </c>
      <c r="V1137" s="23">
        <v>45960</v>
      </c>
      <c r="W1137" s="82" t="s">
        <v>30</v>
      </c>
      <c r="X1137" s="82" t="s">
        <v>30</v>
      </c>
      <c r="Y1137" s="82" t="s">
        <v>30</v>
      </c>
      <c r="Z1137" s="106" t="s">
        <v>30</v>
      </c>
      <c r="AA1137"/>
      <c r="AB1137" s="412"/>
      <c r="AC1137" s="412"/>
      <c r="AD1137" s="412"/>
      <c r="AE1137" s="412"/>
    </row>
    <row r="1138" spans="1:34">
      <c r="A1138" s="358" t="s">
        <v>24</v>
      </c>
      <c r="B1138" s="369">
        <v>1135</v>
      </c>
      <c r="C1138" s="372" t="s">
        <v>1763</v>
      </c>
      <c r="D1138" s="372" t="s">
        <v>1764</v>
      </c>
      <c r="E1138" s="373">
        <v>45924</v>
      </c>
      <c r="F1138" s="372" t="s">
        <v>439</v>
      </c>
      <c r="G1138" s="372">
        <v>18</v>
      </c>
      <c r="H1138" s="372" t="s">
        <v>127</v>
      </c>
      <c r="I1138" s="372" t="s">
        <v>36</v>
      </c>
      <c r="J1138" s="372" t="s">
        <v>871</v>
      </c>
      <c r="K1138" s="372"/>
      <c r="L1138" s="248"/>
      <c r="M1138" s="22"/>
      <c r="N1138" s="23"/>
      <c r="O1138" s="247" t="s">
        <v>31</v>
      </c>
      <c r="P1138" s="23" t="s">
        <v>30</v>
      </c>
      <c r="Q1138" s="23">
        <v>45950</v>
      </c>
      <c r="R1138" s="81" t="s">
        <v>28</v>
      </c>
      <c r="S1138" s="22" t="s">
        <v>32</v>
      </c>
      <c r="T1138" s="22">
        <v>18</v>
      </c>
      <c r="U1138" s="24" t="s">
        <v>28</v>
      </c>
      <c r="V1138" s="23">
        <v>45950</v>
      </c>
      <c r="W1138" s="95" t="s">
        <v>32</v>
      </c>
      <c r="X1138" s="82" t="s">
        <v>30</v>
      </c>
      <c r="Y1138" s="82" t="s">
        <v>30</v>
      </c>
      <c r="Z1138" s="106"/>
      <c r="AA1138"/>
      <c r="AB1138" s="412"/>
      <c r="AC1138" s="412"/>
      <c r="AD1138" s="412"/>
      <c r="AE1138" s="412"/>
    </row>
    <row r="1139" spans="1:34">
      <c r="A1139" s="358" t="s">
        <v>24</v>
      </c>
      <c r="B1139" s="369">
        <v>1136</v>
      </c>
      <c r="C1139" s="372" t="s">
        <v>1765</v>
      </c>
      <c r="D1139" s="372" t="s">
        <v>1746</v>
      </c>
      <c r="E1139" s="373">
        <v>45924</v>
      </c>
      <c r="F1139" s="372" t="s">
        <v>395</v>
      </c>
      <c r="G1139" s="372">
        <v>10</v>
      </c>
      <c r="H1139" s="372" t="s">
        <v>1721</v>
      </c>
      <c r="I1139" s="372" t="s">
        <v>36</v>
      </c>
      <c r="J1139" s="372" t="s">
        <v>237</v>
      </c>
      <c r="K1139" s="372"/>
      <c r="L1139" s="220"/>
      <c r="M1139" s="22"/>
      <c r="N1139" s="23"/>
      <c r="O1139" s="380"/>
      <c r="P1139" s="23" t="s">
        <v>30</v>
      </c>
      <c r="Q1139" s="23">
        <v>45960</v>
      </c>
      <c r="R1139" s="81" t="s">
        <v>48</v>
      </c>
      <c r="S1139" s="22" t="s">
        <v>32</v>
      </c>
      <c r="T1139" s="22">
        <v>10</v>
      </c>
      <c r="U1139" s="24" t="s">
        <v>48</v>
      </c>
      <c r="V1139" s="23">
        <v>45960</v>
      </c>
      <c r="W1139" s="100" t="s">
        <v>30</v>
      </c>
      <c r="X1139" s="100" t="s">
        <v>30</v>
      </c>
      <c r="Y1139" s="100" t="s">
        <v>30</v>
      </c>
      <c r="Z1139" s="82" t="s">
        <v>30</v>
      </c>
      <c r="AA1139"/>
    </row>
    <row r="1140" spans="1:34">
      <c r="A1140" s="358" t="s">
        <v>24</v>
      </c>
      <c r="B1140" s="369">
        <v>1137</v>
      </c>
      <c r="C1140" s="372" t="s">
        <v>1766</v>
      </c>
      <c r="D1140" s="372" t="s">
        <v>57</v>
      </c>
      <c r="E1140" s="373">
        <v>45924</v>
      </c>
      <c r="F1140" s="372" t="s">
        <v>1757</v>
      </c>
      <c r="G1140" s="372">
        <v>11</v>
      </c>
      <c r="H1140" s="372" t="s">
        <v>1725</v>
      </c>
      <c r="I1140" s="372" t="s">
        <v>47</v>
      </c>
      <c r="J1140" s="372" t="s">
        <v>871</v>
      </c>
      <c r="K1140" s="372"/>
      <c r="L1140" s="249"/>
      <c r="M1140" s="22"/>
      <c r="N1140" s="23"/>
      <c r="O1140" s="380"/>
      <c r="P1140" s="23" t="s">
        <v>30</v>
      </c>
      <c r="Q1140" s="23">
        <v>45952</v>
      </c>
      <c r="R1140" s="81" t="s">
        <v>28</v>
      </c>
      <c r="S1140" s="22" t="s">
        <v>32</v>
      </c>
      <c r="T1140" s="22">
        <v>12</v>
      </c>
      <c r="U1140" s="24" t="s">
        <v>28</v>
      </c>
      <c r="V1140" s="23">
        <v>45952</v>
      </c>
      <c r="W1140" s="82" t="s">
        <v>30</v>
      </c>
      <c r="X1140" s="82" t="s">
        <v>30</v>
      </c>
      <c r="Y1140" s="82" t="s">
        <v>30</v>
      </c>
      <c r="Z1140" s="106"/>
      <c r="AA1140"/>
    </row>
    <row r="1141" spans="1:34">
      <c r="A1141" s="358" t="s">
        <v>24</v>
      </c>
      <c r="B1141" s="369">
        <v>1138</v>
      </c>
      <c r="C1141" s="372" t="s">
        <v>1767</v>
      </c>
      <c r="D1141" s="372" t="s">
        <v>26</v>
      </c>
      <c r="E1141" s="373">
        <v>45925</v>
      </c>
      <c r="F1141" s="372" t="s">
        <v>1757</v>
      </c>
      <c r="G1141" s="372">
        <v>12</v>
      </c>
      <c r="H1141" s="372" t="s">
        <v>1725</v>
      </c>
      <c r="I1141" s="372" t="s">
        <v>47</v>
      </c>
      <c r="J1141" s="372" t="s">
        <v>871</v>
      </c>
      <c r="K1141" s="372"/>
      <c r="L1141" s="220"/>
      <c r="M1141" s="22"/>
      <c r="N1141" s="23"/>
      <c r="O1141" s="247"/>
      <c r="P1141" s="23" t="s">
        <v>30</v>
      </c>
      <c r="Q1141" s="23">
        <v>45952</v>
      </c>
      <c r="R1141" s="81" t="s">
        <v>28</v>
      </c>
      <c r="S1141" s="22" t="s">
        <v>32</v>
      </c>
      <c r="T1141" s="22">
        <v>12</v>
      </c>
      <c r="U1141" s="24" t="s">
        <v>28</v>
      </c>
      <c r="V1141" s="23">
        <v>45952</v>
      </c>
      <c r="W1141" s="82" t="s">
        <v>30</v>
      </c>
      <c r="X1141" s="82" t="s">
        <v>30</v>
      </c>
      <c r="Y1141" s="82" t="s">
        <v>30</v>
      </c>
      <c r="Z1141" s="106" t="s">
        <v>30</v>
      </c>
      <c r="AA1141"/>
    </row>
    <row r="1142" spans="1:34">
      <c r="A1142" s="358" t="s">
        <v>24</v>
      </c>
      <c r="B1142" s="369">
        <v>1139</v>
      </c>
      <c r="C1142" s="372" t="s">
        <v>1768</v>
      </c>
      <c r="D1142" s="372" t="s">
        <v>923</v>
      </c>
      <c r="E1142" s="373">
        <v>45926</v>
      </c>
      <c r="F1142" s="372" t="s">
        <v>202</v>
      </c>
      <c r="G1142" s="372">
        <v>16</v>
      </c>
      <c r="H1142" s="372" t="s">
        <v>127</v>
      </c>
      <c r="I1142" s="372" t="s">
        <v>36</v>
      </c>
      <c r="J1142" s="372" t="s">
        <v>871</v>
      </c>
      <c r="K1142" s="372"/>
      <c r="L1142" s="220"/>
      <c r="M1142" s="22"/>
      <c r="N1142" s="23"/>
      <c r="O1142" s="247" t="s">
        <v>31</v>
      </c>
      <c r="P1142" s="23" t="s">
        <v>30</v>
      </c>
      <c r="Q1142" s="23">
        <v>45961</v>
      </c>
      <c r="R1142" s="81" t="s">
        <v>1138</v>
      </c>
      <c r="S1142" s="22" t="s">
        <v>32</v>
      </c>
      <c r="T1142" s="22">
        <v>16</v>
      </c>
      <c r="U1142" s="24" t="s">
        <v>1138</v>
      </c>
      <c r="V1142" s="23">
        <v>45961</v>
      </c>
      <c r="W1142" s="82" t="s">
        <v>30</v>
      </c>
      <c r="X1142" s="82" t="s">
        <v>30</v>
      </c>
      <c r="Y1142" s="82" t="s">
        <v>30</v>
      </c>
      <c r="Z1142" s="82" t="s">
        <v>30</v>
      </c>
      <c r="AA1142"/>
    </row>
    <row r="1143" spans="1:34">
      <c r="A1143" s="358" t="s">
        <v>24</v>
      </c>
      <c r="B1143" s="369">
        <v>1140</v>
      </c>
      <c r="C1143" s="372" t="s">
        <v>1769</v>
      </c>
      <c r="D1143" s="372" t="s">
        <v>34</v>
      </c>
      <c r="E1143" s="373">
        <v>45926</v>
      </c>
      <c r="F1143" s="372" t="s">
        <v>1770</v>
      </c>
      <c r="G1143" s="372">
        <v>12</v>
      </c>
      <c r="H1143" s="372" t="s">
        <v>1725</v>
      </c>
      <c r="I1143" s="372" t="s">
        <v>47</v>
      </c>
      <c r="J1143" s="372" t="s">
        <v>871</v>
      </c>
      <c r="K1143" s="372"/>
      <c r="L1143" s="102"/>
      <c r="M1143" s="22"/>
      <c r="N1143" s="23"/>
      <c r="O1143" s="380"/>
      <c r="P1143" s="23" t="s">
        <v>30</v>
      </c>
      <c r="Q1143" s="23">
        <v>45964</v>
      </c>
      <c r="R1143" s="81" t="s">
        <v>67</v>
      </c>
      <c r="S1143" s="22" t="s">
        <v>32</v>
      </c>
      <c r="T1143" s="22">
        <v>12</v>
      </c>
      <c r="U1143" s="24" t="s">
        <v>67</v>
      </c>
      <c r="V1143" s="23">
        <v>45964</v>
      </c>
      <c r="W1143" s="82" t="s">
        <v>30</v>
      </c>
      <c r="X1143" s="82" t="s">
        <v>30</v>
      </c>
      <c r="Y1143" s="82" t="s">
        <v>30</v>
      </c>
      <c r="Z1143" s="82" t="s">
        <v>30</v>
      </c>
      <c r="AA1143"/>
    </row>
    <row r="1144" spans="1:34">
      <c r="A1144" s="358" t="s">
        <v>24</v>
      </c>
      <c r="B1144" s="369">
        <v>1141</v>
      </c>
      <c r="C1144" s="372" t="s">
        <v>1771</v>
      </c>
      <c r="D1144" s="372" t="s">
        <v>34</v>
      </c>
      <c r="E1144" s="373">
        <v>45927</v>
      </c>
      <c r="F1144" s="372" t="s">
        <v>1772</v>
      </c>
      <c r="G1144" s="372">
        <v>21</v>
      </c>
      <c r="H1144" s="372" t="s">
        <v>1725</v>
      </c>
      <c r="I1144" s="372" t="s">
        <v>47</v>
      </c>
      <c r="J1144" s="372" t="s">
        <v>871</v>
      </c>
      <c r="K1144" s="372"/>
      <c r="L1144" s="102"/>
      <c r="M1144" s="22"/>
      <c r="N1144" s="23"/>
      <c r="O1144" s="247" t="s">
        <v>31</v>
      </c>
      <c r="P1144" s="23" t="s">
        <v>30</v>
      </c>
      <c r="Q1144" s="23">
        <v>45968</v>
      </c>
      <c r="R1144" s="81" t="s">
        <v>178</v>
      </c>
      <c r="S1144" s="22" t="s">
        <v>1140</v>
      </c>
      <c r="T1144" s="22">
        <v>18</v>
      </c>
      <c r="U1144" s="24" t="s">
        <v>178</v>
      </c>
      <c r="V1144" s="23">
        <v>45968</v>
      </c>
      <c r="W1144" s="82" t="s">
        <v>30</v>
      </c>
      <c r="X1144" s="82" t="s">
        <v>30</v>
      </c>
      <c r="Y1144" s="82" t="s">
        <v>30</v>
      </c>
      <c r="Z1144" s="106" t="s">
        <v>30</v>
      </c>
      <c r="AA1144"/>
    </row>
    <row r="1145" spans="1:34">
      <c r="A1145" s="358" t="s">
        <v>24</v>
      </c>
      <c r="B1145" s="369">
        <v>1142</v>
      </c>
      <c r="C1145" s="372" t="s">
        <v>1773</v>
      </c>
      <c r="D1145" s="372" t="s">
        <v>34</v>
      </c>
      <c r="E1145" s="373">
        <v>45927</v>
      </c>
      <c r="F1145" s="372" t="s">
        <v>1061</v>
      </c>
      <c r="G1145" s="372">
        <v>7</v>
      </c>
      <c r="H1145" s="372" t="s">
        <v>1725</v>
      </c>
      <c r="I1145" s="372" t="s">
        <v>47</v>
      </c>
      <c r="J1145" s="372" t="s">
        <v>871</v>
      </c>
      <c r="K1145" s="372"/>
      <c r="L1145" s="21"/>
      <c r="M1145" s="22"/>
      <c r="N1145" s="23"/>
      <c r="O1145" s="380"/>
      <c r="P1145" s="23" t="s">
        <v>30</v>
      </c>
      <c r="Q1145" s="23">
        <v>45960</v>
      </c>
      <c r="R1145" s="81" t="s">
        <v>178</v>
      </c>
      <c r="S1145" s="22" t="s">
        <v>32</v>
      </c>
      <c r="T1145" s="22">
        <v>7</v>
      </c>
      <c r="U1145" s="24" t="s">
        <v>178</v>
      </c>
      <c r="V1145" s="24">
        <v>45960</v>
      </c>
      <c r="W1145" s="82" t="s">
        <v>30</v>
      </c>
      <c r="X1145" s="82" t="s">
        <v>30</v>
      </c>
      <c r="Y1145" s="95" t="s">
        <v>32</v>
      </c>
      <c r="Z1145" s="106" t="s">
        <v>30</v>
      </c>
      <c r="AA1145"/>
    </row>
    <row r="1146" spans="1:34">
      <c r="A1146" s="358" t="s">
        <v>24</v>
      </c>
      <c r="B1146" s="369">
        <v>1143</v>
      </c>
      <c r="C1146" s="372" t="s">
        <v>1774</v>
      </c>
      <c r="D1146" s="372" t="s">
        <v>34</v>
      </c>
      <c r="E1146" s="373">
        <v>45927</v>
      </c>
      <c r="F1146" s="372" t="s">
        <v>631</v>
      </c>
      <c r="G1146" s="372">
        <v>17</v>
      </c>
      <c r="H1146" s="372" t="s">
        <v>1725</v>
      </c>
      <c r="I1146" s="372" t="s">
        <v>47</v>
      </c>
      <c r="J1146" s="372" t="s">
        <v>871</v>
      </c>
      <c r="K1146" s="372"/>
      <c r="L1146" s="102"/>
      <c r="M1146" s="22"/>
      <c r="N1146" s="23"/>
      <c r="O1146" s="247" t="s">
        <v>31</v>
      </c>
      <c r="P1146" s="23" t="s">
        <v>30</v>
      </c>
      <c r="Q1146" s="23">
        <v>45960</v>
      </c>
      <c r="R1146" s="81" t="s">
        <v>178</v>
      </c>
      <c r="S1146" s="22" t="s">
        <v>32</v>
      </c>
      <c r="T1146" s="22">
        <v>17</v>
      </c>
      <c r="U1146" s="24" t="s">
        <v>178</v>
      </c>
      <c r="V1146" s="23">
        <v>45960</v>
      </c>
      <c r="W1146" s="82" t="s">
        <v>30</v>
      </c>
      <c r="X1146" s="82" t="s">
        <v>30</v>
      </c>
      <c r="Y1146" s="95" t="s">
        <v>32</v>
      </c>
      <c r="Z1146" s="106" t="s">
        <v>30</v>
      </c>
      <c r="AA1146"/>
      <c r="AB1146" s="412"/>
      <c r="AC1146" s="412"/>
      <c r="AD1146" s="412"/>
      <c r="AE1146" s="412"/>
    </row>
    <row r="1147" spans="1:34">
      <c r="A1147" s="358" t="s">
        <v>24</v>
      </c>
      <c r="B1147" s="369">
        <v>1144</v>
      </c>
      <c r="C1147" s="372" t="s">
        <v>1775</v>
      </c>
      <c r="D1147" s="372" t="s">
        <v>34</v>
      </c>
      <c r="E1147" s="373">
        <v>45927</v>
      </c>
      <c r="F1147" s="372" t="s">
        <v>187</v>
      </c>
      <c r="G1147" s="372">
        <v>8</v>
      </c>
      <c r="H1147" s="372" t="s">
        <v>1725</v>
      </c>
      <c r="I1147" s="372" t="s">
        <v>47</v>
      </c>
      <c r="J1147" s="372" t="s">
        <v>871</v>
      </c>
      <c r="K1147" s="372"/>
      <c r="L1147" s="21"/>
      <c r="M1147" s="22"/>
      <c r="N1147" s="23"/>
      <c r="O1147" s="380"/>
      <c r="P1147" s="23" t="s">
        <v>30</v>
      </c>
      <c r="Q1147" s="23">
        <v>45961</v>
      </c>
      <c r="R1147" s="81" t="s">
        <v>47</v>
      </c>
      <c r="S1147" s="22" t="s">
        <v>32</v>
      </c>
      <c r="T1147" s="22">
        <v>7</v>
      </c>
      <c r="U1147" s="24" t="s">
        <v>47</v>
      </c>
      <c r="V1147" s="23">
        <v>45961</v>
      </c>
      <c r="W1147" s="82" t="s">
        <v>30</v>
      </c>
      <c r="X1147" s="82" t="s">
        <v>30</v>
      </c>
      <c r="Y1147" s="95" t="s">
        <v>32</v>
      </c>
      <c r="Z1147" s="82" t="s">
        <v>30</v>
      </c>
      <c r="AA1147"/>
      <c r="AF1147" s="72"/>
      <c r="AG1147" s="96"/>
      <c r="AH1147" s="96"/>
    </row>
    <row r="1148" spans="1:34">
      <c r="A1148" s="358" t="s">
        <v>24</v>
      </c>
      <c r="B1148" s="369">
        <v>1145</v>
      </c>
      <c r="C1148" s="372" t="s">
        <v>1776</v>
      </c>
      <c r="D1148" s="372" t="s">
        <v>406</v>
      </c>
      <c r="E1148" s="373">
        <v>45927</v>
      </c>
      <c r="F1148" s="372" t="s">
        <v>272</v>
      </c>
      <c r="G1148" s="372">
        <v>16</v>
      </c>
      <c r="H1148" s="372" t="s">
        <v>1725</v>
      </c>
      <c r="I1148" s="372" t="s">
        <v>47</v>
      </c>
      <c r="J1148" s="372" t="s">
        <v>237</v>
      </c>
      <c r="K1148" s="372"/>
      <c r="L1148" s="21"/>
      <c r="M1148" s="22"/>
      <c r="N1148" s="23"/>
      <c r="O1148" s="247" t="s">
        <v>31</v>
      </c>
      <c r="P1148" s="23" t="s">
        <v>30</v>
      </c>
      <c r="Q1148" s="23">
        <v>45959</v>
      </c>
      <c r="R1148" s="81" t="s">
        <v>47</v>
      </c>
      <c r="S1148" s="22" t="s">
        <v>32</v>
      </c>
      <c r="T1148" s="22">
        <v>16</v>
      </c>
      <c r="U1148" s="24" t="s">
        <v>47</v>
      </c>
      <c r="V1148" s="23"/>
      <c r="W1148" s="100" t="s">
        <v>30</v>
      </c>
      <c r="X1148" s="95" t="s">
        <v>32</v>
      </c>
      <c r="Y1148" s="95" t="s">
        <v>32</v>
      </c>
      <c r="Z1148" s="106" t="s">
        <v>30</v>
      </c>
      <c r="AA1148"/>
    </row>
    <row r="1149" spans="1:34">
      <c r="A1149" s="358" t="s">
        <v>24</v>
      </c>
      <c r="B1149" s="369">
        <v>1146</v>
      </c>
      <c r="C1149" s="372" t="s">
        <v>1777</v>
      </c>
      <c r="D1149" s="372" t="s">
        <v>34</v>
      </c>
      <c r="E1149" s="373">
        <v>45927</v>
      </c>
      <c r="F1149" s="372" t="s">
        <v>77</v>
      </c>
      <c r="G1149" s="372">
        <v>13</v>
      </c>
      <c r="H1149" s="372" t="s">
        <v>1725</v>
      </c>
      <c r="I1149" s="372" t="s">
        <v>47</v>
      </c>
      <c r="J1149" s="372" t="s">
        <v>871</v>
      </c>
      <c r="K1149" s="372"/>
      <c r="L1149" s="21"/>
      <c r="M1149" s="22"/>
      <c r="N1149" s="23"/>
      <c r="O1149" s="23"/>
      <c r="P1149" s="23" t="s">
        <v>30</v>
      </c>
      <c r="Q1149" s="23">
        <v>45961</v>
      </c>
      <c r="R1149" s="81" t="s">
        <v>28</v>
      </c>
      <c r="S1149" s="22" t="s">
        <v>1140</v>
      </c>
      <c r="T1149" s="22">
        <v>12</v>
      </c>
      <c r="U1149" s="24" t="s">
        <v>28</v>
      </c>
      <c r="V1149" s="23">
        <v>45961</v>
      </c>
      <c r="W1149" s="100" t="s">
        <v>30</v>
      </c>
      <c r="X1149" s="82" t="s">
        <v>30</v>
      </c>
      <c r="Y1149" s="100" t="s">
        <v>30</v>
      </c>
      <c r="Z1149" s="100" t="s">
        <v>30</v>
      </c>
      <c r="AA1149"/>
    </row>
    <row r="1150" spans="1:34">
      <c r="A1150" s="358" t="s">
        <v>24</v>
      </c>
      <c r="B1150" s="369">
        <v>1147</v>
      </c>
      <c r="C1150" s="372" t="s">
        <v>1778</v>
      </c>
      <c r="D1150" s="372" t="s">
        <v>34</v>
      </c>
      <c r="E1150" s="373">
        <v>45927</v>
      </c>
      <c r="F1150" s="372" t="s">
        <v>165</v>
      </c>
      <c r="G1150" s="372">
        <v>10</v>
      </c>
      <c r="H1150" s="372" t="s">
        <v>1077</v>
      </c>
      <c r="I1150" s="372" t="s">
        <v>1138</v>
      </c>
      <c r="J1150" s="372" t="s">
        <v>871</v>
      </c>
      <c r="K1150" s="372"/>
      <c r="L1150" s="21"/>
      <c r="M1150" s="22"/>
      <c r="N1150" s="23"/>
      <c r="O1150" s="380"/>
      <c r="P1150" s="23" t="s">
        <v>30</v>
      </c>
      <c r="Q1150" s="23">
        <v>45961</v>
      </c>
      <c r="R1150" s="81" t="s">
        <v>67</v>
      </c>
      <c r="S1150" s="22" t="s">
        <v>32</v>
      </c>
      <c r="T1150" s="22">
        <v>10</v>
      </c>
      <c r="U1150" s="24" t="s">
        <v>67</v>
      </c>
      <c r="V1150" s="23">
        <v>45961</v>
      </c>
      <c r="W1150" s="82" t="s">
        <v>30</v>
      </c>
      <c r="X1150" s="82" t="s">
        <v>30</v>
      </c>
      <c r="Y1150" s="82" t="s">
        <v>30</v>
      </c>
      <c r="Z1150" s="82" t="s">
        <v>30</v>
      </c>
      <c r="AA1150"/>
      <c r="AF1150" s="72"/>
      <c r="AG1150" s="96"/>
      <c r="AH1150" s="96"/>
    </row>
    <row r="1151" spans="1:34">
      <c r="A1151" s="358" t="s">
        <v>24</v>
      </c>
      <c r="B1151" s="369">
        <v>1148</v>
      </c>
      <c r="C1151" s="372" t="s">
        <v>1779</v>
      </c>
      <c r="D1151" s="372" t="s">
        <v>34</v>
      </c>
      <c r="E1151" s="373">
        <v>45927</v>
      </c>
      <c r="F1151" s="372" t="s">
        <v>97</v>
      </c>
      <c r="G1151" s="372">
        <v>15</v>
      </c>
      <c r="H1151" s="372" t="s">
        <v>127</v>
      </c>
      <c r="I1151" s="372" t="s">
        <v>36</v>
      </c>
      <c r="J1151" s="372" t="s">
        <v>871</v>
      </c>
      <c r="K1151" s="372"/>
      <c r="L1151" s="220"/>
      <c r="M1151" s="22"/>
      <c r="N1151" s="23"/>
      <c r="O1151" s="247" t="s">
        <v>31</v>
      </c>
      <c r="P1151" s="23" t="s">
        <v>30</v>
      </c>
      <c r="Q1151" s="23">
        <v>45958</v>
      </c>
      <c r="R1151" s="81" t="s">
        <v>28</v>
      </c>
      <c r="S1151" s="22" t="s">
        <v>1140</v>
      </c>
      <c r="T1151" s="22">
        <v>14</v>
      </c>
      <c r="U1151" s="24" t="s">
        <v>28</v>
      </c>
      <c r="V1151" s="23">
        <v>45958</v>
      </c>
      <c r="W1151" s="82" t="s">
        <v>30</v>
      </c>
      <c r="X1151" s="82" t="s">
        <v>30</v>
      </c>
      <c r="Y1151" s="82" t="s">
        <v>30</v>
      </c>
      <c r="Z1151" s="106" t="s">
        <v>30</v>
      </c>
      <c r="AA1151"/>
    </row>
    <row r="1152" spans="1:34">
      <c r="A1152" s="358" t="s">
        <v>24</v>
      </c>
      <c r="B1152" s="369">
        <v>1149</v>
      </c>
      <c r="C1152" s="372" t="s">
        <v>1780</v>
      </c>
      <c r="D1152" s="372" t="s">
        <v>34</v>
      </c>
      <c r="E1152" s="373">
        <v>45927</v>
      </c>
      <c r="F1152" s="372" t="s">
        <v>701</v>
      </c>
      <c r="G1152" s="372">
        <v>14</v>
      </c>
      <c r="H1152" s="372" t="s">
        <v>127</v>
      </c>
      <c r="I1152" s="372" t="s">
        <v>36</v>
      </c>
      <c r="J1152" s="372" t="s">
        <v>871</v>
      </c>
      <c r="K1152" s="372"/>
      <c r="L1152" s="220"/>
      <c r="M1152" s="22"/>
      <c r="N1152" s="23"/>
      <c r="O1152" s="380"/>
      <c r="P1152" s="23" t="s">
        <v>30</v>
      </c>
      <c r="Q1152" s="23">
        <v>45939</v>
      </c>
      <c r="R1152" s="81" t="s">
        <v>1138</v>
      </c>
      <c r="S1152" s="22" t="s">
        <v>32</v>
      </c>
      <c r="T1152" s="22">
        <v>14</v>
      </c>
      <c r="U1152" s="24" t="s">
        <v>1138</v>
      </c>
      <c r="V1152" s="23">
        <v>45939</v>
      </c>
      <c r="W1152" s="82" t="s">
        <v>30</v>
      </c>
      <c r="X1152" s="82" t="s">
        <v>30</v>
      </c>
      <c r="Y1152" s="82" t="s">
        <v>30</v>
      </c>
      <c r="Z1152" s="82" t="s">
        <v>30</v>
      </c>
      <c r="AA1152"/>
    </row>
    <row r="1153" spans="1:34">
      <c r="A1153" s="358" t="s">
        <v>24</v>
      </c>
      <c r="B1153" s="369">
        <v>1150</v>
      </c>
      <c r="C1153" s="372" t="s">
        <v>1781</v>
      </c>
      <c r="D1153" s="372" t="s">
        <v>34</v>
      </c>
      <c r="E1153" s="373">
        <v>45929</v>
      </c>
      <c r="F1153" s="372" t="s">
        <v>668</v>
      </c>
      <c r="G1153" s="372">
        <v>11</v>
      </c>
      <c r="H1153" s="372" t="s">
        <v>1725</v>
      </c>
      <c r="I1153" s="372" t="s">
        <v>47</v>
      </c>
      <c r="J1153" s="372" t="s">
        <v>871</v>
      </c>
      <c r="K1153" s="372"/>
      <c r="L1153" s="220"/>
      <c r="M1153" s="22"/>
      <c r="N1153" s="23"/>
      <c r="O1153" s="380"/>
      <c r="P1153" s="23" t="s">
        <v>30</v>
      </c>
      <c r="Q1153" s="23">
        <v>45938</v>
      </c>
      <c r="R1153" s="81" t="s">
        <v>1138</v>
      </c>
      <c r="S1153" s="22" t="s">
        <v>32</v>
      </c>
      <c r="T1153" s="22">
        <v>11</v>
      </c>
      <c r="U1153" s="24" t="s">
        <v>1138</v>
      </c>
      <c r="V1153" s="23">
        <v>45938</v>
      </c>
      <c r="W1153" s="82" t="s">
        <v>30</v>
      </c>
      <c r="X1153" s="82" t="s">
        <v>30</v>
      </c>
      <c r="Y1153" s="100" t="s">
        <v>30</v>
      </c>
      <c r="Z1153" s="106" t="s">
        <v>30</v>
      </c>
      <c r="AA1153"/>
    </row>
    <row r="1154" spans="1:34">
      <c r="A1154" s="358" t="s">
        <v>24</v>
      </c>
      <c r="B1154" s="369">
        <v>1151</v>
      </c>
      <c r="C1154" s="372" t="s">
        <v>1782</v>
      </c>
      <c r="D1154" s="372" t="s">
        <v>102</v>
      </c>
      <c r="E1154" s="373">
        <v>45929</v>
      </c>
      <c r="F1154" s="372" t="s">
        <v>202</v>
      </c>
      <c r="G1154" s="372">
        <v>8</v>
      </c>
      <c r="H1154" s="372" t="s">
        <v>127</v>
      </c>
      <c r="I1154" s="372" t="s">
        <v>36</v>
      </c>
      <c r="J1154" s="372" t="s">
        <v>237</v>
      </c>
      <c r="K1154" s="372"/>
      <c r="L1154" s="221"/>
      <c r="M1154" s="22"/>
      <c r="N1154" s="23"/>
      <c r="O1154" s="380"/>
      <c r="P1154" s="23" t="s">
        <v>30</v>
      </c>
      <c r="Q1154" s="23">
        <v>45939</v>
      </c>
      <c r="R1154" s="81" t="s">
        <v>28</v>
      </c>
      <c r="S1154" s="22" t="s">
        <v>32</v>
      </c>
      <c r="T1154" s="22">
        <v>7</v>
      </c>
      <c r="U1154" s="24" t="s">
        <v>28</v>
      </c>
      <c r="V1154" s="23">
        <v>45939</v>
      </c>
      <c r="W1154" s="82" t="s">
        <v>30</v>
      </c>
      <c r="X1154" s="82" t="s">
        <v>30</v>
      </c>
      <c r="Y1154" s="100" t="s">
        <v>30</v>
      </c>
      <c r="Z1154" s="106" t="s">
        <v>30</v>
      </c>
      <c r="AA1154"/>
    </row>
    <row r="1155" spans="1:34">
      <c r="A1155" s="358" t="s">
        <v>24</v>
      </c>
      <c r="B1155" s="369">
        <v>1152</v>
      </c>
      <c r="C1155" s="372" t="s">
        <v>1783</v>
      </c>
      <c r="D1155" s="372" t="s">
        <v>50</v>
      </c>
      <c r="E1155" s="373">
        <v>45929</v>
      </c>
      <c r="F1155" s="372" t="s">
        <v>737</v>
      </c>
      <c r="G1155" s="372">
        <v>15</v>
      </c>
      <c r="H1155" s="372" t="s">
        <v>1721</v>
      </c>
      <c r="I1155" s="372" t="s">
        <v>1638</v>
      </c>
      <c r="J1155" s="372" t="s">
        <v>237</v>
      </c>
      <c r="K1155" s="372"/>
      <c r="L1155" s="220"/>
      <c r="M1155" s="22"/>
      <c r="N1155" s="23"/>
      <c r="O1155" s="247" t="s">
        <v>31</v>
      </c>
      <c r="P1155" s="23" t="s">
        <v>30</v>
      </c>
      <c r="Q1155" s="23">
        <v>45958</v>
      </c>
      <c r="R1155" s="81" t="s">
        <v>1638</v>
      </c>
      <c r="S1155" s="22" t="s">
        <v>32</v>
      </c>
      <c r="T1155" s="22">
        <v>17</v>
      </c>
      <c r="U1155" s="24" t="s">
        <v>1638</v>
      </c>
      <c r="V1155" s="23">
        <v>45958</v>
      </c>
      <c r="W1155" s="82" t="s">
        <v>30</v>
      </c>
      <c r="X1155" s="82" t="s">
        <v>30</v>
      </c>
      <c r="Y1155" s="82" t="s">
        <v>30</v>
      </c>
      <c r="Z1155" s="106" t="s">
        <v>30</v>
      </c>
      <c r="AA1155"/>
    </row>
    <row r="1156" spans="1:34">
      <c r="A1156" s="358" t="s">
        <v>24</v>
      </c>
      <c r="B1156" s="369">
        <v>1153</v>
      </c>
      <c r="C1156" s="372" t="s">
        <v>1784</v>
      </c>
      <c r="D1156" s="372" t="s">
        <v>64</v>
      </c>
      <c r="E1156" s="373">
        <v>45930</v>
      </c>
      <c r="F1156" s="372" t="s">
        <v>506</v>
      </c>
      <c r="G1156" s="372">
        <v>27</v>
      </c>
      <c r="H1156" s="372" t="s">
        <v>127</v>
      </c>
      <c r="I1156" s="372" t="s">
        <v>36</v>
      </c>
      <c r="J1156" s="372" t="s">
        <v>871</v>
      </c>
      <c r="K1156" s="372"/>
      <c r="L1156" s="21"/>
      <c r="M1156" s="22"/>
      <c r="N1156" s="23"/>
      <c r="O1156" s="247" t="s">
        <v>31</v>
      </c>
      <c r="P1156" s="23" t="s">
        <v>30</v>
      </c>
      <c r="Q1156" s="23">
        <v>45944</v>
      </c>
      <c r="R1156" s="81" t="s">
        <v>28</v>
      </c>
      <c r="S1156" s="22" t="s">
        <v>32</v>
      </c>
      <c r="T1156" s="22">
        <v>27</v>
      </c>
      <c r="U1156" s="24" t="s">
        <v>28</v>
      </c>
      <c r="V1156" s="23">
        <v>45944</v>
      </c>
      <c r="W1156" s="82" t="s">
        <v>30</v>
      </c>
      <c r="X1156" s="82" t="s">
        <v>30</v>
      </c>
      <c r="Y1156" s="100" t="s">
        <v>30</v>
      </c>
      <c r="Z1156" s="82" t="s">
        <v>30</v>
      </c>
      <c r="AA1156"/>
    </row>
    <row r="1157" spans="1:34">
      <c r="A1157" s="358" t="s">
        <v>137</v>
      </c>
      <c r="B1157" s="369">
        <v>1154</v>
      </c>
      <c r="C1157" s="360" t="s">
        <v>1785</v>
      </c>
      <c r="D1157" s="360" t="s">
        <v>1184</v>
      </c>
      <c r="E1157" s="373">
        <v>45901.375</v>
      </c>
      <c r="F1157" s="372" t="s">
        <v>140</v>
      </c>
      <c r="G1157" s="372">
        <v>11</v>
      </c>
      <c r="H1157" s="372" t="s">
        <v>1786</v>
      </c>
      <c r="I1157" s="372" t="s">
        <v>1787</v>
      </c>
      <c r="J1157" s="372"/>
      <c r="K1157" s="21"/>
      <c r="L1157" s="21"/>
      <c r="M1157" s="22"/>
      <c r="N1157" s="23"/>
      <c r="O1157" s="23"/>
      <c r="P1157" s="23"/>
      <c r="Q1157" s="23"/>
      <c r="R1157" s="81"/>
      <c r="S1157" s="22"/>
      <c r="T1157" s="22"/>
      <c r="U1157" s="24"/>
      <c r="V1157" s="23"/>
      <c r="W1157" s="82"/>
      <c r="X1157" s="82"/>
      <c r="Y1157" s="82"/>
      <c r="Z1157" s="100"/>
      <c r="AA1157"/>
    </row>
    <row r="1158" spans="1:34">
      <c r="A1158" s="358" t="s">
        <v>137</v>
      </c>
      <c r="B1158" s="369">
        <v>1155</v>
      </c>
      <c r="C1158" s="360" t="s">
        <v>1788</v>
      </c>
      <c r="D1158" s="360" t="s">
        <v>523</v>
      </c>
      <c r="E1158" s="373">
        <v>45901.375</v>
      </c>
      <c r="F1158" s="372" t="s">
        <v>140</v>
      </c>
      <c r="G1158" s="372">
        <v>1</v>
      </c>
      <c r="H1158" s="372" t="s">
        <v>127</v>
      </c>
      <c r="I1158" s="372" t="s">
        <v>36</v>
      </c>
      <c r="J1158" s="372"/>
      <c r="K1158" s="21"/>
      <c r="L1158" s="21"/>
      <c r="M1158" s="22"/>
      <c r="N1158" s="23"/>
      <c r="O1158" s="380"/>
      <c r="P1158" s="23"/>
      <c r="Q1158" s="23"/>
      <c r="R1158" s="81"/>
      <c r="S1158" s="22"/>
      <c r="T1158" s="22"/>
      <c r="U1158" s="24"/>
      <c r="V1158" s="23"/>
      <c r="W1158" s="82"/>
      <c r="X1158" s="82"/>
      <c r="Y1158" s="82"/>
      <c r="Z1158" s="100"/>
      <c r="AA1158"/>
      <c r="AE1158" s="88"/>
      <c r="AF1158" s="72"/>
      <c r="AG1158" s="72"/>
      <c r="AH1158" s="72"/>
    </row>
    <row r="1159" spans="1:34">
      <c r="A1159" s="358" t="s">
        <v>137</v>
      </c>
      <c r="B1159" s="369">
        <v>1156</v>
      </c>
      <c r="C1159" s="360" t="s">
        <v>1789</v>
      </c>
      <c r="D1159" s="360" t="s">
        <v>779</v>
      </c>
      <c r="E1159" s="373">
        <v>45901.208333333336</v>
      </c>
      <c r="F1159" s="372" t="s">
        <v>140</v>
      </c>
      <c r="G1159" s="372">
        <v>10</v>
      </c>
      <c r="H1159" s="372" t="s">
        <v>1790</v>
      </c>
      <c r="I1159" s="372" t="s">
        <v>1791</v>
      </c>
      <c r="J1159" s="372"/>
      <c r="K1159" s="104"/>
      <c r="L1159" s="21"/>
      <c r="M1159" s="22"/>
      <c r="N1159" s="23"/>
      <c r="O1159" s="23"/>
      <c r="P1159" s="104"/>
      <c r="Q1159" s="23"/>
      <c r="R1159" s="81"/>
      <c r="S1159" s="22"/>
      <c r="T1159" s="22"/>
      <c r="U1159" s="24"/>
      <c r="V1159" s="23"/>
      <c r="W1159" s="82"/>
      <c r="X1159" s="82"/>
      <c r="Y1159" s="82"/>
      <c r="Z1159" s="100"/>
      <c r="AA1159"/>
    </row>
    <row r="1160" spans="1:34">
      <c r="A1160" s="358" t="s">
        <v>137</v>
      </c>
      <c r="B1160" s="369">
        <v>1157</v>
      </c>
      <c r="C1160" s="360" t="s">
        <v>1792</v>
      </c>
      <c r="D1160" s="360" t="s">
        <v>1793</v>
      </c>
      <c r="E1160" s="373">
        <v>45901.375</v>
      </c>
      <c r="F1160" s="372" t="s">
        <v>140</v>
      </c>
      <c r="G1160" s="372">
        <v>6</v>
      </c>
      <c r="H1160" s="372" t="s">
        <v>1721</v>
      </c>
      <c r="I1160" s="372" t="s">
        <v>1638</v>
      </c>
      <c r="J1160" s="372"/>
      <c r="K1160" s="21"/>
      <c r="L1160" s="21"/>
      <c r="M1160" s="22"/>
      <c r="N1160" s="23"/>
      <c r="O1160" s="23"/>
      <c r="P1160" s="23"/>
      <c r="Q1160" s="23"/>
      <c r="R1160" s="81"/>
      <c r="S1160" s="22"/>
      <c r="T1160" s="22"/>
      <c r="U1160" s="24"/>
      <c r="V1160" s="23"/>
      <c r="W1160" s="82"/>
      <c r="X1160" s="82"/>
      <c r="Y1160" s="82"/>
      <c r="Z1160" s="100"/>
      <c r="AA1160"/>
    </row>
    <row r="1161" spans="1:34">
      <c r="A1161" s="358" t="s">
        <v>137</v>
      </c>
      <c r="B1161" s="369">
        <v>1158</v>
      </c>
      <c r="C1161" s="360" t="s">
        <v>1794</v>
      </c>
      <c r="D1161" s="360" t="s">
        <v>519</v>
      </c>
      <c r="E1161" s="373">
        <v>45922.375</v>
      </c>
      <c r="F1161" s="372" t="s">
        <v>140</v>
      </c>
      <c r="G1161" s="372">
        <v>7</v>
      </c>
      <c r="H1161" s="372" t="s">
        <v>1795</v>
      </c>
      <c r="I1161" s="372">
        <v>45471.477083333331</v>
      </c>
      <c r="J1161" s="372"/>
      <c r="K1161" s="21"/>
      <c r="L1161" s="21"/>
      <c r="M1161" s="22"/>
      <c r="N1161" s="23"/>
      <c r="O1161" s="380"/>
      <c r="P1161" s="23"/>
      <c r="Q1161" s="23"/>
      <c r="R1161" s="81"/>
      <c r="S1161" s="22"/>
      <c r="T1161" s="22"/>
      <c r="U1161" s="24"/>
      <c r="V1161" s="23"/>
      <c r="W1161" s="82"/>
      <c r="X1161" s="82"/>
      <c r="Y1161" s="82"/>
      <c r="Z1161" s="100"/>
      <c r="AA1161"/>
      <c r="AE1161" s="88"/>
      <c r="AF1161" s="72"/>
      <c r="AG1161" s="72"/>
      <c r="AH1161" s="72"/>
    </row>
    <row r="1162" spans="1:34">
      <c r="A1162" s="358" t="s">
        <v>137</v>
      </c>
      <c r="B1162" s="369">
        <v>1159</v>
      </c>
      <c r="C1162" s="360" t="s">
        <v>1796</v>
      </c>
      <c r="D1162" s="360" t="s">
        <v>1797</v>
      </c>
      <c r="E1162" s="373">
        <v>45901.375</v>
      </c>
      <c r="F1162" s="372" t="s">
        <v>140</v>
      </c>
      <c r="G1162" s="372">
        <v>6</v>
      </c>
      <c r="H1162" s="372" t="s">
        <v>1721</v>
      </c>
      <c r="I1162" s="372" t="s">
        <v>1638</v>
      </c>
      <c r="J1162" s="372"/>
      <c r="K1162" s="21"/>
      <c r="L1162" s="21"/>
      <c r="M1162" s="22"/>
      <c r="N1162" s="23"/>
      <c r="O1162" s="380"/>
      <c r="P1162" s="23"/>
      <c r="Q1162" s="23"/>
      <c r="R1162" s="81"/>
      <c r="S1162" s="22"/>
      <c r="T1162" s="22"/>
      <c r="U1162" s="24"/>
      <c r="V1162" s="23"/>
      <c r="W1162" s="82"/>
      <c r="X1162" s="82"/>
      <c r="Y1162" s="82"/>
      <c r="Z1162" s="100"/>
      <c r="AA1162"/>
      <c r="AB1162" s="412"/>
      <c r="AC1162" s="412"/>
      <c r="AD1162" s="412"/>
      <c r="AE1162" s="412"/>
    </row>
    <row r="1163" spans="1:34">
      <c r="A1163" s="358" t="s">
        <v>137</v>
      </c>
      <c r="B1163" s="369">
        <v>1160</v>
      </c>
      <c r="C1163" s="360" t="s">
        <v>1798</v>
      </c>
      <c r="D1163" s="360" t="s">
        <v>1017</v>
      </c>
      <c r="E1163" s="373">
        <v>45901.375</v>
      </c>
      <c r="F1163" s="372" t="s">
        <v>140</v>
      </c>
      <c r="G1163" s="372">
        <v>2</v>
      </c>
      <c r="H1163" s="372" t="s">
        <v>1799</v>
      </c>
      <c r="I1163" s="372" t="s">
        <v>1800</v>
      </c>
      <c r="J1163" s="372"/>
      <c r="K1163" s="21"/>
      <c r="L1163" s="21"/>
      <c r="M1163" s="22"/>
      <c r="N1163" s="23"/>
      <c r="O1163" s="380"/>
      <c r="P1163" s="23"/>
      <c r="Q1163" s="23"/>
      <c r="R1163" s="81"/>
      <c r="S1163" s="22"/>
      <c r="T1163" s="22"/>
      <c r="U1163" s="24"/>
      <c r="V1163" s="23"/>
      <c r="W1163" s="82"/>
      <c r="X1163" s="82"/>
      <c r="Y1163" s="82"/>
      <c r="Z1163" s="100"/>
      <c r="AA1163"/>
      <c r="AF1163" s="72"/>
      <c r="AG1163" s="96"/>
      <c r="AH1163" s="96"/>
    </row>
    <row r="1164" spans="1:34">
      <c r="A1164" s="358" t="s">
        <v>137</v>
      </c>
      <c r="B1164" s="369">
        <v>1161</v>
      </c>
      <c r="C1164" s="360" t="s">
        <v>1801</v>
      </c>
      <c r="D1164" s="360" t="s">
        <v>829</v>
      </c>
      <c r="E1164" s="373">
        <v>45901.375</v>
      </c>
      <c r="F1164" s="372" t="s">
        <v>140</v>
      </c>
      <c r="G1164" s="372">
        <v>4</v>
      </c>
      <c r="H1164" s="372" t="s">
        <v>127</v>
      </c>
      <c r="I1164" s="372" t="s">
        <v>36</v>
      </c>
      <c r="J1164" s="372"/>
      <c r="K1164" s="21"/>
      <c r="L1164" s="21"/>
      <c r="M1164" s="22"/>
      <c r="N1164" s="23"/>
      <c r="O1164" s="23"/>
      <c r="P1164" s="23"/>
      <c r="Q1164" s="23"/>
      <c r="R1164" s="81"/>
      <c r="S1164" s="22"/>
      <c r="T1164" s="22"/>
      <c r="U1164" s="24"/>
      <c r="V1164" s="23"/>
      <c r="W1164" s="82"/>
      <c r="X1164" s="82"/>
      <c r="Y1164" s="82"/>
      <c r="Z1164" s="100"/>
      <c r="AA1164"/>
      <c r="AB1164" s="412"/>
      <c r="AC1164" s="412"/>
      <c r="AD1164" s="412"/>
      <c r="AE1164" s="412"/>
    </row>
    <row r="1165" spans="1:34">
      <c r="A1165" s="358" t="s">
        <v>137</v>
      </c>
      <c r="B1165" s="369">
        <v>1162</v>
      </c>
      <c r="C1165" s="360" t="s">
        <v>1802</v>
      </c>
      <c r="D1165" s="360" t="s">
        <v>937</v>
      </c>
      <c r="E1165" s="373">
        <v>45901.375</v>
      </c>
      <c r="F1165" s="372" t="s">
        <v>140</v>
      </c>
      <c r="G1165" s="372">
        <v>4</v>
      </c>
      <c r="H1165" s="372" t="s">
        <v>127</v>
      </c>
      <c r="I1165" s="372" t="s">
        <v>36</v>
      </c>
      <c r="J1165" s="372"/>
      <c r="K1165" s="104"/>
      <c r="L1165" s="21"/>
      <c r="M1165" s="22"/>
      <c r="N1165" s="23"/>
      <c r="O1165" s="23"/>
      <c r="P1165" s="104"/>
      <c r="Q1165" s="23"/>
      <c r="R1165" s="81"/>
      <c r="S1165" s="22"/>
      <c r="T1165" s="22"/>
      <c r="U1165" s="24"/>
      <c r="V1165" s="23"/>
      <c r="W1165" s="82"/>
      <c r="X1165" s="82"/>
      <c r="Y1165" s="82"/>
      <c r="Z1165" s="100"/>
      <c r="AA1165"/>
      <c r="AB1165" s="412"/>
      <c r="AC1165" s="412"/>
      <c r="AD1165" s="412"/>
      <c r="AE1165" s="412"/>
    </row>
    <row r="1166" spans="1:34">
      <c r="A1166" s="358" t="s">
        <v>137</v>
      </c>
      <c r="B1166" s="369">
        <v>1163</v>
      </c>
      <c r="C1166" s="360" t="s">
        <v>1803</v>
      </c>
      <c r="D1166" s="360" t="s">
        <v>1804</v>
      </c>
      <c r="E1166" s="373">
        <v>45908.375</v>
      </c>
      <c r="F1166" s="372" t="s">
        <v>140</v>
      </c>
      <c r="G1166" s="372">
        <v>1</v>
      </c>
      <c r="H1166" s="372" t="s">
        <v>127</v>
      </c>
      <c r="I1166" s="372" t="s">
        <v>36</v>
      </c>
      <c r="J1166" s="372"/>
      <c r="K1166" s="104"/>
      <c r="L1166" s="21"/>
      <c r="M1166" s="22"/>
      <c r="N1166" s="23"/>
      <c r="O1166" s="23"/>
      <c r="P1166" s="104"/>
      <c r="Q1166" s="23"/>
      <c r="R1166" s="81"/>
      <c r="S1166" s="22"/>
      <c r="T1166" s="22"/>
      <c r="U1166" s="24"/>
      <c r="V1166" s="23"/>
      <c r="W1166" s="82"/>
      <c r="X1166" s="82"/>
      <c r="Y1166" s="82"/>
      <c r="Z1166" s="100"/>
      <c r="AA1166"/>
    </row>
    <row r="1167" spans="1:34">
      <c r="A1167" s="358" t="s">
        <v>137</v>
      </c>
      <c r="B1167" s="369">
        <v>1164</v>
      </c>
      <c r="C1167" s="360" t="s">
        <v>1805</v>
      </c>
      <c r="D1167" s="360" t="s">
        <v>1025</v>
      </c>
      <c r="E1167" s="373">
        <v>45908.083333333336</v>
      </c>
      <c r="F1167" s="372" t="s">
        <v>140</v>
      </c>
      <c r="G1167" s="372">
        <v>1</v>
      </c>
      <c r="H1167" s="372" t="s">
        <v>1721</v>
      </c>
      <c r="I1167" s="372" t="s">
        <v>1638</v>
      </c>
      <c r="J1167" s="372"/>
      <c r="K1167" s="104"/>
      <c r="L1167" s="21"/>
      <c r="M1167" s="22"/>
      <c r="N1167" s="23"/>
      <c r="O1167" s="380"/>
      <c r="P1167" s="104"/>
      <c r="Q1167" s="23"/>
      <c r="R1167" s="81"/>
      <c r="S1167" s="22"/>
      <c r="T1167" s="22"/>
      <c r="U1167" s="24"/>
      <c r="V1167" s="23"/>
      <c r="W1167" s="82"/>
      <c r="X1167" s="82"/>
      <c r="Y1167" s="82"/>
      <c r="Z1167" s="100"/>
      <c r="AA1167"/>
    </row>
    <row r="1168" spans="1:34">
      <c r="A1168" s="358" t="s">
        <v>137</v>
      </c>
      <c r="B1168" s="369">
        <v>1165</v>
      </c>
      <c r="C1168" s="360" t="s">
        <v>1806</v>
      </c>
      <c r="D1168" s="360" t="s">
        <v>1807</v>
      </c>
      <c r="E1168" s="373">
        <v>45922.375</v>
      </c>
      <c r="F1168" s="372" t="s">
        <v>140</v>
      </c>
      <c r="G1168" s="372">
        <v>2</v>
      </c>
      <c r="H1168" s="372" t="s">
        <v>1799</v>
      </c>
      <c r="I1168" s="372" t="s">
        <v>1800</v>
      </c>
      <c r="J1168" s="372"/>
      <c r="K1168" s="21"/>
      <c r="L1168" s="21"/>
      <c r="M1168" s="22"/>
      <c r="N1168" s="23"/>
      <c r="O1168" s="380"/>
      <c r="P1168" s="23"/>
      <c r="Q1168" s="23"/>
      <c r="R1168" s="81"/>
      <c r="S1168" s="22"/>
      <c r="T1168" s="22"/>
      <c r="U1168" s="24"/>
      <c r="V1168" s="23"/>
      <c r="W1168" s="82"/>
      <c r="X1168" s="82"/>
      <c r="Y1168" s="82"/>
      <c r="Z1168" s="100"/>
      <c r="AA1168"/>
    </row>
    <row r="1169" spans="1:34">
      <c r="A1169" s="358" t="s">
        <v>137</v>
      </c>
      <c r="B1169" s="369">
        <v>1166</v>
      </c>
      <c r="C1169" s="360" t="s">
        <v>1808</v>
      </c>
      <c r="D1169" s="360" t="s">
        <v>969</v>
      </c>
      <c r="E1169" s="373">
        <v>45908.375</v>
      </c>
      <c r="F1169" s="372" t="s">
        <v>140</v>
      </c>
      <c r="G1169" s="372">
        <v>6</v>
      </c>
      <c r="H1169" s="372" t="s">
        <v>127</v>
      </c>
      <c r="I1169" s="372" t="s">
        <v>36</v>
      </c>
      <c r="J1169" s="372"/>
      <c r="K1169" s="21"/>
      <c r="L1169" s="21"/>
      <c r="M1169" s="22"/>
      <c r="N1169" s="23"/>
      <c r="O1169" s="23"/>
      <c r="P1169" s="23"/>
      <c r="Q1169" s="23"/>
      <c r="R1169" s="81"/>
      <c r="S1169" s="22"/>
      <c r="T1169" s="22"/>
      <c r="U1169" s="24"/>
      <c r="V1169" s="23"/>
      <c r="W1169" s="82"/>
      <c r="X1169" s="82"/>
      <c r="Y1169" s="82"/>
      <c r="Z1169" s="100"/>
      <c r="AA1169"/>
    </row>
    <row r="1170" spans="1:34">
      <c r="A1170" s="358" t="s">
        <v>137</v>
      </c>
      <c r="B1170" s="369">
        <v>1167</v>
      </c>
      <c r="C1170" s="360" t="s">
        <v>1809</v>
      </c>
      <c r="D1170" s="360" t="s">
        <v>1810</v>
      </c>
      <c r="E1170" s="373">
        <v>45922.375</v>
      </c>
      <c r="F1170" s="372" t="s">
        <v>140</v>
      </c>
      <c r="G1170" s="372">
        <v>6</v>
      </c>
      <c r="H1170" s="372" t="s">
        <v>1811</v>
      </c>
      <c r="I1170" s="372" t="s">
        <v>1812</v>
      </c>
      <c r="J1170" s="372"/>
      <c r="K1170" s="101"/>
      <c r="L1170" s="21"/>
      <c r="M1170" s="22"/>
      <c r="N1170" s="23"/>
      <c r="O1170" s="380"/>
      <c r="P1170" s="101"/>
      <c r="Q1170" s="23"/>
      <c r="R1170" s="81"/>
      <c r="S1170" s="22"/>
      <c r="T1170" s="22"/>
      <c r="U1170" s="24"/>
      <c r="V1170" s="23"/>
      <c r="W1170" s="82"/>
      <c r="X1170" s="82"/>
      <c r="Y1170" s="82"/>
      <c r="Z1170" s="100"/>
      <c r="AA1170" s="91"/>
      <c r="AB1170" s="91"/>
      <c r="AF1170" s="72"/>
      <c r="AG1170" s="96"/>
      <c r="AH1170" s="96"/>
    </row>
    <row r="1171" spans="1:34">
      <c r="A1171" s="358" t="s">
        <v>137</v>
      </c>
      <c r="B1171" s="369">
        <v>1168</v>
      </c>
      <c r="C1171" s="360" t="s">
        <v>1813</v>
      </c>
      <c r="D1171" s="360" t="s">
        <v>1814</v>
      </c>
      <c r="E1171" s="373">
        <v>45922.375</v>
      </c>
      <c r="F1171" s="372" t="s">
        <v>140</v>
      </c>
      <c r="G1171" s="372">
        <v>1</v>
      </c>
      <c r="H1171" s="372" t="s">
        <v>1077</v>
      </c>
      <c r="I1171" s="372" t="s">
        <v>1138</v>
      </c>
      <c r="J1171" s="372"/>
      <c r="K1171" s="101"/>
      <c r="L1171" s="21"/>
      <c r="M1171" s="22"/>
      <c r="N1171" s="23"/>
      <c r="O1171" s="23"/>
      <c r="P1171" s="101"/>
      <c r="Q1171" s="23"/>
      <c r="R1171" s="81"/>
      <c r="S1171" s="22"/>
      <c r="U1171" s="24"/>
      <c r="V1171" s="23"/>
      <c r="W1171" s="82"/>
      <c r="X1171" s="82"/>
      <c r="Y1171" s="82"/>
      <c r="Z1171" s="100"/>
      <c r="AA1171"/>
      <c r="AF1171" s="72"/>
      <c r="AG1171" s="96"/>
      <c r="AH1171" s="96"/>
    </row>
    <row r="1172" spans="1:34">
      <c r="A1172" s="358" t="s">
        <v>137</v>
      </c>
      <c r="B1172" s="369">
        <v>1169</v>
      </c>
      <c r="C1172" s="360" t="s">
        <v>1815</v>
      </c>
      <c r="D1172" s="360" t="s">
        <v>865</v>
      </c>
      <c r="E1172" s="373">
        <v>45908.083333333336</v>
      </c>
      <c r="F1172" s="372" t="s">
        <v>140</v>
      </c>
      <c r="G1172" s="372">
        <v>5</v>
      </c>
      <c r="H1172" s="372" t="s">
        <v>1077</v>
      </c>
      <c r="I1172" s="372" t="s">
        <v>1138</v>
      </c>
      <c r="J1172" s="372"/>
      <c r="K1172" s="21"/>
      <c r="L1172" s="21"/>
      <c r="M1172" s="22"/>
      <c r="N1172" s="23"/>
      <c r="O1172" s="380"/>
      <c r="P1172" s="23"/>
      <c r="Q1172" s="23"/>
      <c r="R1172" s="81"/>
      <c r="S1172" s="22"/>
      <c r="T1172" s="22"/>
      <c r="U1172" s="24"/>
      <c r="V1172" s="23"/>
      <c r="W1172" s="82"/>
      <c r="X1172" s="82"/>
      <c r="Y1172" s="82"/>
      <c r="Z1172" s="100"/>
      <c r="AA1172" s="91"/>
      <c r="AB1172" s="91"/>
      <c r="AF1172" s="72"/>
      <c r="AG1172" s="96"/>
      <c r="AH1172" s="96"/>
    </row>
    <row r="1173" spans="1:34">
      <c r="A1173" s="358" t="s">
        <v>137</v>
      </c>
      <c r="B1173" s="369">
        <v>1170</v>
      </c>
      <c r="C1173" s="360" t="s">
        <v>1816</v>
      </c>
      <c r="D1173" s="360" t="s">
        <v>1817</v>
      </c>
      <c r="E1173" s="373">
        <v>45908.458333333336</v>
      </c>
      <c r="F1173" s="372" t="s">
        <v>140</v>
      </c>
      <c r="G1173" s="372">
        <v>9</v>
      </c>
      <c r="H1173" s="372" t="s">
        <v>1818</v>
      </c>
      <c r="I1173" s="372" t="s">
        <v>1819</v>
      </c>
      <c r="J1173" s="372"/>
      <c r="K1173" s="21"/>
      <c r="L1173" s="21"/>
      <c r="M1173" s="22"/>
      <c r="N1173" s="23"/>
      <c r="O1173" s="380"/>
      <c r="P1173" s="23"/>
      <c r="Q1173" s="23"/>
      <c r="R1173" s="81"/>
      <c r="S1173" s="22"/>
      <c r="T1173" s="22"/>
      <c r="U1173" s="24"/>
      <c r="V1173" s="23"/>
      <c r="W1173" s="82"/>
      <c r="X1173" s="82"/>
      <c r="Y1173" s="82"/>
      <c r="Z1173" s="100"/>
      <c r="AA1173"/>
      <c r="AF1173" s="72"/>
      <c r="AG1173" s="96"/>
      <c r="AH1173" s="96"/>
    </row>
    <row r="1174" spans="1:34">
      <c r="A1174" s="358" t="s">
        <v>137</v>
      </c>
      <c r="B1174" s="369">
        <v>1171</v>
      </c>
      <c r="C1174" s="360" t="s">
        <v>1820</v>
      </c>
      <c r="D1174" s="360" t="s">
        <v>1230</v>
      </c>
      <c r="E1174" s="373">
        <v>45908.375</v>
      </c>
      <c r="F1174" s="372" t="s">
        <v>140</v>
      </c>
      <c r="G1174" s="372">
        <v>1</v>
      </c>
      <c r="H1174" s="372" t="s">
        <v>1721</v>
      </c>
      <c r="I1174" s="372" t="s">
        <v>1638</v>
      </c>
      <c r="J1174" s="372"/>
      <c r="K1174" s="21"/>
      <c r="L1174" s="21"/>
      <c r="M1174" s="22"/>
      <c r="N1174" s="23"/>
      <c r="O1174" s="23"/>
      <c r="P1174" s="23"/>
      <c r="Q1174" s="23"/>
      <c r="R1174" s="81"/>
      <c r="S1174" s="22"/>
      <c r="T1174" s="22"/>
      <c r="U1174" s="24"/>
      <c r="V1174" s="23"/>
      <c r="W1174" s="82"/>
      <c r="X1174" s="82"/>
      <c r="Y1174" s="82"/>
      <c r="Z1174" s="100"/>
      <c r="AA1174"/>
    </row>
    <row r="1175" spans="1:34">
      <c r="A1175" s="358" t="s">
        <v>137</v>
      </c>
      <c r="B1175" s="369">
        <v>1172</v>
      </c>
      <c r="C1175" s="360" t="s">
        <v>1821</v>
      </c>
      <c r="D1175" s="360" t="s">
        <v>354</v>
      </c>
      <c r="E1175" s="373">
        <v>45908.375</v>
      </c>
      <c r="F1175" s="372" t="s">
        <v>140</v>
      </c>
      <c r="G1175" s="372">
        <v>1</v>
      </c>
      <c r="H1175" s="372" t="s">
        <v>1077</v>
      </c>
      <c r="I1175" s="372" t="s">
        <v>1138</v>
      </c>
      <c r="J1175" s="372"/>
      <c r="K1175" s="21"/>
      <c r="L1175" s="21"/>
      <c r="M1175" s="22"/>
      <c r="N1175" s="23"/>
      <c r="O1175" s="62"/>
      <c r="P1175" s="23"/>
      <c r="Q1175" s="23"/>
      <c r="R1175" s="81"/>
      <c r="S1175" s="22"/>
      <c r="T1175" s="22"/>
      <c r="U1175" s="24"/>
      <c r="V1175" s="23"/>
      <c r="W1175" s="82"/>
      <c r="X1175" s="82"/>
      <c r="Y1175" s="82"/>
      <c r="Z1175" s="100"/>
      <c r="AA1175"/>
      <c r="AF1175" s="72"/>
      <c r="AG1175" s="96"/>
      <c r="AH1175" s="96"/>
    </row>
    <row r="1176" spans="1:34">
      <c r="A1176" s="358" t="s">
        <v>137</v>
      </c>
      <c r="B1176" s="369">
        <v>1173</v>
      </c>
      <c r="C1176" s="360" t="s">
        <v>1822</v>
      </c>
      <c r="D1176" s="360" t="s">
        <v>1212</v>
      </c>
      <c r="E1176" s="373">
        <v>45908.375</v>
      </c>
      <c r="F1176" s="372" t="s">
        <v>140</v>
      </c>
      <c r="G1176" s="372">
        <v>1</v>
      </c>
      <c r="H1176" s="372" t="s">
        <v>1077</v>
      </c>
      <c r="I1176" s="372" t="s">
        <v>1138</v>
      </c>
      <c r="J1176" s="372"/>
      <c r="K1176" s="21"/>
      <c r="L1176" s="21"/>
      <c r="M1176" s="22"/>
      <c r="N1176" s="23"/>
      <c r="O1176" s="62"/>
      <c r="P1176" s="23"/>
      <c r="Q1176" s="23"/>
      <c r="R1176" s="81"/>
      <c r="S1176" s="22"/>
      <c r="T1176" s="22"/>
      <c r="U1176" s="24"/>
      <c r="V1176" s="23"/>
      <c r="W1176" s="82"/>
      <c r="X1176" s="82"/>
      <c r="Y1176" s="82"/>
      <c r="Z1176" s="100"/>
      <c r="AA1176"/>
      <c r="AF1176" s="72"/>
      <c r="AG1176" s="96"/>
      <c r="AH1176" s="96"/>
    </row>
    <row r="1177" spans="1:34">
      <c r="A1177" s="358" t="s">
        <v>137</v>
      </c>
      <c r="B1177" s="369">
        <v>1174</v>
      </c>
      <c r="C1177" s="360" t="s">
        <v>1823</v>
      </c>
      <c r="D1177" s="360" t="s">
        <v>937</v>
      </c>
      <c r="E1177" s="373">
        <v>45908.375</v>
      </c>
      <c r="F1177" s="372" t="s">
        <v>140</v>
      </c>
      <c r="G1177" s="372">
        <v>2</v>
      </c>
      <c r="H1177" s="372" t="s">
        <v>127</v>
      </c>
      <c r="I1177" s="372" t="s">
        <v>36</v>
      </c>
      <c r="J1177" s="372"/>
      <c r="K1177" s="21"/>
      <c r="L1177" s="21"/>
      <c r="M1177" s="22"/>
      <c r="N1177" s="23"/>
      <c r="O1177" s="380"/>
      <c r="P1177" s="23"/>
      <c r="Q1177" s="23"/>
      <c r="R1177" s="81"/>
      <c r="S1177" s="22"/>
      <c r="T1177" s="22"/>
      <c r="U1177" s="24"/>
      <c r="V1177" s="23"/>
      <c r="W1177" s="82"/>
      <c r="X1177" s="82"/>
      <c r="Y1177" s="82"/>
      <c r="Z1177" s="100"/>
      <c r="AA1177"/>
    </row>
    <row r="1178" spans="1:34">
      <c r="A1178" s="358" t="s">
        <v>137</v>
      </c>
      <c r="B1178" s="369">
        <v>1175</v>
      </c>
      <c r="C1178" s="360" t="s">
        <v>1824</v>
      </c>
      <c r="D1178" s="360" t="s">
        <v>779</v>
      </c>
      <c r="E1178" s="373">
        <v>45908</v>
      </c>
      <c r="F1178" s="372" t="s">
        <v>140</v>
      </c>
      <c r="G1178" s="372">
        <v>2</v>
      </c>
      <c r="H1178" s="372" t="s">
        <v>127</v>
      </c>
      <c r="I1178" s="372" t="s">
        <v>36</v>
      </c>
      <c r="J1178" s="372"/>
      <c r="K1178" s="21"/>
      <c r="L1178" s="21"/>
      <c r="M1178" s="22"/>
      <c r="N1178" s="23"/>
      <c r="O1178" s="23"/>
      <c r="P1178" s="23"/>
      <c r="Q1178" s="23"/>
      <c r="R1178" s="81"/>
      <c r="S1178" s="22"/>
      <c r="T1178" s="22"/>
      <c r="U1178" s="24"/>
      <c r="V1178" s="23"/>
      <c r="W1178" s="82"/>
      <c r="X1178" s="82"/>
      <c r="Y1178" s="82"/>
      <c r="Z1178" s="100"/>
      <c r="AA1178"/>
    </row>
    <row r="1179" spans="1:34">
      <c r="A1179" s="358" t="s">
        <v>137</v>
      </c>
      <c r="B1179" s="369">
        <v>1176</v>
      </c>
      <c r="C1179" s="360" t="s">
        <v>1825</v>
      </c>
      <c r="D1179" s="360" t="s">
        <v>1826</v>
      </c>
      <c r="E1179" s="373">
        <v>45908.375</v>
      </c>
      <c r="F1179" s="372" t="s">
        <v>140</v>
      </c>
      <c r="G1179" s="372">
        <v>3</v>
      </c>
      <c r="H1179" s="372" t="s">
        <v>1721</v>
      </c>
      <c r="I1179" s="372" t="s">
        <v>1638</v>
      </c>
      <c r="J1179" s="372"/>
      <c r="K1179" s="21"/>
      <c r="L1179" s="21"/>
      <c r="M1179" s="22"/>
      <c r="N1179" s="23"/>
      <c r="O1179" s="380"/>
      <c r="P1179" s="23"/>
      <c r="Q1179" s="23"/>
      <c r="R1179" s="81"/>
      <c r="S1179" s="22"/>
      <c r="T1179" s="22"/>
      <c r="U1179" s="24"/>
      <c r="V1179" s="23"/>
      <c r="W1179" s="82"/>
      <c r="X1179" s="82"/>
      <c r="Y1179" s="82"/>
      <c r="Z1179" s="100"/>
      <c r="AA1179"/>
      <c r="AE1179" s="88"/>
      <c r="AF1179" s="72"/>
      <c r="AG1179" s="72"/>
      <c r="AH1179" s="72"/>
    </row>
    <row r="1180" spans="1:34">
      <c r="A1180" s="358" t="s">
        <v>137</v>
      </c>
      <c r="B1180" s="369">
        <v>1177</v>
      </c>
      <c r="C1180" s="360" t="s">
        <v>1827</v>
      </c>
      <c r="D1180" s="360" t="s">
        <v>1184</v>
      </c>
      <c r="E1180" s="373">
        <v>45915</v>
      </c>
      <c r="F1180" s="372" t="s">
        <v>140</v>
      </c>
      <c r="G1180" s="372">
        <v>1</v>
      </c>
      <c r="H1180" s="372" t="s">
        <v>1725</v>
      </c>
      <c r="I1180" s="372" t="s">
        <v>47</v>
      </c>
      <c r="J1180" s="372"/>
      <c r="K1180" s="104"/>
      <c r="L1180" s="21"/>
      <c r="M1180" s="22"/>
      <c r="N1180" s="23"/>
      <c r="O1180" s="380"/>
      <c r="P1180" s="104"/>
      <c r="Q1180" s="23"/>
      <c r="R1180" s="81"/>
      <c r="S1180" s="22"/>
      <c r="T1180" s="22"/>
      <c r="U1180" s="24"/>
      <c r="V1180" s="23"/>
      <c r="W1180" s="82"/>
      <c r="X1180" s="82"/>
      <c r="Y1180" s="82"/>
      <c r="Z1180" s="100"/>
      <c r="AA1180"/>
      <c r="AF1180" s="72"/>
      <c r="AG1180" s="96"/>
      <c r="AH1180" s="96"/>
    </row>
    <row r="1181" spans="1:34">
      <c r="A1181" s="358" t="s">
        <v>137</v>
      </c>
      <c r="B1181" s="369">
        <v>1178</v>
      </c>
      <c r="C1181" s="360" t="s">
        <v>1828</v>
      </c>
      <c r="D1181" s="360" t="s">
        <v>1829</v>
      </c>
      <c r="E1181" s="373">
        <v>45915</v>
      </c>
      <c r="F1181" s="372" t="s">
        <v>140</v>
      </c>
      <c r="G1181" s="372">
        <v>1</v>
      </c>
      <c r="H1181" s="372" t="s">
        <v>1721</v>
      </c>
      <c r="I1181" s="372" t="s">
        <v>1638</v>
      </c>
      <c r="J1181" s="372"/>
      <c r="K1181" s="104"/>
      <c r="L1181" s="21"/>
      <c r="M1181" s="22"/>
      <c r="N1181" s="23"/>
      <c r="O1181" s="23"/>
      <c r="P1181" s="104"/>
      <c r="Q1181" s="23"/>
      <c r="R1181" s="81"/>
      <c r="S1181" s="22"/>
      <c r="T1181" s="22"/>
      <c r="U1181" s="24"/>
      <c r="V1181" s="23"/>
      <c r="W1181" s="82"/>
      <c r="X1181" s="82"/>
      <c r="Y1181" s="82"/>
      <c r="Z1181" s="100"/>
      <c r="AA1181"/>
    </row>
    <row r="1182" spans="1:34">
      <c r="A1182" s="358" t="s">
        <v>137</v>
      </c>
      <c r="B1182" s="369">
        <v>1179</v>
      </c>
      <c r="C1182" s="360" t="s">
        <v>1830</v>
      </c>
      <c r="D1182" s="360" t="s">
        <v>779</v>
      </c>
      <c r="E1182" s="373">
        <v>45915</v>
      </c>
      <c r="F1182" s="372" t="s">
        <v>140</v>
      </c>
      <c r="G1182" s="372">
        <v>3</v>
      </c>
      <c r="H1182" s="372" t="s">
        <v>1831</v>
      </c>
      <c r="I1182" s="372" t="s">
        <v>1832</v>
      </c>
      <c r="J1182" s="372"/>
      <c r="K1182" s="21"/>
      <c r="L1182" s="21"/>
      <c r="M1182" s="22"/>
      <c r="N1182" s="23"/>
      <c r="O1182" s="23"/>
      <c r="P1182" s="23"/>
      <c r="Q1182" s="23"/>
      <c r="R1182" s="81"/>
      <c r="S1182" s="22"/>
      <c r="T1182" s="22"/>
      <c r="U1182" s="24"/>
      <c r="V1182" s="23"/>
      <c r="W1182" s="82"/>
      <c r="X1182" s="82"/>
      <c r="Y1182" s="82"/>
      <c r="Z1182" s="100"/>
      <c r="AA1182"/>
    </row>
    <row r="1183" spans="1:34">
      <c r="A1183" s="358" t="s">
        <v>137</v>
      </c>
      <c r="B1183" s="369">
        <v>1180</v>
      </c>
      <c r="C1183" s="360" t="s">
        <v>1833</v>
      </c>
      <c r="D1183" s="360" t="s">
        <v>937</v>
      </c>
      <c r="E1183" s="373">
        <v>45915</v>
      </c>
      <c r="F1183" s="372" t="s">
        <v>140</v>
      </c>
      <c r="G1183" s="372">
        <v>15</v>
      </c>
      <c r="H1183" s="372" t="s">
        <v>1811</v>
      </c>
      <c r="I1183" s="372" t="s">
        <v>1812</v>
      </c>
      <c r="J1183" s="372" t="s">
        <v>1834</v>
      </c>
      <c r="K1183" s="21"/>
      <c r="L1183" s="21"/>
      <c r="M1183" s="22"/>
      <c r="N1183" s="23"/>
      <c r="O1183" s="380" t="s">
        <v>31</v>
      </c>
      <c r="P1183" s="23"/>
      <c r="Q1183" s="23"/>
      <c r="R1183" s="81"/>
      <c r="S1183" s="22"/>
      <c r="T1183" s="22"/>
      <c r="U1183" s="24"/>
      <c r="V1183" s="23"/>
      <c r="W1183" s="82"/>
      <c r="X1183" s="82"/>
      <c r="Y1183" s="82"/>
      <c r="Z1183" s="100"/>
      <c r="AA1183" s="6">
        <v>1</v>
      </c>
      <c r="AB1183" s="6">
        <v>0</v>
      </c>
      <c r="AC1183" s="6">
        <v>20</v>
      </c>
      <c r="AD1183" s="6">
        <v>1</v>
      </c>
      <c r="AE1183" s="6">
        <f>SUM(AA1183:AD1183)</f>
        <v>22</v>
      </c>
      <c r="AF1183" s="108">
        <f>+AA1183/AE1183*AF$1</f>
        <v>0</v>
      </c>
      <c r="AG1183" s="109">
        <f>+AB1183/AE1183*AG$1</f>
        <v>0</v>
      </c>
      <c r="AH1183" s="109">
        <f>+AC1183/AE1183*AH$1</f>
        <v>0</v>
      </c>
    </row>
    <row r="1184" spans="1:34">
      <c r="A1184" s="358" t="s">
        <v>137</v>
      </c>
      <c r="B1184" s="369">
        <v>1181</v>
      </c>
      <c r="C1184" s="360" t="s">
        <v>1835</v>
      </c>
      <c r="D1184" s="360" t="s">
        <v>969</v>
      </c>
      <c r="E1184" s="373">
        <v>45915</v>
      </c>
      <c r="F1184" s="372" t="s">
        <v>140</v>
      </c>
      <c r="G1184" s="372">
        <v>4</v>
      </c>
      <c r="H1184" s="372" t="s">
        <v>127</v>
      </c>
      <c r="I1184" s="372" t="s">
        <v>36</v>
      </c>
      <c r="J1184" s="372"/>
      <c r="K1184" s="21"/>
      <c r="L1184" s="21"/>
      <c r="M1184" s="22"/>
      <c r="N1184" s="23"/>
      <c r="O1184" s="380"/>
      <c r="P1184" s="23"/>
      <c r="Q1184" s="23"/>
      <c r="R1184" s="81"/>
      <c r="S1184" s="22"/>
      <c r="T1184" s="22"/>
      <c r="U1184" s="24"/>
      <c r="V1184" s="23"/>
      <c r="W1184" s="82"/>
      <c r="X1184" s="82"/>
      <c r="Y1184" s="82"/>
      <c r="Z1184" s="100"/>
      <c r="AA1184"/>
      <c r="AB1184" s="412"/>
      <c r="AC1184" s="412"/>
      <c r="AD1184" s="412"/>
      <c r="AE1184" s="412"/>
    </row>
    <row r="1185" spans="1:34">
      <c r="A1185" s="358" t="s">
        <v>137</v>
      </c>
      <c r="B1185" s="369">
        <v>1182</v>
      </c>
      <c r="C1185" s="360" t="s">
        <v>1836</v>
      </c>
      <c r="D1185" s="360" t="s">
        <v>1837</v>
      </c>
      <c r="E1185" s="373">
        <v>45915.083333333336</v>
      </c>
      <c r="F1185" s="372" t="s">
        <v>140</v>
      </c>
      <c r="G1185" s="372">
        <v>7</v>
      </c>
      <c r="H1185" s="372" t="s">
        <v>127</v>
      </c>
      <c r="I1185" s="372" t="s">
        <v>36</v>
      </c>
      <c r="J1185" s="372"/>
      <c r="K1185" s="21"/>
      <c r="L1185" s="21"/>
      <c r="M1185" s="22"/>
      <c r="N1185" s="23"/>
      <c r="O1185" s="380"/>
      <c r="P1185" s="23"/>
      <c r="Q1185" s="23"/>
      <c r="R1185" s="81"/>
      <c r="S1185" s="22"/>
      <c r="T1185" s="22"/>
      <c r="U1185" s="24"/>
      <c r="V1185" s="23"/>
      <c r="W1185" s="82"/>
      <c r="X1185" s="82"/>
      <c r="Y1185" s="82"/>
      <c r="Z1185" s="100"/>
      <c r="AA1185"/>
      <c r="AF1185" s="72"/>
      <c r="AG1185" s="96"/>
      <c r="AH1185" s="96"/>
    </row>
    <row r="1186" spans="1:34">
      <c r="A1186" s="358" t="s">
        <v>137</v>
      </c>
      <c r="B1186" s="369">
        <v>1183</v>
      </c>
      <c r="C1186" s="360" t="s">
        <v>1838</v>
      </c>
      <c r="D1186" s="360" t="s">
        <v>1839</v>
      </c>
      <c r="E1186" s="373">
        <v>45915.375</v>
      </c>
      <c r="F1186" s="372" t="s">
        <v>140</v>
      </c>
      <c r="G1186" s="372">
        <v>3</v>
      </c>
      <c r="H1186" s="372" t="s">
        <v>1077</v>
      </c>
      <c r="I1186" s="372" t="s">
        <v>1138</v>
      </c>
      <c r="J1186" s="372"/>
      <c r="K1186" s="21"/>
      <c r="L1186" s="21"/>
      <c r="M1186" s="22"/>
      <c r="N1186" s="23"/>
      <c r="O1186" s="23"/>
      <c r="P1186" s="23"/>
      <c r="Q1186" s="23"/>
      <c r="R1186" s="81"/>
      <c r="S1186" s="22"/>
      <c r="T1186" s="22"/>
      <c r="U1186" s="24"/>
      <c r="V1186" s="23"/>
      <c r="W1186" s="82"/>
      <c r="X1186" s="82"/>
      <c r="Y1186" s="82"/>
      <c r="Z1186" s="100"/>
      <c r="AA1186"/>
      <c r="AB1186" s="412"/>
      <c r="AC1186" s="412"/>
      <c r="AD1186" s="412"/>
      <c r="AE1186" s="412"/>
    </row>
    <row r="1187" spans="1:34">
      <c r="A1187" s="358" t="s">
        <v>137</v>
      </c>
      <c r="B1187" s="369">
        <v>1184</v>
      </c>
      <c r="C1187" s="360" t="s">
        <v>1840</v>
      </c>
      <c r="D1187" s="360" t="s">
        <v>1841</v>
      </c>
      <c r="E1187" s="373">
        <v>45915.375</v>
      </c>
      <c r="F1187" s="372" t="s">
        <v>140</v>
      </c>
      <c r="G1187" s="372">
        <v>1</v>
      </c>
      <c r="H1187" s="372" t="s">
        <v>127</v>
      </c>
      <c r="I1187" s="372" t="s">
        <v>36</v>
      </c>
      <c r="J1187" s="372"/>
      <c r="K1187" s="104"/>
      <c r="L1187" s="21"/>
      <c r="M1187" s="22"/>
      <c r="N1187" s="23"/>
      <c r="O1187" s="23"/>
      <c r="P1187" s="104"/>
      <c r="Q1187" s="23"/>
      <c r="R1187" s="81"/>
      <c r="S1187" s="22"/>
      <c r="T1187" s="22"/>
      <c r="U1187" s="24"/>
      <c r="V1187" s="23"/>
      <c r="W1187" s="82"/>
      <c r="X1187" s="82"/>
      <c r="Y1187" s="82"/>
      <c r="Z1187" s="100"/>
      <c r="AA1187"/>
      <c r="AB1187" s="412"/>
      <c r="AC1187" s="412"/>
      <c r="AD1187" s="412"/>
      <c r="AE1187" s="412"/>
    </row>
    <row r="1188" spans="1:34">
      <c r="A1188" s="358" t="s">
        <v>137</v>
      </c>
      <c r="B1188" s="369">
        <v>1185</v>
      </c>
      <c r="C1188" s="360" t="s">
        <v>1842</v>
      </c>
      <c r="D1188" s="360" t="s">
        <v>1198</v>
      </c>
      <c r="E1188" s="373">
        <v>45915.375</v>
      </c>
      <c r="F1188" s="372" t="s">
        <v>140</v>
      </c>
      <c r="G1188" s="372">
        <v>17</v>
      </c>
      <c r="H1188" s="372" t="s">
        <v>1843</v>
      </c>
      <c r="I1188" s="372" t="s">
        <v>1844</v>
      </c>
      <c r="J1188" s="372"/>
      <c r="K1188" s="104"/>
      <c r="L1188" s="21"/>
      <c r="M1188" s="22"/>
      <c r="N1188" s="23"/>
      <c r="O1188" s="380" t="s">
        <v>31</v>
      </c>
      <c r="P1188" s="104"/>
      <c r="Q1188" s="23"/>
      <c r="R1188" s="81"/>
      <c r="S1188" s="22"/>
      <c r="T1188" s="22"/>
      <c r="U1188" s="24"/>
      <c r="V1188" s="23"/>
      <c r="W1188" s="82"/>
      <c r="X1188" s="82"/>
      <c r="Y1188" s="82"/>
      <c r="Z1188" s="100"/>
      <c r="AA1188" s="6">
        <v>6</v>
      </c>
      <c r="AB1188" s="6">
        <v>0</v>
      </c>
      <c r="AC1188" s="6">
        <v>10</v>
      </c>
      <c r="AD1188" s="6">
        <v>1</v>
      </c>
      <c r="AE1188" s="6">
        <f>SUM(AA1188:AD1188)</f>
        <v>17</v>
      </c>
      <c r="AF1188" s="108">
        <f>+AA1188/AE1188*AF$1</f>
        <v>0</v>
      </c>
      <c r="AG1188" s="109">
        <f>+AB1188/AE1188*AG$1</f>
        <v>0</v>
      </c>
      <c r="AH1188" s="109">
        <f>+AC1188/AE1188*AH$1</f>
        <v>0</v>
      </c>
    </row>
    <row r="1189" spans="1:34">
      <c r="A1189" s="358" t="s">
        <v>137</v>
      </c>
      <c r="B1189" s="369">
        <v>1186</v>
      </c>
      <c r="C1189" s="360" t="s">
        <v>1845</v>
      </c>
      <c r="D1189" s="360" t="s">
        <v>998</v>
      </c>
      <c r="E1189" s="373">
        <v>45915.375</v>
      </c>
      <c r="F1189" s="372" t="s">
        <v>140</v>
      </c>
      <c r="G1189" s="372">
        <v>7</v>
      </c>
      <c r="H1189" s="372" t="s">
        <v>1725</v>
      </c>
      <c r="I1189" s="372" t="s">
        <v>47</v>
      </c>
      <c r="J1189" s="372"/>
      <c r="K1189" s="104"/>
      <c r="L1189" s="21"/>
      <c r="M1189" s="22"/>
      <c r="N1189" s="23"/>
      <c r="O1189" s="380"/>
      <c r="P1189" s="104"/>
      <c r="Q1189" s="23"/>
      <c r="R1189" s="81"/>
      <c r="S1189" s="22"/>
      <c r="T1189" s="22"/>
      <c r="U1189" s="24"/>
      <c r="V1189" s="23"/>
      <c r="W1189" s="82"/>
      <c r="X1189" s="82"/>
      <c r="Y1189" s="82"/>
      <c r="Z1189" s="100"/>
      <c r="AA1189"/>
    </row>
    <row r="1190" spans="1:34">
      <c r="A1190" s="358" t="s">
        <v>137</v>
      </c>
      <c r="B1190" s="369">
        <v>1187</v>
      </c>
      <c r="C1190" s="360" t="s">
        <v>1846</v>
      </c>
      <c r="D1190" s="360" t="s">
        <v>798</v>
      </c>
      <c r="E1190" s="373">
        <v>45915</v>
      </c>
      <c r="F1190" s="372" t="s">
        <v>140</v>
      </c>
      <c r="G1190" s="372">
        <v>2</v>
      </c>
      <c r="H1190" s="372" t="s">
        <v>1721</v>
      </c>
      <c r="I1190" s="372" t="s">
        <v>1638</v>
      </c>
      <c r="J1190" s="372"/>
      <c r="K1190" s="21"/>
      <c r="L1190" s="21"/>
      <c r="M1190" s="22"/>
      <c r="N1190" s="23"/>
      <c r="O1190" s="380"/>
      <c r="P1190" s="23"/>
      <c r="Q1190" s="23"/>
      <c r="R1190" s="81"/>
      <c r="S1190" s="22"/>
      <c r="T1190" s="22"/>
      <c r="U1190" s="24"/>
      <c r="V1190" s="23"/>
      <c r="W1190" s="82"/>
      <c r="X1190" s="82"/>
      <c r="Y1190" s="82"/>
      <c r="Z1190" s="100"/>
      <c r="AA1190"/>
    </row>
    <row r="1191" spans="1:34">
      <c r="A1191" s="358" t="s">
        <v>137</v>
      </c>
      <c r="B1191" s="369">
        <v>1188</v>
      </c>
      <c r="C1191" s="360" t="s">
        <v>1847</v>
      </c>
      <c r="D1191" s="360" t="s">
        <v>1245</v>
      </c>
      <c r="E1191" s="373">
        <v>45915.375</v>
      </c>
      <c r="F1191" s="372" t="s">
        <v>140</v>
      </c>
      <c r="G1191" s="372">
        <v>1</v>
      </c>
      <c r="H1191" s="372" t="s">
        <v>1721</v>
      </c>
      <c r="I1191" s="372" t="s">
        <v>1638</v>
      </c>
      <c r="J1191" s="372"/>
      <c r="K1191" s="21"/>
      <c r="L1191" s="21"/>
      <c r="M1191" s="22"/>
      <c r="N1191" s="23"/>
      <c r="O1191" s="23"/>
      <c r="P1191" s="23"/>
      <c r="Q1191" s="23"/>
      <c r="R1191" s="81"/>
      <c r="S1191" s="22"/>
      <c r="T1191" s="22"/>
      <c r="U1191" s="24"/>
      <c r="V1191" s="23"/>
      <c r="W1191" s="82"/>
      <c r="X1191" s="82"/>
      <c r="Y1191" s="82"/>
      <c r="Z1191" s="100"/>
      <c r="AA1191"/>
    </row>
    <row r="1192" spans="1:34">
      <c r="A1192" s="358" t="s">
        <v>137</v>
      </c>
      <c r="B1192" s="369">
        <v>1189</v>
      </c>
      <c r="C1192" s="360" t="s">
        <v>1848</v>
      </c>
      <c r="D1192" s="360" t="s">
        <v>1025</v>
      </c>
      <c r="E1192" s="373">
        <v>45915.375</v>
      </c>
      <c r="F1192" s="372" t="s">
        <v>140</v>
      </c>
      <c r="G1192" s="372">
        <v>1</v>
      </c>
      <c r="H1192" s="372" t="s">
        <v>1725</v>
      </c>
      <c r="I1192" s="372" t="s">
        <v>47</v>
      </c>
      <c r="J1192" s="372"/>
      <c r="K1192" s="101"/>
      <c r="L1192" s="21"/>
      <c r="M1192" s="22"/>
      <c r="N1192" s="23"/>
      <c r="O1192" s="380"/>
      <c r="P1192" s="101"/>
      <c r="Q1192" s="23"/>
      <c r="R1192" s="81"/>
      <c r="S1192" s="22"/>
      <c r="T1192" s="22"/>
      <c r="U1192" s="24"/>
      <c r="V1192" s="23"/>
      <c r="W1192" s="82"/>
      <c r="X1192" s="82"/>
      <c r="Y1192" s="82"/>
      <c r="Z1192" s="100"/>
      <c r="AA1192" s="91"/>
      <c r="AB1192" s="91"/>
      <c r="AF1192" s="72"/>
      <c r="AG1192" s="96"/>
      <c r="AH1192" s="96"/>
    </row>
    <row r="1193" spans="1:34">
      <c r="A1193" s="358" t="s">
        <v>137</v>
      </c>
      <c r="B1193" s="369">
        <v>1190</v>
      </c>
      <c r="C1193" s="360" t="s">
        <v>1849</v>
      </c>
      <c r="D1193" s="360" t="s">
        <v>1025</v>
      </c>
      <c r="E1193" s="373">
        <v>45915.375</v>
      </c>
      <c r="F1193" s="372" t="s">
        <v>140</v>
      </c>
      <c r="G1193" s="372">
        <v>1</v>
      </c>
      <c r="H1193" s="372" t="s">
        <v>1721</v>
      </c>
      <c r="I1193" s="372" t="s">
        <v>1638</v>
      </c>
      <c r="J1193" s="372"/>
      <c r="K1193" s="101"/>
      <c r="L1193" s="21"/>
      <c r="M1193" s="22"/>
      <c r="N1193" s="23"/>
      <c r="O1193" s="23"/>
      <c r="P1193" s="101"/>
      <c r="Q1193" s="23"/>
      <c r="R1193" s="81"/>
      <c r="S1193" s="22"/>
      <c r="U1193" s="24"/>
      <c r="V1193" s="23"/>
      <c r="W1193" s="82"/>
      <c r="X1193" s="82"/>
      <c r="Y1193" s="82"/>
      <c r="Z1193" s="100"/>
      <c r="AA1193"/>
      <c r="AF1193" s="72"/>
      <c r="AG1193" s="96"/>
      <c r="AH1193" s="96"/>
    </row>
    <row r="1194" spans="1:34">
      <c r="A1194" s="358" t="s">
        <v>137</v>
      </c>
      <c r="B1194" s="369">
        <v>1191</v>
      </c>
      <c r="C1194" s="360" t="s">
        <v>1850</v>
      </c>
      <c r="D1194" s="360" t="s">
        <v>1851</v>
      </c>
      <c r="E1194" s="373">
        <v>45922.375</v>
      </c>
      <c r="F1194" s="372" t="s">
        <v>140</v>
      </c>
      <c r="G1194" s="372">
        <v>3</v>
      </c>
      <c r="H1194" s="372" t="s">
        <v>127</v>
      </c>
      <c r="I1194" s="372" t="s">
        <v>36</v>
      </c>
      <c r="J1194" s="372"/>
      <c r="K1194" s="21"/>
      <c r="L1194" s="21"/>
      <c r="M1194" s="22"/>
      <c r="N1194" s="23"/>
      <c r="O1194" s="380"/>
      <c r="P1194" s="23"/>
      <c r="Q1194" s="23"/>
      <c r="R1194" s="81"/>
      <c r="S1194" s="22"/>
      <c r="T1194" s="22"/>
      <c r="U1194" s="24"/>
      <c r="V1194" s="23"/>
      <c r="W1194" s="82"/>
      <c r="X1194" s="82"/>
      <c r="Y1194" s="82"/>
      <c r="Z1194" s="100"/>
      <c r="AA1194" s="91"/>
      <c r="AB1194" s="91"/>
      <c r="AF1194" s="72"/>
      <c r="AG1194" s="96"/>
      <c r="AH1194" s="96"/>
    </row>
    <row r="1195" spans="1:34">
      <c r="A1195" s="358" t="s">
        <v>137</v>
      </c>
      <c r="B1195" s="369">
        <v>1192</v>
      </c>
      <c r="C1195" s="360" t="s">
        <v>1852</v>
      </c>
      <c r="D1195" s="360" t="s">
        <v>1184</v>
      </c>
      <c r="E1195" s="373">
        <v>45922.125</v>
      </c>
      <c r="F1195" s="372" t="s">
        <v>140</v>
      </c>
      <c r="G1195" s="372">
        <v>4</v>
      </c>
      <c r="H1195" s="372" t="s">
        <v>1853</v>
      </c>
      <c r="I1195" s="372" t="s">
        <v>1854</v>
      </c>
      <c r="J1195" s="372"/>
      <c r="K1195" s="21"/>
      <c r="L1195" s="21"/>
      <c r="M1195" s="22"/>
      <c r="N1195" s="23"/>
      <c r="O1195" s="23"/>
      <c r="P1195" s="23"/>
      <c r="Q1195" s="23"/>
      <c r="R1195" s="81"/>
      <c r="S1195" s="22"/>
      <c r="T1195" s="22"/>
      <c r="U1195" s="24"/>
      <c r="V1195" s="23"/>
      <c r="W1195" s="82"/>
      <c r="X1195" s="82"/>
      <c r="Y1195" s="82"/>
      <c r="Z1195" s="100"/>
      <c r="AA1195"/>
    </row>
    <row r="1196" spans="1:34">
      <c r="A1196" s="358" t="s">
        <v>137</v>
      </c>
      <c r="B1196" s="369">
        <v>1193</v>
      </c>
      <c r="C1196" s="360" t="s">
        <v>1855</v>
      </c>
      <c r="D1196" s="360" t="s">
        <v>829</v>
      </c>
      <c r="E1196" s="373">
        <v>45922</v>
      </c>
      <c r="F1196" s="372" t="s">
        <v>140</v>
      </c>
      <c r="G1196" s="372">
        <v>7</v>
      </c>
      <c r="H1196" s="372" t="s">
        <v>127</v>
      </c>
      <c r="I1196" s="372" t="s">
        <v>36</v>
      </c>
      <c r="J1196" s="372"/>
      <c r="K1196" s="21"/>
      <c r="L1196" s="21"/>
      <c r="M1196" s="22"/>
      <c r="N1196" s="23"/>
      <c r="O1196" s="380"/>
      <c r="P1196" s="23"/>
      <c r="Q1196" s="23"/>
      <c r="R1196" s="81"/>
      <c r="S1196" s="22"/>
      <c r="T1196" s="22"/>
      <c r="U1196" s="24"/>
      <c r="V1196" s="23"/>
      <c r="W1196" s="82"/>
      <c r="X1196" s="82"/>
      <c r="Y1196" s="82"/>
      <c r="Z1196" s="100"/>
      <c r="AA1196"/>
      <c r="AE1196" s="88"/>
      <c r="AF1196" s="72"/>
      <c r="AG1196" s="72"/>
      <c r="AH1196" s="72"/>
    </row>
    <row r="1197" spans="1:34">
      <c r="A1197" s="358" t="s">
        <v>137</v>
      </c>
      <c r="B1197" s="369">
        <v>1194</v>
      </c>
      <c r="C1197" s="360" t="s">
        <v>1856</v>
      </c>
      <c r="D1197" s="360" t="s">
        <v>839</v>
      </c>
      <c r="E1197" s="373">
        <v>45922.375</v>
      </c>
      <c r="F1197" s="372" t="s">
        <v>140</v>
      </c>
      <c r="G1197" s="372">
        <v>1</v>
      </c>
      <c r="H1197" s="372" t="s">
        <v>1077</v>
      </c>
      <c r="I1197" s="372" t="s">
        <v>1138</v>
      </c>
      <c r="J1197" s="372"/>
      <c r="K1197" s="104"/>
      <c r="L1197" s="21"/>
      <c r="M1197" s="22"/>
      <c r="N1197" s="23"/>
      <c r="O1197" s="23"/>
      <c r="P1197" s="104"/>
      <c r="Q1197" s="23"/>
      <c r="R1197" s="81"/>
      <c r="S1197" s="22"/>
      <c r="T1197" s="22"/>
      <c r="U1197" s="24"/>
      <c r="V1197" s="23"/>
      <c r="W1197" s="82"/>
      <c r="X1197" s="82"/>
      <c r="Y1197" s="82"/>
      <c r="Z1197" s="100"/>
      <c r="AA1197"/>
    </row>
    <row r="1198" spans="1:34">
      <c r="A1198" s="358" t="s">
        <v>137</v>
      </c>
      <c r="B1198" s="369">
        <v>1195</v>
      </c>
      <c r="C1198" s="360" t="s">
        <v>1857</v>
      </c>
      <c r="D1198" s="360" t="s">
        <v>1424</v>
      </c>
      <c r="E1198" s="373">
        <v>45922</v>
      </c>
      <c r="F1198" s="372" t="s">
        <v>140</v>
      </c>
      <c r="G1198" s="372">
        <v>5</v>
      </c>
      <c r="H1198" s="372" t="s">
        <v>1721</v>
      </c>
      <c r="I1198" s="372" t="s">
        <v>1638</v>
      </c>
      <c r="J1198" s="372"/>
      <c r="K1198" s="21"/>
      <c r="L1198" s="21"/>
      <c r="M1198" s="22"/>
      <c r="N1198" s="23"/>
      <c r="O1198" s="23"/>
      <c r="P1198" s="23"/>
      <c r="Q1198" s="23"/>
      <c r="R1198" s="81"/>
      <c r="S1198" s="22"/>
      <c r="T1198" s="22"/>
      <c r="U1198" s="24"/>
      <c r="V1198" s="23"/>
      <c r="W1198" s="82"/>
      <c r="X1198" s="82"/>
      <c r="Y1198" s="82"/>
      <c r="Z1198" s="100"/>
      <c r="AA1198"/>
    </row>
    <row r="1199" spans="1:34">
      <c r="A1199" s="358" t="s">
        <v>137</v>
      </c>
      <c r="B1199" s="369">
        <v>1196</v>
      </c>
      <c r="C1199" s="360" t="s">
        <v>1858</v>
      </c>
      <c r="D1199" s="360" t="s">
        <v>1859</v>
      </c>
      <c r="E1199" s="373">
        <v>45922</v>
      </c>
      <c r="F1199" s="372" t="s">
        <v>140</v>
      </c>
      <c r="G1199" s="372">
        <v>1</v>
      </c>
      <c r="H1199" s="372" t="s">
        <v>1077</v>
      </c>
      <c r="I1199" s="372" t="s">
        <v>1138</v>
      </c>
      <c r="J1199" s="372"/>
      <c r="K1199" s="21"/>
      <c r="L1199" s="21"/>
      <c r="M1199" s="22"/>
      <c r="N1199" s="23"/>
      <c r="O1199" s="380"/>
      <c r="P1199" s="23"/>
      <c r="Q1199" s="23"/>
      <c r="R1199" s="81"/>
      <c r="S1199" s="22"/>
      <c r="T1199" s="22"/>
      <c r="U1199" s="24"/>
      <c r="V1199" s="23"/>
      <c r="W1199" s="82"/>
      <c r="X1199" s="82"/>
      <c r="Y1199" s="82"/>
      <c r="Z1199" s="100"/>
      <c r="AA1199"/>
      <c r="AE1199" s="88"/>
      <c r="AF1199" s="72"/>
      <c r="AG1199" s="72"/>
      <c r="AH1199" s="72"/>
    </row>
    <row r="1200" spans="1:34">
      <c r="A1200" s="358" t="s">
        <v>137</v>
      </c>
      <c r="B1200" s="369">
        <v>1197</v>
      </c>
      <c r="C1200" s="360" t="s">
        <v>1860</v>
      </c>
      <c r="D1200" s="360" t="s">
        <v>1859</v>
      </c>
      <c r="E1200" s="373">
        <v>45922</v>
      </c>
      <c r="F1200" s="372" t="s">
        <v>140</v>
      </c>
      <c r="G1200" s="372">
        <v>1</v>
      </c>
      <c r="H1200" s="372" t="s">
        <v>1077</v>
      </c>
      <c r="I1200" s="372" t="s">
        <v>1138</v>
      </c>
      <c r="J1200" s="372"/>
      <c r="K1200" s="21"/>
      <c r="L1200" s="21"/>
      <c r="M1200" s="22"/>
      <c r="N1200" s="23"/>
      <c r="O1200" s="380"/>
      <c r="P1200" s="23"/>
      <c r="Q1200" s="23"/>
      <c r="R1200" s="81"/>
      <c r="S1200" s="22"/>
      <c r="T1200" s="22"/>
      <c r="U1200" s="24"/>
      <c r="V1200" s="23"/>
      <c r="W1200" s="82"/>
      <c r="X1200" s="82"/>
      <c r="Y1200" s="82"/>
      <c r="Z1200" s="100"/>
      <c r="AA1200"/>
      <c r="AB1200" s="412"/>
      <c r="AC1200" s="412"/>
      <c r="AD1200" s="412"/>
      <c r="AE1200" s="412"/>
    </row>
    <row r="1201" spans="1:34">
      <c r="A1201" s="358" t="s">
        <v>137</v>
      </c>
      <c r="B1201" s="369">
        <v>1198</v>
      </c>
      <c r="C1201" s="360" t="s">
        <v>1861</v>
      </c>
      <c r="D1201" s="360" t="s">
        <v>155</v>
      </c>
      <c r="E1201" s="373">
        <v>45922.375</v>
      </c>
      <c r="F1201" s="372" t="s">
        <v>140</v>
      </c>
      <c r="G1201" s="372">
        <v>2</v>
      </c>
      <c r="H1201" s="372" t="s">
        <v>1721</v>
      </c>
      <c r="I1201" s="372" t="s">
        <v>1638</v>
      </c>
      <c r="J1201" s="372"/>
      <c r="K1201" s="21"/>
      <c r="L1201" s="21"/>
      <c r="M1201" s="22"/>
      <c r="N1201" s="23"/>
      <c r="O1201" s="380"/>
      <c r="P1201" s="23"/>
      <c r="Q1201" s="23"/>
      <c r="R1201" s="81"/>
      <c r="S1201" s="22"/>
      <c r="T1201" s="22"/>
      <c r="U1201" s="24"/>
      <c r="V1201" s="23"/>
      <c r="W1201" s="82"/>
      <c r="X1201" s="82"/>
      <c r="Y1201" s="82"/>
      <c r="Z1201" s="100"/>
      <c r="AA1201"/>
      <c r="AF1201" s="72"/>
      <c r="AG1201" s="96"/>
      <c r="AH1201" s="96"/>
    </row>
    <row r="1202" spans="1:34">
      <c r="A1202" s="358" t="s">
        <v>137</v>
      </c>
      <c r="B1202" s="369">
        <v>1199</v>
      </c>
      <c r="C1202" s="360" t="s">
        <v>1862</v>
      </c>
      <c r="D1202" s="360" t="s">
        <v>1863</v>
      </c>
      <c r="E1202" s="373">
        <v>45922.375</v>
      </c>
      <c r="F1202" s="372" t="s">
        <v>140</v>
      </c>
      <c r="G1202" s="372">
        <v>4</v>
      </c>
      <c r="H1202" s="372" t="s">
        <v>127</v>
      </c>
      <c r="I1202" s="372" t="s">
        <v>36</v>
      </c>
      <c r="J1202" s="372"/>
      <c r="K1202" s="21"/>
      <c r="L1202" s="21"/>
      <c r="M1202" s="22"/>
      <c r="N1202" s="23"/>
      <c r="O1202" s="23"/>
      <c r="P1202" s="23"/>
      <c r="Q1202" s="23"/>
      <c r="R1202" s="81"/>
      <c r="S1202" s="22"/>
      <c r="T1202" s="22"/>
      <c r="U1202" s="24"/>
      <c r="V1202" s="23"/>
      <c r="W1202" s="82"/>
      <c r="X1202" s="82"/>
      <c r="Y1202" s="82"/>
      <c r="Z1202" s="100"/>
      <c r="AA1202"/>
      <c r="AB1202" s="412"/>
      <c r="AC1202" s="412"/>
      <c r="AD1202" s="412"/>
      <c r="AE1202" s="412"/>
    </row>
    <row r="1203" spans="1:34">
      <c r="A1203" s="358" t="s">
        <v>137</v>
      </c>
      <c r="B1203" s="369">
        <v>1200</v>
      </c>
      <c r="C1203" s="360" t="s">
        <v>1864</v>
      </c>
      <c r="D1203" s="360" t="s">
        <v>846</v>
      </c>
      <c r="E1203" s="373">
        <v>45922</v>
      </c>
      <c r="F1203" s="372" t="s">
        <v>140</v>
      </c>
      <c r="G1203" s="372">
        <v>2</v>
      </c>
      <c r="H1203" s="372" t="s">
        <v>1077</v>
      </c>
      <c r="I1203" s="372" t="s">
        <v>1138</v>
      </c>
      <c r="J1203" s="372"/>
      <c r="K1203" s="104"/>
      <c r="L1203" s="21"/>
      <c r="M1203" s="22"/>
      <c r="N1203" s="23"/>
      <c r="O1203" s="23"/>
      <c r="P1203" s="104"/>
      <c r="Q1203" s="23"/>
      <c r="R1203" s="81"/>
      <c r="S1203" s="22"/>
      <c r="T1203" s="22"/>
      <c r="U1203" s="24"/>
      <c r="V1203" s="23"/>
      <c r="W1203" s="82"/>
      <c r="X1203" s="82"/>
      <c r="Y1203" s="82"/>
      <c r="Z1203" s="100"/>
      <c r="AA1203"/>
      <c r="AB1203" s="412"/>
      <c r="AC1203" s="412"/>
      <c r="AD1203" s="412"/>
      <c r="AE1203" s="412"/>
    </row>
    <row r="1204" spans="1:34">
      <c r="A1204" s="358" t="s">
        <v>137</v>
      </c>
      <c r="B1204" s="369">
        <v>1201</v>
      </c>
      <c r="C1204" s="360" t="s">
        <v>1865</v>
      </c>
      <c r="D1204" s="360" t="s">
        <v>937</v>
      </c>
      <c r="E1204" s="373">
        <v>45922</v>
      </c>
      <c r="F1204" s="372" t="s">
        <v>140</v>
      </c>
      <c r="G1204" s="372">
        <v>4</v>
      </c>
      <c r="H1204" s="372" t="s">
        <v>1866</v>
      </c>
      <c r="I1204" s="372" t="s">
        <v>79</v>
      </c>
      <c r="J1204" s="372"/>
      <c r="K1204" s="104"/>
      <c r="L1204" s="21"/>
      <c r="M1204" s="22"/>
      <c r="N1204" s="23"/>
      <c r="O1204" s="23"/>
      <c r="P1204" s="104"/>
      <c r="Q1204" s="23"/>
      <c r="R1204" s="81"/>
      <c r="S1204" s="22"/>
      <c r="T1204" s="22"/>
      <c r="U1204" s="24"/>
      <c r="V1204" s="23"/>
      <c r="W1204" s="82"/>
      <c r="X1204" s="82"/>
      <c r="Y1204" s="82"/>
      <c r="Z1204" s="100"/>
      <c r="AA1204"/>
    </row>
    <row r="1205" spans="1:34">
      <c r="A1205" s="358" t="s">
        <v>137</v>
      </c>
      <c r="B1205" s="369">
        <v>1202</v>
      </c>
      <c r="C1205" s="360" t="s">
        <v>1867</v>
      </c>
      <c r="D1205" s="360" t="s">
        <v>221</v>
      </c>
      <c r="E1205" s="373">
        <v>45929.375</v>
      </c>
      <c r="F1205" s="372" t="s">
        <v>140</v>
      </c>
      <c r="G1205" s="372">
        <v>15</v>
      </c>
      <c r="H1205" s="372" t="s">
        <v>1843</v>
      </c>
      <c r="I1205" s="372" t="s">
        <v>1844</v>
      </c>
      <c r="J1205" s="372"/>
      <c r="K1205" s="104"/>
      <c r="L1205" s="21"/>
      <c r="M1205" s="22"/>
      <c r="N1205" s="23"/>
      <c r="O1205" s="380" t="s">
        <v>31</v>
      </c>
      <c r="P1205" s="104"/>
      <c r="Q1205" s="23"/>
      <c r="R1205" s="81"/>
      <c r="S1205" s="22"/>
      <c r="T1205" s="22"/>
      <c r="U1205" s="24"/>
      <c r="V1205" s="23"/>
      <c r="W1205" s="82"/>
      <c r="X1205" s="82"/>
      <c r="Y1205" s="82"/>
      <c r="Z1205" s="100"/>
      <c r="AA1205" s="6">
        <v>26</v>
      </c>
      <c r="AB1205" s="6">
        <v>0</v>
      </c>
      <c r="AC1205" s="6">
        <v>7</v>
      </c>
      <c r="AD1205" s="6">
        <v>9</v>
      </c>
      <c r="AE1205" s="6">
        <f>SUM(AA1205:AD1205)</f>
        <v>42</v>
      </c>
      <c r="AF1205" s="108">
        <f>+AA1205/AE1205*AF$1</f>
        <v>0</v>
      </c>
      <c r="AG1205" s="109">
        <f>+AB1205/AE1205*AG$1</f>
        <v>0</v>
      </c>
      <c r="AH1205" s="109">
        <f>+AC1205/AE1205*AH$1</f>
        <v>0</v>
      </c>
    </row>
    <row r="1206" spans="1:34">
      <c r="A1206" s="358" t="s">
        <v>137</v>
      </c>
      <c r="B1206" s="369">
        <v>1203</v>
      </c>
      <c r="C1206" s="360" t="s">
        <v>1868</v>
      </c>
      <c r="D1206" s="360" t="s">
        <v>1198</v>
      </c>
      <c r="E1206" s="373">
        <v>45929</v>
      </c>
      <c r="F1206" s="372" t="s">
        <v>140</v>
      </c>
      <c r="G1206" s="372">
        <v>15</v>
      </c>
      <c r="H1206" s="372" t="s">
        <v>1721</v>
      </c>
      <c r="I1206" s="372" t="s">
        <v>1638</v>
      </c>
      <c r="J1206" s="372"/>
      <c r="K1206" s="21"/>
      <c r="L1206" s="21"/>
      <c r="M1206" s="22"/>
      <c r="N1206" s="23"/>
      <c r="O1206" s="380" t="s">
        <v>31</v>
      </c>
      <c r="P1206" s="23"/>
      <c r="Q1206" s="23"/>
      <c r="R1206" s="81"/>
      <c r="S1206" s="22"/>
      <c r="T1206" s="22"/>
      <c r="U1206" s="24"/>
      <c r="V1206" s="23"/>
      <c r="W1206" s="82"/>
      <c r="X1206" s="82"/>
      <c r="Y1206" s="82"/>
      <c r="Z1206" s="100"/>
      <c r="AA1206" s="6">
        <v>0</v>
      </c>
      <c r="AB1206" s="6">
        <v>0</v>
      </c>
      <c r="AC1206" s="6">
        <v>22</v>
      </c>
      <c r="AD1206" s="6">
        <v>0</v>
      </c>
      <c r="AE1206" s="6">
        <f>SUM(AA1206:AD1206)</f>
        <v>22</v>
      </c>
      <c r="AF1206" s="108">
        <f>+AA1206/AE1206*AF$1</f>
        <v>0</v>
      </c>
      <c r="AG1206" s="109">
        <f>+AB1206/AE1206*AG$1</f>
        <v>0</v>
      </c>
      <c r="AH1206" s="109">
        <f>+AC1206/AE1206*AH$1</f>
        <v>0</v>
      </c>
    </row>
    <row r="1207" spans="1:34">
      <c r="A1207" s="358" t="s">
        <v>137</v>
      </c>
      <c r="B1207" s="369">
        <v>1204</v>
      </c>
      <c r="C1207" s="360" t="s">
        <v>1869</v>
      </c>
      <c r="D1207" s="360" t="s">
        <v>1870</v>
      </c>
      <c r="E1207" s="373">
        <v>45929.375</v>
      </c>
      <c r="F1207" s="372" t="s">
        <v>140</v>
      </c>
      <c r="G1207" s="372">
        <v>1</v>
      </c>
      <c r="H1207" s="372" t="s">
        <v>127</v>
      </c>
      <c r="I1207" s="372" t="s">
        <v>36</v>
      </c>
      <c r="J1207" s="372"/>
      <c r="K1207" s="21"/>
      <c r="L1207" s="21"/>
      <c r="M1207" s="22"/>
      <c r="N1207" s="23"/>
      <c r="O1207" s="23"/>
      <c r="P1207" s="23"/>
      <c r="Q1207" s="23"/>
      <c r="R1207" s="81"/>
      <c r="S1207" s="22"/>
      <c r="T1207" s="22"/>
      <c r="U1207" s="24"/>
      <c r="V1207" s="23"/>
      <c r="W1207" s="82"/>
      <c r="X1207" s="82"/>
      <c r="Y1207" s="82"/>
      <c r="Z1207" s="100"/>
      <c r="AA1207"/>
    </row>
    <row r="1208" spans="1:34">
      <c r="A1208" s="358" t="s">
        <v>137</v>
      </c>
      <c r="B1208" s="369">
        <v>1205</v>
      </c>
      <c r="C1208" s="360" t="s">
        <v>1871</v>
      </c>
      <c r="D1208" s="360" t="s">
        <v>794</v>
      </c>
      <c r="E1208" s="373">
        <v>45929.375</v>
      </c>
      <c r="F1208" s="372" t="s">
        <v>140</v>
      </c>
      <c r="G1208" s="372">
        <v>6</v>
      </c>
      <c r="H1208" s="372" t="s">
        <v>1872</v>
      </c>
      <c r="I1208" s="372" t="s">
        <v>1514</v>
      </c>
      <c r="J1208" s="372"/>
      <c r="K1208" s="101"/>
      <c r="L1208" s="21"/>
      <c r="M1208" s="22"/>
      <c r="N1208" s="23"/>
      <c r="O1208" s="380"/>
      <c r="P1208" s="101"/>
      <c r="Q1208" s="23"/>
      <c r="R1208" s="81"/>
      <c r="S1208" s="22"/>
      <c r="T1208" s="22"/>
      <c r="U1208" s="24"/>
      <c r="V1208" s="23"/>
      <c r="W1208" s="82"/>
      <c r="X1208" s="82"/>
      <c r="Y1208" s="82"/>
      <c r="Z1208" s="100"/>
      <c r="AA1208" s="91"/>
      <c r="AB1208" s="91"/>
      <c r="AF1208" s="72"/>
      <c r="AG1208" s="96"/>
      <c r="AH1208" s="96"/>
    </row>
    <row r="1209" spans="1:34">
      <c r="A1209" s="358" t="s">
        <v>137</v>
      </c>
      <c r="B1209" s="369">
        <v>1206</v>
      </c>
      <c r="C1209" s="360" t="s">
        <v>1873</v>
      </c>
      <c r="D1209" s="360" t="s">
        <v>526</v>
      </c>
      <c r="E1209" s="373">
        <v>45929.375</v>
      </c>
      <c r="F1209" s="372" t="s">
        <v>140</v>
      </c>
      <c r="G1209" s="372">
        <v>8</v>
      </c>
      <c r="H1209" s="372" t="s">
        <v>1790</v>
      </c>
      <c r="I1209" s="372" t="s">
        <v>1791</v>
      </c>
      <c r="J1209" s="372"/>
      <c r="K1209" s="101"/>
      <c r="L1209" s="21"/>
      <c r="M1209" s="22"/>
      <c r="N1209" s="23"/>
      <c r="O1209" s="23"/>
      <c r="P1209" s="101"/>
      <c r="Q1209" s="23"/>
      <c r="R1209" s="81"/>
      <c r="S1209" s="22"/>
      <c r="U1209" s="24"/>
      <c r="V1209" s="23"/>
      <c r="W1209" s="82"/>
      <c r="X1209" s="82"/>
      <c r="Y1209" s="82"/>
      <c r="Z1209" s="100"/>
      <c r="AA1209"/>
      <c r="AF1209" s="72"/>
      <c r="AG1209" s="96"/>
      <c r="AH1209" s="96"/>
    </row>
    <row r="1210" spans="1:34">
      <c r="A1210" s="358" t="s">
        <v>137</v>
      </c>
      <c r="B1210" s="369">
        <v>1207</v>
      </c>
      <c r="C1210" s="360" t="s">
        <v>1874</v>
      </c>
      <c r="D1210" s="360" t="s">
        <v>1807</v>
      </c>
      <c r="E1210" s="373">
        <v>45929.375</v>
      </c>
      <c r="F1210" s="372" t="s">
        <v>140</v>
      </c>
      <c r="G1210" s="372">
        <v>1</v>
      </c>
      <c r="H1210" s="372" t="s">
        <v>127</v>
      </c>
      <c r="I1210" s="372" t="s">
        <v>36</v>
      </c>
      <c r="J1210" s="372"/>
      <c r="K1210" s="21"/>
      <c r="L1210" s="21"/>
      <c r="M1210" s="22"/>
      <c r="N1210" s="23"/>
      <c r="O1210" s="380"/>
      <c r="P1210" s="23"/>
      <c r="Q1210" s="23"/>
      <c r="R1210" s="81"/>
      <c r="S1210" s="22"/>
      <c r="T1210" s="22"/>
      <c r="U1210" s="24"/>
      <c r="V1210" s="23"/>
      <c r="W1210" s="82"/>
      <c r="X1210" s="82"/>
      <c r="Y1210" s="82"/>
      <c r="Z1210" s="100"/>
      <c r="AA1210" s="91"/>
      <c r="AB1210" s="91"/>
      <c r="AF1210" s="72"/>
      <c r="AG1210" s="96"/>
      <c r="AH1210" s="96"/>
    </row>
    <row r="1211" spans="1:34">
      <c r="A1211" s="358" t="s">
        <v>137</v>
      </c>
      <c r="B1211" s="369">
        <v>1208</v>
      </c>
      <c r="C1211" s="360" t="s">
        <v>1875</v>
      </c>
      <c r="D1211" s="360" t="s">
        <v>1236</v>
      </c>
      <c r="E1211" s="373">
        <v>45929.375</v>
      </c>
      <c r="F1211" s="372" t="s">
        <v>140</v>
      </c>
      <c r="G1211" s="372">
        <v>1</v>
      </c>
      <c r="H1211" s="372" t="s">
        <v>1721</v>
      </c>
      <c r="I1211" s="372" t="s">
        <v>1638</v>
      </c>
      <c r="J1211" s="372"/>
      <c r="K1211" s="21"/>
      <c r="L1211" s="21"/>
      <c r="M1211" s="22"/>
      <c r="N1211" s="23"/>
      <c r="O1211" s="380"/>
      <c r="P1211" s="23"/>
      <c r="Q1211" s="23"/>
      <c r="R1211" s="81"/>
      <c r="S1211" s="22"/>
      <c r="T1211" s="22"/>
      <c r="U1211" s="24"/>
      <c r="V1211" s="23"/>
      <c r="W1211" s="82"/>
      <c r="X1211" s="82"/>
      <c r="Y1211" s="82"/>
      <c r="Z1211" s="100"/>
      <c r="AA1211"/>
      <c r="AF1211" s="72"/>
      <c r="AG1211" s="96"/>
      <c r="AH1211" s="96"/>
    </row>
    <row r="1212" spans="1:34">
      <c r="A1212" s="358" t="s">
        <v>137</v>
      </c>
      <c r="B1212" s="369">
        <v>1209</v>
      </c>
      <c r="C1212" s="360" t="s">
        <v>1876</v>
      </c>
      <c r="D1212" s="360" t="s">
        <v>846</v>
      </c>
      <c r="E1212" s="373">
        <v>45929.041666666664</v>
      </c>
      <c r="F1212" s="372" t="s">
        <v>140</v>
      </c>
      <c r="G1212" s="372">
        <v>4</v>
      </c>
      <c r="H1212" s="372" t="s">
        <v>1795</v>
      </c>
      <c r="I1212" s="372" t="s">
        <v>1877</v>
      </c>
      <c r="J1212" s="372"/>
      <c r="K1212" s="21"/>
      <c r="L1212" s="21"/>
      <c r="M1212" s="22"/>
      <c r="N1212" s="23"/>
      <c r="O1212" s="23"/>
      <c r="P1212" s="23"/>
      <c r="Q1212" s="23"/>
      <c r="R1212" s="81"/>
      <c r="S1212" s="22"/>
      <c r="T1212" s="22"/>
      <c r="U1212" s="24"/>
      <c r="V1212" s="23"/>
      <c r="W1212" s="82"/>
      <c r="X1212" s="82"/>
      <c r="Y1212" s="82"/>
      <c r="Z1212" s="100"/>
      <c r="AA1212"/>
    </row>
    <row r="1213" spans="1:34">
      <c r="A1213" s="358" t="s">
        <v>137</v>
      </c>
      <c r="B1213" s="369">
        <v>1210</v>
      </c>
      <c r="C1213" s="360" t="s">
        <v>1878</v>
      </c>
      <c r="D1213" s="360" t="s">
        <v>969</v>
      </c>
      <c r="E1213" s="373">
        <v>45929.375</v>
      </c>
      <c r="F1213" s="372" t="s">
        <v>140</v>
      </c>
      <c r="G1213" s="372">
        <v>2</v>
      </c>
      <c r="H1213" s="372" t="s">
        <v>1725</v>
      </c>
      <c r="I1213" s="372" t="s">
        <v>47</v>
      </c>
      <c r="J1213" s="372"/>
      <c r="K1213" s="21"/>
      <c r="L1213" s="21"/>
      <c r="M1213" s="22"/>
      <c r="N1213" s="23"/>
      <c r="O1213" s="62"/>
      <c r="P1213" s="23"/>
      <c r="Q1213" s="23"/>
      <c r="R1213" s="81"/>
      <c r="S1213" s="22"/>
      <c r="T1213" s="22"/>
      <c r="U1213" s="24"/>
      <c r="V1213" s="23"/>
      <c r="W1213" s="82"/>
      <c r="X1213" s="82"/>
      <c r="Y1213" s="82"/>
      <c r="Z1213" s="100"/>
      <c r="AA1213"/>
      <c r="AF1213" s="72"/>
      <c r="AG1213" s="96"/>
      <c r="AH1213" s="96"/>
    </row>
    <row r="1214" spans="1:34">
      <c r="A1214" s="358" t="s">
        <v>137</v>
      </c>
      <c r="B1214" s="369">
        <v>1211</v>
      </c>
      <c r="C1214" s="360" t="s">
        <v>1879</v>
      </c>
      <c r="D1214" s="360" t="s">
        <v>818</v>
      </c>
      <c r="E1214" s="373">
        <v>45929.041666666664</v>
      </c>
      <c r="F1214" s="372" t="s">
        <v>140</v>
      </c>
      <c r="G1214" s="372">
        <v>1</v>
      </c>
      <c r="H1214" s="372" t="s">
        <v>127</v>
      </c>
      <c r="I1214" s="372" t="s">
        <v>36</v>
      </c>
      <c r="J1214" s="372"/>
      <c r="K1214" s="21"/>
      <c r="L1214" s="21"/>
      <c r="M1214" s="22"/>
      <c r="N1214" s="23"/>
      <c r="O1214" s="62"/>
      <c r="P1214" s="23"/>
      <c r="Q1214" s="23"/>
      <c r="R1214" s="81"/>
      <c r="S1214" s="22"/>
      <c r="T1214" s="22"/>
      <c r="U1214" s="24"/>
      <c r="V1214" s="23"/>
      <c r="W1214" s="82"/>
      <c r="X1214" s="82"/>
      <c r="Y1214" s="82"/>
      <c r="Z1214" s="100"/>
      <c r="AA1214"/>
      <c r="AF1214" s="72"/>
      <c r="AG1214" s="96"/>
      <c r="AH1214" s="96"/>
    </row>
    <row r="1215" spans="1:34">
      <c r="A1215" s="358" t="s">
        <v>137</v>
      </c>
      <c r="B1215" s="369">
        <v>1212</v>
      </c>
      <c r="C1215" s="360" t="s">
        <v>1880</v>
      </c>
      <c r="D1215" s="360" t="s">
        <v>1881</v>
      </c>
      <c r="E1215" s="373">
        <v>45929.375</v>
      </c>
      <c r="F1215" s="372" t="s">
        <v>140</v>
      </c>
      <c r="G1215" s="372">
        <v>9</v>
      </c>
      <c r="H1215" s="372" t="s">
        <v>127</v>
      </c>
      <c r="I1215" s="372" t="s">
        <v>36</v>
      </c>
      <c r="J1215" s="372"/>
      <c r="K1215" s="21"/>
      <c r="L1215" s="21"/>
      <c r="M1215" s="22"/>
      <c r="N1215" s="23"/>
      <c r="O1215" s="380"/>
      <c r="P1215" s="23"/>
      <c r="Q1215" s="23"/>
      <c r="R1215" s="81"/>
      <c r="S1215" s="22"/>
      <c r="T1215" s="22"/>
      <c r="U1215" s="24"/>
      <c r="V1215" s="23"/>
      <c r="W1215" s="82"/>
      <c r="X1215" s="82"/>
      <c r="Y1215" s="82"/>
      <c r="Z1215" s="100"/>
      <c r="AA1215"/>
    </row>
    <row r="1216" spans="1:34">
      <c r="A1216" s="358" t="s">
        <v>137</v>
      </c>
      <c r="B1216" s="369">
        <v>1213</v>
      </c>
      <c r="C1216" s="360" t="s">
        <v>1882</v>
      </c>
      <c r="D1216" s="360" t="s">
        <v>1516</v>
      </c>
      <c r="E1216" s="373">
        <v>45929.375</v>
      </c>
      <c r="F1216" s="372" t="s">
        <v>140</v>
      </c>
      <c r="G1216" s="372">
        <v>8</v>
      </c>
      <c r="H1216" s="372" t="s">
        <v>1077</v>
      </c>
      <c r="I1216" s="372" t="s">
        <v>1138</v>
      </c>
      <c r="J1216" s="372"/>
      <c r="K1216" s="21"/>
      <c r="L1216" s="21"/>
      <c r="M1216" s="22"/>
      <c r="N1216" s="23"/>
      <c r="O1216" s="23"/>
      <c r="P1216" s="23"/>
      <c r="Q1216" s="23"/>
      <c r="R1216" s="81"/>
      <c r="S1216" s="22"/>
      <c r="T1216" s="22"/>
      <c r="U1216" s="24"/>
      <c r="V1216" s="23"/>
      <c r="W1216" s="82"/>
      <c r="X1216" s="82"/>
      <c r="Y1216" s="82"/>
      <c r="Z1216" s="100"/>
      <c r="AA1216"/>
    </row>
    <row r="1217" spans="1:34">
      <c r="A1217" s="358" t="s">
        <v>137</v>
      </c>
      <c r="B1217" s="369">
        <v>1214</v>
      </c>
      <c r="C1217" s="360" t="s">
        <v>1883</v>
      </c>
      <c r="D1217" s="360" t="s">
        <v>1250</v>
      </c>
      <c r="E1217" s="373">
        <v>45929.375</v>
      </c>
      <c r="F1217" s="372" t="s">
        <v>140</v>
      </c>
      <c r="G1217" s="372">
        <v>4</v>
      </c>
      <c r="H1217" s="372" t="s">
        <v>1077</v>
      </c>
      <c r="I1217" s="372" t="s">
        <v>1138</v>
      </c>
      <c r="J1217" s="372"/>
      <c r="K1217" s="21"/>
      <c r="L1217" s="21"/>
      <c r="M1217" s="22"/>
      <c r="N1217" s="23"/>
      <c r="O1217" s="380"/>
      <c r="P1217" s="23"/>
      <c r="Q1217" s="23"/>
      <c r="R1217" s="81"/>
      <c r="S1217" s="22"/>
      <c r="T1217" s="22"/>
      <c r="U1217" s="24"/>
      <c r="V1217" s="23"/>
      <c r="W1217" s="82"/>
      <c r="X1217" s="82"/>
      <c r="Y1217" s="82"/>
      <c r="Z1217" s="100"/>
      <c r="AA1217"/>
      <c r="AE1217" s="88"/>
      <c r="AF1217" s="72"/>
      <c r="AG1217" s="72"/>
      <c r="AH1217" s="72"/>
    </row>
    <row r="1218" spans="1:34">
      <c r="A1218" s="358" t="s">
        <v>137</v>
      </c>
      <c r="B1218" s="369">
        <v>1215</v>
      </c>
      <c r="C1218" s="360" t="s">
        <v>1884</v>
      </c>
      <c r="D1218" s="360" t="s">
        <v>1885</v>
      </c>
      <c r="E1218" s="373">
        <v>45929.166666666664</v>
      </c>
      <c r="F1218" s="372" t="s">
        <v>140</v>
      </c>
      <c r="G1218" s="372">
        <v>1</v>
      </c>
      <c r="H1218" s="372" t="s">
        <v>1077</v>
      </c>
      <c r="I1218" s="372" t="s">
        <v>1138</v>
      </c>
      <c r="J1218" s="372"/>
      <c r="K1218" s="104"/>
      <c r="L1218" s="21"/>
      <c r="M1218" s="22"/>
      <c r="N1218" s="23"/>
      <c r="O1218" s="380"/>
      <c r="P1218" s="104"/>
      <c r="Q1218" s="23"/>
      <c r="R1218" s="81"/>
      <c r="S1218" s="22"/>
      <c r="T1218" s="22"/>
      <c r="U1218" s="24"/>
      <c r="V1218" s="23"/>
      <c r="W1218" s="82"/>
      <c r="X1218" s="82"/>
      <c r="Y1218" s="82"/>
      <c r="Z1218" s="100"/>
      <c r="AA1218"/>
      <c r="AF1218" s="72"/>
      <c r="AG1218" s="96"/>
      <c r="AH1218" s="96"/>
    </row>
    <row r="1219" spans="1:34">
      <c r="A1219" s="358" t="s">
        <v>137</v>
      </c>
      <c r="B1219" s="369">
        <v>1216</v>
      </c>
      <c r="C1219" s="360" t="s">
        <v>1886</v>
      </c>
      <c r="D1219" s="360" t="s">
        <v>1887</v>
      </c>
      <c r="E1219" s="373">
        <v>45929</v>
      </c>
      <c r="F1219" s="372" t="s">
        <v>140</v>
      </c>
      <c r="G1219" s="372">
        <v>10</v>
      </c>
      <c r="H1219" s="372" t="s">
        <v>1888</v>
      </c>
      <c r="I1219" s="372" t="s">
        <v>1889</v>
      </c>
      <c r="J1219" s="372"/>
      <c r="K1219" s="104"/>
      <c r="L1219" s="21"/>
      <c r="M1219" s="22"/>
      <c r="N1219" s="23"/>
      <c r="O1219" s="23"/>
      <c r="P1219" s="104"/>
      <c r="Q1219" s="23"/>
      <c r="R1219" s="81"/>
      <c r="S1219" s="22"/>
      <c r="T1219" s="22"/>
      <c r="U1219" s="24"/>
      <c r="V1219" s="23"/>
      <c r="W1219" s="82"/>
      <c r="X1219" s="82"/>
      <c r="Y1219" s="82"/>
      <c r="Z1219" s="100"/>
      <c r="AA1219"/>
    </row>
    <row r="1220" spans="1:34">
      <c r="A1220" s="358" t="s">
        <v>137</v>
      </c>
      <c r="B1220" s="369">
        <v>1217</v>
      </c>
      <c r="C1220" s="360" t="s">
        <v>1890</v>
      </c>
      <c r="D1220" s="360" t="s">
        <v>1184</v>
      </c>
      <c r="E1220" s="373">
        <v>45929</v>
      </c>
      <c r="F1220" s="372" t="s">
        <v>140</v>
      </c>
      <c r="G1220" s="372">
        <v>3</v>
      </c>
      <c r="H1220" s="372" t="s">
        <v>1888</v>
      </c>
      <c r="I1220" s="372" t="s">
        <v>1889</v>
      </c>
      <c r="J1220" s="372"/>
      <c r="K1220" s="21"/>
      <c r="L1220" s="21"/>
      <c r="M1220" s="22"/>
      <c r="N1220" s="23"/>
      <c r="O1220" s="23"/>
      <c r="P1220" s="23"/>
      <c r="Q1220" s="23"/>
      <c r="R1220" s="81"/>
      <c r="S1220" s="22"/>
      <c r="T1220" s="22"/>
      <c r="U1220" s="24"/>
      <c r="V1220" s="23"/>
      <c r="W1220" s="82"/>
      <c r="X1220" s="82"/>
      <c r="Y1220" s="82"/>
      <c r="Z1220" s="100"/>
      <c r="AA1220"/>
    </row>
    <row r="1221" spans="1:34">
      <c r="A1221" s="358" t="s">
        <v>137</v>
      </c>
      <c r="B1221" s="369">
        <v>1218</v>
      </c>
      <c r="C1221" s="360" t="s">
        <v>1891</v>
      </c>
      <c r="D1221" s="360" t="s">
        <v>969</v>
      </c>
      <c r="E1221" s="373">
        <v>45922</v>
      </c>
      <c r="F1221" s="372" t="s">
        <v>140</v>
      </c>
      <c r="G1221" s="372">
        <v>1</v>
      </c>
      <c r="H1221" s="372" t="s">
        <v>1721</v>
      </c>
      <c r="I1221" s="372" t="s">
        <v>1638</v>
      </c>
      <c r="J1221" s="372"/>
      <c r="K1221" s="21"/>
      <c r="L1221" s="21"/>
      <c r="M1221" s="22"/>
      <c r="N1221" s="23"/>
      <c r="O1221" s="380"/>
      <c r="P1221" s="23"/>
      <c r="Q1221" s="23"/>
      <c r="R1221" s="81"/>
      <c r="S1221" s="22"/>
      <c r="T1221" s="22"/>
      <c r="U1221" s="24"/>
      <c r="V1221" s="23"/>
      <c r="W1221" s="82"/>
      <c r="X1221" s="82"/>
      <c r="Y1221" s="82"/>
      <c r="Z1221" s="100"/>
      <c r="AA1221"/>
      <c r="AE1221" s="88"/>
      <c r="AF1221" s="72"/>
      <c r="AG1221" s="72"/>
      <c r="AH1221" s="72"/>
    </row>
    <row r="1222" spans="1:34">
      <c r="A1222" s="358" t="s">
        <v>137</v>
      </c>
      <c r="B1222" s="369">
        <v>1219</v>
      </c>
      <c r="C1222" s="360" t="s">
        <v>1892</v>
      </c>
      <c r="D1222" s="360" t="s">
        <v>1008</v>
      </c>
      <c r="E1222" s="373">
        <v>45929.375</v>
      </c>
      <c r="F1222" s="372" t="s">
        <v>140</v>
      </c>
      <c r="G1222" s="372">
        <v>3</v>
      </c>
      <c r="H1222" s="372" t="s">
        <v>127</v>
      </c>
      <c r="I1222" s="372" t="s">
        <v>36</v>
      </c>
      <c r="J1222" s="372"/>
      <c r="K1222" s="21"/>
      <c r="L1222" s="21"/>
      <c r="M1222" s="22"/>
      <c r="N1222" s="23"/>
      <c r="O1222" s="380"/>
      <c r="P1222" s="23"/>
      <c r="Q1222" s="23"/>
      <c r="R1222" s="81"/>
      <c r="S1222" s="22"/>
      <c r="T1222" s="22"/>
      <c r="U1222" s="24"/>
      <c r="V1222" s="23"/>
      <c r="W1222" s="82"/>
      <c r="X1222" s="82"/>
      <c r="Y1222" s="82"/>
      <c r="Z1222" s="100"/>
      <c r="AA1222"/>
      <c r="AB1222" s="412"/>
      <c r="AC1222" s="412"/>
      <c r="AD1222" s="412"/>
      <c r="AE1222" s="412"/>
    </row>
    <row r="1223" spans="1:34">
      <c r="A1223" s="358" t="s">
        <v>137</v>
      </c>
      <c r="B1223" s="369">
        <v>1220</v>
      </c>
      <c r="C1223" s="360" t="s">
        <v>1893</v>
      </c>
      <c r="D1223" s="360" t="s">
        <v>1863</v>
      </c>
      <c r="E1223" s="373">
        <v>45929.375</v>
      </c>
      <c r="F1223" s="372" t="s">
        <v>140</v>
      </c>
      <c r="G1223" s="372">
        <v>1</v>
      </c>
      <c r="H1223" s="372" t="s">
        <v>127</v>
      </c>
      <c r="I1223" s="372" t="s">
        <v>36</v>
      </c>
      <c r="J1223" s="372"/>
      <c r="K1223" s="21"/>
      <c r="L1223" s="21"/>
      <c r="M1223" s="22"/>
      <c r="N1223" s="23"/>
      <c r="O1223" s="380"/>
      <c r="P1223" s="23"/>
      <c r="Q1223" s="23"/>
      <c r="R1223" s="81"/>
      <c r="S1223" s="22"/>
      <c r="T1223" s="22"/>
      <c r="U1223" s="24"/>
      <c r="V1223" s="23"/>
      <c r="W1223" s="82"/>
      <c r="X1223" s="82"/>
      <c r="Y1223" s="82"/>
      <c r="Z1223" s="100"/>
      <c r="AA1223"/>
      <c r="AF1223" s="72"/>
      <c r="AG1223" s="96"/>
      <c r="AH1223" s="96"/>
    </row>
    <row r="1224" spans="1:34">
      <c r="A1224" s="358" t="s">
        <v>137</v>
      </c>
      <c r="B1224" s="369">
        <v>1221</v>
      </c>
      <c r="C1224" s="360" t="s">
        <v>1894</v>
      </c>
      <c r="D1224" s="360" t="s">
        <v>1008</v>
      </c>
      <c r="E1224" s="373">
        <v>45922.208333333336</v>
      </c>
      <c r="F1224" s="372" t="s">
        <v>140</v>
      </c>
      <c r="G1224" s="372">
        <v>1</v>
      </c>
      <c r="H1224" s="372" t="s">
        <v>1077</v>
      </c>
      <c r="I1224" s="372" t="s">
        <v>1138</v>
      </c>
      <c r="J1224" s="372"/>
      <c r="K1224" s="21"/>
      <c r="L1224" s="21"/>
      <c r="M1224" s="22"/>
      <c r="N1224" s="23"/>
      <c r="O1224" s="23"/>
      <c r="P1224" s="23"/>
      <c r="Q1224" s="23"/>
      <c r="R1224" s="81"/>
      <c r="S1224" s="22"/>
      <c r="T1224" s="22"/>
      <c r="U1224" s="24"/>
      <c r="V1224" s="23"/>
      <c r="W1224" s="82"/>
      <c r="X1224" s="82"/>
      <c r="Y1224" s="82"/>
      <c r="Z1224" s="100"/>
      <c r="AA1224"/>
      <c r="AB1224" s="412"/>
      <c r="AC1224" s="412"/>
      <c r="AD1224" s="412"/>
      <c r="AE1224" s="412"/>
    </row>
    <row r="1225" spans="1:34">
      <c r="A1225" s="358" t="s">
        <v>137</v>
      </c>
      <c r="B1225" s="369">
        <v>1222</v>
      </c>
      <c r="C1225" s="360" t="s">
        <v>1895</v>
      </c>
      <c r="D1225" s="360" t="s">
        <v>1042</v>
      </c>
      <c r="E1225" s="373">
        <v>45922</v>
      </c>
      <c r="F1225" s="372" t="s">
        <v>140</v>
      </c>
      <c r="G1225" s="372">
        <v>2</v>
      </c>
      <c r="H1225" s="372" t="s">
        <v>1725</v>
      </c>
      <c r="I1225" s="372" t="s">
        <v>47</v>
      </c>
      <c r="J1225" s="372"/>
      <c r="K1225" s="104"/>
      <c r="L1225" s="21"/>
      <c r="M1225" s="22"/>
      <c r="N1225" s="23"/>
      <c r="O1225" s="23"/>
      <c r="P1225" s="104"/>
      <c r="Q1225" s="23"/>
      <c r="R1225" s="81"/>
      <c r="S1225" s="22"/>
      <c r="T1225" s="22"/>
      <c r="U1225" s="24"/>
      <c r="V1225" s="23"/>
      <c r="W1225" s="82"/>
      <c r="X1225" s="82"/>
      <c r="Y1225" s="82"/>
      <c r="Z1225" s="100"/>
      <c r="AA1225"/>
      <c r="AB1225" s="412"/>
      <c r="AC1225" s="412"/>
      <c r="AD1225" s="412"/>
      <c r="AE1225" s="412"/>
    </row>
    <row r="1226" spans="1:34">
      <c r="A1226" s="358" t="s">
        <v>137</v>
      </c>
      <c r="B1226" s="369">
        <v>1223</v>
      </c>
      <c r="C1226" s="360" t="s">
        <v>1896</v>
      </c>
      <c r="D1226" s="360" t="s">
        <v>1184</v>
      </c>
      <c r="E1226" s="373">
        <v>45901.166666666664</v>
      </c>
      <c r="F1226" s="372" t="s">
        <v>140</v>
      </c>
      <c r="G1226" s="372">
        <v>7</v>
      </c>
      <c r="H1226" s="372" t="s">
        <v>1725</v>
      </c>
      <c r="I1226" s="372" t="s">
        <v>47</v>
      </c>
      <c r="J1226" s="372"/>
      <c r="K1226" s="104"/>
      <c r="L1226" s="21"/>
      <c r="M1226" s="22"/>
      <c r="N1226" s="23"/>
      <c r="O1226" s="23"/>
      <c r="P1226" s="104"/>
      <c r="Q1226" s="23"/>
      <c r="R1226" s="81"/>
      <c r="S1226" s="22"/>
      <c r="T1226" s="22"/>
      <c r="U1226" s="24"/>
      <c r="V1226" s="23"/>
      <c r="W1226" s="82"/>
      <c r="X1226" s="82"/>
      <c r="Y1226" s="82"/>
      <c r="Z1226" s="100"/>
      <c r="AA1226"/>
    </row>
    <row r="1227" spans="1:34">
      <c r="A1227" s="358" t="s">
        <v>137</v>
      </c>
      <c r="B1227" s="369">
        <v>1224</v>
      </c>
      <c r="C1227" s="360" t="s">
        <v>1897</v>
      </c>
      <c r="D1227" s="360" t="s">
        <v>1898</v>
      </c>
      <c r="E1227" s="373">
        <v>45908.375</v>
      </c>
      <c r="F1227" s="372" t="s">
        <v>140</v>
      </c>
      <c r="G1227" s="372">
        <v>4</v>
      </c>
      <c r="H1227" s="372" t="s">
        <v>1725</v>
      </c>
      <c r="I1227" s="372" t="s">
        <v>47</v>
      </c>
      <c r="J1227" s="372"/>
      <c r="K1227" s="104"/>
      <c r="L1227" s="21"/>
      <c r="M1227" s="22"/>
      <c r="N1227" s="23"/>
      <c r="O1227" s="380"/>
      <c r="P1227" s="104"/>
      <c r="Q1227" s="23"/>
      <c r="R1227" s="81"/>
      <c r="S1227" s="22"/>
      <c r="T1227" s="22"/>
      <c r="U1227" s="24"/>
      <c r="V1227" s="23"/>
      <c r="W1227" s="82"/>
      <c r="X1227" s="82"/>
      <c r="Y1227" s="82"/>
      <c r="Z1227" s="100"/>
      <c r="AA1227"/>
    </row>
    <row r="1228" spans="1:34">
      <c r="A1228" s="358" t="s">
        <v>137</v>
      </c>
      <c r="B1228" s="369">
        <v>1225</v>
      </c>
      <c r="C1228" s="360" t="s">
        <v>1899</v>
      </c>
      <c r="D1228" s="360" t="s">
        <v>344</v>
      </c>
      <c r="E1228" s="373">
        <v>45908.375</v>
      </c>
      <c r="F1228" s="372" t="s">
        <v>140</v>
      </c>
      <c r="G1228" s="372">
        <v>17</v>
      </c>
      <c r="H1228" s="372" t="s">
        <v>1725</v>
      </c>
      <c r="I1228" s="372" t="s">
        <v>47</v>
      </c>
      <c r="J1228" s="372"/>
      <c r="K1228" s="21"/>
      <c r="L1228" s="21"/>
      <c r="M1228" s="22"/>
      <c r="N1228" s="23"/>
      <c r="O1228" s="380" t="s">
        <v>31</v>
      </c>
      <c r="P1228" s="23"/>
      <c r="Q1228" s="23"/>
      <c r="R1228" s="81"/>
      <c r="S1228" s="22"/>
      <c r="T1228" s="22"/>
      <c r="U1228" s="24"/>
      <c r="V1228" s="23"/>
      <c r="W1228" s="82"/>
      <c r="X1228" s="82"/>
      <c r="Y1228" s="82"/>
      <c r="Z1228" s="100"/>
      <c r="AA1228" s="6">
        <v>0</v>
      </c>
      <c r="AB1228" s="6">
        <v>17</v>
      </c>
      <c r="AC1228" s="6">
        <v>0</v>
      </c>
      <c r="AD1228" s="6">
        <v>0</v>
      </c>
      <c r="AE1228" s="6">
        <f>SUM(AA1228:AD1228)</f>
        <v>17</v>
      </c>
      <c r="AF1228" s="108">
        <f>+AA1228/AE1228*AF$1</f>
        <v>0</v>
      </c>
      <c r="AG1228" s="109">
        <f>+AB1228/AE1228*AG$1</f>
        <v>0</v>
      </c>
      <c r="AH1228" s="109">
        <f>+AC1228/AE1228*AH$1</f>
        <v>0</v>
      </c>
    </row>
    <row r="1229" spans="1:34">
      <c r="A1229" s="358" t="s">
        <v>137</v>
      </c>
      <c r="B1229" s="369">
        <v>1226</v>
      </c>
      <c r="C1229" s="360" t="s">
        <v>1900</v>
      </c>
      <c r="D1229" s="360" t="s">
        <v>1424</v>
      </c>
      <c r="E1229" s="373">
        <v>45908.041666666664</v>
      </c>
      <c r="F1229" s="372" t="s">
        <v>140</v>
      </c>
      <c r="G1229" s="372">
        <v>3</v>
      </c>
      <c r="H1229" s="372" t="s">
        <v>1721</v>
      </c>
      <c r="I1229" s="372" t="s">
        <v>1638</v>
      </c>
      <c r="J1229" s="372"/>
      <c r="K1229" s="21"/>
      <c r="L1229" s="21"/>
      <c r="M1229" s="22"/>
      <c r="N1229" s="23"/>
      <c r="O1229" s="23"/>
      <c r="P1229" s="23"/>
      <c r="Q1229" s="23"/>
      <c r="R1229" s="81"/>
      <c r="S1229" s="22"/>
      <c r="T1229" s="22"/>
      <c r="U1229" s="24"/>
      <c r="V1229" s="23"/>
      <c r="W1229" s="82"/>
      <c r="X1229" s="82"/>
      <c r="Y1229" s="82"/>
      <c r="Z1229" s="100"/>
      <c r="AA1229"/>
    </row>
    <row r="1230" spans="1:34">
      <c r="A1230" s="358" t="s">
        <v>137</v>
      </c>
      <c r="B1230" s="369">
        <v>1227</v>
      </c>
      <c r="C1230" s="360" t="s">
        <v>1901</v>
      </c>
      <c r="D1230" s="360" t="s">
        <v>344</v>
      </c>
      <c r="E1230" s="373">
        <v>45915.375</v>
      </c>
      <c r="F1230" s="372" t="s">
        <v>140</v>
      </c>
      <c r="G1230" s="372">
        <v>7</v>
      </c>
      <c r="H1230" s="372" t="s">
        <v>1902</v>
      </c>
      <c r="I1230" s="372" t="s">
        <v>292</v>
      </c>
      <c r="J1230" s="372"/>
      <c r="K1230" s="101"/>
      <c r="L1230" s="21"/>
      <c r="M1230" s="22"/>
      <c r="N1230" s="23"/>
      <c r="O1230" s="380"/>
      <c r="P1230" s="101"/>
      <c r="Q1230" s="23"/>
      <c r="R1230" s="81"/>
      <c r="S1230" s="22"/>
      <c r="T1230" s="22"/>
      <c r="U1230" s="24"/>
      <c r="V1230" s="23"/>
      <c r="W1230" s="82"/>
      <c r="X1230" s="82"/>
      <c r="Y1230" s="82"/>
      <c r="Z1230" s="100"/>
      <c r="AA1230" s="91"/>
      <c r="AB1230" s="91"/>
      <c r="AF1230" s="72"/>
      <c r="AG1230" s="96"/>
      <c r="AH1230" s="96"/>
    </row>
    <row r="1231" spans="1:34">
      <c r="A1231" s="358" t="s">
        <v>137</v>
      </c>
      <c r="B1231" s="369">
        <v>1228</v>
      </c>
      <c r="C1231" s="360" t="s">
        <v>1903</v>
      </c>
      <c r="D1231" s="360" t="s">
        <v>1904</v>
      </c>
      <c r="E1231" s="373">
        <v>45915.375</v>
      </c>
      <c r="F1231" s="372" t="s">
        <v>140</v>
      </c>
      <c r="G1231" s="372">
        <v>1</v>
      </c>
      <c r="H1231" s="372" t="s">
        <v>127</v>
      </c>
      <c r="I1231" s="372" t="s">
        <v>36</v>
      </c>
      <c r="J1231" s="372"/>
      <c r="K1231" s="101"/>
      <c r="L1231" s="21"/>
      <c r="M1231" s="22"/>
      <c r="N1231" s="23"/>
      <c r="O1231" s="23"/>
      <c r="P1231" s="101"/>
      <c r="Q1231" s="23"/>
      <c r="R1231" s="81"/>
      <c r="S1231" s="22"/>
      <c r="U1231" s="24"/>
      <c r="V1231" s="23"/>
      <c r="W1231" s="82"/>
      <c r="X1231" s="82"/>
      <c r="Y1231" s="82"/>
      <c r="Z1231" s="100"/>
      <c r="AA1231"/>
      <c r="AF1231" s="72"/>
      <c r="AG1231" s="96"/>
      <c r="AH1231" s="96"/>
    </row>
    <row r="1232" spans="1:34">
      <c r="A1232" s="358" t="s">
        <v>137</v>
      </c>
      <c r="B1232" s="369">
        <v>1229</v>
      </c>
      <c r="C1232" s="360" t="s">
        <v>1905</v>
      </c>
      <c r="D1232" s="360" t="s">
        <v>1424</v>
      </c>
      <c r="E1232" s="373">
        <v>45915</v>
      </c>
      <c r="F1232" s="372" t="s">
        <v>140</v>
      </c>
      <c r="G1232" s="372">
        <v>1</v>
      </c>
      <c r="H1232" s="372" t="s">
        <v>1725</v>
      </c>
      <c r="I1232" s="372" t="s">
        <v>47</v>
      </c>
      <c r="J1232" s="372"/>
      <c r="K1232" s="21"/>
      <c r="L1232" s="21"/>
      <c r="M1232" s="22"/>
      <c r="N1232" s="23"/>
      <c r="O1232" s="380"/>
      <c r="P1232" s="23"/>
      <c r="Q1232" s="23"/>
      <c r="R1232" s="81"/>
      <c r="S1232" s="22"/>
      <c r="T1232" s="22"/>
      <c r="U1232" s="24"/>
      <c r="V1232" s="23"/>
      <c r="W1232" s="82"/>
      <c r="X1232" s="82"/>
      <c r="Y1232" s="82"/>
      <c r="Z1232" s="100"/>
      <c r="AA1232" s="91"/>
      <c r="AB1232" s="91"/>
      <c r="AF1232" s="72"/>
      <c r="AG1232" s="96"/>
      <c r="AH1232" s="96"/>
    </row>
    <row r="1233" spans="1:34">
      <c r="A1233" s="358" t="s">
        <v>137</v>
      </c>
      <c r="B1233" s="369">
        <v>1230</v>
      </c>
      <c r="C1233" s="360" t="s">
        <v>1906</v>
      </c>
      <c r="D1233" s="360" t="s">
        <v>1184</v>
      </c>
      <c r="E1233" s="373">
        <v>45915</v>
      </c>
      <c r="F1233" s="372" t="s">
        <v>140</v>
      </c>
      <c r="G1233" s="372">
        <v>3</v>
      </c>
      <c r="H1233" s="372" t="s">
        <v>1077</v>
      </c>
      <c r="I1233" s="372" t="s">
        <v>1138</v>
      </c>
      <c r="J1233" s="372"/>
      <c r="K1233" s="21"/>
      <c r="L1233" s="21"/>
      <c r="M1233" s="22"/>
      <c r="N1233" s="23"/>
      <c r="O1233" s="380"/>
      <c r="P1233" s="23"/>
      <c r="Q1233" s="23"/>
      <c r="R1233" s="81"/>
      <c r="S1233" s="22"/>
      <c r="T1233" s="22"/>
      <c r="U1233" s="24"/>
      <c r="V1233" s="23"/>
      <c r="W1233" s="82"/>
      <c r="X1233" s="82"/>
      <c r="Y1233" s="82"/>
      <c r="Z1233" s="100"/>
      <c r="AA1233"/>
      <c r="AF1233" s="72"/>
      <c r="AG1233" s="96"/>
      <c r="AH1233" s="96"/>
    </row>
    <row r="1234" spans="1:34">
      <c r="A1234" s="358" t="s">
        <v>137</v>
      </c>
      <c r="B1234" s="369">
        <v>1231</v>
      </c>
      <c r="C1234" s="360" t="s">
        <v>1907</v>
      </c>
      <c r="D1234" s="360" t="s">
        <v>1250</v>
      </c>
      <c r="E1234" s="373">
        <v>45922.375</v>
      </c>
      <c r="F1234" s="372" t="s">
        <v>140</v>
      </c>
      <c r="G1234" s="372">
        <v>3</v>
      </c>
      <c r="H1234" s="372" t="s">
        <v>1908</v>
      </c>
      <c r="I1234" s="372" t="s">
        <v>1670</v>
      </c>
      <c r="J1234" s="372"/>
      <c r="K1234" s="21"/>
      <c r="L1234" s="21"/>
      <c r="M1234" s="22"/>
      <c r="N1234" s="23"/>
      <c r="O1234" s="23"/>
      <c r="P1234" s="23"/>
      <c r="Q1234" s="23"/>
      <c r="R1234" s="81"/>
      <c r="S1234" s="22"/>
      <c r="T1234" s="22"/>
      <c r="U1234" s="24"/>
      <c r="V1234" s="23"/>
      <c r="W1234" s="82"/>
      <c r="X1234" s="82"/>
      <c r="Y1234" s="82"/>
      <c r="Z1234" s="100"/>
      <c r="AA1234"/>
    </row>
    <row r="1235" spans="1:34">
      <c r="A1235" s="358" t="s">
        <v>137</v>
      </c>
      <c r="B1235" s="369">
        <v>1232</v>
      </c>
      <c r="C1235" s="360" t="s">
        <v>1909</v>
      </c>
      <c r="D1235" s="360" t="s">
        <v>344</v>
      </c>
      <c r="E1235" s="373">
        <v>45922.375</v>
      </c>
      <c r="F1235" s="372" t="s">
        <v>140</v>
      </c>
      <c r="G1235" s="372">
        <v>8</v>
      </c>
      <c r="H1235" s="372" t="s">
        <v>1725</v>
      </c>
      <c r="I1235" s="372" t="s">
        <v>47</v>
      </c>
      <c r="J1235" s="372"/>
      <c r="K1235" s="21"/>
      <c r="L1235" s="21"/>
      <c r="M1235" s="22"/>
      <c r="N1235" s="23"/>
      <c r="O1235" s="62"/>
      <c r="P1235" s="23"/>
      <c r="Q1235" s="23"/>
      <c r="R1235" s="81"/>
      <c r="S1235" s="22"/>
      <c r="T1235" s="22"/>
      <c r="U1235" s="24"/>
      <c r="V1235" s="23"/>
      <c r="W1235" s="82"/>
      <c r="X1235" s="82"/>
      <c r="Y1235" s="82"/>
      <c r="Z1235" s="100"/>
      <c r="AA1235"/>
      <c r="AF1235" s="72"/>
      <c r="AG1235" s="96"/>
      <c r="AH1235" s="96"/>
    </row>
    <row r="1236" spans="1:34">
      <c r="A1236" s="358" t="s">
        <v>137</v>
      </c>
      <c r="B1236" s="369">
        <v>1233</v>
      </c>
      <c r="C1236" s="360" t="s">
        <v>1910</v>
      </c>
      <c r="D1236" s="360" t="s">
        <v>779</v>
      </c>
      <c r="E1236" s="373">
        <v>45922.375</v>
      </c>
      <c r="F1236" s="372" t="s">
        <v>140</v>
      </c>
      <c r="G1236" s="372">
        <v>3</v>
      </c>
      <c r="H1236" s="372" t="s">
        <v>1721</v>
      </c>
      <c r="I1236" s="372" t="s">
        <v>1638</v>
      </c>
      <c r="J1236" s="372"/>
      <c r="K1236" s="21"/>
      <c r="L1236" s="21"/>
      <c r="M1236" s="22"/>
      <c r="N1236" s="23"/>
      <c r="O1236" s="62"/>
      <c r="P1236" s="23"/>
      <c r="Q1236" s="23"/>
      <c r="R1236" s="81"/>
      <c r="S1236" s="22"/>
      <c r="T1236" s="22"/>
      <c r="U1236" s="24"/>
      <c r="V1236" s="23"/>
      <c r="W1236" s="82"/>
      <c r="X1236" s="82"/>
      <c r="Y1236" s="82"/>
      <c r="Z1236" s="100"/>
      <c r="AA1236"/>
      <c r="AF1236" s="72"/>
      <c r="AG1236" s="96"/>
      <c r="AH1236" s="96"/>
    </row>
    <row r="1237" spans="1:34">
      <c r="A1237" s="358" t="s">
        <v>137</v>
      </c>
      <c r="B1237" s="369">
        <v>1234</v>
      </c>
      <c r="C1237" s="360" t="s">
        <v>1911</v>
      </c>
      <c r="D1237" s="360" t="s">
        <v>1912</v>
      </c>
      <c r="E1237" s="373">
        <v>45922.166666666664</v>
      </c>
      <c r="F1237" s="372" t="s">
        <v>140</v>
      </c>
      <c r="G1237" s="372">
        <v>2</v>
      </c>
      <c r="H1237" s="372" t="s">
        <v>1872</v>
      </c>
      <c r="I1237" s="372" t="s">
        <v>1514</v>
      </c>
      <c r="J1237" s="372"/>
      <c r="K1237" s="21"/>
      <c r="L1237" s="21"/>
      <c r="M1237" s="22"/>
      <c r="N1237" s="23"/>
      <c r="O1237" s="380"/>
      <c r="P1237" s="23"/>
      <c r="Q1237" s="23"/>
      <c r="R1237" s="81"/>
      <c r="S1237" s="22"/>
      <c r="T1237" s="22"/>
      <c r="U1237" s="24"/>
      <c r="V1237" s="23"/>
      <c r="W1237" s="82"/>
      <c r="X1237" s="82"/>
      <c r="Y1237" s="82"/>
      <c r="Z1237" s="100"/>
      <c r="AA1237"/>
      <c r="AF1237" s="72"/>
      <c r="AG1237" s="96"/>
      <c r="AH1237" s="96"/>
    </row>
    <row r="1238" spans="1:34">
      <c r="A1238" s="358" t="s">
        <v>137</v>
      </c>
      <c r="B1238" s="369">
        <v>1235</v>
      </c>
      <c r="C1238" s="360" t="s">
        <v>1913</v>
      </c>
      <c r="D1238" s="360" t="s">
        <v>989</v>
      </c>
      <c r="E1238" s="373">
        <v>45922</v>
      </c>
      <c r="F1238" s="372" t="s">
        <v>140</v>
      </c>
      <c r="G1238" s="372">
        <v>1</v>
      </c>
      <c r="H1238" s="372" t="s">
        <v>1725</v>
      </c>
      <c r="I1238" s="372" t="s">
        <v>47</v>
      </c>
      <c r="J1238" s="372"/>
      <c r="K1238" s="21"/>
      <c r="L1238" s="21"/>
      <c r="M1238" s="22"/>
      <c r="N1238" s="23"/>
      <c r="O1238" s="62"/>
      <c r="P1238" s="23"/>
      <c r="Q1238" s="23"/>
      <c r="R1238" s="81"/>
      <c r="S1238" s="22"/>
      <c r="T1238" s="22"/>
      <c r="U1238" s="24"/>
      <c r="V1238" s="23"/>
      <c r="W1238" s="82"/>
      <c r="X1238" s="82"/>
      <c r="Y1238" s="82"/>
      <c r="Z1238" s="100"/>
      <c r="AA1238"/>
      <c r="AF1238" s="96"/>
      <c r="AG1238" s="96"/>
      <c r="AH1238" s="96"/>
    </row>
    <row r="1239" spans="1:34">
      <c r="A1239" s="358" t="s">
        <v>137</v>
      </c>
      <c r="B1239" s="369">
        <v>1236</v>
      </c>
      <c r="C1239" s="360" t="s">
        <v>1914</v>
      </c>
      <c r="D1239" s="360" t="s">
        <v>937</v>
      </c>
      <c r="E1239" s="373">
        <v>45922.375</v>
      </c>
      <c r="F1239" s="372" t="s">
        <v>140</v>
      </c>
      <c r="G1239" s="372">
        <v>13</v>
      </c>
      <c r="H1239" s="372" t="s">
        <v>1077</v>
      </c>
      <c r="I1239" s="372" t="s">
        <v>1138</v>
      </c>
      <c r="J1239" s="372"/>
      <c r="K1239" s="104"/>
      <c r="L1239" s="21"/>
      <c r="M1239" s="22"/>
      <c r="N1239" s="23"/>
      <c r="O1239" s="62"/>
      <c r="P1239" s="104"/>
      <c r="Q1239" s="23"/>
      <c r="R1239" s="81"/>
      <c r="S1239" s="22"/>
      <c r="T1239" s="22"/>
      <c r="U1239" s="24"/>
      <c r="V1239" s="23"/>
      <c r="W1239" s="82"/>
      <c r="X1239" s="82"/>
      <c r="Y1239" s="82"/>
      <c r="Z1239" s="100"/>
      <c r="AA1239"/>
      <c r="AF1239" s="96"/>
      <c r="AG1239" s="96"/>
      <c r="AH1239" s="96"/>
    </row>
    <row r="1240" spans="1:34">
      <c r="A1240" s="358" t="s">
        <v>137</v>
      </c>
      <c r="B1240" s="369">
        <v>1237</v>
      </c>
      <c r="C1240" s="360" t="s">
        <v>1915</v>
      </c>
      <c r="D1240" s="360" t="s">
        <v>344</v>
      </c>
      <c r="E1240" s="373">
        <v>45929.375</v>
      </c>
      <c r="F1240" s="372" t="s">
        <v>140</v>
      </c>
      <c r="G1240" s="372">
        <v>8</v>
      </c>
      <c r="H1240" s="372" t="s">
        <v>1908</v>
      </c>
      <c r="I1240" s="372" t="s">
        <v>1670</v>
      </c>
      <c r="J1240" s="372"/>
      <c r="K1240" s="104"/>
      <c r="L1240" s="21"/>
      <c r="M1240" s="22"/>
      <c r="N1240" s="23"/>
      <c r="O1240" s="23"/>
      <c r="P1240" s="104"/>
      <c r="Q1240" s="23"/>
      <c r="R1240" s="81"/>
      <c r="S1240" s="22"/>
      <c r="T1240" s="22"/>
      <c r="U1240" s="24"/>
      <c r="V1240" s="23"/>
      <c r="W1240" s="82"/>
      <c r="X1240" s="82"/>
      <c r="Y1240" s="82"/>
      <c r="Z1240" s="100"/>
      <c r="AA1240"/>
      <c r="AB1240" s="89"/>
      <c r="AC1240" s="89"/>
      <c r="AD1240" s="89"/>
      <c r="AE1240" s="88"/>
      <c r="AF1240" s="96"/>
      <c r="AG1240" s="96"/>
      <c r="AH1240" s="96"/>
    </row>
    <row r="1241" spans="1:34">
      <c r="A1241" s="358" t="s">
        <v>137</v>
      </c>
      <c r="B1241" s="369">
        <v>1238</v>
      </c>
      <c r="C1241" s="360" t="s">
        <v>1916</v>
      </c>
      <c r="D1241" s="360" t="s">
        <v>1184</v>
      </c>
      <c r="E1241" s="373">
        <v>45929</v>
      </c>
      <c r="F1241" s="372" t="s">
        <v>140</v>
      </c>
      <c r="G1241" s="372">
        <v>1</v>
      </c>
      <c r="H1241" s="372" t="s">
        <v>1725</v>
      </c>
      <c r="I1241" s="372" t="s">
        <v>47</v>
      </c>
      <c r="J1241" s="372"/>
      <c r="K1241" s="21"/>
      <c r="L1241" s="21"/>
      <c r="M1241" s="22"/>
      <c r="N1241" s="23"/>
      <c r="O1241" s="380"/>
      <c r="P1241" s="23"/>
      <c r="Q1241" s="23"/>
      <c r="R1241" s="81"/>
      <c r="S1241" s="22"/>
      <c r="T1241" s="22"/>
      <c r="U1241" s="24"/>
      <c r="V1241" s="23"/>
      <c r="W1241" s="82"/>
      <c r="X1241" s="82"/>
      <c r="Y1241" s="82"/>
      <c r="Z1241" s="100"/>
      <c r="AA1241"/>
      <c r="AF1241" s="72"/>
      <c r="AG1241" s="96"/>
      <c r="AH1241" s="96"/>
    </row>
    <row r="1242" spans="1:34">
      <c r="A1242" s="358" t="s">
        <v>24</v>
      </c>
      <c r="B1242" s="369">
        <v>1239</v>
      </c>
      <c r="C1242" s="372" t="s">
        <v>1917</v>
      </c>
      <c r="D1242" s="373" t="s">
        <v>34</v>
      </c>
      <c r="E1242" s="373">
        <v>45931</v>
      </c>
      <c r="F1242" s="372" t="s">
        <v>912</v>
      </c>
      <c r="G1242" s="372">
        <v>9</v>
      </c>
      <c r="H1242" s="372" t="s">
        <v>1077</v>
      </c>
      <c r="I1242" s="372" t="s">
        <v>1138</v>
      </c>
      <c r="J1242" s="372"/>
      <c r="K1242" s="372"/>
      <c r="L1242" s="358"/>
      <c r="M1242" s="358"/>
      <c r="N1242" s="358"/>
      <c r="O1242" s="380"/>
      <c r="P1242" s="23" t="s">
        <v>30</v>
      </c>
      <c r="Q1242" s="23">
        <v>45979</v>
      </c>
      <c r="R1242" s="81" t="s">
        <v>1138</v>
      </c>
      <c r="S1242" s="22" t="s">
        <v>32</v>
      </c>
      <c r="T1242" s="22">
        <v>9</v>
      </c>
      <c r="U1242" s="24" t="s">
        <v>1138</v>
      </c>
      <c r="V1242" s="23">
        <v>45979</v>
      </c>
      <c r="W1242" s="100" t="s">
        <v>30</v>
      </c>
      <c r="X1242" s="100" t="s">
        <v>30</v>
      </c>
      <c r="Y1242" s="100" t="s">
        <v>30</v>
      </c>
      <c r="Z1242" s="100" t="s">
        <v>30</v>
      </c>
      <c r="AA1242"/>
      <c r="AB1242" s="412"/>
      <c r="AC1242" s="412"/>
      <c r="AD1242" s="412"/>
      <c r="AE1242" s="412"/>
    </row>
    <row r="1243" spans="1:34">
      <c r="A1243" s="358" t="s">
        <v>24</v>
      </c>
      <c r="B1243" s="369">
        <v>1240</v>
      </c>
      <c r="C1243" s="372" t="s">
        <v>1918</v>
      </c>
      <c r="D1243" s="373" t="s">
        <v>43</v>
      </c>
      <c r="E1243" s="373">
        <v>45932</v>
      </c>
      <c r="F1243" s="372" t="s">
        <v>737</v>
      </c>
      <c r="G1243" s="372">
        <v>15</v>
      </c>
      <c r="H1243" s="372" t="s">
        <v>1721</v>
      </c>
      <c r="I1243" s="372" t="s">
        <v>1638</v>
      </c>
      <c r="J1243" s="372"/>
      <c r="K1243" s="372"/>
      <c r="L1243" s="358"/>
      <c r="M1243" s="358"/>
      <c r="N1243" s="358"/>
      <c r="O1243" s="380"/>
      <c r="P1243" s="23" t="s">
        <v>30</v>
      </c>
      <c r="Q1243" s="23">
        <v>45958</v>
      </c>
      <c r="R1243" s="81" t="s">
        <v>1638</v>
      </c>
      <c r="S1243" s="22" t="s">
        <v>32</v>
      </c>
      <c r="T1243" s="22">
        <v>16</v>
      </c>
      <c r="U1243" s="24" t="s">
        <v>1638</v>
      </c>
      <c r="V1243" s="23">
        <v>45958</v>
      </c>
      <c r="W1243" s="100" t="s">
        <v>30</v>
      </c>
      <c r="X1243" s="100" t="s">
        <v>30</v>
      </c>
      <c r="Y1243" s="100" t="s">
        <v>30</v>
      </c>
      <c r="Z1243" s="100" t="s">
        <v>30</v>
      </c>
      <c r="AA1243"/>
      <c r="AB1243" s="412"/>
      <c r="AC1243" s="412"/>
      <c r="AD1243" s="412"/>
      <c r="AE1243" s="412"/>
    </row>
    <row r="1244" spans="1:34">
      <c r="A1244" s="358" t="s">
        <v>24</v>
      </c>
      <c r="B1244" s="369">
        <v>1241</v>
      </c>
      <c r="C1244" s="372" t="s">
        <v>1919</v>
      </c>
      <c r="D1244" s="373" t="s">
        <v>43</v>
      </c>
      <c r="E1244" s="373">
        <v>45933</v>
      </c>
      <c r="F1244" s="372" t="s">
        <v>729</v>
      </c>
      <c r="G1244" s="372">
        <v>11</v>
      </c>
      <c r="H1244" s="372" t="s">
        <v>1721</v>
      </c>
      <c r="I1244" s="372" t="s">
        <v>1638</v>
      </c>
      <c r="J1244" s="372"/>
      <c r="K1244" s="372"/>
      <c r="L1244" s="358"/>
      <c r="M1244" s="358"/>
      <c r="N1244" s="358"/>
      <c r="O1244" s="380"/>
      <c r="P1244" s="23" t="s">
        <v>30</v>
      </c>
      <c r="Q1244" s="23">
        <v>45978</v>
      </c>
      <c r="R1244" s="81" t="s">
        <v>1638</v>
      </c>
      <c r="S1244" s="22" t="s">
        <v>32</v>
      </c>
      <c r="T1244" s="22">
        <v>11</v>
      </c>
      <c r="U1244" s="24" t="s">
        <v>1638</v>
      </c>
      <c r="V1244" s="23">
        <v>45978</v>
      </c>
      <c r="W1244" s="95" t="s">
        <v>32</v>
      </c>
      <c r="X1244" s="100" t="s">
        <v>30</v>
      </c>
      <c r="Y1244" s="100" t="s">
        <v>30</v>
      </c>
      <c r="Z1244" s="100"/>
      <c r="AA1244"/>
      <c r="AB1244" s="412"/>
      <c r="AC1244" s="412"/>
      <c r="AD1244" s="412"/>
      <c r="AE1244" s="412"/>
    </row>
    <row r="1245" spans="1:34">
      <c r="A1245" s="358" t="s">
        <v>24</v>
      </c>
      <c r="B1245" s="369">
        <v>1242</v>
      </c>
      <c r="C1245" s="372" t="s">
        <v>1920</v>
      </c>
      <c r="D1245" s="373" t="s">
        <v>43</v>
      </c>
      <c r="E1245" s="373">
        <v>45934</v>
      </c>
      <c r="F1245" s="372" t="s">
        <v>1921</v>
      </c>
      <c r="G1245" s="372">
        <v>15</v>
      </c>
      <c r="H1245" s="372" t="s">
        <v>1721</v>
      </c>
      <c r="I1245" s="372" t="s">
        <v>1638</v>
      </c>
      <c r="J1245" s="372"/>
      <c r="K1245" s="372"/>
      <c r="L1245" s="358"/>
      <c r="M1245" s="358"/>
      <c r="N1245" s="358"/>
      <c r="O1245" s="380"/>
      <c r="P1245" s="23" t="s">
        <v>30</v>
      </c>
      <c r="Q1245" s="23">
        <v>45978</v>
      </c>
      <c r="R1245" s="81" t="s">
        <v>1638</v>
      </c>
      <c r="S1245" s="22" t="s">
        <v>32</v>
      </c>
      <c r="T1245" s="22">
        <v>18</v>
      </c>
      <c r="U1245" s="24" t="s">
        <v>1638</v>
      </c>
      <c r="V1245" s="23">
        <v>45978</v>
      </c>
      <c r="W1245" s="100" t="s">
        <v>30</v>
      </c>
      <c r="X1245" s="100" t="s">
        <v>30</v>
      </c>
      <c r="Y1245" s="100" t="s">
        <v>30</v>
      </c>
      <c r="Z1245" s="100" t="s">
        <v>30</v>
      </c>
      <c r="AA1245"/>
      <c r="AB1245" s="412"/>
      <c r="AC1245" s="412"/>
      <c r="AD1245" s="412"/>
      <c r="AE1245" s="412"/>
    </row>
    <row r="1246" spans="1:34">
      <c r="A1246" s="358" t="s">
        <v>24</v>
      </c>
      <c r="B1246" s="369">
        <v>1243</v>
      </c>
      <c r="C1246" s="372" t="s">
        <v>1922</v>
      </c>
      <c r="D1246" s="373" t="s">
        <v>34</v>
      </c>
      <c r="E1246" s="373">
        <v>45934</v>
      </c>
      <c r="F1246" s="372" t="s">
        <v>1923</v>
      </c>
      <c r="G1246" s="372">
        <v>14</v>
      </c>
      <c r="H1246" s="372" t="s">
        <v>1721</v>
      </c>
      <c r="I1246" s="372" t="s">
        <v>1638</v>
      </c>
      <c r="J1246" s="372"/>
      <c r="K1246" s="372"/>
      <c r="L1246" s="221"/>
      <c r="M1246" s="358"/>
      <c r="N1246" s="358"/>
      <c r="O1246" s="247"/>
      <c r="P1246" s="23" t="s">
        <v>30</v>
      </c>
      <c r="Q1246" s="23">
        <v>45989</v>
      </c>
      <c r="R1246" s="81" t="s">
        <v>127</v>
      </c>
      <c r="S1246" s="22" t="s">
        <v>32</v>
      </c>
      <c r="T1246" s="22">
        <v>14</v>
      </c>
      <c r="U1246" s="24" t="s">
        <v>127</v>
      </c>
      <c r="V1246" s="23">
        <v>45989</v>
      </c>
      <c r="W1246" s="100" t="s">
        <v>30</v>
      </c>
      <c r="X1246" s="100" t="s">
        <v>30</v>
      </c>
      <c r="Y1246" s="100" t="s">
        <v>30</v>
      </c>
      <c r="Z1246" s="100"/>
      <c r="AA1246"/>
    </row>
    <row r="1247" spans="1:34">
      <c r="A1247" s="358" t="s">
        <v>24</v>
      </c>
      <c r="B1247" s="369">
        <v>1244</v>
      </c>
      <c r="C1247" s="372" t="s">
        <v>1924</v>
      </c>
      <c r="D1247" s="373" t="s">
        <v>102</v>
      </c>
      <c r="E1247" s="373">
        <v>45934</v>
      </c>
      <c r="F1247" s="372" t="s">
        <v>1054</v>
      </c>
      <c r="G1247" s="372">
        <v>10</v>
      </c>
      <c r="H1247" s="372" t="s">
        <v>1725</v>
      </c>
      <c r="I1247" s="372" t="s">
        <v>47</v>
      </c>
      <c r="J1247" s="372"/>
      <c r="K1247" s="372"/>
      <c r="L1247" s="358"/>
      <c r="M1247" s="358"/>
      <c r="N1247" s="380"/>
      <c r="O1247" s="380"/>
      <c r="P1247" s="23" t="s">
        <v>30</v>
      </c>
      <c r="Q1247" s="23">
        <v>45979</v>
      </c>
      <c r="R1247" s="81" t="s">
        <v>47</v>
      </c>
      <c r="S1247" s="22" t="s">
        <v>32</v>
      </c>
      <c r="T1247" s="22">
        <v>10</v>
      </c>
      <c r="U1247" s="24" t="s">
        <v>47</v>
      </c>
      <c r="V1247" s="23">
        <v>45979</v>
      </c>
      <c r="W1247" s="100" t="s">
        <v>30</v>
      </c>
      <c r="X1247" s="100" t="s">
        <v>30</v>
      </c>
      <c r="Y1247" s="100" t="s">
        <v>30</v>
      </c>
      <c r="Z1247" s="100" t="s">
        <v>30</v>
      </c>
      <c r="AA1247"/>
      <c r="AB1247" s="412"/>
      <c r="AC1247" s="412"/>
      <c r="AD1247" s="412"/>
      <c r="AE1247" s="412"/>
    </row>
    <row r="1248" spans="1:34">
      <c r="A1248" s="358" t="s">
        <v>24</v>
      </c>
      <c r="B1248" s="369">
        <v>1245</v>
      </c>
      <c r="C1248" s="372" t="s">
        <v>1925</v>
      </c>
      <c r="D1248" s="373" t="s">
        <v>34</v>
      </c>
      <c r="E1248" s="373">
        <v>45934</v>
      </c>
      <c r="F1248" s="372" t="s">
        <v>1926</v>
      </c>
      <c r="G1248" s="372">
        <v>23</v>
      </c>
      <c r="H1248" s="372" t="s">
        <v>1077</v>
      </c>
      <c r="I1248" s="372" t="s">
        <v>1138</v>
      </c>
      <c r="J1248" s="102" t="s">
        <v>1927</v>
      </c>
      <c r="K1248" s="372"/>
      <c r="L1248" s="358"/>
      <c r="M1248" s="358"/>
      <c r="N1248" s="380"/>
      <c r="O1248" s="247"/>
      <c r="P1248" s="23" t="s">
        <v>30</v>
      </c>
      <c r="Q1248" s="23">
        <v>45985</v>
      </c>
      <c r="R1248" s="81" t="s">
        <v>28</v>
      </c>
      <c r="S1248" s="22" t="s">
        <v>30</v>
      </c>
      <c r="T1248" s="22">
        <v>2</v>
      </c>
      <c r="U1248" s="24" t="s">
        <v>28</v>
      </c>
      <c r="V1248" s="23">
        <v>45985</v>
      </c>
      <c r="W1248" s="100" t="s">
        <v>30</v>
      </c>
      <c r="X1248" s="100" t="s">
        <v>30</v>
      </c>
      <c r="Y1248" s="100" t="s">
        <v>30</v>
      </c>
      <c r="Z1248" s="100" t="s">
        <v>30</v>
      </c>
      <c r="AA1248"/>
      <c r="AB1248" s="412"/>
      <c r="AC1248" s="412"/>
      <c r="AD1248" s="412"/>
      <c r="AE1248" s="412"/>
    </row>
    <row r="1249" spans="1:31">
      <c r="A1249" s="358" t="s">
        <v>24</v>
      </c>
      <c r="B1249" s="369">
        <v>1246</v>
      </c>
      <c r="C1249" s="372" t="s">
        <v>1928</v>
      </c>
      <c r="D1249" s="373" t="s">
        <v>34</v>
      </c>
      <c r="E1249" s="373">
        <v>45934</v>
      </c>
      <c r="F1249" s="372" t="s">
        <v>1929</v>
      </c>
      <c r="G1249" s="372">
        <v>10</v>
      </c>
      <c r="H1249" s="372" t="s">
        <v>1077</v>
      </c>
      <c r="I1249" s="372" t="s">
        <v>1138</v>
      </c>
      <c r="J1249" s="372"/>
      <c r="K1249" s="372"/>
      <c r="L1249" s="358"/>
      <c r="M1249" s="358"/>
      <c r="N1249" s="380"/>
      <c r="O1249" s="380"/>
      <c r="P1249" s="23" t="s">
        <v>30</v>
      </c>
      <c r="Q1249" s="23">
        <v>45979</v>
      </c>
      <c r="R1249" s="81" t="s">
        <v>1138</v>
      </c>
      <c r="S1249" s="22" t="s">
        <v>32</v>
      </c>
      <c r="T1249" s="22">
        <v>10</v>
      </c>
      <c r="U1249" s="24" t="s">
        <v>1138</v>
      </c>
      <c r="V1249" s="23">
        <v>45979</v>
      </c>
      <c r="W1249" s="100" t="s">
        <v>30</v>
      </c>
      <c r="X1249" s="100" t="s">
        <v>30</v>
      </c>
      <c r="Y1249" s="100" t="s">
        <v>30</v>
      </c>
      <c r="Z1249" s="100" t="s">
        <v>30</v>
      </c>
      <c r="AA1249"/>
      <c r="AB1249" s="412"/>
      <c r="AC1249" s="412"/>
      <c r="AD1249" s="412"/>
      <c r="AE1249" s="412"/>
    </row>
    <row r="1250" spans="1:31">
      <c r="A1250" s="358" t="s">
        <v>24</v>
      </c>
      <c r="B1250" s="369">
        <v>1247</v>
      </c>
      <c r="C1250" s="372" t="s">
        <v>1930</v>
      </c>
      <c r="D1250" s="373" t="s">
        <v>83</v>
      </c>
      <c r="E1250" s="373">
        <v>45934</v>
      </c>
      <c r="F1250" s="372" t="s">
        <v>1749</v>
      </c>
      <c r="G1250" s="372">
        <v>22</v>
      </c>
      <c r="H1250" s="372" t="s">
        <v>1725</v>
      </c>
      <c r="I1250" s="372" t="s">
        <v>47</v>
      </c>
      <c r="J1250" s="102"/>
      <c r="K1250" s="372"/>
      <c r="L1250" s="358"/>
      <c r="M1250" s="358"/>
      <c r="N1250" s="380"/>
      <c r="O1250" s="380"/>
      <c r="P1250" s="23" t="s">
        <v>30</v>
      </c>
      <c r="Q1250" s="23">
        <v>45988</v>
      </c>
      <c r="R1250" s="81" t="s">
        <v>127</v>
      </c>
      <c r="S1250" s="22" t="s">
        <v>32</v>
      </c>
      <c r="T1250" s="22">
        <v>22</v>
      </c>
      <c r="U1250" s="24" t="s">
        <v>127</v>
      </c>
      <c r="V1250" s="23">
        <v>45988</v>
      </c>
      <c r="W1250" s="100" t="s">
        <v>30</v>
      </c>
      <c r="X1250" s="100" t="s">
        <v>30</v>
      </c>
      <c r="Y1250" s="100" t="s">
        <v>30</v>
      </c>
      <c r="Z1250" s="100" t="s">
        <v>30</v>
      </c>
      <c r="AA1250"/>
      <c r="AB1250" s="412"/>
      <c r="AC1250" s="412"/>
      <c r="AD1250" s="412"/>
      <c r="AE1250" s="412"/>
    </row>
    <row r="1251" spans="1:31">
      <c r="A1251" s="358" t="s">
        <v>24</v>
      </c>
      <c r="B1251" s="369">
        <v>1248</v>
      </c>
      <c r="C1251" s="372" t="s">
        <v>1931</v>
      </c>
      <c r="D1251" s="373" t="s">
        <v>43</v>
      </c>
      <c r="E1251" s="373">
        <v>45937</v>
      </c>
      <c r="F1251" s="372" t="s">
        <v>506</v>
      </c>
      <c r="G1251" s="372">
        <v>29</v>
      </c>
      <c r="H1251" s="372" t="s">
        <v>127</v>
      </c>
      <c r="I1251" s="372" t="s">
        <v>36</v>
      </c>
      <c r="J1251" s="372"/>
      <c r="K1251" s="372"/>
      <c r="L1251" s="358"/>
      <c r="M1251" s="358"/>
      <c r="N1251" s="94"/>
      <c r="O1251" s="247"/>
      <c r="P1251" s="23" t="s">
        <v>30</v>
      </c>
      <c r="Q1251" s="23">
        <v>45980</v>
      </c>
      <c r="R1251" s="81" t="s">
        <v>178</v>
      </c>
      <c r="S1251" s="22" t="s">
        <v>32</v>
      </c>
      <c r="T1251" s="22">
        <v>29</v>
      </c>
      <c r="U1251" s="24" t="s">
        <v>178</v>
      </c>
      <c r="V1251" s="23">
        <v>45980</v>
      </c>
      <c r="W1251" s="100" t="s">
        <v>30</v>
      </c>
      <c r="X1251" s="100" t="s">
        <v>30</v>
      </c>
      <c r="Y1251" s="100" t="s">
        <v>30</v>
      </c>
      <c r="Z1251" s="100" t="s">
        <v>30</v>
      </c>
      <c r="AA1251"/>
    </row>
    <row r="1252" spans="1:31">
      <c r="A1252" s="358" t="s">
        <v>24</v>
      </c>
      <c r="B1252" s="369">
        <v>1249</v>
      </c>
      <c r="C1252" s="372" t="s">
        <v>1932</v>
      </c>
      <c r="D1252" s="373" t="s">
        <v>374</v>
      </c>
      <c r="E1252" s="373">
        <v>45937</v>
      </c>
      <c r="F1252" s="372" t="s">
        <v>644</v>
      </c>
      <c r="G1252" s="372">
        <v>20</v>
      </c>
      <c r="H1252" s="372" t="s">
        <v>127</v>
      </c>
      <c r="I1252" s="372" t="s">
        <v>36</v>
      </c>
      <c r="J1252" s="102" t="s">
        <v>17</v>
      </c>
      <c r="K1252" s="372"/>
      <c r="L1252" s="248"/>
      <c r="M1252" s="358"/>
      <c r="N1252" s="94"/>
      <c r="O1252" s="380"/>
      <c r="P1252" s="23" t="s">
        <v>30</v>
      </c>
      <c r="Q1252" s="23">
        <v>45985</v>
      </c>
      <c r="R1252" s="81" t="s">
        <v>127</v>
      </c>
      <c r="S1252" s="22" t="s">
        <v>32</v>
      </c>
      <c r="T1252" s="22">
        <v>21</v>
      </c>
      <c r="U1252" s="24" t="s">
        <v>127</v>
      </c>
      <c r="V1252" s="23">
        <v>45985</v>
      </c>
      <c r="W1252" s="100" t="s">
        <v>30</v>
      </c>
      <c r="X1252" s="100" t="s">
        <v>30</v>
      </c>
      <c r="Y1252" s="100" t="s">
        <v>30</v>
      </c>
      <c r="Z1252" s="106"/>
      <c r="AA1252"/>
    </row>
    <row r="1253" spans="1:31">
      <c r="A1253" s="358" t="s">
        <v>24</v>
      </c>
      <c r="B1253" s="369">
        <v>1250</v>
      </c>
      <c r="C1253" s="372" t="s">
        <v>1933</v>
      </c>
      <c r="D1253" s="373" t="s">
        <v>64</v>
      </c>
      <c r="E1253" s="373">
        <v>45937</v>
      </c>
      <c r="F1253" s="372" t="s">
        <v>181</v>
      </c>
      <c r="G1253" s="372">
        <v>11</v>
      </c>
      <c r="H1253" s="372" t="s">
        <v>1077</v>
      </c>
      <c r="I1253" s="372" t="s">
        <v>1138</v>
      </c>
      <c r="J1253" s="372"/>
      <c r="K1253" s="372"/>
      <c r="L1253" s="358"/>
      <c r="M1253" s="358"/>
      <c r="N1253" s="380"/>
      <c r="O1253" s="380"/>
      <c r="P1253" s="23" t="s">
        <v>30</v>
      </c>
      <c r="Q1253" s="23">
        <v>45973</v>
      </c>
      <c r="R1253" s="81" t="s">
        <v>1138</v>
      </c>
      <c r="S1253" s="22" t="s">
        <v>32</v>
      </c>
      <c r="T1253" s="22">
        <v>12</v>
      </c>
      <c r="U1253" s="24" t="s">
        <v>1138</v>
      </c>
      <c r="V1253" s="23">
        <v>45973</v>
      </c>
      <c r="W1253" s="100" t="s">
        <v>30</v>
      </c>
      <c r="X1253" s="100" t="s">
        <v>30</v>
      </c>
      <c r="Y1253" s="100" t="s">
        <v>30</v>
      </c>
      <c r="Z1253" s="100" t="s">
        <v>30</v>
      </c>
      <c r="AA1253"/>
    </row>
    <row r="1254" spans="1:31">
      <c r="A1254" s="358" t="s">
        <v>24</v>
      </c>
      <c r="B1254" s="369">
        <v>1251</v>
      </c>
      <c r="C1254" s="372" t="s">
        <v>1934</v>
      </c>
      <c r="D1254" s="373" t="s">
        <v>43</v>
      </c>
      <c r="E1254" s="373">
        <v>45938</v>
      </c>
      <c r="F1254" s="372" t="s">
        <v>412</v>
      </c>
      <c r="G1254" s="372">
        <v>9</v>
      </c>
      <c r="H1254" s="372" t="s">
        <v>1077</v>
      </c>
      <c r="I1254" s="372" t="s">
        <v>1138</v>
      </c>
      <c r="J1254" s="372"/>
      <c r="K1254" s="372"/>
      <c r="L1254" s="358"/>
      <c r="M1254" s="358"/>
      <c r="N1254" s="94"/>
      <c r="O1254" s="247"/>
      <c r="P1254" s="23" t="s">
        <v>30</v>
      </c>
      <c r="Q1254" s="23">
        <v>45988</v>
      </c>
      <c r="R1254" s="81" t="s">
        <v>1138</v>
      </c>
      <c r="S1254" s="22" t="s">
        <v>1140</v>
      </c>
      <c r="T1254" s="22">
        <v>11</v>
      </c>
      <c r="U1254" s="24" t="s">
        <v>1138</v>
      </c>
      <c r="V1254" s="23">
        <v>45988</v>
      </c>
      <c r="W1254" s="95" t="s">
        <v>32</v>
      </c>
      <c r="X1254" s="95"/>
      <c r="Y1254" s="100" t="s">
        <v>30</v>
      </c>
      <c r="Z1254" s="106" t="s">
        <v>30</v>
      </c>
      <c r="AA1254"/>
    </row>
    <row r="1255" spans="1:31">
      <c r="A1255" s="358" t="s">
        <v>24</v>
      </c>
      <c r="B1255" s="369">
        <v>1252</v>
      </c>
      <c r="C1255" s="372" t="s">
        <v>1935</v>
      </c>
      <c r="D1255" s="372" t="s">
        <v>43</v>
      </c>
      <c r="E1255" s="373">
        <v>45939</v>
      </c>
      <c r="F1255" s="372" t="s">
        <v>1105</v>
      </c>
      <c r="G1255" s="372">
        <v>16</v>
      </c>
      <c r="H1255" s="383" t="s">
        <v>127</v>
      </c>
      <c r="I1255" s="383" t="s">
        <v>36</v>
      </c>
      <c r="J1255" s="360"/>
      <c r="K1255" s="372"/>
      <c r="L1255" s="358"/>
      <c r="M1255" s="358"/>
      <c r="N1255" s="94"/>
      <c r="O1255" s="380"/>
      <c r="P1255" s="23" t="s">
        <v>30</v>
      </c>
      <c r="Q1255" s="23">
        <v>45985</v>
      </c>
      <c r="R1255" s="81" t="s">
        <v>127</v>
      </c>
      <c r="S1255" s="22" t="s">
        <v>1140</v>
      </c>
      <c r="T1255" s="22">
        <v>18</v>
      </c>
      <c r="U1255" s="24" t="s">
        <v>127</v>
      </c>
      <c r="V1255" s="23">
        <v>45985</v>
      </c>
      <c r="W1255" s="100" t="s">
        <v>30</v>
      </c>
      <c r="X1255" s="100" t="s">
        <v>30</v>
      </c>
      <c r="Y1255" s="100" t="s">
        <v>30</v>
      </c>
      <c r="Z1255" s="100" t="s">
        <v>30</v>
      </c>
      <c r="AA1255"/>
    </row>
    <row r="1256" spans="1:31">
      <c r="A1256" s="358" t="s">
        <v>24</v>
      </c>
      <c r="B1256" s="369">
        <v>1253</v>
      </c>
      <c r="C1256" s="372" t="s">
        <v>1936</v>
      </c>
      <c r="D1256" s="372" t="s">
        <v>1937</v>
      </c>
      <c r="E1256" s="373">
        <v>45940</v>
      </c>
      <c r="F1256" s="372" t="s">
        <v>167</v>
      </c>
      <c r="G1256" s="372">
        <v>10</v>
      </c>
      <c r="H1256" s="372" t="s">
        <v>127</v>
      </c>
      <c r="I1256" s="372" t="s">
        <v>36</v>
      </c>
      <c r="J1256" s="358" t="s">
        <v>1938</v>
      </c>
      <c r="K1256" s="372"/>
      <c r="L1256" s="358"/>
      <c r="M1256" s="358"/>
      <c r="N1256" s="380"/>
      <c r="O1256" s="247"/>
      <c r="P1256" s="23"/>
      <c r="Q1256" s="23"/>
      <c r="R1256" s="81" t="s">
        <v>178</v>
      </c>
      <c r="S1256" s="22"/>
      <c r="T1256" s="22"/>
      <c r="U1256" s="24" t="s">
        <v>178</v>
      </c>
      <c r="V1256" s="23"/>
      <c r="W1256" s="82" t="s">
        <v>113</v>
      </c>
      <c r="X1256" s="100" t="s">
        <v>30</v>
      </c>
      <c r="Y1256" s="100" t="s">
        <v>30</v>
      </c>
      <c r="Z1256" s="106"/>
      <c r="AA1256"/>
    </row>
    <row r="1257" spans="1:31">
      <c r="A1257" s="358" t="s">
        <v>24</v>
      </c>
      <c r="B1257" s="369">
        <v>1254</v>
      </c>
      <c r="C1257" s="372" t="s">
        <v>1939</v>
      </c>
      <c r="D1257" s="372" t="s">
        <v>43</v>
      </c>
      <c r="E1257" s="373">
        <v>45940</v>
      </c>
      <c r="F1257" s="372" t="s">
        <v>731</v>
      </c>
      <c r="G1257" s="372">
        <v>15</v>
      </c>
      <c r="H1257" s="372" t="s">
        <v>1721</v>
      </c>
      <c r="I1257" s="372" t="s">
        <v>1638</v>
      </c>
      <c r="J1257" s="372"/>
      <c r="K1257" s="372"/>
      <c r="L1257" s="358"/>
      <c r="M1257" s="22"/>
      <c r="N1257" s="23"/>
      <c r="O1257" s="380"/>
      <c r="P1257" s="23" t="s">
        <v>30</v>
      </c>
      <c r="Q1257" s="23">
        <v>45987</v>
      </c>
      <c r="R1257" s="81" t="s">
        <v>1638</v>
      </c>
      <c r="S1257" s="22" t="s">
        <v>32</v>
      </c>
      <c r="T1257" s="22">
        <v>16</v>
      </c>
      <c r="U1257" s="24" t="s">
        <v>1638</v>
      </c>
      <c r="V1257" s="23">
        <v>45987</v>
      </c>
      <c r="W1257" s="100" t="s">
        <v>30</v>
      </c>
      <c r="X1257" s="100" t="s">
        <v>30</v>
      </c>
      <c r="Y1257" s="100" t="s">
        <v>30</v>
      </c>
      <c r="Z1257" s="100" t="s">
        <v>30</v>
      </c>
      <c r="AA1257"/>
    </row>
    <row r="1258" spans="1:31">
      <c r="A1258" s="358" t="s">
        <v>24</v>
      </c>
      <c r="B1258" s="369">
        <v>1255</v>
      </c>
      <c r="C1258" s="372" t="s">
        <v>1940</v>
      </c>
      <c r="D1258" s="372" t="s">
        <v>34</v>
      </c>
      <c r="E1258" s="373">
        <v>45941</v>
      </c>
      <c r="F1258" s="372" t="s">
        <v>106</v>
      </c>
      <c r="G1258" s="372">
        <v>13</v>
      </c>
      <c r="H1258" s="372" t="s">
        <v>127</v>
      </c>
      <c r="I1258" s="372" t="s">
        <v>36</v>
      </c>
      <c r="J1258" s="372"/>
      <c r="K1258" s="372"/>
      <c r="L1258" s="248"/>
      <c r="M1258" s="22"/>
      <c r="N1258" s="23"/>
      <c r="O1258" s="247"/>
      <c r="P1258" s="380" t="s">
        <v>30</v>
      </c>
      <c r="Q1258" s="23">
        <v>45985</v>
      </c>
      <c r="R1258" s="81" t="s">
        <v>127</v>
      </c>
      <c r="S1258" s="22" t="s">
        <v>32</v>
      </c>
      <c r="T1258" s="22">
        <v>13</v>
      </c>
      <c r="U1258" s="24" t="s">
        <v>127</v>
      </c>
      <c r="V1258" s="23">
        <v>45985</v>
      </c>
      <c r="W1258" s="100" t="s">
        <v>30</v>
      </c>
      <c r="X1258" s="100" t="s">
        <v>30</v>
      </c>
      <c r="Y1258" s="100" t="s">
        <v>30</v>
      </c>
      <c r="Z1258" s="100" t="s">
        <v>30</v>
      </c>
      <c r="AA1258"/>
      <c r="AB1258" s="412"/>
      <c r="AC1258" s="412"/>
      <c r="AD1258" s="412"/>
      <c r="AE1258" s="412"/>
    </row>
    <row r="1259" spans="1:31">
      <c r="A1259" s="358" t="s">
        <v>24</v>
      </c>
      <c r="B1259" s="369">
        <v>1256</v>
      </c>
      <c r="C1259" s="372" t="s">
        <v>1941</v>
      </c>
      <c r="D1259" s="372" t="s">
        <v>43</v>
      </c>
      <c r="E1259" s="373">
        <v>45941</v>
      </c>
      <c r="F1259" s="372" t="s">
        <v>97</v>
      </c>
      <c r="G1259" s="372">
        <v>14</v>
      </c>
      <c r="H1259" s="372" t="s">
        <v>127</v>
      </c>
      <c r="I1259" s="372" t="s">
        <v>36</v>
      </c>
      <c r="J1259" s="372"/>
      <c r="K1259" s="372"/>
      <c r="L1259" s="358"/>
      <c r="M1259" s="22"/>
      <c r="N1259" s="23"/>
      <c r="O1259" s="380"/>
      <c r="P1259" s="23" t="s">
        <v>30</v>
      </c>
      <c r="Q1259" s="23">
        <v>45985</v>
      </c>
      <c r="R1259" s="81" t="s">
        <v>127</v>
      </c>
      <c r="S1259" s="22" t="s">
        <v>32</v>
      </c>
      <c r="T1259" s="22">
        <v>17</v>
      </c>
      <c r="U1259" s="24" t="s">
        <v>127</v>
      </c>
      <c r="V1259" s="23">
        <v>45985</v>
      </c>
      <c r="W1259" s="100" t="s">
        <v>30</v>
      </c>
      <c r="X1259" s="100" t="s">
        <v>30</v>
      </c>
      <c r="Y1259" s="100" t="s">
        <v>30</v>
      </c>
      <c r="Z1259" s="100" t="s">
        <v>30</v>
      </c>
      <c r="AA1259"/>
      <c r="AB1259" s="412"/>
      <c r="AC1259" s="412"/>
      <c r="AD1259" s="412"/>
      <c r="AE1259" s="412"/>
    </row>
    <row r="1260" spans="1:31">
      <c r="A1260" s="358" t="s">
        <v>24</v>
      </c>
      <c r="B1260" s="369">
        <v>1257</v>
      </c>
      <c r="C1260" s="372" t="s">
        <v>1942</v>
      </c>
      <c r="D1260" s="372" t="s">
        <v>34</v>
      </c>
      <c r="E1260" s="373">
        <v>45941</v>
      </c>
      <c r="F1260" s="372" t="s">
        <v>1943</v>
      </c>
      <c r="G1260" s="372">
        <v>12</v>
      </c>
      <c r="H1260" s="372" t="s">
        <v>127</v>
      </c>
      <c r="I1260" s="372" t="s">
        <v>36</v>
      </c>
      <c r="J1260" s="102"/>
      <c r="K1260" s="372"/>
      <c r="L1260" s="358"/>
      <c r="M1260" s="22"/>
      <c r="N1260" s="23"/>
      <c r="O1260" s="380"/>
      <c r="P1260" s="23" t="s">
        <v>30</v>
      </c>
      <c r="Q1260" s="23">
        <v>45985</v>
      </c>
      <c r="R1260" s="81" t="s">
        <v>127</v>
      </c>
      <c r="S1260" s="22" t="s">
        <v>32</v>
      </c>
      <c r="T1260" s="22">
        <v>12</v>
      </c>
      <c r="U1260" s="24" t="s">
        <v>127</v>
      </c>
      <c r="V1260" s="23">
        <v>45985</v>
      </c>
      <c r="W1260" s="100" t="s">
        <v>30</v>
      </c>
      <c r="X1260" s="82" t="s">
        <v>30</v>
      </c>
      <c r="Y1260" s="100" t="s">
        <v>30</v>
      </c>
      <c r="Z1260" s="100" t="s">
        <v>30</v>
      </c>
      <c r="AA1260"/>
      <c r="AB1260" s="412"/>
      <c r="AC1260" s="412"/>
      <c r="AD1260" s="412"/>
      <c r="AE1260" s="412"/>
    </row>
    <row r="1261" spans="1:31">
      <c r="A1261" s="358" t="s">
        <v>24</v>
      </c>
      <c r="B1261" s="369">
        <v>1258</v>
      </c>
      <c r="C1261" s="372" t="s">
        <v>1944</v>
      </c>
      <c r="D1261" s="372" t="s">
        <v>34</v>
      </c>
      <c r="E1261" s="373">
        <v>45941</v>
      </c>
      <c r="F1261" s="372" t="s">
        <v>1945</v>
      </c>
      <c r="G1261" s="372">
        <v>15</v>
      </c>
      <c r="H1261" s="372" t="s">
        <v>1721</v>
      </c>
      <c r="I1261" s="372" t="s">
        <v>1638</v>
      </c>
      <c r="J1261" s="372"/>
      <c r="K1261" s="372"/>
      <c r="L1261" s="248"/>
      <c r="M1261" s="22"/>
      <c r="N1261" s="23"/>
      <c r="O1261" s="380"/>
      <c r="P1261" s="23" t="s">
        <v>30</v>
      </c>
      <c r="Q1261" s="23">
        <v>45986</v>
      </c>
      <c r="R1261" s="81" t="s">
        <v>1638</v>
      </c>
      <c r="S1261" s="22" t="s">
        <v>32</v>
      </c>
      <c r="T1261" s="22">
        <v>15</v>
      </c>
      <c r="U1261" s="24" t="s">
        <v>1638</v>
      </c>
      <c r="V1261" s="23">
        <v>45986</v>
      </c>
      <c r="W1261" s="100" t="s">
        <v>30</v>
      </c>
      <c r="X1261" s="100" t="s">
        <v>30</v>
      </c>
      <c r="Y1261" s="100" t="s">
        <v>30</v>
      </c>
      <c r="Z1261" s="100" t="s">
        <v>30</v>
      </c>
      <c r="AA1261"/>
    </row>
    <row r="1262" spans="1:31">
      <c r="A1262" s="358" t="s">
        <v>24</v>
      </c>
      <c r="B1262" s="369">
        <v>1259</v>
      </c>
      <c r="C1262" s="372" t="s">
        <v>1946</v>
      </c>
      <c r="D1262" s="372" t="s">
        <v>102</v>
      </c>
      <c r="E1262" s="373">
        <v>45941</v>
      </c>
      <c r="F1262" s="372" t="s">
        <v>187</v>
      </c>
      <c r="G1262" s="372">
        <v>13</v>
      </c>
      <c r="H1262" s="372" t="s">
        <v>1725</v>
      </c>
      <c r="I1262" s="372" t="s">
        <v>47</v>
      </c>
      <c r="J1262" s="372"/>
      <c r="K1262" s="372"/>
      <c r="L1262" s="93"/>
      <c r="M1262" s="22"/>
      <c r="N1262" s="23"/>
      <c r="O1262" s="380"/>
      <c r="P1262" s="23" t="s">
        <v>30</v>
      </c>
      <c r="Q1262" s="23">
        <v>45980</v>
      </c>
      <c r="R1262" s="81" t="s">
        <v>47</v>
      </c>
      <c r="S1262" s="22" t="s">
        <v>32</v>
      </c>
      <c r="T1262" s="22">
        <v>12</v>
      </c>
      <c r="U1262" s="24" t="s">
        <v>47</v>
      </c>
      <c r="V1262" s="23">
        <v>45980</v>
      </c>
      <c r="W1262" s="100" t="s">
        <v>30</v>
      </c>
      <c r="X1262" s="100" t="s">
        <v>30</v>
      </c>
      <c r="Y1262" s="100" t="s">
        <v>30</v>
      </c>
      <c r="Z1262" s="100" t="s">
        <v>30</v>
      </c>
      <c r="AA1262"/>
    </row>
    <row r="1263" spans="1:31">
      <c r="A1263" s="358" t="s">
        <v>24</v>
      </c>
      <c r="B1263" s="369">
        <v>1260</v>
      </c>
      <c r="C1263" s="372" t="s">
        <v>1947</v>
      </c>
      <c r="D1263" s="372" t="s">
        <v>102</v>
      </c>
      <c r="E1263" s="373">
        <v>45941</v>
      </c>
      <c r="F1263" s="372" t="s">
        <v>380</v>
      </c>
      <c r="G1263" s="372">
        <v>13</v>
      </c>
      <c r="H1263" s="372" t="s">
        <v>1725</v>
      </c>
      <c r="I1263" s="372" t="s">
        <v>47</v>
      </c>
      <c r="J1263" s="102"/>
      <c r="K1263" s="372"/>
      <c r="L1263" s="220"/>
      <c r="M1263" s="372"/>
      <c r="N1263" s="372"/>
      <c r="O1263" s="372"/>
      <c r="P1263" s="23" t="s">
        <v>30</v>
      </c>
      <c r="Q1263" s="23">
        <v>45982</v>
      </c>
      <c r="R1263" s="81" t="s">
        <v>47</v>
      </c>
      <c r="S1263" s="22" t="s">
        <v>32</v>
      </c>
      <c r="T1263" s="22">
        <v>13</v>
      </c>
      <c r="U1263" s="24" t="s">
        <v>47</v>
      </c>
      <c r="V1263" s="23">
        <v>45982</v>
      </c>
      <c r="W1263" s="82" t="s">
        <v>30</v>
      </c>
      <c r="X1263" s="100" t="s">
        <v>30</v>
      </c>
      <c r="Y1263" s="100" t="s">
        <v>30</v>
      </c>
      <c r="Z1263" s="100" t="s">
        <v>30</v>
      </c>
      <c r="AA1263"/>
    </row>
    <row r="1264" spans="1:31">
      <c r="A1264" s="358" t="s">
        <v>24</v>
      </c>
      <c r="B1264" s="369">
        <v>1261</v>
      </c>
      <c r="C1264" s="372" t="s">
        <v>1948</v>
      </c>
      <c r="D1264" s="372" t="s">
        <v>1617</v>
      </c>
      <c r="E1264" s="373">
        <v>45941</v>
      </c>
      <c r="F1264" s="372" t="s">
        <v>1135</v>
      </c>
      <c r="G1264" s="372">
        <v>12</v>
      </c>
      <c r="H1264" s="372" t="s">
        <v>1725</v>
      </c>
      <c r="I1264" s="372" t="s">
        <v>47</v>
      </c>
      <c r="J1264" s="102" t="s">
        <v>1949</v>
      </c>
      <c r="K1264" s="372"/>
      <c r="L1264" s="248"/>
      <c r="M1264" s="22"/>
      <c r="N1264" s="23"/>
      <c r="O1264" s="247"/>
      <c r="P1264" s="23"/>
      <c r="Q1264" s="23"/>
      <c r="R1264" s="81" t="s">
        <v>47</v>
      </c>
      <c r="S1264" s="22"/>
      <c r="T1264" s="22"/>
      <c r="U1264" s="24"/>
      <c r="V1264" s="23"/>
      <c r="W1264" s="95" t="s">
        <v>32</v>
      </c>
      <c r="X1264" s="82"/>
      <c r="Y1264" s="100" t="s">
        <v>32</v>
      </c>
      <c r="Z1264" s="106"/>
      <c r="AA1264"/>
    </row>
    <row r="1265" spans="1:34">
      <c r="A1265" s="358" t="s">
        <v>24</v>
      </c>
      <c r="B1265" s="369">
        <v>1262</v>
      </c>
      <c r="C1265" s="372" t="s">
        <v>1950</v>
      </c>
      <c r="D1265" s="372" t="s">
        <v>178</v>
      </c>
      <c r="E1265" s="373">
        <v>45941</v>
      </c>
      <c r="F1265" s="372" t="s">
        <v>324</v>
      </c>
      <c r="G1265" s="372">
        <v>10</v>
      </c>
      <c r="H1265" s="372" t="s">
        <v>1725</v>
      </c>
      <c r="I1265" s="372" t="s">
        <v>47</v>
      </c>
      <c r="J1265" s="372"/>
      <c r="K1265" s="372"/>
      <c r="L1265" s="358"/>
      <c r="M1265" s="22"/>
      <c r="N1265" s="23"/>
      <c r="O1265" s="380"/>
      <c r="P1265" s="23" t="s">
        <v>30</v>
      </c>
      <c r="Q1265" s="23">
        <v>45986</v>
      </c>
      <c r="R1265" s="81" t="s">
        <v>47</v>
      </c>
      <c r="S1265" s="22" t="s">
        <v>32</v>
      </c>
      <c r="T1265" s="22">
        <v>11</v>
      </c>
      <c r="U1265" s="24" t="s">
        <v>47</v>
      </c>
      <c r="V1265" s="23">
        <v>45986</v>
      </c>
      <c r="W1265" s="82" t="s">
        <v>30</v>
      </c>
      <c r="X1265" s="82" t="s">
        <v>30</v>
      </c>
      <c r="Y1265" s="82" t="s">
        <v>30</v>
      </c>
      <c r="Z1265" s="100" t="s">
        <v>30</v>
      </c>
      <c r="AA1265"/>
    </row>
    <row r="1266" spans="1:34">
      <c r="A1266" s="358" t="s">
        <v>24</v>
      </c>
      <c r="B1266" s="369">
        <v>1263</v>
      </c>
      <c r="C1266" s="372" t="s">
        <v>1951</v>
      </c>
      <c r="D1266" s="372" t="s">
        <v>1617</v>
      </c>
      <c r="E1266" s="373">
        <v>45941</v>
      </c>
      <c r="F1266" s="372" t="s">
        <v>1952</v>
      </c>
      <c r="G1266" s="372">
        <v>13</v>
      </c>
      <c r="H1266" s="372" t="s">
        <v>1725</v>
      </c>
      <c r="I1266" s="372" t="s">
        <v>47</v>
      </c>
      <c r="J1266" s="102"/>
      <c r="K1266" s="372"/>
      <c r="L1266" s="21"/>
      <c r="M1266" s="22"/>
      <c r="N1266" s="23"/>
      <c r="O1266" s="380"/>
      <c r="P1266" s="380" t="s">
        <v>30</v>
      </c>
      <c r="Q1266" s="23">
        <v>45986</v>
      </c>
      <c r="R1266" s="81" t="s">
        <v>28</v>
      </c>
      <c r="S1266" s="22" t="s">
        <v>32</v>
      </c>
      <c r="T1266" s="22">
        <v>13</v>
      </c>
      <c r="U1266" s="24" t="s">
        <v>28</v>
      </c>
      <c r="V1266" s="23">
        <v>45986</v>
      </c>
      <c r="W1266" s="82" t="s">
        <v>30</v>
      </c>
      <c r="X1266" s="82" t="s">
        <v>30</v>
      </c>
      <c r="Y1266" s="82" t="s">
        <v>30</v>
      </c>
      <c r="Z1266" s="82" t="s">
        <v>30</v>
      </c>
      <c r="AA1266"/>
    </row>
    <row r="1267" spans="1:34">
      <c r="A1267" s="358" t="s">
        <v>24</v>
      </c>
      <c r="B1267" s="369">
        <v>1264</v>
      </c>
      <c r="C1267" s="372" t="s">
        <v>1953</v>
      </c>
      <c r="D1267" s="372" t="s">
        <v>34</v>
      </c>
      <c r="E1267" s="373">
        <v>45941</v>
      </c>
      <c r="F1267" s="372" t="s">
        <v>641</v>
      </c>
      <c r="G1267" s="372">
        <v>12</v>
      </c>
      <c r="H1267" s="372" t="s">
        <v>1077</v>
      </c>
      <c r="I1267" s="372" t="s">
        <v>1138</v>
      </c>
      <c r="J1267" s="372"/>
      <c r="K1267" s="372"/>
      <c r="L1267" s="248"/>
      <c r="M1267" s="22"/>
      <c r="N1267" s="23"/>
      <c r="O1267" s="380"/>
      <c r="P1267" s="380" t="s">
        <v>30</v>
      </c>
      <c r="Q1267" s="23">
        <v>45981</v>
      </c>
      <c r="R1267" s="81" t="s">
        <v>1138</v>
      </c>
      <c r="S1267" s="22" t="s">
        <v>32</v>
      </c>
      <c r="T1267" s="22">
        <v>9</v>
      </c>
      <c r="U1267" s="24" t="s">
        <v>1138</v>
      </c>
      <c r="V1267" s="23">
        <v>45981</v>
      </c>
      <c r="W1267" s="100" t="s">
        <v>30</v>
      </c>
      <c r="X1267" s="100" t="s">
        <v>30</v>
      </c>
      <c r="Y1267" s="100" t="s">
        <v>30</v>
      </c>
      <c r="Z1267" s="100" t="s">
        <v>30</v>
      </c>
      <c r="AA1267"/>
    </row>
    <row r="1268" spans="1:34">
      <c r="A1268" s="358" t="s">
        <v>24</v>
      </c>
      <c r="B1268" s="369">
        <v>1265</v>
      </c>
      <c r="C1268" s="372" t="s">
        <v>1954</v>
      </c>
      <c r="D1268" s="372" t="s">
        <v>34</v>
      </c>
      <c r="E1268" s="373">
        <v>45941</v>
      </c>
      <c r="F1268" s="372" t="s">
        <v>194</v>
      </c>
      <c r="G1268" s="372">
        <v>15</v>
      </c>
      <c r="H1268" s="372" t="s">
        <v>1721</v>
      </c>
      <c r="I1268" s="372" t="s">
        <v>1638</v>
      </c>
      <c r="J1268" s="372"/>
      <c r="K1268" s="372"/>
      <c r="L1268" s="21"/>
      <c r="M1268" s="22"/>
      <c r="N1268" s="23"/>
      <c r="O1268" s="380"/>
      <c r="P1268" s="380" t="s">
        <v>30</v>
      </c>
      <c r="Q1268" s="23">
        <v>45989</v>
      </c>
      <c r="R1268" s="81" t="s">
        <v>1077</v>
      </c>
      <c r="S1268" s="22" t="s">
        <v>32</v>
      </c>
      <c r="T1268" s="22">
        <v>14</v>
      </c>
      <c r="U1268" s="24" t="s">
        <v>1077</v>
      </c>
      <c r="V1268" s="23">
        <v>45989</v>
      </c>
      <c r="W1268" s="100" t="s">
        <v>30</v>
      </c>
      <c r="X1268" s="100" t="s">
        <v>30</v>
      </c>
      <c r="Y1268" s="100" t="s">
        <v>30</v>
      </c>
      <c r="Z1268" s="100" t="s">
        <v>30</v>
      </c>
      <c r="AA1268"/>
    </row>
    <row r="1269" spans="1:34">
      <c r="A1269" s="358" t="s">
        <v>24</v>
      </c>
      <c r="B1269" s="369">
        <v>1266</v>
      </c>
      <c r="C1269" s="372" t="s">
        <v>1955</v>
      </c>
      <c r="D1269" s="372" t="s">
        <v>64</v>
      </c>
      <c r="E1269" s="373">
        <v>45941</v>
      </c>
      <c r="F1269" s="372" t="s">
        <v>1923</v>
      </c>
      <c r="G1269" s="372">
        <v>13</v>
      </c>
      <c r="H1269" s="372" t="s">
        <v>1721</v>
      </c>
      <c r="I1269" s="372" t="s">
        <v>1638</v>
      </c>
      <c r="J1269" s="372"/>
      <c r="K1269" s="372"/>
      <c r="L1269" s="372"/>
      <c r="M1269" s="22"/>
      <c r="N1269" s="23"/>
      <c r="O1269" s="380"/>
      <c r="P1269" s="23" t="s">
        <v>30</v>
      </c>
      <c r="Q1269" s="23">
        <v>45988</v>
      </c>
      <c r="R1269" s="81" t="s">
        <v>48</v>
      </c>
      <c r="S1269" s="22" t="s">
        <v>32</v>
      </c>
      <c r="T1269" s="22">
        <v>13</v>
      </c>
      <c r="U1269" s="24" t="s">
        <v>48</v>
      </c>
      <c r="V1269" s="23">
        <v>45988</v>
      </c>
      <c r="W1269" s="100" t="s">
        <v>30</v>
      </c>
      <c r="X1269" s="100" t="s">
        <v>30</v>
      </c>
      <c r="Y1269" s="100" t="s">
        <v>30</v>
      </c>
      <c r="Z1269" s="100" t="s">
        <v>30</v>
      </c>
      <c r="AA1269"/>
      <c r="AB1269" s="412"/>
      <c r="AC1269" s="412"/>
      <c r="AD1269" s="412"/>
      <c r="AE1269" s="412"/>
    </row>
    <row r="1270" spans="1:34">
      <c r="A1270" s="358" t="s">
        <v>24</v>
      </c>
      <c r="B1270" s="369">
        <v>1267</v>
      </c>
      <c r="C1270" s="372" t="s">
        <v>1956</v>
      </c>
      <c r="D1270" s="372" t="s">
        <v>34</v>
      </c>
      <c r="E1270" s="373">
        <v>45943</v>
      </c>
      <c r="F1270" s="372" t="s">
        <v>106</v>
      </c>
      <c r="G1270" s="372">
        <v>15</v>
      </c>
      <c r="H1270" s="372" t="s">
        <v>1721</v>
      </c>
      <c r="I1270" s="372" t="s">
        <v>1638</v>
      </c>
      <c r="J1270" s="372"/>
      <c r="K1270" s="372"/>
      <c r="L1270" s="220"/>
      <c r="M1270" s="22"/>
      <c r="N1270" s="23"/>
      <c r="O1270" s="380"/>
      <c r="P1270" s="23" t="s">
        <v>30</v>
      </c>
      <c r="Q1270" s="23">
        <v>45987</v>
      </c>
      <c r="R1270" s="81" t="s">
        <v>1638</v>
      </c>
      <c r="S1270" s="22" t="s">
        <v>32</v>
      </c>
      <c r="T1270" s="22">
        <v>7</v>
      </c>
      <c r="U1270" s="24" t="s">
        <v>1638</v>
      </c>
      <c r="V1270" s="23">
        <v>45987</v>
      </c>
      <c r="W1270" s="100" t="s">
        <v>30</v>
      </c>
      <c r="X1270" s="100" t="s">
        <v>30</v>
      </c>
      <c r="Y1270" s="82" t="s">
        <v>30</v>
      </c>
      <c r="Z1270" s="100" t="s">
        <v>30</v>
      </c>
      <c r="AA1270"/>
      <c r="AB1270" s="412"/>
      <c r="AC1270" s="412"/>
      <c r="AD1270" s="412"/>
      <c r="AE1270" s="412"/>
    </row>
    <row r="1271" spans="1:34">
      <c r="A1271" s="358" t="s">
        <v>24</v>
      </c>
      <c r="B1271" s="369">
        <v>1268</v>
      </c>
      <c r="C1271" s="372" t="s">
        <v>1957</v>
      </c>
      <c r="D1271" s="372" t="s">
        <v>50</v>
      </c>
      <c r="E1271" s="373">
        <v>45944</v>
      </c>
      <c r="F1271" s="372" t="s">
        <v>644</v>
      </c>
      <c r="G1271" s="372">
        <v>14</v>
      </c>
      <c r="H1271" s="372" t="s">
        <v>127</v>
      </c>
      <c r="I1271" s="372" t="s">
        <v>36</v>
      </c>
      <c r="J1271" s="372"/>
      <c r="K1271" s="372"/>
      <c r="L1271" s="220"/>
      <c r="M1271" s="22"/>
      <c r="N1271" s="23"/>
      <c r="O1271" s="380"/>
      <c r="P1271" s="23" t="s">
        <v>30</v>
      </c>
      <c r="Q1271" s="23">
        <v>45985</v>
      </c>
      <c r="R1271" s="81" t="s">
        <v>127</v>
      </c>
      <c r="S1271" s="22" t="s">
        <v>32</v>
      </c>
      <c r="T1271" s="22">
        <v>12</v>
      </c>
      <c r="U1271" s="24" t="s">
        <v>127</v>
      </c>
      <c r="V1271" s="23">
        <v>45985</v>
      </c>
      <c r="W1271" s="82" t="s">
        <v>30</v>
      </c>
      <c r="X1271" s="82" t="s">
        <v>30</v>
      </c>
      <c r="Y1271" s="82" t="s">
        <v>30</v>
      </c>
      <c r="Z1271" s="82" t="s">
        <v>30</v>
      </c>
      <c r="AA1271"/>
      <c r="AF1271" s="72"/>
      <c r="AG1271" s="96"/>
      <c r="AH1271" s="96"/>
    </row>
    <row r="1272" spans="1:34">
      <c r="A1272" s="358" t="s">
        <v>24</v>
      </c>
      <c r="B1272" s="369">
        <v>1269</v>
      </c>
      <c r="C1272" s="372" t="s">
        <v>1958</v>
      </c>
      <c r="D1272" s="372" t="s">
        <v>102</v>
      </c>
      <c r="E1272" s="373">
        <v>45944</v>
      </c>
      <c r="F1272" s="372" t="s">
        <v>412</v>
      </c>
      <c r="G1272" s="372">
        <v>12</v>
      </c>
      <c r="H1272" s="372" t="s">
        <v>1077</v>
      </c>
      <c r="I1272" s="372" t="s">
        <v>1138</v>
      </c>
      <c r="J1272" s="372"/>
      <c r="K1272" s="372"/>
      <c r="L1272" s="220"/>
      <c r="M1272" s="22"/>
      <c r="N1272" s="23"/>
      <c r="O1272" s="380"/>
      <c r="P1272" s="23" t="s">
        <v>30</v>
      </c>
      <c r="Q1272" s="23">
        <v>45965</v>
      </c>
      <c r="R1272" s="81" t="s">
        <v>1138</v>
      </c>
      <c r="S1272" s="22" t="s">
        <v>32</v>
      </c>
      <c r="T1272" s="22">
        <v>14</v>
      </c>
      <c r="U1272" s="24" t="s">
        <v>1138</v>
      </c>
      <c r="V1272" s="23">
        <v>45965</v>
      </c>
      <c r="W1272" s="82" t="s">
        <v>30</v>
      </c>
      <c r="X1272" s="82" t="s">
        <v>30</v>
      </c>
      <c r="Y1272" s="100" t="s">
        <v>30</v>
      </c>
      <c r="Z1272" s="100" t="s">
        <v>30</v>
      </c>
      <c r="AA1272"/>
      <c r="AB1272" s="412"/>
      <c r="AC1272" s="412"/>
      <c r="AD1272" s="412"/>
      <c r="AE1272" s="412"/>
    </row>
    <row r="1273" spans="1:34">
      <c r="A1273" s="358" t="s">
        <v>24</v>
      </c>
      <c r="B1273" s="369">
        <v>1270</v>
      </c>
      <c r="C1273" s="372" t="s">
        <v>1959</v>
      </c>
      <c r="D1273" s="372" t="s">
        <v>406</v>
      </c>
      <c r="E1273" s="373">
        <v>45945</v>
      </c>
      <c r="F1273" s="372" t="s">
        <v>1960</v>
      </c>
      <c r="G1273" s="372">
        <v>15</v>
      </c>
      <c r="H1273" s="372" t="s">
        <v>1721</v>
      </c>
      <c r="I1273" s="372" t="s">
        <v>1638</v>
      </c>
      <c r="J1273" s="102" t="s">
        <v>17</v>
      </c>
      <c r="K1273" s="372"/>
      <c r="L1273" s="248"/>
      <c r="M1273" s="22"/>
      <c r="N1273" s="23"/>
      <c r="O1273" s="247"/>
      <c r="P1273" s="23" t="s">
        <v>30</v>
      </c>
      <c r="Q1273" s="23">
        <v>45987</v>
      </c>
      <c r="R1273" s="81" t="s">
        <v>67</v>
      </c>
      <c r="S1273" s="22" t="s">
        <v>30</v>
      </c>
      <c r="T1273" s="22">
        <v>13</v>
      </c>
      <c r="U1273" s="24" t="s">
        <v>67</v>
      </c>
      <c r="V1273" s="23">
        <v>45987</v>
      </c>
      <c r="W1273" s="82" t="s">
        <v>30</v>
      </c>
      <c r="X1273" s="82" t="s">
        <v>30</v>
      </c>
      <c r="Y1273" s="82" t="s">
        <v>30</v>
      </c>
      <c r="Z1273" s="82" t="s">
        <v>30</v>
      </c>
      <c r="AA1273"/>
      <c r="AB1273" s="412"/>
      <c r="AC1273" s="412"/>
      <c r="AD1273" s="412"/>
      <c r="AE1273" s="412"/>
    </row>
    <row r="1274" spans="1:34">
      <c r="A1274" s="358" t="s">
        <v>24</v>
      </c>
      <c r="B1274" s="369">
        <v>1271</v>
      </c>
      <c r="C1274" s="372" t="s">
        <v>1961</v>
      </c>
      <c r="D1274" s="372" t="s">
        <v>43</v>
      </c>
      <c r="E1274" s="373">
        <v>45945</v>
      </c>
      <c r="F1274" s="372" t="s">
        <v>1962</v>
      </c>
      <c r="G1274" s="372">
        <v>9</v>
      </c>
      <c r="H1274" s="372" t="s">
        <v>1721</v>
      </c>
      <c r="I1274" s="372" t="s">
        <v>1638</v>
      </c>
      <c r="J1274" s="372"/>
      <c r="K1274" s="372"/>
      <c r="L1274" s="220"/>
      <c r="M1274" s="22"/>
      <c r="N1274" s="23"/>
      <c r="O1274" s="380"/>
      <c r="P1274" s="23" t="s">
        <v>30</v>
      </c>
      <c r="Q1274" s="23">
        <v>45987</v>
      </c>
      <c r="R1274" s="81" t="s">
        <v>1638</v>
      </c>
      <c r="S1274" s="22" t="s">
        <v>32</v>
      </c>
      <c r="T1274" s="22">
        <v>8</v>
      </c>
      <c r="U1274" s="24" t="s">
        <v>1638</v>
      </c>
      <c r="V1274" s="23">
        <v>45987</v>
      </c>
      <c r="W1274" s="82" t="s">
        <v>30</v>
      </c>
      <c r="X1274" s="100" t="s">
        <v>30</v>
      </c>
      <c r="Y1274" s="100" t="s">
        <v>30</v>
      </c>
      <c r="Z1274" s="82" t="s">
        <v>30</v>
      </c>
      <c r="AA1274"/>
    </row>
    <row r="1275" spans="1:34">
      <c r="A1275" s="358" t="s">
        <v>24</v>
      </c>
      <c r="B1275" s="369">
        <v>1272</v>
      </c>
      <c r="C1275" s="372" t="s">
        <v>1963</v>
      </c>
      <c r="D1275" s="372" t="s">
        <v>43</v>
      </c>
      <c r="E1275" s="373">
        <v>45946</v>
      </c>
      <c r="F1275" s="372" t="s">
        <v>1962</v>
      </c>
      <c r="G1275" s="372">
        <v>9</v>
      </c>
      <c r="H1275" s="372" t="s">
        <v>1721</v>
      </c>
      <c r="I1275" s="372" t="s">
        <v>1638</v>
      </c>
      <c r="J1275" s="372"/>
      <c r="K1275" s="372"/>
      <c r="L1275" s="220"/>
      <c r="M1275" s="22"/>
      <c r="N1275" s="23"/>
      <c r="O1275" s="380"/>
      <c r="P1275" s="23" t="s">
        <v>30</v>
      </c>
      <c r="Q1275" s="23">
        <v>45987</v>
      </c>
      <c r="R1275" s="81" t="s">
        <v>1638</v>
      </c>
      <c r="S1275" s="22" t="s">
        <v>32</v>
      </c>
      <c r="T1275" s="22">
        <v>8</v>
      </c>
      <c r="U1275" s="24" t="s">
        <v>1638</v>
      </c>
      <c r="V1275" s="23">
        <v>45987</v>
      </c>
      <c r="W1275" s="82" t="s">
        <v>30</v>
      </c>
      <c r="X1275" s="82" t="s">
        <v>30</v>
      </c>
      <c r="Y1275" s="82" t="s">
        <v>30</v>
      </c>
      <c r="Z1275" s="82" t="s">
        <v>30</v>
      </c>
      <c r="AA1275"/>
    </row>
    <row r="1276" spans="1:34">
      <c r="A1276" s="358" t="s">
        <v>24</v>
      </c>
      <c r="B1276" s="369">
        <v>1273</v>
      </c>
      <c r="C1276" s="372" t="s">
        <v>1964</v>
      </c>
      <c r="D1276" s="372" t="s">
        <v>1965</v>
      </c>
      <c r="E1276" s="373">
        <v>45946</v>
      </c>
      <c r="F1276" s="372" t="s">
        <v>1966</v>
      </c>
      <c r="G1276" s="372">
        <v>10</v>
      </c>
      <c r="H1276" s="372" t="s">
        <v>1077</v>
      </c>
      <c r="I1276" s="372" t="s">
        <v>1138</v>
      </c>
      <c r="J1276" s="372"/>
      <c r="K1276" s="372"/>
      <c r="L1276" s="220"/>
      <c r="M1276" s="22"/>
      <c r="N1276" s="23"/>
      <c r="O1276" s="247"/>
      <c r="P1276" s="380" t="s">
        <v>30</v>
      </c>
      <c r="Q1276" s="23">
        <v>45985</v>
      </c>
      <c r="R1276" s="81" t="s">
        <v>1138</v>
      </c>
      <c r="S1276" s="22" t="s">
        <v>32</v>
      </c>
      <c r="T1276" s="22">
        <v>10</v>
      </c>
      <c r="U1276" s="24" t="s">
        <v>1138</v>
      </c>
      <c r="V1276" s="23">
        <v>45985</v>
      </c>
      <c r="W1276" s="100" t="s">
        <v>30</v>
      </c>
      <c r="X1276" s="100" t="s">
        <v>30</v>
      </c>
      <c r="Y1276" s="100" t="s">
        <v>30</v>
      </c>
      <c r="Z1276" s="100" t="s">
        <v>30</v>
      </c>
      <c r="AA1276"/>
    </row>
    <row r="1277" spans="1:34">
      <c r="A1277" s="358" t="s">
        <v>24</v>
      </c>
      <c r="B1277" s="369">
        <v>1274</v>
      </c>
      <c r="C1277" s="372" t="s">
        <v>1967</v>
      </c>
      <c r="D1277" s="372" t="s">
        <v>43</v>
      </c>
      <c r="E1277" s="373">
        <v>45946</v>
      </c>
      <c r="F1277" s="372" t="s">
        <v>439</v>
      </c>
      <c r="G1277" s="372">
        <v>18</v>
      </c>
      <c r="H1277" s="372" t="s">
        <v>127</v>
      </c>
      <c r="I1277" s="372" t="s">
        <v>36</v>
      </c>
      <c r="J1277" s="372"/>
      <c r="K1277" s="372"/>
      <c r="L1277" s="220"/>
      <c r="M1277" s="22"/>
      <c r="N1277" s="23"/>
      <c r="O1277" s="247"/>
      <c r="P1277" s="23" t="s">
        <v>30</v>
      </c>
      <c r="Q1277" s="23">
        <v>45985</v>
      </c>
      <c r="R1277" s="81" t="s">
        <v>127</v>
      </c>
      <c r="S1277" s="22" t="s">
        <v>32</v>
      </c>
      <c r="T1277" s="22">
        <v>15</v>
      </c>
      <c r="U1277" s="24" t="s">
        <v>127</v>
      </c>
      <c r="V1277" s="23">
        <v>45985</v>
      </c>
      <c r="W1277" s="95" t="s">
        <v>32</v>
      </c>
      <c r="X1277" s="95"/>
      <c r="Y1277" s="100" t="s">
        <v>30</v>
      </c>
      <c r="Z1277" s="106"/>
      <c r="AA1277"/>
    </row>
    <row r="1278" spans="1:34">
      <c r="A1278" s="358" t="s">
        <v>24</v>
      </c>
      <c r="B1278" s="369">
        <v>1275</v>
      </c>
      <c r="C1278" s="372" t="s">
        <v>1968</v>
      </c>
      <c r="D1278" s="372" t="s">
        <v>26</v>
      </c>
      <c r="E1278" s="373">
        <v>45947</v>
      </c>
      <c r="F1278" s="372" t="s">
        <v>1966</v>
      </c>
      <c r="G1278" s="372">
        <v>9</v>
      </c>
      <c r="H1278" s="372" t="s">
        <v>1077</v>
      </c>
      <c r="I1278" s="372" t="s">
        <v>1138</v>
      </c>
      <c r="J1278" s="372"/>
      <c r="K1278" s="372"/>
      <c r="L1278" s="358"/>
      <c r="M1278" s="22"/>
      <c r="N1278" s="23"/>
      <c r="O1278" s="380"/>
      <c r="P1278" s="23" t="s">
        <v>30</v>
      </c>
      <c r="Q1278" s="23">
        <v>45975</v>
      </c>
      <c r="R1278" s="81" t="s">
        <v>1138</v>
      </c>
      <c r="S1278" s="22" t="s">
        <v>32</v>
      </c>
      <c r="T1278" s="22">
        <v>9</v>
      </c>
      <c r="U1278" s="24" t="s">
        <v>1138</v>
      </c>
      <c r="V1278" s="23">
        <v>45975</v>
      </c>
      <c r="W1278" s="82" t="s">
        <v>30</v>
      </c>
      <c r="X1278" s="100" t="s">
        <v>30</v>
      </c>
      <c r="Y1278" s="100" t="s">
        <v>30</v>
      </c>
      <c r="Z1278" s="82" t="s">
        <v>30</v>
      </c>
      <c r="AA1278"/>
    </row>
    <row r="1279" spans="1:34">
      <c r="A1279" s="358" t="s">
        <v>24</v>
      </c>
      <c r="B1279" s="369">
        <v>1276</v>
      </c>
      <c r="C1279" s="372" t="s">
        <v>1969</v>
      </c>
      <c r="D1279" s="372" t="s">
        <v>50</v>
      </c>
      <c r="E1279" s="373">
        <v>45947</v>
      </c>
      <c r="F1279" s="372" t="s">
        <v>881</v>
      </c>
      <c r="G1279" s="372">
        <v>12</v>
      </c>
      <c r="H1279" s="372" t="s">
        <v>1077</v>
      </c>
      <c r="I1279" s="372" t="s">
        <v>1138</v>
      </c>
      <c r="J1279" s="372"/>
      <c r="K1279" s="372"/>
      <c r="L1279" s="358"/>
      <c r="M1279" s="22"/>
      <c r="N1279" s="23"/>
      <c r="O1279" s="247"/>
      <c r="P1279" s="23" t="s">
        <v>30</v>
      </c>
      <c r="Q1279" s="23">
        <v>45986</v>
      </c>
      <c r="R1279" s="81" t="s">
        <v>1138</v>
      </c>
      <c r="S1279" s="22" t="s">
        <v>32</v>
      </c>
      <c r="T1279" s="22">
        <v>8</v>
      </c>
      <c r="U1279" s="24" t="s">
        <v>1138</v>
      </c>
      <c r="V1279" s="23">
        <v>45986</v>
      </c>
      <c r="W1279" s="95" t="s">
        <v>32</v>
      </c>
      <c r="X1279" s="82" t="s">
        <v>30</v>
      </c>
      <c r="Y1279" s="82" t="s">
        <v>30</v>
      </c>
      <c r="Z1279" s="106"/>
      <c r="AA1279"/>
    </row>
    <row r="1280" spans="1:34">
      <c r="A1280" s="358" t="s">
        <v>24</v>
      </c>
      <c r="B1280" s="369">
        <v>1277</v>
      </c>
      <c r="C1280" s="372" t="s">
        <v>1970</v>
      </c>
      <c r="D1280" s="372" t="s">
        <v>1131</v>
      </c>
      <c r="E1280" s="373">
        <v>45947</v>
      </c>
      <c r="F1280" s="372" t="s">
        <v>106</v>
      </c>
      <c r="G1280" s="372">
        <v>6</v>
      </c>
      <c r="H1280" s="372" t="s">
        <v>1721</v>
      </c>
      <c r="I1280" s="372" t="s">
        <v>1638</v>
      </c>
      <c r="J1280" s="372"/>
      <c r="K1280" s="372"/>
      <c r="L1280" s="21"/>
      <c r="M1280" s="22"/>
      <c r="N1280" s="23"/>
      <c r="O1280" s="380"/>
      <c r="P1280" s="23" t="s">
        <v>30</v>
      </c>
      <c r="Q1280" s="23">
        <v>45982</v>
      </c>
      <c r="R1280" s="81" t="s">
        <v>1638</v>
      </c>
      <c r="S1280" s="22" t="s">
        <v>32</v>
      </c>
      <c r="T1280" s="22">
        <v>5</v>
      </c>
      <c r="U1280" s="24" t="s">
        <v>1638</v>
      </c>
      <c r="V1280" s="23">
        <v>45982</v>
      </c>
      <c r="W1280" s="82" t="s">
        <v>30</v>
      </c>
      <c r="X1280" s="82" t="s">
        <v>30</v>
      </c>
      <c r="Y1280" s="82" t="s">
        <v>30</v>
      </c>
      <c r="Z1280" s="82" t="s">
        <v>30</v>
      </c>
      <c r="AA1280"/>
    </row>
    <row r="1281" spans="1:34">
      <c r="A1281" s="358" t="s">
        <v>24</v>
      </c>
      <c r="B1281" s="369">
        <v>1278</v>
      </c>
      <c r="C1281" s="372" t="s">
        <v>1971</v>
      </c>
      <c r="D1281" s="372" t="s">
        <v>102</v>
      </c>
      <c r="E1281" s="373">
        <v>45947</v>
      </c>
      <c r="F1281" s="372" t="s">
        <v>1972</v>
      </c>
      <c r="G1281" s="372">
        <v>10</v>
      </c>
      <c r="H1281" s="372" t="s">
        <v>1725</v>
      </c>
      <c r="I1281" s="372" t="s">
        <v>47</v>
      </c>
      <c r="J1281" s="372"/>
      <c r="K1281" s="372"/>
      <c r="L1281" s="21"/>
      <c r="M1281" s="22"/>
      <c r="N1281" s="23"/>
      <c r="O1281" s="247"/>
      <c r="P1281" s="23" t="s">
        <v>30</v>
      </c>
      <c r="Q1281" s="23">
        <v>45988</v>
      </c>
      <c r="R1281" s="81" t="s">
        <v>127</v>
      </c>
      <c r="S1281" s="22" t="s">
        <v>1140</v>
      </c>
      <c r="T1281" s="22">
        <v>6</v>
      </c>
      <c r="U1281" s="24" t="s">
        <v>127</v>
      </c>
      <c r="V1281" s="23">
        <v>45988</v>
      </c>
      <c r="W1281" s="82" t="s">
        <v>30</v>
      </c>
      <c r="X1281" s="100" t="s">
        <v>30</v>
      </c>
      <c r="Y1281" s="100" t="s">
        <v>30</v>
      </c>
      <c r="Z1281" s="100" t="s">
        <v>30</v>
      </c>
      <c r="AA1281"/>
      <c r="AB1281" s="412"/>
      <c r="AC1281" s="412"/>
      <c r="AD1281" s="412"/>
      <c r="AE1281" s="412"/>
    </row>
    <row r="1282" spans="1:34">
      <c r="A1282" s="358" t="s">
        <v>24</v>
      </c>
      <c r="B1282" s="369">
        <v>1279</v>
      </c>
      <c r="C1282" s="372" t="s">
        <v>1973</v>
      </c>
      <c r="D1282" s="372" t="s">
        <v>43</v>
      </c>
      <c r="E1282" s="373">
        <v>45948</v>
      </c>
      <c r="F1282" s="372" t="s">
        <v>199</v>
      </c>
      <c r="G1282" s="372">
        <v>18</v>
      </c>
      <c r="H1282" s="372" t="s">
        <v>1721</v>
      </c>
      <c r="I1282" s="372" t="s">
        <v>1638</v>
      </c>
      <c r="J1282" s="102" t="s">
        <v>1974</v>
      </c>
      <c r="K1282" s="372"/>
      <c r="L1282" s="21"/>
      <c r="M1282" s="22"/>
      <c r="N1282" s="23"/>
      <c r="O1282" s="380"/>
      <c r="P1282" s="23" t="s">
        <v>30</v>
      </c>
      <c r="Q1282" s="23">
        <v>45989</v>
      </c>
      <c r="R1282" s="81" t="s">
        <v>67</v>
      </c>
      <c r="S1282" s="22" t="s">
        <v>32</v>
      </c>
      <c r="T1282" s="22">
        <v>18</v>
      </c>
      <c r="U1282" s="24" t="s">
        <v>67</v>
      </c>
      <c r="V1282" s="23">
        <v>45986</v>
      </c>
      <c r="W1282" s="82" t="s">
        <v>30</v>
      </c>
      <c r="X1282" s="82" t="s">
        <v>30</v>
      </c>
      <c r="Y1282" s="82" t="s">
        <v>30</v>
      </c>
      <c r="Z1282" s="82" t="s">
        <v>30</v>
      </c>
      <c r="AA1282"/>
      <c r="AF1282" s="72"/>
      <c r="AG1282" s="96"/>
      <c r="AH1282" s="96"/>
    </row>
    <row r="1283" spans="1:34">
      <c r="A1283" s="358" t="s">
        <v>24</v>
      </c>
      <c r="B1283" s="369">
        <v>1280</v>
      </c>
      <c r="C1283" s="372" t="s">
        <v>1975</v>
      </c>
      <c r="D1283" s="372" t="s">
        <v>34</v>
      </c>
      <c r="E1283" s="373">
        <v>45948</v>
      </c>
      <c r="F1283" s="372" t="s">
        <v>97</v>
      </c>
      <c r="G1283" s="372">
        <v>12</v>
      </c>
      <c r="H1283" s="372" t="s">
        <v>127</v>
      </c>
      <c r="I1283" s="372" t="s">
        <v>36</v>
      </c>
      <c r="J1283" s="372"/>
      <c r="K1283" s="372"/>
      <c r="L1283" s="21"/>
      <c r="M1283" s="22"/>
      <c r="N1283" s="23"/>
      <c r="O1283" s="247"/>
      <c r="P1283" s="23" t="s">
        <v>30</v>
      </c>
      <c r="Q1283" s="23">
        <v>45985</v>
      </c>
      <c r="R1283" s="81" t="s">
        <v>127</v>
      </c>
      <c r="S1283" s="22" t="s">
        <v>32</v>
      </c>
      <c r="T1283" s="22">
        <v>9</v>
      </c>
      <c r="U1283" s="24" t="s">
        <v>127</v>
      </c>
      <c r="V1283" s="23">
        <v>45985</v>
      </c>
      <c r="W1283" s="82" t="s">
        <v>30</v>
      </c>
      <c r="X1283" s="100" t="s">
        <v>30</v>
      </c>
      <c r="Y1283" s="100" t="s">
        <v>30</v>
      </c>
      <c r="Z1283" s="82" t="s">
        <v>30</v>
      </c>
      <c r="AA1283"/>
    </row>
    <row r="1284" spans="1:34">
      <c r="A1284" s="358" t="s">
        <v>24</v>
      </c>
      <c r="B1284" s="369">
        <v>1281</v>
      </c>
      <c r="C1284" s="372" t="s">
        <v>1976</v>
      </c>
      <c r="D1284" s="372" t="s">
        <v>234</v>
      </c>
      <c r="E1284" s="373">
        <v>45948</v>
      </c>
      <c r="F1284" s="372" t="s">
        <v>97</v>
      </c>
      <c r="G1284" s="372">
        <v>2</v>
      </c>
      <c r="H1284" s="372" t="s">
        <v>127</v>
      </c>
      <c r="I1284" s="372" t="s">
        <v>36</v>
      </c>
      <c r="J1284" s="372"/>
      <c r="K1284" s="372"/>
      <c r="L1284" s="21"/>
      <c r="M1284" s="22"/>
      <c r="N1284" s="23"/>
      <c r="O1284" s="23"/>
      <c r="P1284" s="23" t="s">
        <v>30</v>
      </c>
      <c r="Q1284" s="23">
        <v>45985</v>
      </c>
      <c r="R1284" s="81" t="s">
        <v>127</v>
      </c>
      <c r="S1284" s="22" t="s">
        <v>32</v>
      </c>
      <c r="T1284" s="22">
        <v>5</v>
      </c>
      <c r="U1284" s="24" t="s">
        <v>127</v>
      </c>
      <c r="V1284" s="23">
        <v>45985</v>
      </c>
      <c r="W1284" s="82" t="s">
        <v>30</v>
      </c>
      <c r="X1284" s="82" t="s">
        <v>30</v>
      </c>
      <c r="Y1284" s="100" t="s">
        <v>30</v>
      </c>
      <c r="Z1284" s="106" t="s">
        <v>30</v>
      </c>
      <c r="AA1284"/>
    </row>
    <row r="1285" spans="1:34">
      <c r="A1285" s="358" t="s">
        <v>24</v>
      </c>
      <c r="B1285" s="369">
        <v>1282</v>
      </c>
      <c r="C1285" s="372" t="s">
        <v>1977</v>
      </c>
      <c r="D1285" s="372" t="s">
        <v>34</v>
      </c>
      <c r="E1285" s="373">
        <v>45948</v>
      </c>
      <c r="F1285" s="372" t="s">
        <v>106</v>
      </c>
      <c r="G1285" s="372">
        <v>13</v>
      </c>
      <c r="H1285" s="372" t="s">
        <v>127</v>
      </c>
      <c r="I1285" s="372" t="s">
        <v>36</v>
      </c>
      <c r="J1285" s="372"/>
      <c r="K1285" s="372"/>
      <c r="L1285" s="21"/>
      <c r="M1285" s="22"/>
      <c r="N1285" s="23"/>
      <c r="O1285" s="380"/>
      <c r="P1285" s="23" t="s">
        <v>30</v>
      </c>
      <c r="Q1285" s="23">
        <v>45985</v>
      </c>
      <c r="R1285" s="81" t="s">
        <v>127</v>
      </c>
      <c r="S1285" s="22" t="s">
        <v>1140</v>
      </c>
      <c r="T1285" s="22">
        <v>17</v>
      </c>
      <c r="U1285" s="24" t="s">
        <v>127</v>
      </c>
      <c r="V1285" s="23">
        <v>45985</v>
      </c>
      <c r="W1285" s="82" t="s">
        <v>30</v>
      </c>
      <c r="X1285" s="100" t="s">
        <v>30</v>
      </c>
      <c r="Y1285" s="100" t="s">
        <v>30</v>
      </c>
      <c r="Z1285" s="106" t="s">
        <v>30</v>
      </c>
      <c r="AA1285"/>
      <c r="AF1285" s="72"/>
      <c r="AG1285" s="96"/>
      <c r="AH1285" s="96"/>
    </row>
    <row r="1286" spans="1:34">
      <c r="A1286" s="358" t="s">
        <v>24</v>
      </c>
      <c r="B1286" s="369">
        <v>1283</v>
      </c>
      <c r="C1286" s="372" t="s">
        <v>1978</v>
      </c>
      <c r="D1286" s="372" t="s">
        <v>34</v>
      </c>
      <c r="E1286" s="373">
        <v>45948</v>
      </c>
      <c r="F1286" s="372" t="s">
        <v>167</v>
      </c>
      <c r="G1286" s="372">
        <v>14</v>
      </c>
      <c r="H1286" s="372" t="s">
        <v>127</v>
      </c>
      <c r="I1286" s="372" t="s">
        <v>36</v>
      </c>
      <c r="J1286" s="372"/>
      <c r="K1286" s="372"/>
      <c r="L1286" s="220"/>
      <c r="M1286" s="22"/>
      <c r="N1286" s="23"/>
      <c r="O1286" s="247"/>
      <c r="P1286" s="23" t="s">
        <v>30</v>
      </c>
      <c r="Q1286" s="23">
        <v>45988</v>
      </c>
      <c r="R1286" s="81" t="s">
        <v>127</v>
      </c>
      <c r="S1286" s="22" t="s">
        <v>32</v>
      </c>
      <c r="T1286" s="22">
        <v>11</v>
      </c>
      <c r="U1286" s="24" t="s">
        <v>127</v>
      </c>
      <c r="V1286" s="23">
        <v>45988</v>
      </c>
      <c r="W1286" s="82" t="s">
        <v>30</v>
      </c>
      <c r="X1286" s="100" t="s">
        <v>30</v>
      </c>
      <c r="Y1286" s="100" t="s">
        <v>30</v>
      </c>
      <c r="Z1286" s="82" t="s">
        <v>30</v>
      </c>
      <c r="AA1286"/>
    </row>
    <row r="1287" spans="1:34">
      <c r="A1287" s="358" t="s">
        <v>24</v>
      </c>
      <c r="B1287" s="369">
        <v>1284</v>
      </c>
      <c r="C1287" s="372" t="s">
        <v>1979</v>
      </c>
      <c r="D1287" s="372" t="s">
        <v>102</v>
      </c>
      <c r="E1287" s="373">
        <v>45948</v>
      </c>
      <c r="F1287" s="372" t="s">
        <v>97</v>
      </c>
      <c r="G1287" s="372">
        <v>20</v>
      </c>
      <c r="H1287" s="372" t="s">
        <v>1721</v>
      </c>
      <c r="I1287" s="372" t="s">
        <v>1638</v>
      </c>
      <c r="J1287" s="372"/>
      <c r="K1287" s="372"/>
      <c r="L1287" s="220"/>
      <c r="M1287" s="22"/>
      <c r="N1287" s="23"/>
      <c r="O1287" s="380"/>
      <c r="P1287" s="23" t="s">
        <v>30</v>
      </c>
      <c r="Q1287" s="23">
        <v>45975</v>
      </c>
      <c r="R1287" s="81" t="s">
        <v>28</v>
      </c>
      <c r="S1287" s="22" t="s">
        <v>32</v>
      </c>
      <c r="T1287" s="22">
        <v>17</v>
      </c>
      <c r="U1287" s="24" t="s">
        <v>28</v>
      </c>
      <c r="V1287" s="23">
        <v>45975</v>
      </c>
      <c r="W1287" s="82" t="s">
        <v>30</v>
      </c>
      <c r="X1287" s="82" t="s">
        <v>30</v>
      </c>
      <c r="Y1287" s="82" t="s">
        <v>30</v>
      </c>
      <c r="Z1287" s="82" t="s">
        <v>30</v>
      </c>
      <c r="AA1287"/>
    </row>
    <row r="1288" spans="1:34">
      <c r="A1288" s="358" t="s">
        <v>24</v>
      </c>
      <c r="B1288" s="369">
        <v>1285</v>
      </c>
      <c r="C1288" s="372" t="s">
        <v>1980</v>
      </c>
      <c r="D1288" s="372" t="s">
        <v>43</v>
      </c>
      <c r="E1288" s="373">
        <v>45948</v>
      </c>
      <c r="F1288" s="372" t="s">
        <v>401</v>
      </c>
      <c r="G1288" s="372">
        <v>20</v>
      </c>
      <c r="H1288" s="372" t="s">
        <v>1721</v>
      </c>
      <c r="I1288" s="372" t="s">
        <v>1638</v>
      </c>
      <c r="J1288" s="372"/>
      <c r="K1288" s="372"/>
      <c r="L1288" s="220"/>
      <c r="M1288" s="22"/>
      <c r="N1288" s="23"/>
      <c r="O1288" s="380"/>
      <c r="P1288" s="23" t="s">
        <v>30</v>
      </c>
      <c r="Q1288" s="23">
        <v>45978</v>
      </c>
      <c r="R1288" s="81" t="s">
        <v>28</v>
      </c>
      <c r="S1288" s="22" t="s">
        <v>32</v>
      </c>
      <c r="T1288" s="22">
        <v>22</v>
      </c>
      <c r="U1288" s="24" t="s">
        <v>28</v>
      </c>
      <c r="V1288" s="23">
        <v>45978</v>
      </c>
      <c r="W1288" s="82" t="s">
        <v>30</v>
      </c>
      <c r="X1288" s="82" t="s">
        <v>30</v>
      </c>
      <c r="Y1288" s="82" t="s">
        <v>30</v>
      </c>
      <c r="Z1288" s="82" t="s">
        <v>30</v>
      </c>
      <c r="AA1288"/>
    </row>
    <row r="1289" spans="1:34">
      <c r="A1289" s="358" t="s">
        <v>24</v>
      </c>
      <c r="B1289" s="369">
        <v>1286</v>
      </c>
      <c r="C1289" s="372" t="s">
        <v>1981</v>
      </c>
      <c r="D1289" s="372" t="s">
        <v>1617</v>
      </c>
      <c r="E1289" s="373">
        <v>45948</v>
      </c>
      <c r="F1289" s="372" t="s">
        <v>194</v>
      </c>
      <c r="G1289" s="372">
        <v>12</v>
      </c>
      <c r="H1289" s="372" t="s">
        <v>1721</v>
      </c>
      <c r="I1289" s="372" t="s">
        <v>1638</v>
      </c>
      <c r="J1289" s="372"/>
      <c r="K1289" s="372"/>
      <c r="L1289" s="221"/>
      <c r="M1289" s="22"/>
      <c r="N1289" s="23"/>
      <c r="O1289" s="380"/>
      <c r="P1289" s="23" t="s">
        <v>30</v>
      </c>
      <c r="Q1289" s="23">
        <v>45985</v>
      </c>
      <c r="R1289" s="81" t="s">
        <v>1638</v>
      </c>
      <c r="S1289" s="22" t="s">
        <v>32</v>
      </c>
      <c r="T1289" s="22">
        <v>9</v>
      </c>
      <c r="U1289" s="24" t="s">
        <v>1638</v>
      </c>
      <c r="V1289" s="23">
        <v>45985</v>
      </c>
      <c r="W1289" s="82" t="s">
        <v>30</v>
      </c>
      <c r="X1289" s="82" t="s">
        <v>30</v>
      </c>
      <c r="Y1289" s="100" t="s">
        <v>30</v>
      </c>
      <c r="Z1289" s="100" t="s">
        <v>30</v>
      </c>
      <c r="AA1289"/>
    </row>
    <row r="1290" spans="1:34">
      <c r="A1290" s="358" t="s">
        <v>24</v>
      </c>
      <c r="B1290" s="369">
        <v>1287</v>
      </c>
      <c r="C1290" s="372" t="s">
        <v>1982</v>
      </c>
      <c r="D1290" s="372" t="s">
        <v>374</v>
      </c>
      <c r="E1290" s="373">
        <v>45948</v>
      </c>
      <c r="F1290" s="372" t="s">
        <v>1314</v>
      </c>
      <c r="G1290" s="372">
        <v>13</v>
      </c>
      <c r="H1290" s="372" t="s">
        <v>1725</v>
      </c>
      <c r="I1290" s="372" t="s">
        <v>47</v>
      </c>
      <c r="J1290" s="372"/>
      <c r="K1290" s="372"/>
      <c r="L1290" s="220"/>
      <c r="M1290" s="22"/>
      <c r="N1290" s="23"/>
      <c r="O1290" s="247"/>
      <c r="P1290" s="23" t="s">
        <v>30</v>
      </c>
      <c r="Q1290" s="23">
        <v>45988</v>
      </c>
      <c r="R1290" s="81" t="s">
        <v>127</v>
      </c>
      <c r="S1290" s="22" t="s">
        <v>32</v>
      </c>
      <c r="T1290" s="22">
        <v>11</v>
      </c>
      <c r="U1290" s="24" t="s">
        <v>127</v>
      </c>
      <c r="V1290" s="23">
        <v>45988</v>
      </c>
      <c r="W1290" s="95" t="s">
        <v>32</v>
      </c>
      <c r="X1290" s="95"/>
      <c r="Y1290" s="100" t="s">
        <v>30</v>
      </c>
      <c r="Z1290" s="106" t="s">
        <v>30</v>
      </c>
      <c r="AA1290"/>
    </row>
    <row r="1291" spans="1:34">
      <c r="A1291" s="358" t="s">
        <v>24</v>
      </c>
      <c r="B1291" s="369">
        <v>1288</v>
      </c>
      <c r="C1291" s="372" t="s">
        <v>1983</v>
      </c>
      <c r="D1291" s="372" t="s">
        <v>34</v>
      </c>
      <c r="E1291" s="373">
        <v>45948</v>
      </c>
      <c r="F1291" s="372" t="s">
        <v>272</v>
      </c>
      <c r="G1291" s="372">
        <v>6</v>
      </c>
      <c r="H1291" s="372" t="s">
        <v>1725</v>
      </c>
      <c r="I1291" s="372" t="s">
        <v>47</v>
      </c>
      <c r="J1291" s="372"/>
      <c r="K1291" s="372"/>
      <c r="L1291" s="21"/>
      <c r="M1291" s="22"/>
      <c r="N1291" s="23"/>
      <c r="O1291" s="247"/>
      <c r="P1291" s="23" t="s">
        <v>30</v>
      </c>
      <c r="Q1291" s="23">
        <v>45986</v>
      </c>
      <c r="R1291" s="81" t="s">
        <v>28</v>
      </c>
      <c r="S1291" s="22" t="s">
        <v>32</v>
      </c>
      <c r="T1291" s="22">
        <v>10</v>
      </c>
      <c r="U1291" s="24" t="s">
        <v>28</v>
      </c>
      <c r="V1291" s="23">
        <v>45986</v>
      </c>
      <c r="W1291" s="82" t="s">
        <v>30</v>
      </c>
      <c r="X1291" s="100" t="s">
        <v>30</v>
      </c>
      <c r="Y1291" s="82" t="s">
        <v>30</v>
      </c>
      <c r="Z1291" s="106" t="s">
        <v>30</v>
      </c>
      <c r="AA1291"/>
    </row>
    <row r="1292" spans="1:34">
      <c r="A1292" s="358" t="s">
        <v>24</v>
      </c>
      <c r="B1292" s="369">
        <v>1289</v>
      </c>
      <c r="C1292" s="372" t="s">
        <v>1984</v>
      </c>
      <c r="D1292" s="372" t="s">
        <v>34</v>
      </c>
      <c r="E1292" s="373">
        <v>45948</v>
      </c>
      <c r="F1292" s="372" t="s">
        <v>272</v>
      </c>
      <c r="G1292" s="372">
        <v>8</v>
      </c>
      <c r="H1292" s="372" t="s">
        <v>1725</v>
      </c>
      <c r="I1292" s="372" t="s">
        <v>47</v>
      </c>
      <c r="J1292" s="372"/>
      <c r="K1292" s="372"/>
      <c r="L1292" s="21"/>
      <c r="M1292" s="22"/>
      <c r="N1292" s="23"/>
      <c r="O1292" s="23"/>
      <c r="P1292" s="23" t="s">
        <v>30</v>
      </c>
      <c r="Q1292" s="23">
        <v>45985</v>
      </c>
      <c r="R1292" s="81" t="s">
        <v>28</v>
      </c>
      <c r="S1292" s="22" t="s">
        <v>32</v>
      </c>
      <c r="T1292" s="22">
        <v>2</v>
      </c>
      <c r="U1292" s="24" t="s">
        <v>28</v>
      </c>
      <c r="V1292" s="23">
        <v>45985</v>
      </c>
      <c r="W1292" s="82" t="s">
        <v>30</v>
      </c>
      <c r="X1292" s="82" t="s">
        <v>30</v>
      </c>
      <c r="Y1292" s="82" t="s">
        <v>30</v>
      </c>
      <c r="Z1292" s="82" t="s">
        <v>30</v>
      </c>
      <c r="AA1292"/>
    </row>
    <row r="1293" spans="1:34">
      <c r="A1293" s="358" t="s">
        <v>24</v>
      </c>
      <c r="B1293" s="369">
        <v>1290</v>
      </c>
      <c r="C1293" s="372" t="s">
        <v>1985</v>
      </c>
      <c r="D1293" s="372" t="s">
        <v>34</v>
      </c>
      <c r="E1293" s="373">
        <v>45948</v>
      </c>
      <c r="F1293" s="372" t="s">
        <v>1311</v>
      </c>
      <c r="G1293" s="372">
        <v>12</v>
      </c>
      <c r="H1293" s="372" t="s">
        <v>1725</v>
      </c>
      <c r="I1293" s="372" t="s">
        <v>47</v>
      </c>
      <c r="J1293" s="372"/>
      <c r="K1293" s="372"/>
      <c r="L1293" s="21"/>
      <c r="M1293" s="22"/>
      <c r="N1293" s="23"/>
      <c r="O1293" s="380"/>
      <c r="P1293" s="23" t="s">
        <v>30</v>
      </c>
      <c r="Q1293" s="23">
        <v>45986</v>
      </c>
      <c r="R1293" s="81" t="s">
        <v>28</v>
      </c>
      <c r="S1293" s="22" t="s">
        <v>32</v>
      </c>
      <c r="T1293" s="22">
        <v>8</v>
      </c>
      <c r="U1293" s="24" t="s">
        <v>28</v>
      </c>
      <c r="V1293" s="23">
        <v>45986</v>
      </c>
      <c r="W1293" s="100" t="s">
        <v>30</v>
      </c>
      <c r="X1293" s="82" t="s">
        <v>30</v>
      </c>
      <c r="Y1293" s="82" t="s">
        <v>30</v>
      </c>
      <c r="Z1293" s="100"/>
      <c r="AA1293"/>
      <c r="AE1293" s="88"/>
      <c r="AF1293" s="72"/>
      <c r="AG1293" s="72"/>
      <c r="AH1293" s="72"/>
    </row>
    <row r="1294" spans="1:34">
      <c r="A1294" s="358" t="s">
        <v>24</v>
      </c>
      <c r="B1294" s="369">
        <v>1291</v>
      </c>
      <c r="C1294" s="372" t="s">
        <v>1986</v>
      </c>
      <c r="D1294" s="372" t="s">
        <v>425</v>
      </c>
      <c r="E1294" s="373">
        <v>45948</v>
      </c>
      <c r="F1294" s="372" t="s">
        <v>1311</v>
      </c>
      <c r="G1294" s="372">
        <v>12</v>
      </c>
      <c r="H1294" s="372" t="s">
        <v>1725</v>
      </c>
      <c r="I1294" s="372" t="s">
        <v>47</v>
      </c>
      <c r="J1294" s="372"/>
      <c r="K1294" s="372"/>
      <c r="L1294" s="21"/>
      <c r="M1294" s="22"/>
      <c r="N1294" s="23"/>
      <c r="O1294" s="23"/>
      <c r="P1294" s="250" t="s">
        <v>30</v>
      </c>
      <c r="Q1294" s="23">
        <v>45988</v>
      </c>
      <c r="R1294" s="81" t="s">
        <v>127</v>
      </c>
      <c r="S1294" s="22" t="s">
        <v>32</v>
      </c>
      <c r="T1294" s="22">
        <v>11</v>
      </c>
      <c r="U1294" s="24" t="s">
        <v>127</v>
      </c>
      <c r="V1294" s="23">
        <v>45988</v>
      </c>
      <c r="W1294" s="82" t="s">
        <v>30</v>
      </c>
      <c r="X1294" s="100" t="s">
        <v>30</v>
      </c>
      <c r="Y1294" s="100" t="s">
        <v>30</v>
      </c>
      <c r="Z1294" s="82" t="s">
        <v>30</v>
      </c>
      <c r="AA1294"/>
    </row>
    <row r="1295" spans="1:34">
      <c r="A1295" s="358" t="s">
        <v>24</v>
      </c>
      <c r="B1295" s="369">
        <v>1292</v>
      </c>
      <c r="C1295" s="372" t="s">
        <v>1987</v>
      </c>
      <c r="D1295" s="372" t="s">
        <v>26</v>
      </c>
      <c r="E1295" s="373">
        <v>45948</v>
      </c>
      <c r="F1295" s="372" t="s">
        <v>683</v>
      </c>
      <c r="G1295" s="372">
        <v>14</v>
      </c>
      <c r="H1295" s="372" t="s">
        <v>1725</v>
      </c>
      <c r="I1295" s="372" t="s">
        <v>47</v>
      </c>
      <c r="J1295" s="372"/>
      <c r="K1295" s="372"/>
      <c r="L1295" s="21"/>
      <c r="M1295" s="22"/>
      <c r="N1295" s="23"/>
      <c r="O1295" s="23"/>
      <c r="P1295" s="23" t="s">
        <v>30</v>
      </c>
      <c r="Q1295" s="23">
        <v>45988</v>
      </c>
      <c r="R1295" s="81" t="s">
        <v>127</v>
      </c>
      <c r="S1295" s="22" t="s">
        <v>32</v>
      </c>
      <c r="T1295" s="22">
        <v>11</v>
      </c>
      <c r="U1295" s="24" t="s">
        <v>127</v>
      </c>
      <c r="V1295" s="23">
        <v>45988</v>
      </c>
      <c r="W1295" s="82" t="s">
        <v>30</v>
      </c>
      <c r="X1295" s="100" t="s">
        <v>30</v>
      </c>
      <c r="Y1295" s="82" t="s">
        <v>30</v>
      </c>
      <c r="Z1295" s="82" t="s">
        <v>30</v>
      </c>
      <c r="AA1295"/>
    </row>
    <row r="1296" spans="1:34">
      <c r="A1296" s="358" t="s">
        <v>24</v>
      </c>
      <c r="B1296" s="369">
        <v>1293</v>
      </c>
      <c r="C1296" s="372" t="s">
        <v>1988</v>
      </c>
      <c r="D1296" s="372" t="s">
        <v>64</v>
      </c>
      <c r="E1296" s="373">
        <v>45948</v>
      </c>
      <c r="F1296" s="372" t="s">
        <v>1626</v>
      </c>
      <c r="G1296" s="372">
        <v>13</v>
      </c>
      <c r="H1296" s="372" t="s">
        <v>1077</v>
      </c>
      <c r="I1296" s="372" t="s">
        <v>1138</v>
      </c>
      <c r="J1296" s="372"/>
      <c r="K1296" s="372"/>
      <c r="L1296" s="21"/>
      <c r="M1296" s="22"/>
      <c r="N1296" s="23"/>
      <c r="O1296" s="380"/>
      <c r="P1296" s="23" t="s">
        <v>30</v>
      </c>
      <c r="Q1296" s="23">
        <v>45981</v>
      </c>
      <c r="R1296" s="81" t="s">
        <v>1138</v>
      </c>
      <c r="S1296" s="22" t="s">
        <v>32</v>
      </c>
      <c r="T1296" s="22">
        <v>13</v>
      </c>
      <c r="U1296" s="24" t="s">
        <v>1138</v>
      </c>
      <c r="V1296" s="23">
        <v>45981</v>
      </c>
      <c r="W1296" s="82" t="s">
        <v>30</v>
      </c>
      <c r="X1296" s="82" t="s">
        <v>30</v>
      </c>
      <c r="Y1296" s="82" t="s">
        <v>30</v>
      </c>
      <c r="Z1296" s="100" t="s">
        <v>30</v>
      </c>
      <c r="AA1296"/>
      <c r="AE1296" s="88"/>
      <c r="AF1296" s="72"/>
      <c r="AG1296" s="72"/>
      <c r="AH1296" s="72"/>
    </row>
    <row r="1297" spans="1:34">
      <c r="A1297" s="358" t="s">
        <v>24</v>
      </c>
      <c r="B1297" s="369">
        <v>1294</v>
      </c>
      <c r="C1297" s="372" t="s">
        <v>1989</v>
      </c>
      <c r="D1297" s="372" t="s">
        <v>43</v>
      </c>
      <c r="E1297" s="373">
        <v>45948</v>
      </c>
      <c r="F1297" s="372" t="s">
        <v>183</v>
      </c>
      <c r="G1297" s="372">
        <v>20</v>
      </c>
      <c r="H1297" s="372" t="s">
        <v>1077</v>
      </c>
      <c r="I1297" s="372" t="s">
        <v>1138</v>
      </c>
      <c r="J1297" s="372"/>
      <c r="K1297" s="372"/>
      <c r="L1297" s="21"/>
      <c r="M1297" s="22"/>
      <c r="N1297" s="23"/>
      <c r="O1297" s="380"/>
      <c r="P1297" s="23" t="s">
        <v>30</v>
      </c>
      <c r="Q1297" s="23">
        <v>45986</v>
      </c>
      <c r="R1297" s="81" t="s">
        <v>1138</v>
      </c>
      <c r="S1297" s="22" t="s">
        <v>32</v>
      </c>
      <c r="T1297" s="22">
        <v>19</v>
      </c>
      <c r="U1297" s="24" t="s">
        <v>1138</v>
      </c>
      <c r="V1297" s="23">
        <v>45986</v>
      </c>
      <c r="W1297" s="82" t="s">
        <v>30</v>
      </c>
      <c r="X1297" s="100" t="s">
        <v>30</v>
      </c>
      <c r="Y1297" s="100" t="s">
        <v>30</v>
      </c>
      <c r="Z1297" s="82" t="s">
        <v>30</v>
      </c>
      <c r="AA1297"/>
      <c r="AB1297" s="412"/>
      <c r="AC1297" s="412"/>
      <c r="AD1297" s="412"/>
      <c r="AE1297" s="412"/>
    </row>
    <row r="1298" spans="1:34">
      <c r="A1298" s="358" t="s">
        <v>24</v>
      </c>
      <c r="B1298" s="369">
        <v>1295</v>
      </c>
      <c r="C1298" s="372" t="s">
        <v>1990</v>
      </c>
      <c r="D1298" s="372" t="s">
        <v>34</v>
      </c>
      <c r="E1298" s="373">
        <v>45948</v>
      </c>
      <c r="F1298" s="372" t="s">
        <v>65</v>
      </c>
      <c r="G1298" s="372">
        <v>23</v>
      </c>
      <c r="H1298" s="372" t="s">
        <v>1077</v>
      </c>
      <c r="I1298" s="372" t="s">
        <v>1138</v>
      </c>
      <c r="J1298" s="372"/>
      <c r="K1298" s="372"/>
      <c r="L1298" s="21"/>
      <c r="M1298" s="22"/>
      <c r="N1298" s="23"/>
      <c r="O1298" s="380"/>
      <c r="P1298" s="380" t="s">
        <v>30</v>
      </c>
      <c r="Q1298" s="23">
        <v>45980</v>
      </c>
      <c r="R1298" s="81" t="s">
        <v>1138</v>
      </c>
      <c r="S1298" s="22" t="s">
        <v>32</v>
      </c>
      <c r="T1298" s="22">
        <v>26</v>
      </c>
      <c r="U1298" s="24" t="s">
        <v>1138</v>
      </c>
      <c r="V1298" s="23">
        <v>45980</v>
      </c>
      <c r="W1298" s="82" t="s">
        <v>30</v>
      </c>
      <c r="X1298" s="82" t="s">
        <v>30</v>
      </c>
      <c r="Y1298" s="82" t="s">
        <v>30</v>
      </c>
      <c r="Z1298" s="82" t="s">
        <v>30</v>
      </c>
      <c r="AA1298"/>
      <c r="AF1298" s="72"/>
      <c r="AG1298" s="96"/>
      <c r="AH1298" s="96"/>
    </row>
    <row r="1299" spans="1:34">
      <c r="A1299" s="358" t="s">
        <v>24</v>
      </c>
      <c r="B1299" s="369">
        <v>1296</v>
      </c>
      <c r="C1299" s="372" t="s">
        <v>1991</v>
      </c>
      <c r="D1299" s="372" t="s">
        <v>1362</v>
      </c>
      <c r="E1299" s="373">
        <v>45950</v>
      </c>
      <c r="F1299" s="372" t="s">
        <v>395</v>
      </c>
      <c r="G1299" s="372">
        <v>18</v>
      </c>
      <c r="H1299" s="372" t="s">
        <v>1721</v>
      </c>
      <c r="I1299" s="372" t="s">
        <v>1638</v>
      </c>
      <c r="J1299" s="225"/>
      <c r="K1299" s="372"/>
      <c r="L1299" s="21"/>
      <c r="M1299" s="22"/>
      <c r="N1299" s="23"/>
      <c r="O1299" s="23"/>
      <c r="P1299" s="23" t="s">
        <v>30</v>
      </c>
      <c r="Q1299" s="23">
        <v>45980</v>
      </c>
      <c r="R1299" s="81" t="s">
        <v>1638</v>
      </c>
      <c r="S1299" s="22" t="s">
        <v>32</v>
      </c>
      <c r="T1299" s="22">
        <v>18</v>
      </c>
      <c r="U1299" s="24" t="s">
        <v>1638</v>
      </c>
      <c r="V1299" s="23">
        <v>45980</v>
      </c>
      <c r="W1299" s="95" t="s">
        <v>32</v>
      </c>
      <c r="X1299" s="82" t="s">
        <v>30</v>
      </c>
      <c r="Y1299" s="82" t="s">
        <v>30</v>
      </c>
      <c r="Z1299" s="100"/>
      <c r="AA1299"/>
      <c r="AB1299" s="412"/>
      <c r="AC1299" s="412"/>
      <c r="AD1299" s="412"/>
      <c r="AE1299" s="412"/>
    </row>
    <row r="1300" spans="1:34">
      <c r="A1300" s="358" t="s">
        <v>24</v>
      </c>
      <c r="B1300" s="369">
        <v>1297</v>
      </c>
      <c r="C1300" s="372" t="s">
        <v>1992</v>
      </c>
      <c r="D1300" s="372" t="s">
        <v>64</v>
      </c>
      <c r="E1300" s="373">
        <v>45950</v>
      </c>
      <c r="F1300" s="372" t="s">
        <v>511</v>
      </c>
      <c r="G1300" s="372">
        <v>14</v>
      </c>
      <c r="H1300" s="372" t="s">
        <v>1721</v>
      </c>
      <c r="I1300" s="372" t="s">
        <v>1638</v>
      </c>
      <c r="J1300" s="225"/>
      <c r="K1300" s="372"/>
      <c r="L1300" s="21"/>
      <c r="M1300" s="22"/>
      <c r="N1300" s="23"/>
      <c r="O1300" s="23"/>
      <c r="P1300" s="23" t="s">
        <v>30</v>
      </c>
      <c r="Q1300" s="23">
        <v>45985</v>
      </c>
      <c r="R1300" s="81" t="s">
        <v>1638</v>
      </c>
      <c r="S1300" s="22" t="s">
        <v>32</v>
      </c>
      <c r="T1300" s="22">
        <v>13</v>
      </c>
      <c r="U1300" s="24" t="s">
        <v>1638</v>
      </c>
      <c r="V1300" s="23">
        <v>45985</v>
      </c>
      <c r="W1300" s="82" t="s">
        <v>30</v>
      </c>
      <c r="X1300" s="82" t="s">
        <v>30</v>
      </c>
      <c r="Y1300" s="100" t="s">
        <v>30</v>
      </c>
      <c r="Z1300" s="100" t="s">
        <v>30</v>
      </c>
      <c r="AA1300"/>
      <c r="AB1300" s="412"/>
      <c r="AC1300" s="412"/>
      <c r="AD1300" s="412"/>
      <c r="AE1300" s="412"/>
    </row>
    <row r="1301" spans="1:34">
      <c r="A1301" s="358" t="s">
        <v>24</v>
      </c>
      <c r="B1301" s="369">
        <v>1298</v>
      </c>
      <c r="C1301" s="372" t="s">
        <v>1993</v>
      </c>
      <c r="D1301" s="372" t="s">
        <v>129</v>
      </c>
      <c r="E1301" s="373">
        <v>45952</v>
      </c>
      <c r="F1301" s="372" t="s">
        <v>1492</v>
      </c>
      <c r="G1301" s="372">
        <v>20</v>
      </c>
      <c r="H1301" s="372" t="s">
        <v>1721</v>
      </c>
      <c r="I1301" s="372" t="s">
        <v>1638</v>
      </c>
      <c r="J1301" s="225"/>
      <c r="K1301" s="372"/>
      <c r="L1301" s="21"/>
      <c r="M1301" s="22"/>
      <c r="N1301" s="23"/>
      <c r="O1301" s="23"/>
      <c r="P1301" s="250" t="s">
        <v>30</v>
      </c>
      <c r="Q1301" s="23">
        <v>45980</v>
      </c>
      <c r="R1301" s="81" t="s">
        <v>1638</v>
      </c>
      <c r="S1301" s="22" t="s">
        <v>32</v>
      </c>
      <c r="T1301" s="22">
        <v>25</v>
      </c>
      <c r="U1301" s="24" t="s">
        <v>1638</v>
      </c>
      <c r="V1301" s="23">
        <v>45980</v>
      </c>
      <c r="W1301" s="100" t="s">
        <v>30</v>
      </c>
      <c r="X1301" s="82" t="s">
        <v>30</v>
      </c>
      <c r="Y1301" s="82" t="s">
        <v>30</v>
      </c>
      <c r="Z1301" s="82" t="s">
        <v>30</v>
      </c>
      <c r="AA1301"/>
    </row>
    <row r="1302" spans="1:34">
      <c r="A1302" s="358" t="s">
        <v>24</v>
      </c>
      <c r="B1302" s="369">
        <v>1299</v>
      </c>
      <c r="C1302" s="372" t="s">
        <v>1994</v>
      </c>
      <c r="D1302" s="372" t="s">
        <v>129</v>
      </c>
      <c r="E1302" s="373">
        <v>45952</v>
      </c>
      <c r="F1302" s="372" t="s">
        <v>506</v>
      </c>
      <c r="G1302" s="372">
        <v>5</v>
      </c>
      <c r="H1302" s="372" t="s">
        <v>1721</v>
      </c>
      <c r="I1302" s="372" t="s">
        <v>1638</v>
      </c>
      <c r="J1302" s="372"/>
      <c r="K1302" s="372"/>
      <c r="L1302" s="21"/>
      <c r="M1302" s="22"/>
      <c r="N1302" s="23"/>
      <c r="O1302" s="380"/>
      <c r="P1302" s="250" t="s">
        <v>30</v>
      </c>
      <c r="Q1302" s="23">
        <v>45982</v>
      </c>
      <c r="R1302" s="81" t="s">
        <v>1638</v>
      </c>
      <c r="S1302" s="22" t="s">
        <v>32</v>
      </c>
      <c r="T1302" s="22">
        <v>4</v>
      </c>
      <c r="U1302" s="24" t="s">
        <v>1638</v>
      </c>
      <c r="V1302" s="23">
        <v>45982</v>
      </c>
      <c r="W1302" s="82" t="s">
        <v>30</v>
      </c>
      <c r="X1302" s="82" t="s">
        <v>30</v>
      </c>
      <c r="Y1302" s="82" t="s">
        <v>30</v>
      </c>
      <c r="Z1302" s="82" t="s">
        <v>30</v>
      </c>
      <c r="AA1302"/>
    </row>
    <row r="1303" spans="1:34">
      <c r="A1303" s="358" t="s">
        <v>24</v>
      </c>
      <c r="B1303" s="369">
        <v>1300</v>
      </c>
      <c r="C1303" s="372" t="s">
        <v>1995</v>
      </c>
      <c r="D1303" s="372" t="s">
        <v>477</v>
      </c>
      <c r="E1303" s="373">
        <v>45954</v>
      </c>
      <c r="F1303" s="372" t="s">
        <v>202</v>
      </c>
      <c r="G1303" s="372">
        <v>17</v>
      </c>
      <c r="H1303" s="372" t="s">
        <v>127</v>
      </c>
      <c r="I1303" s="372" t="s">
        <v>36</v>
      </c>
      <c r="J1303" s="372"/>
      <c r="K1303" s="372"/>
      <c r="L1303" s="21"/>
      <c r="M1303" s="22"/>
      <c r="N1303" s="23"/>
      <c r="O1303" s="380"/>
      <c r="P1303" s="23" t="s">
        <v>30</v>
      </c>
      <c r="Q1303" s="23">
        <v>45988</v>
      </c>
      <c r="R1303" s="81" t="s">
        <v>127</v>
      </c>
      <c r="S1303" s="22" t="s">
        <v>32</v>
      </c>
      <c r="T1303" s="22">
        <v>14</v>
      </c>
      <c r="U1303" s="24" t="s">
        <v>127</v>
      </c>
      <c r="V1303" s="23">
        <v>45988</v>
      </c>
      <c r="W1303" s="100" t="s">
        <v>30</v>
      </c>
      <c r="X1303" s="100" t="s">
        <v>30</v>
      </c>
      <c r="Y1303" s="100" t="s">
        <v>30</v>
      </c>
      <c r="Z1303" s="82" t="s">
        <v>30</v>
      </c>
      <c r="AA1303"/>
    </row>
    <row r="1304" spans="1:34">
      <c r="A1304" s="358" t="s">
        <v>24</v>
      </c>
      <c r="B1304" s="369">
        <v>1301</v>
      </c>
      <c r="C1304" s="372" t="s">
        <v>1996</v>
      </c>
      <c r="D1304" s="372" t="s">
        <v>129</v>
      </c>
      <c r="E1304" s="373">
        <v>45954</v>
      </c>
      <c r="F1304" s="372" t="s">
        <v>506</v>
      </c>
      <c r="G1304" s="372">
        <v>4</v>
      </c>
      <c r="H1304" s="372" t="s">
        <v>1721</v>
      </c>
      <c r="I1304" s="372" t="s">
        <v>1638</v>
      </c>
      <c r="J1304" s="372"/>
      <c r="K1304" s="372"/>
      <c r="L1304" s="21"/>
      <c r="M1304" s="22"/>
      <c r="N1304" s="23"/>
      <c r="O1304" s="23"/>
      <c r="P1304" s="23" t="s">
        <v>30</v>
      </c>
      <c r="Q1304" s="23">
        <v>45982</v>
      </c>
      <c r="R1304" s="81" t="s">
        <v>1638</v>
      </c>
      <c r="S1304" s="22" t="s">
        <v>32</v>
      </c>
      <c r="T1304" s="22">
        <v>4</v>
      </c>
      <c r="U1304" s="24" t="s">
        <v>1638</v>
      </c>
      <c r="V1304" s="23">
        <v>45982</v>
      </c>
      <c r="W1304" s="82" t="s">
        <v>30</v>
      </c>
      <c r="X1304" s="100" t="s">
        <v>30</v>
      </c>
      <c r="Y1304" s="82" t="s">
        <v>30</v>
      </c>
      <c r="Z1304" s="82" t="s">
        <v>30</v>
      </c>
      <c r="AA1304"/>
    </row>
    <row r="1305" spans="1:34">
      <c r="A1305" s="358" t="s">
        <v>24</v>
      </c>
      <c r="B1305" s="369">
        <v>1302</v>
      </c>
      <c r="C1305" s="372" t="s">
        <v>1997</v>
      </c>
      <c r="D1305" s="372" t="s">
        <v>406</v>
      </c>
      <c r="E1305" s="373">
        <v>45954</v>
      </c>
      <c r="F1305" s="372" t="s">
        <v>187</v>
      </c>
      <c r="G1305" s="372">
        <v>6</v>
      </c>
      <c r="H1305" s="372" t="s">
        <v>1725</v>
      </c>
      <c r="I1305" s="372" t="s">
        <v>47</v>
      </c>
      <c r="J1305" s="102"/>
      <c r="K1305" s="372"/>
      <c r="L1305" s="21"/>
      <c r="M1305" s="22"/>
      <c r="N1305" s="23"/>
      <c r="O1305" s="380"/>
      <c r="P1305" s="23" t="s">
        <v>30</v>
      </c>
      <c r="Q1305" s="23">
        <v>45986</v>
      </c>
      <c r="R1305" s="81" t="s">
        <v>28</v>
      </c>
      <c r="S1305" s="22" t="s">
        <v>32</v>
      </c>
      <c r="T1305" s="22">
        <v>6</v>
      </c>
      <c r="U1305" s="24" t="s">
        <v>28</v>
      </c>
      <c r="V1305" s="23">
        <v>45986</v>
      </c>
      <c r="W1305" s="228" t="s">
        <v>30</v>
      </c>
      <c r="X1305" s="228" t="s">
        <v>30</v>
      </c>
      <c r="Y1305" s="82" t="s">
        <v>30</v>
      </c>
      <c r="Z1305" s="100"/>
      <c r="AA1305" s="91"/>
      <c r="AB1305" s="91"/>
      <c r="AF1305" s="72"/>
      <c r="AG1305" s="96"/>
      <c r="AH1305" s="96"/>
    </row>
    <row r="1306" spans="1:34">
      <c r="A1306" s="358" t="s">
        <v>24</v>
      </c>
      <c r="B1306" s="369">
        <v>1303</v>
      </c>
      <c r="C1306" s="372" t="s">
        <v>1998</v>
      </c>
      <c r="D1306" s="372" t="s">
        <v>406</v>
      </c>
      <c r="E1306" s="373">
        <v>45954</v>
      </c>
      <c r="F1306" s="372" t="s">
        <v>187</v>
      </c>
      <c r="G1306" s="372">
        <v>7</v>
      </c>
      <c r="H1306" s="372" t="s">
        <v>1725</v>
      </c>
      <c r="I1306" s="372" t="s">
        <v>47</v>
      </c>
      <c r="J1306" s="372"/>
      <c r="K1306" s="372"/>
      <c r="L1306" s="21"/>
      <c r="M1306" s="22"/>
      <c r="N1306" s="23"/>
      <c r="O1306" s="23"/>
      <c r="P1306" s="121" t="s">
        <v>30</v>
      </c>
      <c r="Q1306" s="23">
        <v>45985</v>
      </c>
      <c r="R1306" s="81" t="s">
        <v>28</v>
      </c>
      <c r="S1306" s="22" t="s">
        <v>32</v>
      </c>
      <c r="T1306" s="22">
        <v>6</v>
      </c>
      <c r="U1306" s="24" t="s">
        <v>28</v>
      </c>
      <c r="V1306" s="23">
        <v>45985</v>
      </c>
      <c r="W1306" s="228" t="s">
        <v>30</v>
      </c>
      <c r="X1306" s="100" t="s">
        <v>30</v>
      </c>
      <c r="Y1306" s="82" t="s">
        <v>30</v>
      </c>
      <c r="Z1306" s="100" t="s">
        <v>30</v>
      </c>
      <c r="AA1306"/>
      <c r="AF1306" s="72"/>
      <c r="AG1306" s="96"/>
      <c r="AH1306" s="96"/>
    </row>
    <row r="1307" spans="1:34">
      <c r="A1307" s="358" t="s">
        <v>24</v>
      </c>
      <c r="B1307" s="369">
        <v>1304</v>
      </c>
      <c r="C1307" s="372" t="s">
        <v>1999</v>
      </c>
      <c r="D1307" s="372" t="s">
        <v>1131</v>
      </c>
      <c r="E1307" s="373">
        <v>45954</v>
      </c>
      <c r="F1307" s="372" t="s">
        <v>106</v>
      </c>
      <c r="G1307" s="372">
        <v>7</v>
      </c>
      <c r="H1307" s="372" t="s">
        <v>1721</v>
      </c>
      <c r="I1307" s="372" t="s">
        <v>1638</v>
      </c>
      <c r="J1307" s="372"/>
      <c r="K1307" s="372"/>
      <c r="L1307" s="21"/>
      <c r="M1307" s="22"/>
      <c r="N1307" s="23"/>
      <c r="O1307" s="380"/>
      <c r="P1307" s="23" t="s">
        <v>30</v>
      </c>
      <c r="Q1307" s="23">
        <v>45978</v>
      </c>
      <c r="R1307" s="81" t="s">
        <v>28</v>
      </c>
      <c r="S1307" s="22" t="s">
        <v>32</v>
      </c>
      <c r="T1307" s="22">
        <v>7</v>
      </c>
      <c r="U1307" s="24" t="s">
        <v>28</v>
      </c>
      <c r="V1307" s="23">
        <v>45978</v>
      </c>
      <c r="W1307" s="82" t="s">
        <v>30</v>
      </c>
      <c r="X1307" s="82" t="s">
        <v>30</v>
      </c>
      <c r="Y1307" s="82" t="s">
        <v>1091</v>
      </c>
      <c r="Z1307" s="82" t="s">
        <v>1091</v>
      </c>
      <c r="AA1307" s="91"/>
      <c r="AB1307" s="91"/>
      <c r="AF1307" s="72"/>
      <c r="AG1307" s="96"/>
      <c r="AH1307" s="96"/>
    </row>
    <row r="1308" spans="1:34">
      <c r="A1308" s="358" t="s">
        <v>24</v>
      </c>
      <c r="B1308" s="369">
        <v>1305</v>
      </c>
      <c r="C1308" s="372" t="s">
        <v>2000</v>
      </c>
      <c r="D1308" s="372" t="s">
        <v>2001</v>
      </c>
      <c r="E1308" s="373">
        <v>45954</v>
      </c>
      <c r="F1308" s="372" t="s">
        <v>646</v>
      </c>
      <c r="G1308" s="372">
        <v>9</v>
      </c>
      <c r="H1308" s="372" t="s">
        <v>1077</v>
      </c>
      <c r="I1308" s="372" t="s">
        <v>1138</v>
      </c>
      <c r="J1308" s="372"/>
      <c r="K1308" s="372"/>
      <c r="L1308" s="21"/>
      <c r="M1308" s="22"/>
      <c r="N1308" s="23"/>
      <c r="O1308" s="380"/>
      <c r="P1308" s="23" t="s">
        <v>30</v>
      </c>
      <c r="Q1308" s="23">
        <v>45985</v>
      </c>
      <c r="R1308" s="81" t="s">
        <v>1138</v>
      </c>
      <c r="S1308" s="22" t="s">
        <v>32</v>
      </c>
      <c r="T1308" s="22">
        <v>9</v>
      </c>
      <c r="U1308" s="24" t="s">
        <v>1138</v>
      </c>
      <c r="V1308" s="23">
        <v>45985</v>
      </c>
      <c r="W1308" s="82" t="s">
        <v>113</v>
      </c>
      <c r="X1308" s="100" t="s">
        <v>30</v>
      </c>
      <c r="Y1308" s="100" t="s">
        <v>30</v>
      </c>
      <c r="Z1308" s="100" t="s">
        <v>113</v>
      </c>
      <c r="AA1308"/>
      <c r="AF1308" s="72"/>
      <c r="AG1308" s="96"/>
      <c r="AH1308" s="96"/>
    </row>
    <row r="1309" spans="1:34">
      <c r="A1309" s="358" t="s">
        <v>24</v>
      </c>
      <c r="B1309" s="369">
        <v>1306</v>
      </c>
      <c r="C1309" s="372" t="s">
        <v>2002</v>
      </c>
      <c r="D1309" s="372" t="s">
        <v>43</v>
      </c>
      <c r="E1309" s="373">
        <v>45955</v>
      </c>
      <c r="F1309" s="372" t="s">
        <v>167</v>
      </c>
      <c r="G1309" s="372">
        <v>15</v>
      </c>
      <c r="H1309" s="372" t="s">
        <v>127</v>
      </c>
      <c r="I1309" s="372" t="s">
        <v>36</v>
      </c>
      <c r="J1309" s="372"/>
      <c r="K1309" s="372"/>
      <c r="L1309" s="21"/>
      <c r="M1309" s="22"/>
      <c r="N1309" s="23"/>
      <c r="O1309" s="23"/>
      <c r="P1309" s="23" t="s">
        <v>30</v>
      </c>
      <c r="Q1309" s="23">
        <v>45985</v>
      </c>
      <c r="R1309" s="81" t="s">
        <v>127</v>
      </c>
      <c r="S1309" s="22" t="s">
        <v>32</v>
      </c>
      <c r="T1309" s="22">
        <v>7</v>
      </c>
      <c r="U1309" s="24" t="s">
        <v>127</v>
      </c>
      <c r="V1309" s="23">
        <v>45985</v>
      </c>
      <c r="W1309" s="228" t="s">
        <v>30</v>
      </c>
      <c r="X1309" s="100" t="s">
        <v>30</v>
      </c>
      <c r="Y1309" s="100" t="s">
        <v>30</v>
      </c>
      <c r="Z1309" s="100" t="s">
        <v>30</v>
      </c>
      <c r="AA1309"/>
    </row>
    <row r="1310" spans="1:34">
      <c r="A1310" s="358" t="s">
        <v>24</v>
      </c>
      <c r="B1310" s="369">
        <v>1307</v>
      </c>
      <c r="C1310" s="372" t="s">
        <v>2003</v>
      </c>
      <c r="D1310" s="372" t="s">
        <v>34</v>
      </c>
      <c r="E1310" s="373">
        <v>45955</v>
      </c>
      <c r="F1310" s="372" t="s">
        <v>93</v>
      </c>
      <c r="G1310" s="372">
        <v>16</v>
      </c>
      <c r="H1310" s="372" t="s">
        <v>127</v>
      </c>
      <c r="I1310" s="372" t="s">
        <v>36</v>
      </c>
      <c r="J1310" s="372"/>
      <c r="K1310" s="372"/>
      <c r="L1310" s="21"/>
      <c r="M1310" s="22"/>
      <c r="N1310" s="23"/>
      <c r="O1310" s="62"/>
      <c r="P1310" s="23" t="s">
        <v>30</v>
      </c>
      <c r="Q1310" s="23">
        <v>45985</v>
      </c>
      <c r="R1310" s="81" t="s">
        <v>127</v>
      </c>
      <c r="S1310" s="22" t="s">
        <v>32</v>
      </c>
      <c r="T1310" s="22">
        <v>18</v>
      </c>
      <c r="U1310" s="24" t="s">
        <v>127</v>
      </c>
      <c r="V1310" s="23">
        <v>45985</v>
      </c>
      <c r="W1310" s="82" t="s">
        <v>30</v>
      </c>
      <c r="X1310" s="82" t="s">
        <v>30</v>
      </c>
      <c r="Y1310" s="82" t="s">
        <v>30</v>
      </c>
      <c r="Z1310" s="82" t="s">
        <v>30</v>
      </c>
      <c r="AA1310"/>
      <c r="AF1310" s="72"/>
      <c r="AG1310" s="96"/>
      <c r="AH1310" s="96"/>
    </row>
    <row r="1311" spans="1:34">
      <c r="A1311" s="358" t="s">
        <v>24</v>
      </c>
      <c r="B1311" s="369">
        <v>1308</v>
      </c>
      <c r="C1311" s="372" t="s">
        <v>2004</v>
      </c>
      <c r="D1311" s="372" t="s">
        <v>34</v>
      </c>
      <c r="E1311" s="373">
        <v>45955</v>
      </c>
      <c r="F1311" s="372" t="s">
        <v>97</v>
      </c>
      <c r="G1311" s="372">
        <v>6</v>
      </c>
      <c r="H1311" s="372" t="s">
        <v>127</v>
      </c>
      <c r="I1311" s="372" t="s">
        <v>36</v>
      </c>
      <c r="J1311" s="226" t="s">
        <v>17</v>
      </c>
      <c r="K1311" s="372"/>
      <c r="L1311" s="21"/>
      <c r="M1311" s="22"/>
      <c r="N1311" s="23"/>
      <c r="O1311" s="62"/>
      <c r="P1311" s="250" t="s">
        <v>30</v>
      </c>
      <c r="Q1311" s="23">
        <v>45985</v>
      </c>
      <c r="R1311" s="81" t="s">
        <v>127</v>
      </c>
      <c r="S1311" s="22" t="s">
        <v>32</v>
      </c>
      <c r="T1311" s="22">
        <v>6</v>
      </c>
      <c r="U1311" s="24" t="s">
        <v>127</v>
      </c>
      <c r="V1311" s="23">
        <v>45985</v>
      </c>
      <c r="W1311" s="82" t="s">
        <v>30</v>
      </c>
      <c r="X1311" s="100" t="s">
        <v>30</v>
      </c>
      <c r="Y1311" s="82" t="s">
        <v>30</v>
      </c>
      <c r="Z1311" s="82" t="s">
        <v>30</v>
      </c>
      <c r="AA1311"/>
      <c r="AF1311" s="72"/>
      <c r="AG1311" s="96"/>
      <c r="AH1311" s="96"/>
    </row>
    <row r="1312" spans="1:34">
      <c r="A1312" s="358" t="s">
        <v>24</v>
      </c>
      <c r="B1312" s="369">
        <v>1309</v>
      </c>
      <c r="C1312" s="372" t="s">
        <v>2005</v>
      </c>
      <c r="D1312" s="372" t="s">
        <v>34</v>
      </c>
      <c r="E1312" s="373">
        <v>45955</v>
      </c>
      <c r="F1312" s="372" t="s">
        <v>97</v>
      </c>
      <c r="G1312" s="372">
        <v>8</v>
      </c>
      <c r="H1312" s="372" t="s">
        <v>127</v>
      </c>
      <c r="I1312" s="372" t="s">
        <v>36</v>
      </c>
      <c r="J1312" s="372"/>
      <c r="K1312" s="372"/>
      <c r="L1312" s="21"/>
      <c r="M1312" s="22"/>
      <c r="N1312" s="23"/>
      <c r="O1312" s="380"/>
      <c r="P1312" s="250" t="s">
        <v>30</v>
      </c>
      <c r="Q1312" s="23">
        <v>45985</v>
      </c>
      <c r="R1312" s="81" t="s">
        <v>67</v>
      </c>
      <c r="S1312" s="22" t="s">
        <v>32</v>
      </c>
      <c r="T1312" s="22">
        <v>8</v>
      </c>
      <c r="U1312" s="24" t="s">
        <v>67</v>
      </c>
      <c r="V1312" s="23">
        <v>45985</v>
      </c>
      <c r="W1312" s="228" t="s">
        <v>30</v>
      </c>
      <c r="X1312" s="100" t="s">
        <v>30</v>
      </c>
      <c r="Y1312" s="100" t="s">
        <v>30</v>
      </c>
      <c r="Z1312" s="100" t="s">
        <v>30</v>
      </c>
      <c r="AA1312"/>
    </row>
    <row r="1313" spans="1:35">
      <c r="A1313" s="358" t="s">
        <v>24</v>
      </c>
      <c r="B1313" s="369">
        <v>1310</v>
      </c>
      <c r="C1313" s="372" t="s">
        <v>2006</v>
      </c>
      <c r="D1313" s="372" t="s">
        <v>34</v>
      </c>
      <c r="E1313" s="373">
        <v>45955</v>
      </c>
      <c r="F1313" s="372" t="s">
        <v>2007</v>
      </c>
      <c r="G1313" s="372">
        <v>5</v>
      </c>
      <c r="H1313" s="372" t="s">
        <v>127</v>
      </c>
      <c r="I1313" s="372" t="s">
        <v>36</v>
      </c>
      <c r="J1313" s="226" t="s">
        <v>17</v>
      </c>
      <c r="K1313" s="372"/>
      <c r="L1313" s="21"/>
      <c r="M1313" s="22"/>
      <c r="N1313" s="23"/>
      <c r="O1313" s="23"/>
      <c r="P1313" s="23" t="s">
        <v>30</v>
      </c>
      <c r="Q1313" s="23">
        <v>45985</v>
      </c>
      <c r="R1313" s="81" t="s">
        <v>127</v>
      </c>
      <c r="S1313" s="22" t="s">
        <v>30</v>
      </c>
      <c r="T1313" s="22">
        <v>4</v>
      </c>
      <c r="U1313" s="24" t="s">
        <v>127</v>
      </c>
      <c r="V1313" s="23">
        <v>45985</v>
      </c>
      <c r="W1313" s="82" t="s">
        <v>30</v>
      </c>
      <c r="X1313" s="82" t="s">
        <v>30</v>
      </c>
      <c r="Y1313" s="82" t="s">
        <v>30</v>
      </c>
      <c r="Z1313" s="82" t="s">
        <v>30</v>
      </c>
      <c r="AA1313"/>
    </row>
    <row r="1314" spans="1:35">
      <c r="A1314" s="358" t="s">
        <v>24</v>
      </c>
      <c r="B1314" s="369">
        <v>1311</v>
      </c>
      <c r="C1314" s="372" t="s">
        <v>2008</v>
      </c>
      <c r="D1314" s="372" t="s">
        <v>34</v>
      </c>
      <c r="E1314" s="373">
        <v>45955</v>
      </c>
      <c r="F1314" s="372" t="s">
        <v>401</v>
      </c>
      <c r="G1314" s="372">
        <v>5</v>
      </c>
      <c r="H1314" s="372" t="s">
        <v>1721</v>
      </c>
      <c r="I1314" s="372" t="s">
        <v>36</v>
      </c>
      <c r="J1314" s="372"/>
      <c r="K1314" s="372"/>
      <c r="L1314" s="21"/>
      <c r="M1314" s="22"/>
      <c r="N1314" s="23"/>
      <c r="O1314" s="380"/>
      <c r="P1314" s="23" t="s">
        <v>30</v>
      </c>
      <c r="Q1314" s="23">
        <v>45979</v>
      </c>
      <c r="R1314" s="81" t="s">
        <v>28</v>
      </c>
      <c r="S1314" s="22" t="s">
        <v>1140</v>
      </c>
      <c r="T1314" s="22">
        <v>9</v>
      </c>
      <c r="U1314" s="24" t="s">
        <v>28</v>
      </c>
      <c r="V1314" s="23">
        <v>45979</v>
      </c>
      <c r="W1314" s="82" t="s">
        <v>30</v>
      </c>
      <c r="X1314" s="82" t="s">
        <v>30</v>
      </c>
      <c r="Y1314" s="82" t="s">
        <v>30</v>
      </c>
      <c r="Z1314" s="82" t="s">
        <v>30</v>
      </c>
      <c r="AA1314"/>
      <c r="AE1314" s="88"/>
      <c r="AF1314" s="72"/>
      <c r="AG1314" s="72"/>
      <c r="AH1314" s="72"/>
    </row>
    <row r="1315" spans="1:35">
      <c r="A1315" s="358" t="s">
        <v>24</v>
      </c>
      <c r="B1315" s="369">
        <v>1312</v>
      </c>
      <c r="C1315" s="372" t="s">
        <v>2009</v>
      </c>
      <c r="D1315" s="372" t="s">
        <v>102</v>
      </c>
      <c r="E1315" s="373">
        <v>45955</v>
      </c>
      <c r="F1315" s="372" t="s">
        <v>661</v>
      </c>
      <c r="G1315" s="372">
        <v>20</v>
      </c>
      <c r="H1315" s="372" t="s">
        <v>1721</v>
      </c>
      <c r="I1315" s="372" t="s">
        <v>1638</v>
      </c>
      <c r="J1315" s="372"/>
      <c r="K1315" s="372"/>
      <c r="L1315" s="21"/>
      <c r="M1315" s="22"/>
      <c r="N1315" s="23"/>
      <c r="O1315" s="380"/>
      <c r="P1315" s="250" t="s">
        <v>30</v>
      </c>
      <c r="Q1315" s="23">
        <v>45987</v>
      </c>
      <c r="R1315" s="81" t="s">
        <v>28</v>
      </c>
      <c r="S1315" s="22" t="s">
        <v>1140</v>
      </c>
      <c r="T1315" s="22">
        <v>14</v>
      </c>
      <c r="U1315" s="24" t="s">
        <v>28</v>
      </c>
      <c r="V1315" s="23">
        <v>45987</v>
      </c>
      <c r="W1315" s="82" t="s">
        <v>30</v>
      </c>
      <c r="X1315" s="82" t="s">
        <v>30</v>
      </c>
      <c r="Y1315" s="82" t="s">
        <v>30</v>
      </c>
      <c r="Z1315" s="82" t="s">
        <v>30</v>
      </c>
      <c r="AA1315"/>
      <c r="AF1315" s="72"/>
      <c r="AG1315" s="96"/>
      <c r="AH1315" s="96"/>
    </row>
    <row r="1316" spans="1:35">
      <c r="A1316" s="358" t="s">
        <v>24</v>
      </c>
      <c r="B1316" s="369">
        <v>1313</v>
      </c>
      <c r="C1316" s="372" t="s">
        <v>2010</v>
      </c>
      <c r="D1316" s="372" t="s">
        <v>64</v>
      </c>
      <c r="E1316" s="373">
        <v>45955</v>
      </c>
      <c r="F1316" s="372" t="s">
        <v>65</v>
      </c>
      <c r="G1316" s="372">
        <v>8</v>
      </c>
      <c r="H1316" s="372" t="s">
        <v>1077</v>
      </c>
      <c r="I1316" s="372" t="s">
        <v>1138</v>
      </c>
      <c r="J1316" s="372"/>
      <c r="K1316" s="372"/>
      <c r="L1316" s="21"/>
      <c r="M1316" s="22"/>
      <c r="N1316" s="23"/>
      <c r="O1316" s="23"/>
      <c r="P1316" s="23" t="s">
        <v>30</v>
      </c>
      <c r="Q1316" s="23">
        <v>45987</v>
      </c>
      <c r="R1316" s="81" t="s">
        <v>1138</v>
      </c>
      <c r="S1316" s="22" t="s">
        <v>32</v>
      </c>
      <c r="T1316" s="22">
        <v>11</v>
      </c>
      <c r="U1316" s="24" t="s">
        <v>1138</v>
      </c>
      <c r="V1316" s="23">
        <v>45987</v>
      </c>
      <c r="W1316" s="82" t="s">
        <v>30</v>
      </c>
      <c r="X1316" s="100" t="s">
        <v>30</v>
      </c>
      <c r="Y1316" s="100" t="s">
        <v>30</v>
      </c>
      <c r="Z1316" s="100" t="s">
        <v>30</v>
      </c>
      <c r="AA1316"/>
    </row>
    <row r="1317" spans="1:35">
      <c r="A1317" s="358" t="s">
        <v>24</v>
      </c>
      <c r="B1317" s="369">
        <v>1314</v>
      </c>
      <c r="C1317" s="372" t="s">
        <v>2011</v>
      </c>
      <c r="D1317" s="372" t="s">
        <v>64</v>
      </c>
      <c r="E1317" s="373">
        <v>45955</v>
      </c>
      <c r="F1317" s="372" t="s">
        <v>401</v>
      </c>
      <c r="G1317" s="372">
        <v>7</v>
      </c>
      <c r="H1317" s="372" t="s">
        <v>1077</v>
      </c>
      <c r="I1317" s="372" t="s">
        <v>1138</v>
      </c>
      <c r="J1317" s="372"/>
      <c r="K1317" s="372"/>
      <c r="L1317" s="21"/>
      <c r="M1317" s="22"/>
      <c r="N1317" s="23"/>
      <c r="O1317" s="23"/>
      <c r="P1317" s="23" t="s">
        <v>30</v>
      </c>
      <c r="Q1317" s="23">
        <v>45987</v>
      </c>
      <c r="R1317" s="81" t="s">
        <v>1138</v>
      </c>
      <c r="S1317" s="22" t="s">
        <v>32</v>
      </c>
      <c r="T1317" s="22">
        <v>4</v>
      </c>
      <c r="U1317" s="24" t="s">
        <v>1138</v>
      </c>
      <c r="V1317" s="23">
        <v>45987</v>
      </c>
      <c r="W1317" s="100" t="s">
        <v>30</v>
      </c>
      <c r="X1317" s="100" t="s">
        <v>30</v>
      </c>
      <c r="Y1317" s="100" t="s">
        <v>30</v>
      </c>
      <c r="Z1317" s="100" t="s">
        <v>30</v>
      </c>
      <c r="AA1317"/>
    </row>
    <row r="1318" spans="1:35">
      <c r="A1318" s="358" t="s">
        <v>24</v>
      </c>
      <c r="B1318" s="369">
        <v>1315</v>
      </c>
      <c r="C1318" s="372" t="s">
        <v>2012</v>
      </c>
      <c r="D1318" s="372" t="s">
        <v>50</v>
      </c>
      <c r="E1318" s="373">
        <v>45955</v>
      </c>
      <c r="F1318" s="372" t="s">
        <v>1073</v>
      </c>
      <c r="G1318" s="372">
        <v>12</v>
      </c>
      <c r="H1318" s="372" t="s">
        <v>1077</v>
      </c>
      <c r="I1318" s="372" t="s">
        <v>1138</v>
      </c>
      <c r="J1318" s="372"/>
      <c r="K1318" s="372"/>
      <c r="L1318" s="21"/>
      <c r="M1318" s="22"/>
      <c r="N1318" s="23"/>
      <c r="O1318" s="380"/>
      <c r="P1318" s="23" t="s">
        <v>30</v>
      </c>
      <c r="Q1318" s="23">
        <v>45989</v>
      </c>
      <c r="R1318" s="81" t="s">
        <v>1138</v>
      </c>
      <c r="S1318" s="22" t="s">
        <v>32</v>
      </c>
      <c r="T1318" s="22">
        <v>8</v>
      </c>
      <c r="U1318" s="24" t="s">
        <v>1138</v>
      </c>
      <c r="V1318" s="23">
        <v>45989</v>
      </c>
      <c r="W1318" s="82" t="s">
        <v>30</v>
      </c>
      <c r="X1318" s="82" t="s">
        <v>30</v>
      </c>
      <c r="Y1318" s="82" t="s">
        <v>30</v>
      </c>
      <c r="Z1318" s="100" t="s">
        <v>30</v>
      </c>
      <c r="AA1318" s="6">
        <v>1</v>
      </c>
      <c r="AB1318" s="6">
        <v>0</v>
      </c>
      <c r="AC1318" s="6">
        <v>20</v>
      </c>
      <c r="AD1318" s="6">
        <v>1</v>
      </c>
      <c r="AE1318" s="6">
        <f>SUM(AA1318:AD1318)</f>
        <v>22</v>
      </c>
      <c r="AF1318" s="108">
        <f>+AA1318/AE1318*AF$1</f>
        <v>0</v>
      </c>
      <c r="AG1318" s="109">
        <f>+AB1318/AE1318*AG$1</f>
        <v>0</v>
      </c>
      <c r="AH1318" s="109">
        <f>+AC1318/AE1318*AH$1</f>
        <v>0</v>
      </c>
      <c r="AI1318" s="109">
        <f>+AD1318/AE1318*AI$1</f>
        <v>0</v>
      </c>
    </row>
    <row r="1319" spans="1:35">
      <c r="A1319" s="358" t="s">
        <v>24</v>
      </c>
      <c r="B1319" s="369">
        <v>1316</v>
      </c>
      <c r="C1319" s="372" t="s">
        <v>2013</v>
      </c>
      <c r="D1319" s="372" t="s">
        <v>64</v>
      </c>
      <c r="E1319" s="373">
        <v>45955</v>
      </c>
      <c r="F1319" s="372" t="s">
        <v>2014</v>
      </c>
      <c r="G1319" s="372">
        <v>14</v>
      </c>
      <c r="H1319" s="372" t="s">
        <v>1077</v>
      </c>
      <c r="I1319" s="372" t="s">
        <v>1138</v>
      </c>
      <c r="J1319" s="372"/>
      <c r="K1319" s="372"/>
      <c r="L1319" s="21"/>
      <c r="M1319" s="22"/>
      <c r="N1319" s="23"/>
      <c r="O1319" s="380"/>
      <c r="P1319" s="23" t="s">
        <v>30</v>
      </c>
      <c r="Q1319" s="23">
        <v>45988</v>
      </c>
      <c r="R1319" s="81" t="s">
        <v>28</v>
      </c>
      <c r="S1319" s="22" t="s">
        <v>32</v>
      </c>
      <c r="T1319" s="22">
        <v>19</v>
      </c>
      <c r="U1319" s="24" t="s">
        <v>28</v>
      </c>
      <c r="V1319" s="23">
        <v>45988</v>
      </c>
      <c r="W1319" s="82" t="s">
        <v>30</v>
      </c>
      <c r="X1319" s="82" t="s">
        <v>30</v>
      </c>
      <c r="Y1319" s="82" t="s">
        <v>30</v>
      </c>
      <c r="Z1319" s="82" t="s">
        <v>30</v>
      </c>
      <c r="AA1319"/>
      <c r="AB1319" s="412"/>
      <c r="AC1319" s="412"/>
      <c r="AD1319" s="412"/>
      <c r="AE1319" s="412"/>
      <c r="AI1319" s="109"/>
    </row>
    <row r="1320" spans="1:35">
      <c r="A1320" s="358" t="s">
        <v>24</v>
      </c>
      <c r="B1320" s="369">
        <v>1317</v>
      </c>
      <c r="C1320" s="372" t="s">
        <v>2015</v>
      </c>
      <c r="D1320" s="372" t="s">
        <v>34</v>
      </c>
      <c r="E1320" s="373">
        <v>45955</v>
      </c>
      <c r="F1320" s="372" t="s">
        <v>2016</v>
      </c>
      <c r="G1320" s="372">
        <v>15</v>
      </c>
      <c r="H1320" s="372" t="s">
        <v>1077</v>
      </c>
      <c r="I1320" s="372" t="s">
        <v>1138</v>
      </c>
      <c r="J1320" s="372"/>
      <c r="K1320" s="372"/>
      <c r="L1320" s="21"/>
      <c r="M1320" s="22"/>
      <c r="N1320" s="23"/>
      <c r="O1320" s="380"/>
      <c r="P1320" s="23" t="s">
        <v>30</v>
      </c>
      <c r="Q1320" s="23">
        <v>45982</v>
      </c>
      <c r="R1320" s="81" t="s">
        <v>1138</v>
      </c>
      <c r="S1320" s="22" t="s">
        <v>32</v>
      </c>
      <c r="T1320" s="22">
        <v>17</v>
      </c>
      <c r="U1320" s="24" t="s">
        <v>1138</v>
      </c>
      <c r="V1320" s="23">
        <v>45982</v>
      </c>
      <c r="W1320" s="82" t="s">
        <v>30</v>
      </c>
      <c r="X1320" s="82" t="s">
        <v>30</v>
      </c>
      <c r="Y1320" s="82" t="s">
        <v>30</v>
      </c>
      <c r="Z1320" s="82" t="s">
        <v>30</v>
      </c>
      <c r="AA1320"/>
      <c r="AF1320" s="72"/>
      <c r="AG1320" s="96"/>
      <c r="AH1320" s="96"/>
      <c r="AI1320" s="109"/>
    </row>
    <row r="1321" spans="1:35">
      <c r="A1321" s="358" t="s">
        <v>24</v>
      </c>
      <c r="B1321" s="369">
        <v>1318</v>
      </c>
      <c r="C1321" s="372" t="s">
        <v>2017</v>
      </c>
      <c r="D1321" s="372" t="s">
        <v>477</v>
      </c>
      <c r="E1321" s="373">
        <v>45955</v>
      </c>
      <c r="F1321" s="372" t="s">
        <v>1110</v>
      </c>
      <c r="G1321" s="372">
        <v>12</v>
      </c>
      <c r="H1321" s="372" t="s">
        <v>1721</v>
      </c>
      <c r="I1321" s="372" t="s">
        <v>1638</v>
      </c>
      <c r="J1321" s="372"/>
      <c r="K1321" s="372"/>
      <c r="L1321" s="21"/>
      <c r="M1321" s="22"/>
      <c r="N1321" s="23"/>
      <c r="O1321" s="23"/>
      <c r="P1321" s="23" t="s">
        <v>30</v>
      </c>
      <c r="Q1321" s="23">
        <v>45979</v>
      </c>
      <c r="R1321" s="81" t="s">
        <v>28</v>
      </c>
      <c r="S1321" s="22" t="s">
        <v>32</v>
      </c>
      <c r="T1321" s="22">
        <v>11</v>
      </c>
      <c r="U1321" s="24" t="s">
        <v>28</v>
      </c>
      <c r="V1321" s="23">
        <v>45979</v>
      </c>
      <c r="W1321" s="82" t="s">
        <v>30</v>
      </c>
      <c r="X1321" s="82" t="s">
        <v>30</v>
      </c>
      <c r="Y1321" s="82" t="s">
        <v>30</v>
      </c>
      <c r="Z1321" s="82" t="s">
        <v>30</v>
      </c>
      <c r="AA1321"/>
      <c r="AB1321" s="412"/>
      <c r="AC1321" s="412"/>
      <c r="AD1321" s="412"/>
      <c r="AE1321" s="412"/>
      <c r="AI1321" s="109"/>
    </row>
    <row r="1322" spans="1:35">
      <c r="A1322" s="358" t="s">
        <v>24</v>
      </c>
      <c r="B1322" s="369">
        <v>1319</v>
      </c>
      <c r="C1322" s="372" t="s">
        <v>2018</v>
      </c>
      <c r="D1322" s="372" t="s">
        <v>34</v>
      </c>
      <c r="E1322" s="373">
        <v>45955</v>
      </c>
      <c r="F1322" s="372" t="s">
        <v>35</v>
      </c>
      <c r="G1322" s="372">
        <v>14</v>
      </c>
      <c r="H1322" s="372" t="s">
        <v>1721</v>
      </c>
      <c r="I1322" s="372" t="s">
        <v>1638</v>
      </c>
      <c r="J1322" s="372"/>
      <c r="K1322" s="372"/>
      <c r="L1322" s="21"/>
      <c r="M1322" s="22"/>
      <c r="N1322" s="23"/>
      <c r="O1322" s="23"/>
      <c r="P1322" s="250" t="s">
        <v>30</v>
      </c>
      <c r="Q1322" s="23">
        <v>45978</v>
      </c>
      <c r="R1322" s="81" t="s">
        <v>28</v>
      </c>
      <c r="S1322" s="22" t="s">
        <v>32</v>
      </c>
      <c r="T1322" s="22">
        <v>8</v>
      </c>
      <c r="U1322" s="24" t="s">
        <v>28</v>
      </c>
      <c r="V1322" s="23">
        <v>45978</v>
      </c>
      <c r="W1322" s="82" t="s">
        <v>30</v>
      </c>
      <c r="X1322" s="82" t="s">
        <v>30</v>
      </c>
      <c r="Y1322" s="82" t="s">
        <v>30</v>
      </c>
      <c r="Z1322" s="82" t="s">
        <v>30</v>
      </c>
      <c r="AA1322"/>
      <c r="AB1322" s="412"/>
      <c r="AC1322" s="412"/>
      <c r="AD1322" s="412"/>
      <c r="AE1322" s="412"/>
      <c r="AI1322" s="109"/>
    </row>
    <row r="1323" spans="1:35">
      <c r="A1323" s="358" t="s">
        <v>24</v>
      </c>
      <c r="B1323" s="369">
        <v>1320</v>
      </c>
      <c r="C1323" s="372" t="s">
        <v>2019</v>
      </c>
      <c r="D1323" s="372" t="s">
        <v>34</v>
      </c>
      <c r="E1323" s="373">
        <v>45955</v>
      </c>
      <c r="F1323" s="372" t="s">
        <v>2020</v>
      </c>
      <c r="G1323" s="372">
        <v>12</v>
      </c>
      <c r="H1323" s="372" t="s">
        <v>1721</v>
      </c>
      <c r="I1323" s="372" t="s">
        <v>1638</v>
      </c>
      <c r="J1323" s="372"/>
      <c r="K1323" s="372"/>
      <c r="L1323" s="21"/>
      <c r="M1323" s="22"/>
      <c r="N1323" s="23"/>
      <c r="O1323" s="380"/>
      <c r="P1323" s="250" t="s">
        <v>30</v>
      </c>
      <c r="Q1323" s="23">
        <v>45979</v>
      </c>
      <c r="R1323" s="81" t="s">
        <v>28</v>
      </c>
      <c r="S1323" s="22" t="s">
        <v>32</v>
      </c>
      <c r="T1323" s="22">
        <v>12</v>
      </c>
      <c r="U1323" s="24" t="s">
        <v>28</v>
      </c>
      <c r="V1323" s="23">
        <v>45979</v>
      </c>
      <c r="W1323" s="82" t="s">
        <v>30</v>
      </c>
      <c r="X1323" s="82" t="s">
        <v>30</v>
      </c>
      <c r="Y1323" s="82" t="s">
        <v>30</v>
      </c>
      <c r="Z1323" s="82" t="s">
        <v>30</v>
      </c>
      <c r="AA1323" s="6">
        <v>6</v>
      </c>
      <c r="AB1323" s="6">
        <v>0</v>
      </c>
      <c r="AC1323" s="6">
        <v>10</v>
      </c>
      <c r="AD1323" s="6">
        <v>1</v>
      </c>
      <c r="AE1323" s="6">
        <f>SUM(AA1323:AD1323)</f>
        <v>17</v>
      </c>
      <c r="AF1323" s="108">
        <f>+AA1323/AE1323*AF$1</f>
        <v>0</v>
      </c>
      <c r="AG1323" s="109">
        <f>+AB1323/AE1323*AG$1</f>
        <v>0</v>
      </c>
      <c r="AH1323" s="109">
        <f>+AC1323/AE1323*AH$1</f>
        <v>0</v>
      </c>
      <c r="AI1323" s="109">
        <f>+AD1323/AE1323*AI$1</f>
        <v>0</v>
      </c>
    </row>
    <row r="1324" spans="1:35">
      <c r="A1324" s="358" t="s">
        <v>24</v>
      </c>
      <c r="B1324" s="369">
        <v>1321</v>
      </c>
      <c r="C1324" s="372" t="s">
        <v>2021</v>
      </c>
      <c r="D1324" s="372" t="s">
        <v>2022</v>
      </c>
      <c r="E1324" s="373">
        <v>45955</v>
      </c>
      <c r="F1324" s="372" t="s">
        <v>1105</v>
      </c>
      <c r="G1324" s="372">
        <v>10</v>
      </c>
      <c r="H1324" s="372" t="s">
        <v>1721</v>
      </c>
      <c r="I1324" s="372" t="s">
        <v>1638</v>
      </c>
      <c r="J1324" s="372"/>
      <c r="K1324" s="372"/>
      <c r="L1324" s="21"/>
      <c r="M1324" s="22"/>
      <c r="N1324" s="23"/>
      <c r="O1324" s="380"/>
      <c r="P1324" s="250" t="s">
        <v>30</v>
      </c>
      <c r="Q1324" s="23">
        <v>45987</v>
      </c>
      <c r="R1324" s="81" t="s">
        <v>28</v>
      </c>
      <c r="S1324" s="22" t="s">
        <v>32</v>
      </c>
      <c r="T1324" s="22">
        <v>6</v>
      </c>
      <c r="U1324" s="24" t="s">
        <v>28</v>
      </c>
      <c r="V1324" s="23">
        <v>45987</v>
      </c>
      <c r="W1324" s="100" t="s">
        <v>30</v>
      </c>
      <c r="X1324" s="100" t="s">
        <v>30</v>
      </c>
      <c r="Y1324" s="100" t="s">
        <v>30</v>
      </c>
      <c r="Z1324" s="100" t="s">
        <v>30</v>
      </c>
      <c r="AA1324"/>
      <c r="AI1324" s="109"/>
    </row>
    <row r="1325" spans="1:35">
      <c r="A1325" s="358" t="s">
        <v>24</v>
      </c>
      <c r="B1325" s="369">
        <v>1322</v>
      </c>
      <c r="C1325" s="372" t="s">
        <v>2023</v>
      </c>
      <c r="D1325" s="372" t="s">
        <v>34</v>
      </c>
      <c r="E1325" s="373">
        <v>45955</v>
      </c>
      <c r="F1325" s="372" t="s">
        <v>401</v>
      </c>
      <c r="G1325" s="372">
        <v>4</v>
      </c>
      <c r="H1325" s="372" t="s">
        <v>1721</v>
      </c>
      <c r="I1325" s="372" t="s">
        <v>1638</v>
      </c>
      <c r="J1325" s="372"/>
      <c r="K1325" s="372"/>
      <c r="L1325" s="21"/>
      <c r="M1325" s="22"/>
      <c r="N1325" s="23"/>
      <c r="O1325" s="380"/>
      <c r="P1325" s="250" t="s">
        <v>30</v>
      </c>
      <c r="Q1325" s="23">
        <v>45974</v>
      </c>
      <c r="R1325" s="81" t="s">
        <v>28</v>
      </c>
      <c r="S1325" s="22" t="s">
        <v>32</v>
      </c>
      <c r="T1325" s="22">
        <v>4</v>
      </c>
      <c r="U1325" s="24" t="s">
        <v>28</v>
      </c>
      <c r="V1325" s="23">
        <v>45974</v>
      </c>
      <c r="W1325" s="82" t="s">
        <v>30</v>
      </c>
      <c r="X1325" s="82" t="s">
        <v>30</v>
      </c>
      <c r="Y1325" s="82" t="s">
        <v>30</v>
      </c>
      <c r="Z1325" s="82" t="s">
        <v>30</v>
      </c>
      <c r="AA1325"/>
      <c r="AI1325" s="109"/>
    </row>
    <row r="1326" spans="1:35">
      <c r="A1326" s="358" t="s">
        <v>24</v>
      </c>
      <c r="B1326" s="369">
        <v>1323</v>
      </c>
      <c r="C1326" s="372" t="s">
        <v>2024</v>
      </c>
      <c r="D1326" s="372" t="s">
        <v>34</v>
      </c>
      <c r="E1326" s="373">
        <v>45955</v>
      </c>
      <c r="F1326" s="372" t="s">
        <v>670</v>
      </c>
      <c r="G1326" s="372">
        <v>12</v>
      </c>
      <c r="H1326" s="372" t="s">
        <v>1725</v>
      </c>
      <c r="I1326" s="372" t="s">
        <v>47</v>
      </c>
      <c r="J1326" s="372"/>
      <c r="K1326" s="372"/>
      <c r="L1326" s="21"/>
      <c r="M1326" s="22"/>
      <c r="N1326" s="23"/>
      <c r="O1326" s="23"/>
      <c r="P1326" s="23" t="s">
        <v>30</v>
      </c>
      <c r="Q1326" s="23">
        <v>45985</v>
      </c>
      <c r="R1326" s="81" t="s">
        <v>1638</v>
      </c>
      <c r="S1326" s="22" t="s">
        <v>32</v>
      </c>
      <c r="T1326" s="22">
        <v>5</v>
      </c>
      <c r="U1326" s="24" t="s">
        <v>1638</v>
      </c>
      <c r="V1326" s="23">
        <v>45985</v>
      </c>
      <c r="W1326" s="82" t="s">
        <v>30</v>
      </c>
      <c r="X1326" s="82" t="s">
        <v>30</v>
      </c>
      <c r="Y1326" s="82" t="s">
        <v>30</v>
      </c>
      <c r="Z1326" s="82" t="s">
        <v>30</v>
      </c>
      <c r="AA1326"/>
      <c r="AI1326" s="109"/>
    </row>
    <row r="1327" spans="1:35">
      <c r="A1327" s="358" t="s">
        <v>24</v>
      </c>
      <c r="B1327" s="369">
        <v>1324</v>
      </c>
      <c r="C1327" s="372" t="s">
        <v>2025</v>
      </c>
      <c r="D1327" s="372" t="s">
        <v>34</v>
      </c>
      <c r="E1327" s="373">
        <v>45955</v>
      </c>
      <c r="F1327" s="372" t="s">
        <v>401</v>
      </c>
      <c r="G1327" s="372">
        <v>1</v>
      </c>
      <c r="H1327" s="372" t="s">
        <v>1725</v>
      </c>
      <c r="I1327" s="372" t="s">
        <v>47</v>
      </c>
      <c r="J1327" s="372"/>
      <c r="K1327" s="372"/>
      <c r="L1327" s="21"/>
      <c r="M1327" s="22"/>
      <c r="N1327" s="23"/>
      <c r="O1327" s="380"/>
      <c r="P1327" s="121" t="s">
        <v>30</v>
      </c>
      <c r="Q1327" s="23">
        <v>45985</v>
      </c>
      <c r="R1327" s="81" t="s">
        <v>1638</v>
      </c>
      <c r="S1327" s="22" t="s">
        <v>32</v>
      </c>
      <c r="T1327" s="22">
        <v>5</v>
      </c>
      <c r="U1327" s="24" t="s">
        <v>1638</v>
      </c>
      <c r="V1327" s="23">
        <v>45985</v>
      </c>
      <c r="W1327" s="82" t="s">
        <v>30</v>
      </c>
      <c r="X1327" s="82" t="s">
        <v>30</v>
      </c>
      <c r="Y1327" s="82" t="s">
        <v>30</v>
      </c>
      <c r="Z1327" s="82" t="s">
        <v>30</v>
      </c>
      <c r="AA1327" s="91"/>
      <c r="AB1327" s="91"/>
      <c r="AF1327" s="72"/>
      <c r="AG1327" s="96"/>
      <c r="AH1327" s="96"/>
      <c r="AI1327" s="109"/>
    </row>
    <row r="1328" spans="1:35">
      <c r="A1328" s="358" t="s">
        <v>24</v>
      </c>
      <c r="B1328" s="369">
        <v>1325</v>
      </c>
      <c r="C1328" s="372" t="s">
        <v>2026</v>
      </c>
      <c r="D1328" s="372" t="s">
        <v>34</v>
      </c>
      <c r="E1328" s="373">
        <v>45955</v>
      </c>
      <c r="F1328" s="372" t="s">
        <v>187</v>
      </c>
      <c r="G1328" s="372">
        <v>20</v>
      </c>
      <c r="H1328" s="372" t="s">
        <v>1725</v>
      </c>
      <c r="I1328" s="372" t="s">
        <v>47</v>
      </c>
      <c r="J1328" s="372"/>
      <c r="K1328" s="372"/>
      <c r="L1328" s="21"/>
      <c r="M1328" s="22"/>
      <c r="N1328" s="23"/>
      <c r="O1328" s="23"/>
      <c r="P1328" s="22" t="s">
        <v>30</v>
      </c>
      <c r="Q1328" s="23">
        <v>45988</v>
      </c>
      <c r="R1328" s="81" t="s">
        <v>67</v>
      </c>
      <c r="S1328" s="22" t="s">
        <v>32</v>
      </c>
      <c r="T1328" s="7">
        <v>20</v>
      </c>
      <c r="U1328" s="24" t="s">
        <v>67</v>
      </c>
      <c r="V1328" s="23">
        <v>45988</v>
      </c>
      <c r="W1328" s="100" t="s">
        <v>30</v>
      </c>
      <c r="X1328" s="82" t="s">
        <v>30</v>
      </c>
      <c r="Y1328" s="82" t="s">
        <v>30</v>
      </c>
      <c r="Z1328" s="82" t="s">
        <v>30</v>
      </c>
      <c r="AA1328"/>
      <c r="AF1328" s="72"/>
      <c r="AG1328" s="96"/>
      <c r="AH1328" s="96"/>
      <c r="AI1328" s="109"/>
    </row>
    <row r="1329" spans="1:35">
      <c r="A1329" s="358" t="s">
        <v>24</v>
      </c>
      <c r="B1329" s="369">
        <v>1326</v>
      </c>
      <c r="C1329" s="372" t="s">
        <v>2027</v>
      </c>
      <c r="D1329" s="372" t="s">
        <v>34</v>
      </c>
      <c r="E1329" s="373">
        <v>45955</v>
      </c>
      <c r="F1329" s="372" t="s">
        <v>1314</v>
      </c>
      <c r="G1329" s="372">
        <v>13</v>
      </c>
      <c r="H1329" s="372" t="s">
        <v>1725</v>
      </c>
      <c r="I1329" s="372" t="s">
        <v>47</v>
      </c>
      <c r="J1329" s="372"/>
      <c r="K1329" s="372"/>
      <c r="L1329" s="21"/>
      <c r="M1329" s="22"/>
      <c r="N1329" s="23"/>
      <c r="O1329" s="380"/>
      <c r="P1329" s="23" t="s">
        <v>30</v>
      </c>
      <c r="Q1329" s="23">
        <v>45989</v>
      </c>
      <c r="R1329" s="81" t="s">
        <v>67</v>
      </c>
      <c r="S1329" s="22" t="s">
        <v>32</v>
      </c>
      <c r="T1329" s="22">
        <v>10</v>
      </c>
      <c r="U1329" s="24" t="s">
        <v>67</v>
      </c>
      <c r="V1329" s="23">
        <v>45989</v>
      </c>
      <c r="W1329" s="82" t="s">
        <v>30</v>
      </c>
      <c r="X1329" s="100" t="s">
        <v>30</v>
      </c>
      <c r="Y1329" s="82" t="s">
        <v>30</v>
      </c>
      <c r="Z1329" s="82" t="s">
        <v>30</v>
      </c>
      <c r="AA1329" s="91"/>
      <c r="AB1329" s="91"/>
      <c r="AF1329" s="72"/>
      <c r="AG1329" s="96"/>
      <c r="AH1329" s="96"/>
      <c r="AI1329" s="109"/>
    </row>
    <row r="1330" spans="1:35">
      <c r="A1330" s="358" t="s">
        <v>24</v>
      </c>
      <c r="B1330" s="369">
        <v>1327</v>
      </c>
      <c r="C1330" s="372" t="s">
        <v>2028</v>
      </c>
      <c r="D1330" s="372" t="s">
        <v>34</v>
      </c>
      <c r="E1330" s="373">
        <v>45955</v>
      </c>
      <c r="F1330" s="372" t="s">
        <v>1314</v>
      </c>
      <c r="G1330" s="372">
        <v>2</v>
      </c>
      <c r="H1330" s="372" t="s">
        <v>1725</v>
      </c>
      <c r="I1330" s="372" t="s">
        <v>47</v>
      </c>
      <c r="J1330" s="372"/>
      <c r="K1330" s="372"/>
      <c r="L1330" s="21"/>
      <c r="M1330" s="22"/>
      <c r="N1330" s="23"/>
      <c r="O1330" s="23"/>
      <c r="P1330" s="23" t="s">
        <v>30</v>
      </c>
      <c r="Q1330" s="23">
        <v>45988</v>
      </c>
      <c r="R1330" s="81" t="s">
        <v>47</v>
      </c>
      <c r="S1330" s="22" t="s">
        <v>32</v>
      </c>
      <c r="T1330" s="22">
        <v>2</v>
      </c>
      <c r="U1330" s="24" t="s">
        <v>47</v>
      </c>
      <c r="V1330" s="23">
        <v>45988</v>
      </c>
      <c r="W1330" s="82" t="s">
        <v>30</v>
      </c>
      <c r="X1330" s="100" t="s">
        <v>30</v>
      </c>
      <c r="Y1330" s="82" t="s">
        <v>30</v>
      </c>
      <c r="Z1330" s="82" t="s">
        <v>30</v>
      </c>
      <c r="AA1330"/>
      <c r="AI1330" s="109"/>
    </row>
    <row r="1331" spans="1:35">
      <c r="A1331" s="358" t="s">
        <v>24</v>
      </c>
      <c r="B1331" s="369">
        <v>1328</v>
      </c>
      <c r="C1331" s="372" t="s">
        <v>2029</v>
      </c>
      <c r="D1331" s="372" t="s">
        <v>34</v>
      </c>
      <c r="E1331" s="373">
        <v>45955</v>
      </c>
      <c r="F1331" s="372" t="s">
        <v>1135</v>
      </c>
      <c r="G1331" s="372">
        <v>13</v>
      </c>
      <c r="H1331" s="372" t="s">
        <v>1725</v>
      </c>
      <c r="I1331" s="372" t="s">
        <v>47</v>
      </c>
      <c r="J1331" s="372"/>
      <c r="K1331" s="372"/>
      <c r="L1331" s="21"/>
      <c r="M1331" s="22"/>
      <c r="N1331" s="23"/>
      <c r="O1331" s="380"/>
      <c r="P1331" s="23" t="s">
        <v>30</v>
      </c>
      <c r="Q1331" s="23">
        <v>45986</v>
      </c>
      <c r="R1331" s="81" t="s">
        <v>28</v>
      </c>
      <c r="S1331" s="22" t="s">
        <v>32</v>
      </c>
      <c r="T1331" s="22">
        <v>11</v>
      </c>
      <c r="U1331" s="24" t="s">
        <v>28</v>
      </c>
      <c r="V1331" s="23">
        <v>45986</v>
      </c>
      <c r="W1331" s="82" t="s">
        <v>30</v>
      </c>
      <c r="X1331" s="100" t="s">
        <v>30</v>
      </c>
      <c r="Y1331" s="82" t="s">
        <v>30</v>
      </c>
      <c r="Z1331" s="82" t="s">
        <v>30</v>
      </c>
      <c r="AA1331"/>
      <c r="AE1331" s="88"/>
      <c r="AF1331" s="72"/>
      <c r="AG1331" s="72"/>
      <c r="AH1331" s="72"/>
      <c r="AI1331" s="109"/>
    </row>
    <row r="1332" spans="1:35">
      <c r="A1332" s="358" t="s">
        <v>24</v>
      </c>
      <c r="B1332" s="369">
        <v>1329</v>
      </c>
      <c r="C1332" s="372" t="s">
        <v>2030</v>
      </c>
      <c r="D1332" s="372" t="s">
        <v>34</v>
      </c>
      <c r="E1332" s="373">
        <v>45955</v>
      </c>
      <c r="F1332" s="372" t="s">
        <v>324</v>
      </c>
      <c r="G1332" s="372">
        <v>14</v>
      </c>
      <c r="H1332" s="372" t="s">
        <v>1725</v>
      </c>
      <c r="I1332" s="372" t="s">
        <v>47</v>
      </c>
      <c r="J1332" s="372"/>
      <c r="K1332" s="372"/>
      <c r="L1332" s="21"/>
      <c r="M1332" s="22"/>
      <c r="N1332" s="23"/>
      <c r="O1332" s="23"/>
      <c r="P1332" s="250" t="s">
        <v>30</v>
      </c>
      <c r="Q1332" s="23">
        <v>45988</v>
      </c>
      <c r="R1332" s="81" t="s">
        <v>67</v>
      </c>
      <c r="S1332" s="22" t="s">
        <v>1140</v>
      </c>
      <c r="T1332" s="22">
        <v>12</v>
      </c>
      <c r="U1332" s="24" t="s">
        <v>67</v>
      </c>
      <c r="V1332" s="23">
        <v>45988</v>
      </c>
      <c r="W1332" s="82" t="s">
        <v>30</v>
      </c>
      <c r="X1332" s="100" t="s">
        <v>30</v>
      </c>
      <c r="Y1332" s="100" t="s">
        <v>30</v>
      </c>
      <c r="Z1332" s="82" t="s">
        <v>30</v>
      </c>
      <c r="AA1332"/>
      <c r="AI1332" s="109"/>
    </row>
    <row r="1333" spans="1:35">
      <c r="A1333" s="358" t="s">
        <v>24</v>
      </c>
      <c r="B1333" s="369">
        <v>1330</v>
      </c>
      <c r="C1333" s="372" t="s">
        <v>2031</v>
      </c>
      <c r="D1333" s="372" t="s">
        <v>34</v>
      </c>
      <c r="E1333" s="373">
        <v>45955</v>
      </c>
      <c r="F1333" s="372" t="s">
        <v>187</v>
      </c>
      <c r="G1333" s="372">
        <v>15</v>
      </c>
      <c r="H1333" s="372" t="s">
        <v>1725</v>
      </c>
      <c r="I1333" s="372" t="s">
        <v>47</v>
      </c>
      <c r="J1333" s="372"/>
      <c r="K1333" s="372"/>
      <c r="L1333" s="21"/>
      <c r="M1333" s="22"/>
      <c r="N1333" s="23"/>
      <c r="O1333" s="23"/>
      <c r="P1333" s="23" t="s">
        <v>30</v>
      </c>
      <c r="Q1333" s="23">
        <v>45988</v>
      </c>
      <c r="R1333" s="81" t="s">
        <v>67</v>
      </c>
      <c r="S1333" s="22" t="s">
        <v>32</v>
      </c>
      <c r="T1333" s="22">
        <v>15</v>
      </c>
      <c r="U1333" s="24" t="s">
        <v>67</v>
      </c>
      <c r="V1333" s="23">
        <v>45988</v>
      </c>
      <c r="W1333" s="82" t="s">
        <v>30</v>
      </c>
      <c r="X1333" s="82" t="s">
        <v>30</v>
      </c>
      <c r="Y1333" s="82" t="s">
        <v>30</v>
      </c>
      <c r="Z1333" s="82" t="s">
        <v>30</v>
      </c>
      <c r="AA1333"/>
      <c r="AI1333" s="109"/>
    </row>
    <row r="1334" spans="1:35">
      <c r="A1334" s="358" t="s">
        <v>24</v>
      </c>
      <c r="B1334" s="369">
        <v>1331</v>
      </c>
      <c r="C1334" s="372" t="s">
        <v>2032</v>
      </c>
      <c r="D1334" s="372" t="s">
        <v>34</v>
      </c>
      <c r="E1334" s="373">
        <v>45955</v>
      </c>
      <c r="F1334" s="372" t="s">
        <v>401</v>
      </c>
      <c r="G1334" s="372">
        <v>1</v>
      </c>
      <c r="H1334" s="372" t="s">
        <v>1725</v>
      </c>
      <c r="I1334" s="372" t="s">
        <v>47</v>
      </c>
      <c r="J1334" s="372"/>
      <c r="K1334" s="372"/>
      <c r="L1334" s="21"/>
      <c r="M1334" s="22"/>
      <c r="N1334" s="23"/>
      <c r="O1334" s="380"/>
      <c r="P1334" s="23" t="s">
        <v>30</v>
      </c>
      <c r="Q1334" s="23">
        <v>45988</v>
      </c>
      <c r="R1334" s="81" t="s">
        <v>47</v>
      </c>
      <c r="S1334" s="22" t="s">
        <v>32</v>
      </c>
      <c r="T1334" s="22">
        <v>1</v>
      </c>
      <c r="U1334" s="24" t="s">
        <v>47</v>
      </c>
      <c r="V1334" s="23">
        <v>45988</v>
      </c>
      <c r="W1334" s="82" t="s">
        <v>30</v>
      </c>
      <c r="X1334" s="100" t="s">
        <v>30</v>
      </c>
      <c r="Y1334" s="82" t="s">
        <v>30</v>
      </c>
      <c r="Z1334" s="82" t="s">
        <v>30</v>
      </c>
      <c r="AA1334"/>
      <c r="AE1334" s="88"/>
      <c r="AF1334" s="72"/>
      <c r="AG1334" s="72"/>
      <c r="AH1334" s="72"/>
      <c r="AI1334" s="109"/>
    </row>
    <row r="1335" spans="1:35">
      <c r="A1335" s="358" t="s">
        <v>24</v>
      </c>
      <c r="B1335" s="369">
        <v>1332</v>
      </c>
      <c r="C1335" s="372" t="s">
        <v>2033</v>
      </c>
      <c r="D1335" s="372" t="s">
        <v>43</v>
      </c>
      <c r="E1335" s="373">
        <v>45955</v>
      </c>
      <c r="F1335" s="372" t="s">
        <v>1972</v>
      </c>
      <c r="G1335" s="372">
        <v>13</v>
      </c>
      <c r="H1335" s="372" t="s">
        <v>1725</v>
      </c>
      <c r="I1335" s="372" t="s">
        <v>47</v>
      </c>
      <c r="J1335" s="372"/>
      <c r="K1335" s="372"/>
      <c r="L1335" s="21"/>
      <c r="M1335" s="22"/>
      <c r="N1335" s="23"/>
      <c r="O1335" s="380"/>
      <c r="P1335" s="23" t="s">
        <v>30</v>
      </c>
      <c r="Q1335" s="23">
        <v>45988</v>
      </c>
      <c r="R1335" s="81" t="s">
        <v>67</v>
      </c>
      <c r="S1335" s="22" t="s">
        <v>32</v>
      </c>
      <c r="T1335" s="22">
        <v>12</v>
      </c>
      <c r="U1335" s="24" t="s">
        <v>67</v>
      </c>
      <c r="V1335" s="23">
        <v>45988</v>
      </c>
      <c r="W1335" s="82" t="s">
        <v>30</v>
      </c>
      <c r="X1335" s="82" t="s">
        <v>30</v>
      </c>
      <c r="Y1335" s="82" t="s">
        <v>30</v>
      </c>
      <c r="Z1335" s="82" t="s">
        <v>30</v>
      </c>
      <c r="AA1335"/>
      <c r="AB1335" s="412"/>
      <c r="AC1335" s="412"/>
      <c r="AD1335" s="412"/>
      <c r="AE1335" s="412"/>
      <c r="AI1335" s="109"/>
    </row>
    <row r="1336" spans="1:35">
      <c r="A1336" s="358" t="s">
        <v>24</v>
      </c>
      <c r="B1336" s="369">
        <v>1333</v>
      </c>
      <c r="C1336" s="372" t="s">
        <v>2034</v>
      </c>
      <c r="D1336" s="372" t="s">
        <v>34</v>
      </c>
      <c r="E1336" s="373">
        <v>45957</v>
      </c>
      <c r="F1336" s="372" t="s">
        <v>430</v>
      </c>
      <c r="G1336" s="372">
        <v>12</v>
      </c>
      <c r="H1336" s="372" t="s">
        <v>1077</v>
      </c>
      <c r="I1336" s="372" t="s">
        <v>1138</v>
      </c>
      <c r="J1336" s="372"/>
      <c r="K1336" s="372"/>
      <c r="L1336" s="21"/>
      <c r="M1336" s="22"/>
      <c r="N1336" s="23"/>
      <c r="O1336" s="380"/>
      <c r="P1336" s="23" t="s">
        <v>30</v>
      </c>
      <c r="Q1336" s="23">
        <v>45986</v>
      </c>
      <c r="R1336" s="81" t="s">
        <v>1138</v>
      </c>
      <c r="S1336" s="22" t="s">
        <v>32</v>
      </c>
      <c r="T1336" s="22">
        <v>6</v>
      </c>
      <c r="U1336" s="24" t="s">
        <v>1138</v>
      </c>
      <c r="V1336" s="23">
        <v>45986</v>
      </c>
      <c r="W1336" s="82" t="s">
        <v>30</v>
      </c>
      <c r="X1336" s="82" t="s">
        <v>30</v>
      </c>
      <c r="Y1336" s="82" t="s">
        <v>30</v>
      </c>
      <c r="Z1336" s="82" t="s">
        <v>30</v>
      </c>
      <c r="AA1336"/>
      <c r="AF1336" s="72"/>
      <c r="AG1336" s="96"/>
      <c r="AH1336" s="96"/>
      <c r="AI1336" s="109"/>
    </row>
    <row r="1337" spans="1:35">
      <c r="A1337" s="358" t="s">
        <v>24</v>
      </c>
      <c r="B1337" s="369">
        <v>1334</v>
      </c>
      <c r="C1337" s="372" t="s">
        <v>2035</v>
      </c>
      <c r="D1337" s="372" t="s">
        <v>34</v>
      </c>
      <c r="E1337" s="373">
        <v>45957</v>
      </c>
      <c r="F1337" s="372" t="s">
        <v>644</v>
      </c>
      <c r="G1337" s="372">
        <v>13</v>
      </c>
      <c r="H1337" s="372" t="s">
        <v>127</v>
      </c>
      <c r="I1337" s="372" t="s">
        <v>36</v>
      </c>
      <c r="J1337" s="226" t="s">
        <v>17</v>
      </c>
      <c r="K1337" s="372"/>
      <c r="L1337" s="21"/>
      <c r="M1337" s="22"/>
      <c r="N1337" s="23"/>
      <c r="O1337" s="23"/>
      <c r="P1337" s="23" t="s">
        <v>30</v>
      </c>
      <c r="Q1337" s="23">
        <v>45985</v>
      </c>
      <c r="R1337" s="81" t="s">
        <v>127</v>
      </c>
      <c r="S1337" s="22" t="s">
        <v>30</v>
      </c>
      <c r="T1337" s="22">
        <v>12</v>
      </c>
      <c r="U1337" s="24" t="s">
        <v>127</v>
      </c>
      <c r="V1337" s="23">
        <v>45985</v>
      </c>
      <c r="W1337" s="82" t="s">
        <v>30</v>
      </c>
      <c r="X1337" s="82" t="s">
        <v>30</v>
      </c>
      <c r="Y1337" s="82" t="s">
        <v>30</v>
      </c>
      <c r="Z1337" s="82" t="s">
        <v>30</v>
      </c>
      <c r="AA1337"/>
      <c r="AB1337" s="412"/>
      <c r="AC1337" s="412"/>
      <c r="AD1337" s="412"/>
      <c r="AE1337" s="412"/>
      <c r="AI1337" s="109"/>
    </row>
    <row r="1338" spans="1:35">
      <c r="A1338" s="358" t="s">
        <v>24</v>
      </c>
      <c r="B1338" s="369">
        <v>1335</v>
      </c>
      <c r="C1338" s="372" t="s">
        <v>2036</v>
      </c>
      <c r="D1338" s="372" t="s">
        <v>34</v>
      </c>
      <c r="E1338" s="373">
        <v>45957</v>
      </c>
      <c r="F1338" s="372" t="s">
        <v>106</v>
      </c>
      <c r="G1338" s="372">
        <v>9</v>
      </c>
      <c r="H1338" s="372" t="s">
        <v>1721</v>
      </c>
      <c r="I1338" s="372" t="s">
        <v>127</v>
      </c>
      <c r="J1338" s="372"/>
      <c r="K1338" s="372"/>
      <c r="L1338" s="21"/>
      <c r="M1338" s="22"/>
      <c r="N1338" s="23"/>
      <c r="O1338" s="23"/>
      <c r="P1338" s="250" t="s">
        <v>30</v>
      </c>
      <c r="Q1338" s="23">
        <v>45979</v>
      </c>
      <c r="R1338" s="81" t="s">
        <v>28</v>
      </c>
      <c r="S1338" s="22" t="s">
        <v>32</v>
      </c>
      <c r="T1338" s="22">
        <v>7</v>
      </c>
      <c r="U1338" s="24" t="s">
        <v>28</v>
      </c>
      <c r="V1338" s="23">
        <v>45979</v>
      </c>
      <c r="W1338" s="100" t="s">
        <v>30</v>
      </c>
      <c r="X1338" s="100" t="s">
        <v>30</v>
      </c>
      <c r="Y1338" s="100" t="s">
        <v>30</v>
      </c>
      <c r="Z1338" s="100" t="s">
        <v>30</v>
      </c>
      <c r="AA1338"/>
      <c r="AB1338" s="412"/>
      <c r="AC1338" s="412"/>
      <c r="AD1338" s="412"/>
      <c r="AE1338" s="412"/>
      <c r="AI1338" s="109"/>
    </row>
    <row r="1339" spans="1:35">
      <c r="A1339" s="358" t="s">
        <v>24</v>
      </c>
      <c r="B1339" s="369">
        <v>1336</v>
      </c>
      <c r="C1339" s="372" t="s">
        <v>2037</v>
      </c>
      <c r="D1339" s="372" t="s">
        <v>270</v>
      </c>
      <c r="E1339" s="373">
        <v>45957</v>
      </c>
      <c r="F1339" s="372" t="s">
        <v>2038</v>
      </c>
      <c r="G1339" s="372">
        <v>12</v>
      </c>
      <c r="H1339" s="372" t="s">
        <v>1077</v>
      </c>
      <c r="I1339" s="372" t="s">
        <v>1138</v>
      </c>
      <c r="J1339" s="372"/>
      <c r="K1339" s="372"/>
      <c r="L1339" s="21"/>
      <c r="M1339" s="22"/>
      <c r="N1339" s="23"/>
      <c r="O1339" s="23"/>
      <c r="P1339" s="250" t="s">
        <v>1091</v>
      </c>
      <c r="Q1339" s="23">
        <v>45988</v>
      </c>
      <c r="R1339" s="81" t="s">
        <v>1138</v>
      </c>
      <c r="S1339" s="22" t="s">
        <v>1140</v>
      </c>
      <c r="T1339" s="22">
        <v>10</v>
      </c>
      <c r="U1339" s="24" t="s">
        <v>1138</v>
      </c>
      <c r="V1339" s="23">
        <v>45988</v>
      </c>
      <c r="W1339" s="95" t="s">
        <v>32</v>
      </c>
      <c r="X1339" s="100" t="s">
        <v>30</v>
      </c>
      <c r="Y1339" s="100" t="s">
        <v>30</v>
      </c>
      <c r="Z1339" s="100" t="s">
        <v>30</v>
      </c>
      <c r="AA1339"/>
      <c r="AI1339" s="109"/>
    </row>
    <row r="1340" spans="1:35">
      <c r="A1340" s="358" t="s">
        <v>24</v>
      </c>
      <c r="B1340" s="369">
        <v>1337</v>
      </c>
      <c r="C1340" s="372" t="s">
        <v>2039</v>
      </c>
      <c r="D1340" s="372" t="s">
        <v>50</v>
      </c>
      <c r="E1340" s="373">
        <v>45959</v>
      </c>
      <c r="F1340" s="372" t="s">
        <v>412</v>
      </c>
      <c r="G1340" s="372">
        <v>11</v>
      </c>
      <c r="H1340" s="372" t="s">
        <v>1077</v>
      </c>
      <c r="I1340" s="372" t="s">
        <v>1138</v>
      </c>
      <c r="J1340" s="372"/>
      <c r="K1340" s="372"/>
      <c r="L1340" s="21"/>
      <c r="M1340" s="22"/>
      <c r="N1340" s="23"/>
      <c r="O1340" s="380"/>
      <c r="P1340" s="23" t="s">
        <v>30</v>
      </c>
      <c r="Q1340" s="23">
        <v>45986</v>
      </c>
      <c r="R1340" s="81" t="s">
        <v>1138</v>
      </c>
      <c r="S1340" s="22" t="s">
        <v>32</v>
      </c>
      <c r="T1340" s="22">
        <v>11</v>
      </c>
      <c r="U1340" s="24" t="s">
        <v>1138</v>
      </c>
      <c r="V1340" s="23">
        <v>45986</v>
      </c>
      <c r="W1340" s="82" t="s">
        <v>30</v>
      </c>
      <c r="X1340" s="100" t="s">
        <v>30</v>
      </c>
      <c r="Y1340" s="100" t="s">
        <v>30</v>
      </c>
      <c r="Z1340" s="82" t="s">
        <v>30</v>
      </c>
      <c r="AA1340" s="6">
        <v>26</v>
      </c>
      <c r="AB1340" s="6">
        <v>0</v>
      </c>
      <c r="AC1340" s="6">
        <v>7</v>
      </c>
      <c r="AD1340" s="6">
        <v>9</v>
      </c>
      <c r="AE1340" s="6">
        <f>SUM(AA1340:AD1340)</f>
        <v>42</v>
      </c>
      <c r="AF1340" s="108">
        <f>+AA1340/AE1340*AF$1</f>
        <v>0</v>
      </c>
      <c r="AG1340" s="109">
        <f>+AB1340/AE1340*AG$1</f>
        <v>0</v>
      </c>
      <c r="AH1340" s="109">
        <f>+AC1340/AE1340*AH$1</f>
        <v>0</v>
      </c>
      <c r="AI1340" s="109">
        <f>+AD1340/AE1340*AI$1</f>
        <v>0</v>
      </c>
    </row>
    <row r="1341" spans="1:35">
      <c r="A1341" s="358" t="s">
        <v>24</v>
      </c>
      <c r="B1341" s="369">
        <v>1338</v>
      </c>
      <c r="C1341" s="372" t="s">
        <v>2040</v>
      </c>
      <c r="D1341" s="372" t="s">
        <v>1764</v>
      </c>
      <c r="E1341" s="373">
        <v>45960</v>
      </c>
      <c r="F1341" s="372" t="s">
        <v>644</v>
      </c>
      <c r="G1341" s="372">
        <v>14</v>
      </c>
      <c r="H1341" s="372" t="s">
        <v>127</v>
      </c>
      <c r="I1341" s="372" t="s">
        <v>36</v>
      </c>
      <c r="J1341" s="372"/>
      <c r="K1341" s="372"/>
      <c r="L1341" s="21"/>
      <c r="M1341" s="22"/>
      <c r="N1341" s="23"/>
      <c r="O1341" s="380"/>
      <c r="P1341" s="23" t="s">
        <v>30</v>
      </c>
      <c r="Q1341" s="23">
        <v>45988</v>
      </c>
      <c r="R1341" s="81" t="s">
        <v>28</v>
      </c>
      <c r="S1341" s="22" t="s">
        <v>32</v>
      </c>
      <c r="T1341" s="22">
        <v>13</v>
      </c>
      <c r="U1341" s="24" t="s">
        <v>28</v>
      </c>
      <c r="V1341" s="23">
        <v>45988</v>
      </c>
      <c r="W1341" s="100" t="s">
        <v>30</v>
      </c>
      <c r="X1341" s="100" t="s">
        <v>30</v>
      </c>
      <c r="Y1341" s="100" t="s">
        <v>30</v>
      </c>
      <c r="Z1341" s="100" t="s">
        <v>30</v>
      </c>
      <c r="AA1341" s="6">
        <v>0</v>
      </c>
      <c r="AB1341" s="6">
        <v>0</v>
      </c>
      <c r="AC1341" s="6">
        <v>22</v>
      </c>
      <c r="AD1341" s="6">
        <v>0</v>
      </c>
      <c r="AE1341" s="6">
        <f>SUM(AA1341:AD1341)</f>
        <v>22</v>
      </c>
      <c r="AF1341" s="108">
        <f>+AA1341/AE1341*AF$1</f>
        <v>0</v>
      </c>
      <c r="AG1341" s="109">
        <f>+AB1341/AE1341*AG$1</f>
        <v>0</v>
      </c>
      <c r="AH1341" s="109">
        <f>+AC1341/AE1341*AH$1</f>
        <v>0</v>
      </c>
      <c r="AI1341" s="109">
        <f>+AD1341/AE1341*AI$1</f>
        <v>0</v>
      </c>
    </row>
    <row r="1342" spans="1:35">
      <c r="A1342" s="358" t="s">
        <v>24</v>
      </c>
      <c r="B1342" s="369">
        <v>1339</v>
      </c>
      <c r="C1342" s="372" t="s">
        <v>2041</v>
      </c>
      <c r="D1342" s="372" t="s">
        <v>270</v>
      </c>
      <c r="E1342" s="373">
        <v>45961</v>
      </c>
      <c r="F1342" s="372" t="s">
        <v>2042</v>
      </c>
      <c r="G1342" s="372">
        <v>9</v>
      </c>
      <c r="H1342" s="372" t="s">
        <v>1077</v>
      </c>
      <c r="I1342" s="372" t="s">
        <v>1138</v>
      </c>
      <c r="J1342" s="372"/>
      <c r="K1342" s="372"/>
      <c r="L1342" s="21"/>
      <c r="M1342" s="22"/>
      <c r="N1342" s="23"/>
      <c r="O1342" s="23"/>
      <c r="P1342" s="23" t="s">
        <v>30</v>
      </c>
      <c r="Q1342" s="23">
        <v>45985</v>
      </c>
      <c r="R1342" s="81" t="s">
        <v>28</v>
      </c>
      <c r="S1342" s="22" t="s">
        <v>32</v>
      </c>
      <c r="T1342" s="22">
        <v>9</v>
      </c>
      <c r="U1342" s="24" t="s">
        <v>28</v>
      </c>
      <c r="V1342" s="23">
        <v>45985</v>
      </c>
      <c r="W1342" s="82" t="s">
        <v>30</v>
      </c>
      <c r="X1342" s="82" t="s">
        <v>30</v>
      </c>
      <c r="Y1342" s="82" t="s">
        <v>30</v>
      </c>
      <c r="Z1342" s="82" t="s">
        <v>30</v>
      </c>
      <c r="AA1342"/>
      <c r="AI1342" s="109"/>
    </row>
    <row r="1343" spans="1:35">
      <c r="A1343" s="358" t="s">
        <v>24</v>
      </c>
      <c r="B1343" s="369">
        <v>1340</v>
      </c>
      <c r="C1343" s="372" t="s">
        <v>2043</v>
      </c>
      <c r="D1343" s="372" t="s">
        <v>403</v>
      </c>
      <c r="E1343" s="373">
        <v>45961</v>
      </c>
      <c r="F1343" s="372" t="s">
        <v>62</v>
      </c>
      <c r="G1343" s="372">
        <v>9</v>
      </c>
      <c r="H1343" s="372" t="s">
        <v>1077</v>
      </c>
      <c r="I1343" s="372" t="s">
        <v>1138</v>
      </c>
      <c r="J1343" s="372"/>
      <c r="K1343" s="372"/>
      <c r="L1343" s="21"/>
      <c r="M1343" s="22"/>
      <c r="N1343" s="23"/>
      <c r="O1343" s="380"/>
      <c r="P1343" s="380" t="s">
        <v>30</v>
      </c>
      <c r="Q1343" s="23">
        <v>45964</v>
      </c>
      <c r="R1343" s="81" t="s">
        <v>1138</v>
      </c>
      <c r="S1343" s="22" t="s">
        <v>32</v>
      </c>
      <c r="T1343" s="22">
        <v>12</v>
      </c>
      <c r="U1343" s="24" t="s">
        <v>1138</v>
      </c>
      <c r="V1343" s="23">
        <v>45964</v>
      </c>
      <c r="W1343" s="82" t="s">
        <v>30</v>
      </c>
      <c r="X1343" s="100" t="s">
        <v>30</v>
      </c>
      <c r="Y1343" s="82" t="s">
        <v>30</v>
      </c>
      <c r="Z1343" s="82" t="s">
        <v>30</v>
      </c>
      <c r="AA1343" s="91"/>
      <c r="AB1343" s="91"/>
      <c r="AF1343" s="72"/>
      <c r="AG1343" s="96"/>
      <c r="AH1343" s="96"/>
      <c r="AI1343" s="109"/>
    </row>
    <row r="1344" spans="1:35">
      <c r="A1344" s="358" t="s">
        <v>24</v>
      </c>
      <c r="B1344" s="369">
        <v>1341</v>
      </c>
      <c r="C1344" s="372" t="s">
        <v>2044</v>
      </c>
      <c r="D1344" s="372" t="s">
        <v>57</v>
      </c>
      <c r="E1344" s="373">
        <v>45961</v>
      </c>
      <c r="F1344" s="372" t="s">
        <v>1608</v>
      </c>
      <c r="G1344" s="372">
        <v>13</v>
      </c>
      <c r="H1344" s="372" t="s">
        <v>1725</v>
      </c>
      <c r="I1344" s="372" t="s">
        <v>47</v>
      </c>
      <c r="J1344" s="372"/>
      <c r="K1344" s="372"/>
      <c r="L1344" s="21"/>
      <c r="M1344" s="22"/>
      <c r="N1344" s="23"/>
      <c r="O1344" s="23"/>
      <c r="P1344" s="380" t="s">
        <v>30</v>
      </c>
      <c r="Q1344" s="23">
        <v>45990</v>
      </c>
      <c r="R1344" s="81" t="s">
        <v>48</v>
      </c>
      <c r="S1344" s="22" t="s">
        <v>32</v>
      </c>
      <c r="T1344" s="22">
        <v>13</v>
      </c>
      <c r="U1344" s="24" t="s">
        <v>48</v>
      </c>
      <c r="V1344" s="23">
        <v>45990</v>
      </c>
      <c r="W1344" s="82" t="s">
        <v>30</v>
      </c>
      <c r="X1344" s="82" t="s">
        <v>30</v>
      </c>
      <c r="Y1344" s="82" t="s">
        <v>30</v>
      </c>
      <c r="Z1344" s="82" t="s">
        <v>30</v>
      </c>
      <c r="AA1344"/>
      <c r="AF1344" s="72"/>
      <c r="AG1344" s="96"/>
      <c r="AH1344" s="96"/>
      <c r="AI1344" s="109"/>
    </row>
    <row r="1345" spans="1:34">
      <c r="A1345" s="358" t="s">
        <v>137</v>
      </c>
      <c r="B1345" s="369">
        <v>1342</v>
      </c>
      <c r="C1345" s="360" t="s">
        <v>1895</v>
      </c>
      <c r="D1345" s="360" t="s">
        <v>1042</v>
      </c>
      <c r="E1345" s="373">
        <v>45961</v>
      </c>
      <c r="F1345" s="372" t="s">
        <v>140</v>
      </c>
      <c r="G1345" s="372">
        <v>1131</v>
      </c>
      <c r="H1345" s="372" t="s">
        <v>1725</v>
      </c>
      <c r="I1345" s="372" t="s">
        <v>47</v>
      </c>
      <c r="J1345" s="372"/>
      <c r="K1345" s="104"/>
      <c r="L1345" s="21"/>
      <c r="M1345" s="22"/>
      <c r="N1345" s="23"/>
      <c r="O1345" s="23"/>
      <c r="P1345" s="104"/>
      <c r="Q1345" s="23"/>
      <c r="R1345" s="81"/>
      <c r="S1345" s="22"/>
      <c r="T1345" s="22"/>
      <c r="U1345" s="24"/>
      <c r="V1345" s="23"/>
      <c r="W1345" s="82"/>
      <c r="X1345" s="82"/>
      <c r="Y1345" s="82"/>
      <c r="Z1345" s="100"/>
      <c r="AA1345"/>
      <c r="AB1345" s="412"/>
      <c r="AC1345" s="412"/>
      <c r="AD1345" s="412"/>
      <c r="AE1345" s="412"/>
    </row>
    <row r="1346" spans="1:34">
      <c r="A1346" s="358" t="s">
        <v>137</v>
      </c>
      <c r="B1346" s="369">
        <v>1343</v>
      </c>
      <c r="C1346" s="360" t="s">
        <v>1896</v>
      </c>
      <c r="D1346" s="360" t="s">
        <v>1184</v>
      </c>
      <c r="E1346" s="373">
        <v>45961</v>
      </c>
      <c r="F1346" s="372" t="s">
        <v>140</v>
      </c>
      <c r="G1346" s="372"/>
      <c r="H1346" s="372" t="s">
        <v>1725</v>
      </c>
      <c r="I1346" s="372" t="s">
        <v>47</v>
      </c>
      <c r="J1346" s="372"/>
      <c r="K1346" s="104"/>
      <c r="L1346" s="21"/>
      <c r="M1346" s="22"/>
      <c r="N1346" s="23"/>
      <c r="O1346" s="23"/>
      <c r="P1346" s="104"/>
      <c r="Q1346" s="23"/>
      <c r="R1346" s="81"/>
      <c r="S1346" s="22"/>
      <c r="T1346" s="22"/>
      <c r="U1346" s="24"/>
      <c r="V1346" s="23"/>
      <c r="W1346" s="82"/>
      <c r="X1346" s="82"/>
      <c r="Y1346" s="82"/>
      <c r="Z1346" s="100"/>
      <c r="AA1346"/>
    </row>
    <row r="1347" spans="1:34">
      <c r="A1347" s="358" t="s">
        <v>137</v>
      </c>
      <c r="B1347" s="369">
        <v>1344</v>
      </c>
      <c r="C1347" s="360" t="s">
        <v>1897</v>
      </c>
      <c r="D1347" s="360" t="s">
        <v>1898</v>
      </c>
      <c r="E1347" s="373">
        <v>45961</v>
      </c>
      <c r="F1347" s="372" t="s">
        <v>140</v>
      </c>
      <c r="G1347" s="372"/>
      <c r="H1347" s="372" t="s">
        <v>1725</v>
      </c>
      <c r="I1347" s="372" t="s">
        <v>47</v>
      </c>
      <c r="J1347" s="372"/>
      <c r="K1347" s="104"/>
      <c r="L1347" s="21"/>
      <c r="M1347" s="22"/>
      <c r="N1347" s="23"/>
      <c r="O1347" s="380"/>
      <c r="P1347" s="104"/>
      <c r="Q1347" s="23"/>
      <c r="R1347" s="81"/>
      <c r="S1347" s="22"/>
      <c r="T1347" s="22"/>
      <c r="U1347" s="24"/>
      <c r="V1347" s="23"/>
      <c r="W1347" s="82"/>
      <c r="X1347" s="82"/>
      <c r="Y1347" s="82"/>
      <c r="Z1347" s="100"/>
      <c r="AA1347"/>
    </row>
    <row r="1348" spans="1:34">
      <c r="A1348" s="358" t="s">
        <v>137</v>
      </c>
      <c r="B1348" s="369">
        <v>1345</v>
      </c>
      <c r="C1348" s="360" t="s">
        <v>1899</v>
      </c>
      <c r="D1348" s="360" t="s">
        <v>344</v>
      </c>
      <c r="E1348" s="373">
        <v>45961</v>
      </c>
      <c r="F1348" s="372" t="s">
        <v>140</v>
      </c>
      <c r="G1348" s="372"/>
      <c r="H1348" s="372" t="s">
        <v>1725</v>
      </c>
      <c r="I1348" s="372" t="s">
        <v>47</v>
      </c>
      <c r="J1348" s="372"/>
      <c r="K1348" s="21"/>
      <c r="L1348" s="21"/>
      <c r="M1348" s="22"/>
      <c r="N1348" s="23"/>
      <c r="O1348" s="380"/>
      <c r="P1348" s="23"/>
      <c r="Q1348" s="23"/>
      <c r="R1348" s="81"/>
      <c r="S1348" s="22"/>
      <c r="T1348" s="22"/>
      <c r="U1348" s="24"/>
      <c r="V1348" s="23"/>
      <c r="W1348" s="82"/>
      <c r="X1348" s="82"/>
      <c r="Y1348" s="82"/>
      <c r="Z1348" s="100"/>
      <c r="AA1348" s="6">
        <v>0</v>
      </c>
      <c r="AB1348" s="6">
        <v>17</v>
      </c>
      <c r="AC1348" s="6">
        <v>0</v>
      </c>
      <c r="AD1348" s="6">
        <v>0</v>
      </c>
      <c r="AE1348" s="6">
        <f>SUM(AA1348:AD1348)</f>
        <v>17</v>
      </c>
      <c r="AF1348" s="108">
        <f>+AA1348/AE1348*AF$1</f>
        <v>0</v>
      </c>
      <c r="AG1348" s="109">
        <f>+AB1348/AE1348*AG$1</f>
        <v>0</v>
      </c>
      <c r="AH1348" s="109">
        <f>+AC1348/AE1348*AH$1</f>
        <v>0</v>
      </c>
    </row>
    <row r="1349" spans="1:34">
      <c r="A1349" s="358" t="s">
        <v>137</v>
      </c>
      <c r="B1349" s="369">
        <v>1346</v>
      </c>
      <c r="C1349" s="360" t="s">
        <v>1900</v>
      </c>
      <c r="D1349" s="360" t="s">
        <v>1424</v>
      </c>
      <c r="E1349" s="373">
        <v>45961</v>
      </c>
      <c r="F1349" s="372" t="s">
        <v>140</v>
      </c>
      <c r="G1349" s="372"/>
      <c r="H1349" s="372" t="s">
        <v>1721</v>
      </c>
      <c r="I1349" s="372" t="s">
        <v>1638</v>
      </c>
      <c r="J1349" s="372"/>
      <c r="K1349" s="21"/>
      <c r="L1349" s="21"/>
      <c r="M1349" s="22"/>
      <c r="N1349" s="23"/>
      <c r="O1349" s="23"/>
      <c r="P1349" s="23"/>
      <c r="Q1349" s="23"/>
      <c r="R1349" s="81"/>
      <c r="S1349" s="22"/>
      <c r="T1349" s="22"/>
      <c r="U1349" s="24"/>
      <c r="V1349" s="23"/>
      <c r="W1349" s="82"/>
      <c r="X1349" s="82"/>
      <c r="Y1349" s="82"/>
      <c r="Z1349" s="100"/>
      <c r="AA1349"/>
    </row>
    <row r="1350" spans="1:34">
      <c r="A1350" s="358" t="s">
        <v>137</v>
      </c>
      <c r="B1350" s="369">
        <v>1347</v>
      </c>
      <c r="C1350" s="360" t="s">
        <v>1901</v>
      </c>
      <c r="D1350" s="360" t="s">
        <v>344</v>
      </c>
      <c r="E1350" s="373">
        <v>45961</v>
      </c>
      <c r="F1350" s="372" t="s">
        <v>140</v>
      </c>
      <c r="G1350" s="372"/>
      <c r="H1350" s="372" t="s">
        <v>1902</v>
      </c>
      <c r="I1350" s="372" t="s">
        <v>292</v>
      </c>
      <c r="J1350" s="372"/>
      <c r="K1350" s="101"/>
      <c r="L1350" s="21"/>
      <c r="M1350" s="22"/>
      <c r="N1350" s="23"/>
      <c r="O1350" s="380"/>
      <c r="P1350" s="101"/>
      <c r="Q1350" s="23"/>
      <c r="R1350" s="81"/>
      <c r="S1350" s="22"/>
      <c r="T1350" s="22"/>
      <c r="U1350" s="24"/>
      <c r="V1350" s="23"/>
      <c r="W1350" s="82"/>
      <c r="X1350" s="82"/>
      <c r="Y1350" s="82"/>
      <c r="Z1350" s="100"/>
      <c r="AA1350" s="91"/>
      <c r="AB1350" s="91"/>
      <c r="AF1350" s="72"/>
      <c r="AG1350" s="96"/>
      <c r="AH1350" s="96"/>
    </row>
    <row r="1351" spans="1:34">
      <c r="A1351" s="358" t="s">
        <v>137</v>
      </c>
      <c r="B1351" s="369">
        <v>1348</v>
      </c>
      <c r="C1351" s="360" t="s">
        <v>1903</v>
      </c>
      <c r="D1351" s="360" t="s">
        <v>1904</v>
      </c>
      <c r="E1351" s="373">
        <v>45961</v>
      </c>
      <c r="F1351" s="372" t="s">
        <v>140</v>
      </c>
      <c r="G1351" s="372"/>
      <c r="H1351" s="372" t="s">
        <v>127</v>
      </c>
      <c r="I1351" s="372" t="s">
        <v>36</v>
      </c>
      <c r="J1351" s="372"/>
      <c r="K1351" s="101"/>
      <c r="L1351" s="21"/>
      <c r="M1351" s="22"/>
      <c r="N1351" s="23"/>
      <c r="O1351" s="23"/>
      <c r="P1351" s="101"/>
      <c r="Q1351" s="23"/>
      <c r="R1351" s="81"/>
      <c r="S1351" s="22"/>
      <c r="U1351" s="24"/>
      <c r="V1351" s="23"/>
      <c r="W1351" s="82"/>
      <c r="X1351" s="82"/>
      <c r="Y1351" s="82"/>
      <c r="Z1351" s="100"/>
      <c r="AA1351"/>
      <c r="AF1351" s="72"/>
      <c r="AG1351" s="96"/>
      <c r="AH1351" s="96"/>
    </row>
    <row r="1352" spans="1:34">
      <c r="A1352" s="358" t="s">
        <v>137</v>
      </c>
      <c r="B1352" s="369">
        <v>1349</v>
      </c>
      <c r="C1352" s="360" t="s">
        <v>1905</v>
      </c>
      <c r="D1352" s="360" t="s">
        <v>1424</v>
      </c>
      <c r="E1352" s="373">
        <v>45961</v>
      </c>
      <c r="F1352" s="372" t="s">
        <v>140</v>
      </c>
      <c r="G1352" s="372"/>
      <c r="H1352" s="372" t="s">
        <v>1725</v>
      </c>
      <c r="I1352" s="372" t="s">
        <v>47</v>
      </c>
      <c r="J1352" s="372"/>
      <c r="K1352" s="21"/>
      <c r="L1352" s="21"/>
      <c r="M1352" s="22"/>
      <c r="N1352" s="23"/>
      <c r="O1352" s="380"/>
      <c r="P1352" s="23"/>
      <c r="Q1352" s="23"/>
      <c r="R1352" s="81"/>
      <c r="S1352" s="22"/>
      <c r="T1352" s="22"/>
      <c r="U1352" s="24"/>
      <c r="V1352" s="23"/>
      <c r="W1352" s="82"/>
      <c r="X1352" s="82"/>
      <c r="Y1352" s="82"/>
      <c r="Z1352" s="100"/>
      <c r="AA1352" s="91"/>
      <c r="AB1352" s="91"/>
      <c r="AF1352" s="72"/>
      <c r="AG1352" s="96"/>
      <c r="AH1352" s="96"/>
    </row>
    <row r="1353" spans="1:34">
      <c r="A1353" s="358" t="s">
        <v>137</v>
      </c>
      <c r="B1353" s="369">
        <v>1350</v>
      </c>
      <c r="C1353" s="360" t="s">
        <v>1906</v>
      </c>
      <c r="D1353" s="360" t="s">
        <v>1184</v>
      </c>
      <c r="E1353" s="373">
        <v>45961</v>
      </c>
      <c r="F1353" s="372" t="s">
        <v>140</v>
      </c>
      <c r="G1353" s="372"/>
      <c r="H1353" s="372" t="s">
        <v>1077</v>
      </c>
      <c r="I1353" s="372" t="s">
        <v>1138</v>
      </c>
      <c r="J1353" s="372"/>
      <c r="K1353" s="21"/>
      <c r="L1353" s="21"/>
      <c r="M1353" s="22"/>
      <c r="N1353" s="23"/>
      <c r="O1353" s="380"/>
      <c r="P1353" s="23"/>
      <c r="Q1353" s="23"/>
      <c r="R1353" s="81"/>
      <c r="S1353" s="22"/>
      <c r="T1353" s="22"/>
      <c r="U1353" s="24"/>
      <c r="V1353" s="23"/>
      <c r="W1353" s="82"/>
      <c r="X1353" s="82"/>
      <c r="Y1353" s="82"/>
      <c r="Z1353" s="100"/>
      <c r="AA1353"/>
      <c r="AF1353" s="72"/>
      <c r="AG1353" s="96"/>
      <c r="AH1353" s="96"/>
    </row>
    <row r="1354" spans="1:34">
      <c r="A1354" s="358" t="s">
        <v>137</v>
      </c>
      <c r="B1354" s="369">
        <v>1351</v>
      </c>
      <c r="C1354" s="360" t="s">
        <v>1907</v>
      </c>
      <c r="D1354" s="360" t="s">
        <v>1250</v>
      </c>
      <c r="E1354" s="373">
        <v>45961</v>
      </c>
      <c r="F1354" s="372" t="s">
        <v>140</v>
      </c>
      <c r="G1354" s="372"/>
      <c r="H1354" s="372" t="s">
        <v>1908</v>
      </c>
      <c r="I1354" s="372" t="s">
        <v>1670</v>
      </c>
      <c r="J1354" s="372"/>
      <c r="K1354" s="21"/>
      <c r="L1354" s="21"/>
      <c r="M1354" s="22"/>
      <c r="N1354" s="23"/>
      <c r="O1354" s="23"/>
      <c r="P1354" s="23"/>
      <c r="Q1354" s="23"/>
      <c r="R1354" s="81"/>
      <c r="S1354" s="22"/>
      <c r="T1354" s="22"/>
      <c r="U1354" s="24"/>
      <c r="V1354" s="23"/>
      <c r="W1354" s="82"/>
      <c r="X1354" s="82"/>
      <c r="Y1354" s="82"/>
      <c r="Z1354" s="100"/>
      <c r="AA1354"/>
    </row>
    <row r="1355" spans="1:34">
      <c r="A1355" s="358" t="s">
        <v>137</v>
      </c>
      <c r="B1355" s="369">
        <v>1352</v>
      </c>
      <c r="C1355" s="360" t="s">
        <v>1909</v>
      </c>
      <c r="D1355" s="360" t="s">
        <v>344</v>
      </c>
      <c r="E1355" s="373">
        <v>45961</v>
      </c>
      <c r="F1355" s="372" t="s">
        <v>140</v>
      </c>
      <c r="G1355" s="372"/>
      <c r="H1355" s="372" t="s">
        <v>1725</v>
      </c>
      <c r="I1355" s="372" t="s">
        <v>47</v>
      </c>
      <c r="J1355" s="372"/>
      <c r="K1355" s="21"/>
      <c r="L1355" s="21"/>
      <c r="M1355" s="22"/>
      <c r="N1355" s="23"/>
      <c r="O1355" s="62"/>
      <c r="P1355" s="23"/>
      <c r="Q1355" s="23"/>
      <c r="R1355" s="81"/>
      <c r="S1355" s="22"/>
      <c r="T1355" s="22"/>
      <c r="U1355" s="24"/>
      <c r="V1355" s="23"/>
      <c r="W1355" s="82"/>
      <c r="X1355" s="82"/>
      <c r="Y1355" s="82"/>
      <c r="Z1355" s="100"/>
      <c r="AA1355"/>
      <c r="AF1355" s="72"/>
      <c r="AG1355" s="96"/>
      <c r="AH1355" s="96"/>
    </row>
    <row r="1356" spans="1:34">
      <c r="A1356" s="358" t="s">
        <v>137</v>
      </c>
      <c r="B1356" s="369">
        <v>1353</v>
      </c>
      <c r="C1356" s="360" t="s">
        <v>1910</v>
      </c>
      <c r="D1356" s="360" t="s">
        <v>779</v>
      </c>
      <c r="E1356" s="373">
        <v>45961</v>
      </c>
      <c r="F1356" s="372" t="s">
        <v>140</v>
      </c>
      <c r="G1356" s="372"/>
      <c r="H1356" s="372" t="s">
        <v>1721</v>
      </c>
      <c r="I1356" s="372" t="s">
        <v>1638</v>
      </c>
      <c r="J1356" s="372"/>
      <c r="K1356" s="21"/>
      <c r="L1356" s="21"/>
      <c r="M1356" s="22"/>
      <c r="N1356" s="23"/>
      <c r="O1356" s="62"/>
      <c r="P1356" s="23"/>
      <c r="Q1356" s="23"/>
      <c r="R1356" s="81"/>
      <c r="S1356" s="22"/>
      <c r="T1356" s="22"/>
      <c r="U1356" s="24"/>
      <c r="V1356" s="23"/>
      <c r="W1356" s="82"/>
      <c r="X1356" s="82"/>
      <c r="Y1356" s="82"/>
      <c r="Z1356" s="100"/>
      <c r="AA1356"/>
      <c r="AF1356" s="72"/>
      <c r="AG1356" s="96"/>
      <c r="AH1356" s="96"/>
    </row>
    <row r="1357" spans="1:34">
      <c r="A1357" s="358" t="s">
        <v>137</v>
      </c>
      <c r="B1357" s="369">
        <v>1354</v>
      </c>
      <c r="C1357" s="360" t="s">
        <v>1911</v>
      </c>
      <c r="D1357" s="360" t="s">
        <v>1912</v>
      </c>
      <c r="E1357" s="373">
        <v>45961</v>
      </c>
      <c r="F1357" s="372" t="s">
        <v>140</v>
      </c>
      <c r="G1357" s="372"/>
      <c r="H1357" s="372" t="s">
        <v>1872</v>
      </c>
      <c r="I1357" s="372" t="s">
        <v>1514</v>
      </c>
      <c r="J1357" s="372"/>
      <c r="K1357" s="21"/>
      <c r="L1357" s="21"/>
      <c r="M1357" s="22"/>
      <c r="N1357" s="23"/>
      <c r="O1357" s="380"/>
      <c r="P1357" s="23"/>
      <c r="Q1357" s="23"/>
      <c r="R1357" s="81"/>
      <c r="S1357" s="22"/>
      <c r="T1357" s="22"/>
      <c r="U1357" s="24"/>
      <c r="V1357" s="23"/>
      <c r="W1357" s="82"/>
      <c r="X1357" s="82"/>
      <c r="Y1357" s="82"/>
      <c r="Z1357" s="100"/>
      <c r="AA1357"/>
      <c r="AF1357" s="72"/>
      <c r="AG1357" s="96"/>
      <c r="AH1357" s="96"/>
    </row>
    <row r="1358" spans="1:34">
      <c r="A1358" s="358" t="s">
        <v>137</v>
      </c>
      <c r="B1358" s="369">
        <v>1355</v>
      </c>
      <c r="C1358" s="360" t="s">
        <v>1913</v>
      </c>
      <c r="D1358" s="360" t="s">
        <v>989</v>
      </c>
      <c r="E1358" s="373">
        <v>45961</v>
      </c>
      <c r="F1358" s="372" t="s">
        <v>140</v>
      </c>
      <c r="G1358" s="372"/>
      <c r="H1358" s="372" t="s">
        <v>1725</v>
      </c>
      <c r="I1358" s="372" t="s">
        <v>47</v>
      </c>
      <c r="J1358" s="372"/>
      <c r="K1358" s="21"/>
      <c r="L1358" s="21"/>
      <c r="M1358" s="22"/>
      <c r="N1358" s="23"/>
      <c r="O1358" s="62"/>
      <c r="P1358" s="23"/>
      <c r="Q1358" s="23"/>
      <c r="R1358" s="81"/>
      <c r="S1358" s="22"/>
      <c r="T1358" s="22"/>
      <c r="U1358" s="24"/>
      <c r="V1358" s="23"/>
      <c r="W1358" s="82"/>
      <c r="X1358" s="82"/>
      <c r="Y1358" s="82"/>
      <c r="Z1358" s="100"/>
      <c r="AA1358"/>
      <c r="AF1358" s="96"/>
      <c r="AG1358" s="96"/>
      <c r="AH1358" s="96"/>
    </row>
    <row r="1359" spans="1:34">
      <c r="A1359" s="358" t="s">
        <v>137</v>
      </c>
      <c r="B1359" s="369">
        <v>1356</v>
      </c>
      <c r="C1359" s="360" t="s">
        <v>1914</v>
      </c>
      <c r="D1359" s="360" t="s">
        <v>937</v>
      </c>
      <c r="E1359" s="373">
        <v>45961</v>
      </c>
      <c r="F1359" s="372" t="s">
        <v>140</v>
      </c>
      <c r="G1359" s="372"/>
      <c r="H1359" s="372" t="s">
        <v>1077</v>
      </c>
      <c r="I1359" s="372" t="s">
        <v>1138</v>
      </c>
      <c r="J1359" s="372"/>
      <c r="K1359" s="104"/>
      <c r="L1359" s="21"/>
      <c r="M1359" s="22"/>
      <c r="N1359" s="23"/>
      <c r="O1359" s="62"/>
      <c r="P1359" s="104"/>
      <c r="Q1359" s="23"/>
      <c r="R1359" s="81"/>
      <c r="S1359" s="22"/>
      <c r="T1359" s="22"/>
      <c r="U1359" s="24"/>
      <c r="V1359" s="23"/>
      <c r="W1359" s="82"/>
      <c r="X1359" s="82"/>
      <c r="Y1359" s="82"/>
      <c r="Z1359" s="100"/>
      <c r="AA1359"/>
      <c r="AF1359" s="96"/>
      <c r="AG1359" s="96"/>
      <c r="AH1359" s="96"/>
    </row>
    <row r="1360" spans="1:34">
      <c r="A1360" s="358" t="s">
        <v>137</v>
      </c>
      <c r="B1360" s="369">
        <v>1357</v>
      </c>
      <c r="C1360" s="360" t="s">
        <v>1915</v>
      </c>
      <c r="D1360" s="360" t="s">
        <v>344</v>
      </c>
      <c r="E1360" s="373">
        <v>45961</v>
      </c>
      <c r="F1360" s="372" t="s">
        <v>140</v>
      </c>
      <c r="G1360" s="372"/>
      <c r="H1360" s="372" t="s">
        <v>1908</v>
      </c>
      <c r="I1360" s="372" t="s">
        <v>1670</v>
      </c>
      <c r="J1360" s="372"/>
      <c r="K1360" s="104"/>
      <c r="L1360" s="21"/>
      <c r="M1360" s="22"/>
      <c r="N1360" s="23"/>
      <c r="O1360" s="23"/>
      <c r="P1360" s="104"/>
      <c r="Q1360" s="23"/>
      <c r="R1360" s="81"/>
      <c r="S1360" s="22"/>
      <c r="T1360" s="22"/>
      <c r="U1360" s="24"/>
      <c r="V1360" s="23"/>
      <c r="W1360" s="82"/>
      <c r="X1360" s="82"/>
      <c r="Y1360" s="82"/>
      <c r="Z1360" s="100"/>
      <c r="AA1360"/>
      <c r="AB1360" s="89"/>
      <c r="AC1360" s="89"/>
      <c r="AD1360" s="89"/>
      <c r="AE1360" s="88"/>
      <c r="AF1360" s="96"/>
      <c r="AG1360" s="96"/>
      <c r="AH1360" s="96"/>
    </row>
    <row r="1361" spans="1:34">
      <c r="A1361" s="358" t="s">
        <v>137</v>
      </c>
      <c r="B1361" s="369">
        <v>1358</v>
      </c>
      <c r="C1361" s="360" t="s">
        <v>1916</v>
      </c>
      <c r="D1361" s="360" t="s">
        <v>1184</v>
      </c>
      <c r="E1361" s="373">
        <v>45961</v>
      </c>
      <c r="F1361" s="372" t="s">
        <v>140</v>
      </c>
      <c r="G1361" s="372"/>
      <c r="H1361" s="372" t="s">
        <v>1725</v>
      </c>
      <c r="I1361" s="372" t="s">
        <v>47</v>
      </c>
      <c r="J1361" s="372"/>
      <c r="K1361" s="21"/>
      <c r="L1361" s="21"/>
      <c r="M1361" s="22"/>
      <c r="N1361" s="23"/>
      <c r="O1361" s="380"/>
      <c r="P1361" s="23"/>
      <c r="Q1361" s="23"/>
      <c r="R1361" s="81"/>
      <c r="S1361" s="22"/>
      <c r="T1361" s="22"/>
      <c r="U1361" s="24"/>
      <c r="V1361" s="23"/>
      <c r="W1361" s="82"/>
      <c r="X1361" s="82"/>
      <c r="Y1361" s="82"/>
      <c r="Z1361" s="100"/>
      <c r="AA1361"/>
      <c r="AF1361" s="72"/>
      <c r="AG1361" s="96"/>
      <c r="AH1361" s="96"/>
    </row>
    <row r="1362" spans="1:34">
      <c r="A1362" s="358" t="s">
        <v>137</v>
      </c>
      <c r="B1362" s="369">
        <v>1359</v>
      </c>
      <c r="C1362" s="360" t="s">
        <v>1895</v>
      </c>
      <c r="D1362" s="373" t="s">
        <v>34</v>
      </c>
      <c r="E1362" s="373">
        <v>45961</v>
      </c>
      <c r="F1362" s="372" t="s">
        <v>140</v>
      </c>
      <c r="G1362" s="372"/>
      <c r="H1362" s="372" t="s">
        <v>1077</v>
      </c>
      <c r="I1362" s="372" t="s">
        <v>1138</v>
      </c>
      <c r="J1362" s="372"/>
      <c r="K1362" s="372"/>
      <c r="L1362" s="358"/>
      <c r="M1362" s="358"/>
      <c r="N1362" s="358"/>
      <c r="O1362" s="380"/>
      <c r="P1362" s="23"/>
      <c r="Q1362" s="23"/>
      <c r="R1362" s="81"/>
      <c r="S1362" s="22"/>
      <c r="T1362" s="22"/>
      <c r="U1362" s="24"/>
      <c r="V1362" s="23"/>
      <c r="W1362" s="100"/>
      <c r="X1362" s="100"/>
      <c r="Y1362" s="100"/>
      <c r="Z1362" s="100"/>
      <c r="AA1362"/>
      <c r="AB1362" s="412"/>
      <c r="AC1362" s="412"/>
      <c r="AD1362" s="412"/>
      <c r="AE1362" s="412"/>
    </row>
    <row r="1363" spans="1:34">
      <c r="A1363" s="358" t="s">
        <v>137</v>
      </c>
      <c r="B1363" s="369">
        <v>1360</v>
      </c>
      <c r="C1363" s="360" t="s">
        <v>1896</v>
      </c>
      <c r="D1363" s="373" t="s">
        <v>43</v>
      </c>
      <c r="E1363" s="373">
        <v>45961</v>
      </c>
      <c r="F1363" s="372" t="s">
        <v>140</v>
      </c>
      <c r="G1363" s="372"/>
      <c r="H1363" s="372" t="s">
        <v>1721</v>
      </c>
      <c r="I1363" s="372" t="s">
        <v>1638</v>
      </c>
      <c r="J1363" s="372"/>
      <c r="K1363" s="372"/>
      <c r="L1363" s="358"/>
      <c r="M1363" s="358"/>
      <c r="N1363" s="358"/>
      <c r="O1363" s="380"/>
      <c r="P1363" s="23"/>
      <c r="Q1363" s="23"/>
      <c r="R1363" s="81"/>
      <c r="S1363" s="22"/>
      <c r="T1363" s="22"/>
      <c r="U1363" s="24"/>
      <c r="V1363" s="23"/>
      <c r="W1363" s="100"/>
      <c r="X1363" s="100"/>
      <c r="Y1363" s="100"/>
      <c r="Z1363" s="100"/>
      <c r="AA1363"/>
      <c r="AB1363" s="412"/>
      <c r="AC1363" s="412"/>
      <c r="AD1363" s="412"/>
      <c r="AE1363" s="412"/>
    </row>
    <row r="1364" spans="1:34">
      <c r="A1364" s="358" t="s">
        <v>137</v>
      </c>
      <c r="B1364" s="369">
        <v>1361</v>
      </c>
      <c r="C1364" s="360" t="s">
        <v>1897</v>
      </c>
      <c r="D1364" s="373" t="s">
        <v>43</v>
      </c>
      <c r="E1364" s="373">
        <v>45961</v>
      </c>
      <c r="F1364" s="372" t="s">
        <v>140</v>
      </c>
      <c r="G1364" s="372"/>
      <c r="H1364" s="372" t="s">
        <v>1721</v>
      </c>
      <c r="I1364" s="372" t="s">
        <v>1638</v>
      </c>
      <c r="J1364" s="372"/>
      <c r="K1364" s="372"/>
      <c r="L1364" s="358"/>
      <c r="M1364" s="358"/>
      <c r="N1364" s="358"/>
      <c r="O1364" s="380"/>
      <c r="P1364" s="23"/>
      <c r="Q1364" s="23"/>
      <c r="R1364" s="81"/>
      <c r="S1364" s="22"/>
      <c r="T1364" s="22"/>
      <c r="U1364" s="24"/>
      <c r="V1364" s="23"/>
      <c r="W1364" s="95"/>
      <c r="X1364" s="100"/>
      <c r="Y1364" s="100"/>
      <c r="Z1364" s="100"/>
      <c r="AA1364"/>
      <c r="AB1364" s="412"/>
      <c r="AC1364" s="412"/>
      <c r="AD1364" s="412"/>
      <c r="AE1364" s="412"/>
    </row>
    <row r="1365" spans="1:34">
      <c r="A1365" s="358" t="s">
        <v>137</v>
      </c>
      <c r="B1365" s="369">
        <v>1362</v>
      </c>
      <c r="C1365" s="360" t="s">
        <v>1899</v>
      </c>
      <c r="D1365" s="373" t="s">
        <v>43</v>
      </c>
      <c r="E1365" s="373">
        <v>45961</v>
      </c>
      <c r="F1365" s="372" t="s">
        <v>140</v>
      </c>
      <c r="G1365" s="372"/>
      <c r="H1365" s="372" t="s">
        <v>1721</v>
      </c>
      <c r="I1365" s="372" t="s">
        <v>1638</v>
      </c>
      <c r="J1365" s="372"/>
      <c r="K1365" s="372"/>
      <c r="L1365" s="358"/>
      <c r="M1365" s="358"/>
      <c r="N1365" s="358"/>
      <c r="O1365" s="380"/>
      <c r="P1365" s="23"/>
      <c r="Q1365" s="23"/>
      <c r="R1365" s="81"/>
      <c r="S1365" s="22"/>
      <c r="T1365" s="22"/>
      <c r="U1365" s="24"/>
      <c r="V1365" s="23"/>
      <c r="W1365" s="100"/>
      <c r="X1365" s="100"/>
      <c r="Y1365" s="100"/>
      <c r="Z1365" s="100"/>
      <c r="AA1365"/>
      <c r="AB1365" s="412"/>
      <c r="AC1365" s="412"/>
      <c r="AD1365" s="412"/>
      <c r="AE1365" s="412"/>
    </row>
    <row r="1366" spans="1:34">
      <c r="A1366" s="358" t="s">
        <v>137</v>
      </c>
      <c r="B1366" s="369">
        <v>1363</v>
      </c>
      <c r="C1366" s="360" t="s">
        <v>1900</v>
      </c>
      <c r="D1366" s="373" t="s">
        <v>34</v>
      </c>
      <c r="E1366" s="373">
        <v>45961</v>
      </c>
      <c r="F1366" s="372" t="s">
        <v>140</v>
      </c>
      <c r="G1366" s="372"/>
      <c r="H1366" s="372" t="s">
        <v>1721</v>
      </c>
      <c r="I1366" s="372" t="s">
        <v>1638</v>
      </c>
      <c r="J1366" s="372"/>
      <c r="K1366" s="372"/>
      <c r="L1366" s="221"/>
      <c r="M1366" s="358"/>
      <c r="N1366" s="358"/>
      <c r="O1366" s="247"/>
      <c r="P1366" s="23"/>
      <c r="Q1366" s="23"/>
      <c r="R1366" s="81"/>
      <c r="S1366" s="22"/>
      <c r="T1366" s="22"/>
      <c r="U1366" s="24"/>
      <c r="V1366" s="23"/>
      <c r="W1366" s="100"/>
      <c r="X1366" s="100"/>
      <c r="Y1366" s="100"/>
      <c r="Z1366" s="100"/>
      <c r="AA1366"/>
    </row>
    <row r="1367" spans="1:34">
      <c r="A1367" s="358" t="s">
        <v>137</v>
      </c>
      <c r="B1367" s="369">
        <v>1364</v>
      </c>
      <c r="C1367" s="360" t="s">
        <v>1901</v>
      </c>
      <c r="D1367" s="373" t="s">
        <v>102</v>
      </c>
      <c r="E1367" s="373">
        <v>45961</v>
      </c>
      <c r="F1367" s="372" t="s">
        <v>140</v>
      </c>
      <c r="G1367" s="372"/>
      <c r="H1367" s="372" t="s">
        <v>1725</v>
      </c>
      <c r="I1367" s="372" t="s">
        <v>47</v>
      </c>
      <c r="J1367" s="372"/>
      <c r="K1367" s="372"/>
      <c r="L1367" s="358"/>
      <c r="M1367" s="358"/>
      <c r="N1367" s="380"/>
      <c r="O1367" s="380"/>
      <c r="P1367" s="23"/>
      <c r="Q1367" s="23"/>
      <c r="R1367" s="81"/>
      <c r="S1367" s="22"/>
      <c r="T1367" s="22"/>
      <c r="U1367" s="24"/>
      <c r="V1367" s="23"/>
      <c r="W1367" s="100"/>
      <c r="X1367" s="100"/>
      <c r="Y1367" s="100"/>
      <c r="Z1367" s="100"/>
      <c r="AA1367"/>
      <c r="AB1367" s="412"/>
      <c r="AC1367" s="412"/>
      <c r="AD1367" s="412"/>
      <c r="AE1367" s="412"/>
    </row>
    <row r="1368" spans="1:34">
      <c r="A1368" s="358" t="s">
        <v>137</v>
      </c>
      <c r="B1368" s="369">
        <v>1365</v>
      </c>
      <c r="C1368" s="360" t="s">
        <v>1903</v>
      </c>
      <c r="D1368" s="373" t="s">
        <v>34</v>
      </c>
      <c r="E1368" s="373">
        <v>45961</v>
      </c>
      <c r="F1368" s="372" t="s">
        <v>140</v>
      </c>
      <c r="G1368" s="372"/>
      <c r="H1368" s="372" t="s">
        <v>1077</v>
      </c>
      <c r="I1368" s="372" t="s">
        <v>1138</v>
      </c>
      <c r="J1368" s="102"/>
      <c r="K1368" s="372"/>
      <c r="L1368" s="358"/>
      <c r="M1368" s="358"/>
      <c r="N1368" s="380"/>
      <c r="O1368" s="247"/>
      <c r="P1368" s="23"/>
      <c r="Q1368" s="23"/>
      <c r="R1368" s="81"/>
      <c r="S1368" s="22"/>
      <c r="T1368" s="22"/>
      <c r="U1368" s="24"/>
      <c r="V1368" s="23"/>
      <c r="W1368" s="100"/>
      <c r="X1368" s="100"/>
      <c r="Y1368" s="100"/>
      <c r="Z1368" s="100"/>
      <c r="AA1368"/>
      <c r="AB1368" s="412"/>
      <c r="AC1368" s="412"/>
      <c r="AD1368" s="412"/>
      <c r="AE1368" s="412"/>
    </row>
    <row r="1369" spans="1:34">
      <c r="A1369" s="358" t="s">
        <v>137</v>
      </c>
      <c r="B1369" s="369">
        <v>1366</v>
      </c>
      <c r="C1369" s="360" t="s">
        <v>1905</v>
      </c>
      <c r="D1369" s="373" t="s">
        <v>34</v>
      </c>
      <c r="E1369" s="373">
        <v>45961</v>
      </c>
      <c r="F1369" s="372" t="s">
        <v>140</v>
      </c>
      <c r="G1369" s="372"/>
      <c r="H1369" s="372" t="s">
        <v>1077</v>
      </c>
      <c r="I1369" s="372" t="s">
        <v>1138</v>
      </c>
      <c r="J1369" s="372"/>
      <c r="K1369" s="372"/>
      <c r="L1369" s="358"/>
      <c r="M1369" s="358"/>
      <c r="N1369" s="380"/>
      <c r="O1369" s="380"/>
      <c r="P1369" s="23"/>
      <c r="Q1369" s="23"/>
      <c r="R1369" s="81"/>
      <c r="S1369" s="22"/>
      <c r="T1369" s="22"/>
      <c r="U1369" s="24"/>
      <c r="V1369" s="23"/>
      <c r="W1369" s="100"/>
      <c r="X1369" s="100"/>
      <c r="Y1369" s="100"/>
      <c r="Z1369" s="100"/>
      <c r="AA1369"/>
      <c r="AB1369" s="412"/>
      <c r="AC1369" s="412"/>
      <c r="AD1369" s="412"/>
      <c r="AE1369" s="412"/>
    </row>
    <row r="1370" spans="1:34">
      <c r="A1370" s="358" t="s">
        <v>137</v>
      </c>
      <c r="B1370" s="369">
        <v>1367</v>
      </c>
      <c r="C1370" s="360" t="s">
        <v>1906</v>
      </c>
      <c r="D1370" s="373" t="s">
        <v>83</v>
      </c>
      <c r="E1370" s="373">
        <v>45961</v>
      </c>
      <c r="F1370" s="372" t="s">
        <v>140</v>
      </c>
      <c r="G1370" s="372"/>
      <c r="H1370" s="372" t="s">
        <v>1725</v>
      </c>
      <c r="I1370" s="372" t="s">
        <v>47</v>
      </c>
      <c r="J1370" s="102"/>
      <c r="K1370" s="372"/>
      <c r="L1370" s="358"/>
      <c r="M1370" s="358"/>
      <c r="N1370" s="380"/>
      <c r="O1370" s="380"/>
      <c r="P1370" s="23"/>
      <c r="Q1370" s="23"/>
      <c r="R1370" s="81"/>
      <c r="S1370" s="22"/>
      <c r="T1370" s="22"/>
      <c r="U1370" s="24"/>
      <c r="V1370" s="23"/>
      <c r="W1370" s="100"/>
      <c r="X1370" s="100"/>
      <c r="Y1370" s="100"/>
      <c r="Z1370" s="100"/>
      <c r="AA1370"/>
      <c r="AB1370" s="412"/>
      <c r="AC1370" s="412"/>
      <c r="AD1370" s="412"/>
      <c r="AE1370" s="412"/>
    </row>
    <row r="1371" spans="1:34">
      <c r="A1371" s="358" t="s">
        <v>137</v>
      </c>
      <c r="B1371" s="369">
        <v>1368</v>
      </c>
      <c r="C1371" s="360" t="s">
        <v>1907</v>
      </c>
      <c r="D1371" s="373" t="s">
        <v>43</v>
      </c>
      <c r="E1371" s="373">
        <v>45961</v>
      </c>
      <c r="F1371" s="372" t="s">
        <v>140</v>
      </c>
      <c r="G1371" s="372"/>
      <c r="H1371" s="372" t="s">
        <v>127</v>
      </c>
      <c r="I1371" s="372" t="s">
        <v>36</v>
      </c>
      <c r="J1371" s="372"/>
      <c r="K1371" s="372"/>
      <c r="L1371" s="358"/>
      <c r="M1371" s="358"/>
      <c r="N1371" s="94"/>
      <c r="O1371" s="247"/>
      <c r="P1371" s="23"/>
      <c r="Q1371" s="23"/>
      <c r="R1371" s="81"/>
      <c r="S1371" s="22"/>
      <c r="T1371" s="22"/>
      <c r="U1371" s="24"/>
      <c r="V1371" s="23"/>
      <c r="W1371" s="100"/>
      <c r="X1371" s="100"/>
      <c r="Y1371" s="100"/>
      <c r="Z1371" s="100"/>
      <c r="AA1371"/>
    </row>
    <row r="1372" spans="1:34">
      <c r="A1372" s="358" t="s">
        <v>137</v>
      </c>
      <c r="B1372" s="369">
        <v>1369</v>
      </c>
      <c r="C1372" s="360" t="s">
        <v>1909</v>
      </c>
      <c r="D1372" s="373" t="s">
        <v>374</v>
      </c>
      <c r="E1372" s="373">
        <v>45961</v>
      </c>
      <c r="F1372" s="372" t="s">
        <v>140</v>
      </c>
      <c r="G1372" s="372"/>
      <c r="H1372" s="372" t="s">
        <v>127</v>
      </c>
      <c r="I1372" s="372" t="s">
        <v>36</v>
      </c>
      <c r="J1372" s="102"/>
      <c r="K1372" s="372"/>
      <c r="L1372" s="248"/>
      <c r="M1372" s="358"/>
      <c r="N1372" s="94"/>
      <c r="O1372" s="380"/>
      <c r="P1372" s="23"/>
      <c r="Q1372" s="23"/>
      <c r="R1372" s="81"/>
      <c r="S1372" s="22"/>
      <c r="T1372" s="22"/>
      <c r="U1372" s="24"/>
      <c r="V1372" s="23"/>
      <c r="W1372" s="100"/>
      <c r="X1372" s="100"/>
      <c r="Y1372" s="100"/>
      <c r="Z1372" s="106"/>
      <c r="AA1372"/>
    </row>
    <row r="1373" spans="1:34">
      <c r="A1373" s="358" t="s">
        <v>137</v>
      </c>
      <c r="B1373" s="369">
        <v>1370</v>
      </c>
      <c r="C1373" s="360" t="s">
        <v>1910</v>
      </c>
      <c r="D1373" s="373" t="s">
        <v>64</v>
      </c>
      <c r="E1373" s="373">
        <v>45961</v>
      </c>
      <c r="F1373" s="372" t="s">
        <v>140</v>
      </c>
      <c r="G1373" s="372"/>
      <c r="H1373" s="372" t="s">
        <v>1077</v>
      </c>
      <c r="I1373" s="372" t="s">
        <v>1138</v>
      </c>
      <c r="J1373" s="372"/>
      <c r="K1373" s="372"/>
      <c r="L1373" s="358"/>
      <c r="M1373" s="358"/>
      <c r="N1373" s="380"/>
      <c r="O1373" s="380"/>
      <c r="P1373" s="23"/>
      <c r="Q1373" s="23"/>
      <c r="R1373" s="81"/>
      <c r="S1373" s="22"/>
      <c r="T1373" s="22"/>
      <c r="U1373" s="24"/>
      <c r="V1373" s="23"/>
      <c r="W1373" s="100"/>
      <c r="X1373" s="100"/>
      <c r="Y1373" s="100"/>
      <c r="Z1373" s="100"/>
      <c r="AA1373"/>
    </row>
    <row r="1374" spans="1:34">
      <c r="A1374" s="358" t="s">
        <v>137</v>
      </c>
      <c r="B1374" s="369">
        <v>1371</v>
      </c>
      <c r="C1374" s="360" t="s">
        <v>1911</v>
      </c>
      <c r="D1374" s="373" t="s">
        <v>43</v>
      </c>
      <c r="E1374" s="373">
        <v>45961</v>
      </c>
      <c r="F1374" s="372" t="s">
        <v>140</v>
      </c>
      <c r="G1374" s="372"/>
      <c r="H1374" s="372" t="s">
        <v>1077</v>
      </c>
      <c r="I1374" s="372" t="s">
        <v>1138</v>
      </c>
      <c r="J1374" s="372"/>
      <c r="K1374" s="372"/>
      <c r="L1374" s="358"/>
      <c r="M1374" s="358"/>
      <c r="N1374" s="94"/>
      <c r="O1374" s="247"/>
      <c r="P1374" s="23"/>
      <c r="Q1374" s="23"/>
      <c r="R1374" s="81"/>
      <c r="S1374" s="22"/>
      <c r="T1374" s="22"/>
      <c r="U1374" s="24"/>
      <c r="V1374" s="23"/>
      <c r="W1374" s="95"/>
      <c r="X1374" s="95"/>
      <c r="Y1374" s="100"/>
      <c r="Z1374" s="106"/>
      <c r="AA1374"/>
    </row>
    <row r="1375" spans="1:34">
      <c r="A1375" s="358" t="s">
        <v>137</v>
      </c>
      <c r="B1375" s="369">
        <v>1372</v>
      </c>
      <c r="C1375" s="360" t="s">
        <v>1913</v>
      </c>
      <c r="D1375" s="372" t="s">
        <v>43</v>
      </c>
      <c r="E1375" s="373">
        <v>45961</v>
      </c>
      <c r="F1375" s="372" t="s">
        <v>140</v>
      </c>
      <c r="G1375" s="372"/>
      <c r="H1375" s="383" t="s">
        <v>127</v>
      </c>
      <c r="I1375" s="383" t="s">
        <v>36</v>
      </c>
      <c r="J1375" s="360"/>
      <c r="K1375" s="372"/>
      <c r="L1375" s="358"/>
      <c r="M1375" s="358"/>
      <c r="N1375" s="94"/>
      <c r="O1375" s="380"/>
      <c r="P1375" s="23"/>
      <c r="Q1375" s="23"/>
      <c r="R1375" s="81"/>
      <c r="S1375" s="22"/>
      <c r="T1375" s="22"/>
      <c r="U1375" s="24"/>
      <c r="V1375" s="23"/>
      <c r="W1375" s="100"/>
      <c r="X1375" s="100"/>
      <c r="Y1375" s="100"/>
      <c r="Z1375" s="100"/>
      <c r="AA1375"/>
    </row>
    <row r="1376" spans="1:34">
      <c r="A1376" s="358" t="s">
        <v>137</v>
      </c>
      <c r="B1376" s="369">
        <v>1373</v>
      </c>
      <c r="C1376" s="360" t="s">
        <v>1914</v>
      </c>
      <c r="D1376" s="372" t="s">
        <v>1937</v>
      </c>
      <c r="E1376" s="373">
        <v>45961</v>
      </c>
      <c r="F1376" s="372" t="s">
        <v>140</v>
      </c>
      <c r="G1376" s="372"/>
      <c r="H1376" s="372" t="s">
        <v>127</v>
      </c>
      <c r="I1376" s="372" t="s">
        <v>36</v>
      </c>
      <c r="J1376" s="358"/>
      <c r="K1376" s="372"/>
      <c r="L1376" s="358"/>
      <c r="M1376" s="358"/>
      <c r="N1376" s="380"/>
      <c r="O1376" s="247"/>
      <c r="P1376" s="23"/>
      <c r="Q1376" s="23"/>
      <c r="R1376" s="81"/>
      <c r="S1376" s="22"/>
      <c r="T1376" s="22"/>
      <c r="U1376" s="24"/>
      <c r="V1376" s="23"/>
      <c r="W1376" s="82"/>
      <c r="X1376" s="100"/>
      <c r="Y1376" s="100"/>
      <c r="Z1376" s="106"/>
      <c r="AA1376"/>
    </row>
    <row r="1377" spans="1:34">
      <c r="A1377" s="358" t="s">
        <v>137</v>
      </c>
      <c r="B1377" s="369">
        <v>1374</v>
      </c>
      <c r="C1377" s="360" t="s">
        <v>1915</v>
      </c>
      <c r="D1377" s="372" t="s">
        <v>43</v>
      </c>
      <c r="E1377" s="373">
        <v>45961</v>
      </c>
      <c r="F1377" s="372" t="s">
        <v>140</v>
      </c>
      <c r="G1377" s="372"/>
      <c r="H1377" s="372" t="s">
        <v>1721</v>
      </c>
      <c r="I1377" s="372" t="s">
        <v>1638</v>
      </c>
      <c r="J1377" s="372"/>
      <c r="K1377" s="372"/>
      <c r="L1377" s="358"/>
      <c r="M1377" s="22"/>
      <c r="N1377" s="23"/>
      <c r="O1377" s="380"/>
      <c r="P1377" s="23"/>
      <c r="Q1377" s="23"/>
      <c r="R1377" s="81"/>
      <c r="S1377" s="22"/>
      <c r="T1377" s="22"/>
      <c r="U1377" s="24"/>
      <c r="V1377" s="23"/>
      <c r="W1377" s="100"/>
      <c r="X1377" s="100"/>
      <c r="Y1377" s="100"/>
      <c r="Z1377" s="100"/>
      <c r="AA1377"/>
    </row>
    <row r="1378" spans="1:34">
      <c r="A1378" s="358" t="s">
        <v>137</v>
      </c>
      <c r="B1378" s="369">
        <v>1375</v>
      </c>
      <c r="C1378" s="360" t="s">
        <v>1916</v>
      </c>
      <c r="D1378" s="372" t="s">
        <v>34</v>
      </c>
      <c r="E1378" s="373">
        <v>45961</v>
      </c>
      <c r="F1378" s="372" t="s">
        <v>140</v>
      </c>
      <c r="G1378" s="372"/>
      <c r="H1378" s="372" t="s">
        <v>127</v>
      </c>
      <c r="I1378" s="372" t="s">
        <v>36</v>
      </c>
      <c r="J1378" s="372"/>
      <c r="K1378" s="372"/>
      <c r="L1378" s="248"/>
      <c r="M1378" s="22"/>
      <c r="N1378" s="23"/>
      <c r="O1378" s="247"/>
      <c r="P1378" s="380"/>
      <c r="Q1378" s="23"/>
      <c r="R1378" s="81"/>
      <c r="S1378" s="22"/>
      <c r="T1378" s="22"/>
      <c r="U1378" s="24"/>
      <c r="V1378" s="23"/>
      <c r="W1378" s="100"/>
      <c r="X1378" s="100"/>
      <c r="Y1378" s="100"/>
      <c r="Z1378" s="100"/>
      <c r="AA1378"/>
      <c r="AB1378" s="412"/>
      <c r="AC1378" s="412"/>
      <c r="AD1378" s="412"/>
      <c r="AE1378" s="412"/>
    </row>
    <row r="1379" spans="1:34">
      <c r="A1379" s="358" t="s">
        <v>137</v>
      </c>
      <c r="B1379" s="369">
        <v>1376</v>
      </c>
      <c r="C1379" s="360" t="s">
        <v>1895</v>
      </c>
      <c r="D1379" s="372" t="s">
        <v>43</v>
      </c>
      <c r="E1379" s="373">
        <v>45961</v>
      </c>
      <c r="F1379" s="372" t="s">
        <v>140</v>
      </c>
      <c r="G1379" s="372"/>
      <c r="H1379" s="372" t="s">
        <v>127</v>
      </c>
      <c r="I1379" s="372" t="s">
        <v>36</v>
      </c>
      <c r="J1379" s="372"/>
      <c r="K1379" s="372"/>
      <c r="L1379" s="358"/>
      <c r="M1379" s="22"/>
      <c r="N1379" s="23"/>
      <c r="O1379" s="380"/>
      <c r="P1379" s="23"/>
      <c r="Q1379" s="23"/>
      <c r="R1379" s="81"/>
      <c r="S1379" s="22"/>
      <c r="T1379" s="22"/>
      <c r="U1379" s="24"/>
      <c r="V1379" s="23"/>
      <c r="W1379" s="100"/>
      <c r="X1379" s="100"/>
      <c r="Y1379" s="100"/>
      <c r="Z1379" s="100"/>
      <c r="AA1379"/>
      <c r="AB1379" s="412"/>
      <c r="AC1379" s="412"/>
      <c r="AD1379" s="412"/>
      <c r="AE1379" s="412"/>
    </row>
    <row r="1380" spans="1:34">
      <c r="A1380" s="358" t="s">
        <v>137</v>
      </c>
      <c r="B1380" s="369">
        <v>1377</v>
      </c>
      <c r="C1380" s="360" t="s">
        <v>1896</v>
      </c>
      <c r="D1380" s="372" t="s">
        <v>34</v>
      </c>
      <c r="E1380" s="373">
        <v>45961</v>
      </c>
      <c r="F1380" s="372" t="s">
        <v>140</v>
      </c>
      <c r="G1380" s="372"/>
      <c r="H1380" s="372" t="s">
        <v>127</v>
      </c>
      <c r="I1380" s="372" t="s">
        <v>36</v>
      </c>
      <c r="J1380" s="102"/>
      <c r="K1380" s="372"/>
      <c r="L1380" s="358"/>
      <c r="M1380" s="22"/>
      <c r="N1380" s="23"/>
      <c r="O1380" s="380"/>
      <c r="P1380" s="23"/>
      <c r="Q1380" s="23"/>
      <c r="R1380" s="81"/>
      <c r="S1380" s="22"/>
      <c r="T1380" s="22"/>
      <c r="U1380" s="24"/>
      <c r="V1380" s="23"/>
      <c r="W1380" s="100"/>
      <c r="X1380" s="82"/>
      <c r="Y1380" s="100"/>
      <c r="Z1380" s="100"/>
      <c r="AA1380"/>
      <c r="AB1380" s="412"/>
      <c r="AC1380" s="412"/>
      <c r="AD1380" s="412"/>
      <c r="AE1380" s="412"/>
    </row>
    <row r="1381" spans="1:34">
      <c r="A1381" s="358" t="s">
        <v>137</v>
      </c>
      <c r="B1381" s="369">
        <v>1378</v>
      </c>
      <c r="C1381" s="360" t="s">
        <v>1897</v>
      </c>
      <c r="D1381" s="372" t="s">
        <v>34</v>
      </c>
      <c r="E1381" s="373">
        <v>45961</v>
      </c>
      <c r="F1381" s="372" t="s">
        <v>140</v>
      </c>
      <c r="G1381" s="372"/>
      <c r="H1381" s="372" t="s">
        <v>1721</v>
      </c>
      <c r="I1381" s="372" t="s">
        <v>1638</v>
      </c>
      <c r="J1381" s="372"/>
      <c r="K1381" s="372"/>
      <c r="L1381" s="248"/>
      <c r="M1381" s="22"/>
      <c r="N1381" s="23"/>
      <c r="O1381" s="380"/>
      <c r="P1381" s="23"/>
      <c r="Q1381" s="23"/>
      <c r="R1381" s="81"/>
      <c r="S1381" s="22"/>
      <c r="T1381" s="22"/>
      <c r="U1381" s="24"/>
      <c r="V1381" s="23"/>
      <c r="W1381" s="100"/>
      <c r="X1381" s="100"/>
      <c r="Y1381" s="100"/>
      <c r="Z1381" s="100"/>
      <c r="AA1381"/>
    </row>
    <row r="1382" spans="1:34">
      <c r="A1382" s="358" t="s">
        <v>137</v>
      </c>
      <c r="B1382" s="369">
        <v>1379</v>
      </c>
      <c r="C1382" s="360" t="s">
        <v>1899</v>
      </c>
      <c r="D1382" s="372" t="s">
        <v>102</v>
      </c>
      <c r="E1382" s="373">
        <v>45961</v>
      </c>
      <c r="F1382" s="372" t="s">
        <v>140</v>
      </c>
      <c r="G1382" s="372"/>
      <c r="H1382" s="372" t="s">
        <v>1725</v>
      </c>
      <c r="I1382" s="372" t="s">
        <v>47</v>
      </c>
      <c r="J1382" s="372"/>
      <c r="K1382" s="372"/>
      <c r="L1382" s="93"/>
      <c r="M1382" s="22"/>
      <c r="N1382" s="23"/>
      <c r="O1382" s="380"/>
      <c r="P1382" s="23"/>
      <c r="Q1382" s="23"/>
      <c r="R1382" s="81"/>
      <c r="S1382" s="22"/>
      <c r="T1382" s="22"/>
      <c r="U1382" s="24"/>
      <c r="V1382" s="23"/>
      <c r="W1382" s="100"/>
      <c r="X1382" s="100"/>
      <c r="Y1382" s="100"/>
      <c r="Z1382" s="100"/>
      <c r="AA1382"/>
    </row>
    <row r="1383" spans="1:34">
      <c r="A1383" s="358" t="s">
        <v>137</v>
      </c>
      <c r="B1383" s="369">
        <v>1380</v>
      </c>
      <c r="C1383" s="360" t="s">
        <v>1900</v>
      </c>
      <c r="D1383" s="372" t="s">
        <v>102</v>
      </c>
      <c r="E1383" s="373">
        <v>45961</v>
      </c>
      <c r="F1383" s="372" t="s">
        <v>140</v>
      </c>
      <c r="G1383" s="372"/>
      <c r="H1383" s="372" t="s">
        <v>1725</v>
      </c>
      <c r="I1383" s="372" t="s">
        <v>47</v>
      </c>
      <c r="J1383" s="102"/>
      <c r="K1383" s="372"/>
      <c r="L1383" s="220"/>
      <c r="M1383" s="372"/>
      <c r="N1383" s="372"/>
      <c r="O1383" s="372"/>
      <c r="P1383" s="23"/>
      <c r="Q1383" s="23"/>
      <c r="R1383" s="81"/>
      <c r="S1383" s="22"/>
      <c r="T1383" s="22"/>
      <c r="U1383" s="24"/>
      <c r="V1383" s="23"/>
      <c r="W1383" s="82"/>
      <c r="X1383" s="100"/>
      <c r="Y1383" s="100"/>
      <c r="Z1383" s="100"/>
      <c r="AA1383"/>
    </row>
    <row r="1384" spans="1:34">
      <c r="A1384" s="358" t="s">
        <v>137</v>
      </c>
      <c r="B1384" s="369">
        <v>1381</v>
      </c>
      <c r="C1384" s="360" t="s">
        <v>1901</v>
      </c>
      <c r="D1384" s="372" t="s">
        <v>1617</v>
      </c>
      <c r="E1384" s="373">
        <v>45961</v>
      </c>
      <c r="F1384" s="372" t="s">
        <v>140</v>
      </c>
      <c r="G1384" s="372"/>
      <c r="H1384" s="372" t="s">
        <v>1725</v>
      </c>
      <c r="I1384" s="372" t="s">
        <v>47</v>
      </c>
      <c r="J1384" s="102"/>
      <c r="K1384" s="372"/>
      <c r="L1384" s="248"/>
      <c r="M1384" s="22"/>
      <c r="N1384" s="23"/>
      <c r="O1384" s="247"/>
      <c r="P1384" s="23"/>
      <c r="Q1384" s="23"/>
      <c r="R1384" s="81"/>
      <c r="S1384" s="22"/>
      <c r="T1384" s="22"/>
      <c r="U1384" s="24"/>
      <c r="V1384" s="23"/>
      <c r="W1384" s="95"/>
      <c r="X1384" s="82"/>
      <c r="Y1384" s="100"/>
      <c r="Z1384" s="106"/>
      <c r="AA1384"/>
    </row>
    <row r="1385" spans="1:34">
      <c r="A1385" s="358" t="s">
        <v>137</v>
      </c>
      <c r="B1385" s="369">
        <v>1382</v>
      </c>
      <c r="C1385" s="360" t="s">
        <v>1903</v>
      </c>
      <c r="D1385" s="372" t="s">
        <v>178</v>
      </c>
      <c r="E1385" s="373">
        <v>45961</v>
      </c>
      <c r="F1385" s="372" t="s">
        <v>140</v>
      </c>
      <c r="G1385" s="372"/>
      <c r="H1385" s="372" t="s">
        <v>1725</v>
      </c>
      <c r="I1385" s="372" t="s">
        <v>47</v>
      </c>
      <c r="J1385" s="372"/>
      <c r="K1385" s="372"/>
      <c r="L1385" s="358"/>
      <c r="M1385" s="22"/>
      <c r="N1385" s="23"/>
      <c r="O1385" s="380"/>
      <c r="P1385" s="23"/>
      <c r="Q1385" s="23"/>
      <c r="R1385" s="81"/>
      <c r="S1385" s="22"/>
      <c r="T1385" s="22"/>
      <c r="U1385" s="24"/>
      <c r="V1385" s="23"/>
      <c r="W1385" s="82"/>
      <c r="X1385" s="82"/>
      <c r="Y1385" s="82"/>
      <c r="Z1385" s="100"/>
      <c r="AA1385"/>
    </row>
    <row r="1386" spans="1:34">
      <c r="A1386" s="358" t="s">
        <v>137</v>
      </c>
      <c r="B1386" s="369">
        <v>1383</v>
      </c>
      <c r="C1386" s="360" t="s">
        <v>1905</v>
      </c>
      <c r="D1386" s="372" t="s">
        <v>1617</v>
      </c>
      <c r="E1386" s="373">
        <v>45961</v>
      </c>
      <c r="F1386" s="372" t="s">
        <v>140</v>
      </c>
      <c r="G1386" s="372"/>
      <c r="H1386" s="372" t="s">
        <v>1725</v>
      </c>
      <c r="I1386" s="372" t="s">
        <v>47</v>
      </c>
      <c r="J1386" s="102"/>
      <c r="K1386" s="372"/>
      <c r="L1386" s="21"/>
      <c r="M1386" s="22"/>
      <c r="N1386" s="23"/>
      <c r="O1386" s="380"/>
      <c r="P1386" s="380"/>
      <c r="Q1386" s="23"/>
      <c r="R1386" s="81"/>
      <c r="S1386" s="22"/>
      <c r="T1386" s="22"/>
      <c r="U1386" s="24"/>
      <c r="V1386" s="23"/>
      <c r="W1386" s="82"/>
      <c r="X1386" s="82"/>
      <c r="Y1386" s="82"/>
      <c r="Z1386" s="82"/>
      <c r="AA1386"/>
    </row>
    <row r="1387" spans="1:34">
      <c r="A1387" s="358" t="s">
        <v>137</v>
      </c>
      <c r="B1387" s="369">
        <v>1384</v>
      </c>
      <c r="C1387" s="360" t="s">
        <v>1906</v>
      </c>
      <c r="D1387" s="372" t="s">
        <v>34</v>
      </c>
      <c r="E1387" s="373">
        <v>45961</v>
      </c>
      <c r="F1387" s="372" t="s">
        <v>140</v>
      </c>
      <c r="G1387" s="372"/>
      <c r="H1387" s="372" t="s">
        <v>1077</v>
      </c>
      <c r="I1387" s="372" t="s">
        <v>1138</v>
      </c>
      <c r="J1387" s="372"/>
      <c r="K1387" s="372"/>
      <c r="L1387" s="248"/>
      <c r="M1387" s="22"/>
      <c r="N1387" s="23"/>
      <c r="O1387" s="380"/>
      <c r="P1387" s="380"/>
      <c r="Q1387" s="23"/>
      <c r="R1387" s="81"/>
      <c r="S1387" s="22"/>
      <c r="T1387" s="22"/>
      <c r="U1387" s="24"/>
      <c r="V1387" s="23"/>
      <c r="W1387" s="100"/>
      <c r="X1387" s="100"/>
      <c r="Y1387" s="100"/>
      <c r="Z1387" s="100"/>
      <c r="AA1387"/>
    </row>
    <row r="1388" spans="1:34">
      <c r="A1388" s="358" t="s">
        <v>137</v>
      </c>
      <c r="B1388" s="369">
        <v>1385</v>
      </c>
      <c r="C1388" s="360" t="s">
        <v>1907</v>
      </c>
      <c r="D1388" s="372" t="s">
        <v>34</v>
      </c>
      <c r="E1388" s="373">
        <v>45961</v>
      </c>
      <c r="F1388" s="372" t="s">
        <v>140</v>
      </c>
      <c r="G1388" s="372"/>
      <c r="H1388" s="372" t="s">
        <v>1721</v>
      </c>
      <c r="I1388" s="372" t="s">
        <v>1638</v>
      </c>
      <c r="J1388" s="372"/>
      <c r="K1388" s="372"/>
      <c r="L1388" s="21"/>
      <c r="M1388" s="22"/>
      <c r="N1388" s="23"/>
      <c r="O1388" s="380"/>
      <c r="P1388" s="380"/>
      <c r="Q1388" s="23"/>
      <c r="R1388" s="81"/>
      <c r="S1388" s="22"/>
      <c r="T1388" s="22"/>
      <c r="U1388" s="24"/>
      <c r="V1388" s="23"/>
      <c r="W1388" s="100"/>
      <c r="X1388" s="100"/>
      <c r="Y1388" s="100"/>
      <c r="Z1388" s="100"/>
      <c r="AA1388"/>
    </row>
    <row r="1389" spans="1:34">
      <c r="A1389" s="358" t="s">
        <v>137</v>
      </c>
      <c r="B1389" s="369">
        <v>1386</v>
      </c>
      <c r="C1389" s="360" t="s">
        <v>1909</v>
      </c>
      <c r="D1389" s="372" t="s">
        <v>64</v>
      </c>
      <c r="E1389" s="373">
        <v>45961</v>
      </c>
      <c r="F1389" s="372" t="s">
        <v>140</v>
      </c>
      <c r="G1389" s="372"/>
      <c r="H1389" s="372" t="s">
        <v>1721</v>
      </c>
      <c r="I1389" s="372" t="s">
        <v>1638</v>
      </c>
      <c r="J1389" s="372"/>
      <c r="K1389" s="372"/>
      <c r="L1389" s="372"/>
      <c r="M1389" s="22"/>
      <c r="N1389" s="23"/>
      <c r="O1389" s="380"/>
      <c r="P1389" s="23"/>
      <c r="Q1389" s="23"/>
      <c r="R1389" s="81"/>
      <c r="S1389" s="22"/>
      <c r="T1389" s="22"/>
      <c r="U1389" s="24"/>
      <c r="V1389" s="23"/>
      <c r="W1389" s="100"/>
      <c r="X1389" s="100"/>
      <c r="Y1389" s="100"/>
      <c r="Z1389" s="100"/>
      <c r="AA1389"/>
      <c r="AB1389" s="412"/>
      <c r="AC1389" s="412"/>
      <c r="AD1389" s="412"/>
      <c r="AE1389" s="412"/>
    </row>
    <row r="1390" spans="1:34">
      <c r="A1390" s="358" t="s">
        <v>137</v>
      </c>
      <c r="B1390" s="369">
        <v>1387</v>
      </c>
      <c r="C1390" s="360" t="s">
        <v>1910</v>
      </c>
      <c r="D1390" s="372" t="s">
        <v>34</v>
      </c>
      <c r="E1390" s="373">
        <v>45961</v>
      </c>
      <c r="F1390" s="372" t="s">
        <v>140</v>
      </c>
      <c r="G1390" s="372"/>
      <c r="H1390" s="372" t="s">
        <v>1721</v>
      </c>
      <c r="I1390" s="372" t="s">
        <v>1638</v>
      </c>
      <c r="J1390" s="372"/>
      <c r="K1390" s="372"/>
      <c r="L1390" s="220"/>
      <c r="M1390" s="22"/>
      <c r="N1390" s="23"/>
      <c r="O1390" s="380"/>
      <c r="P1390" s="23"/>
      <c r="Q1390" s="23"/>
      <c r="R1390" s="81"/>
      <c r="S1390" s="22"/>
      <c r="T1390" s="22"/>
      <c r="U1390" s="24"/>
      <c r="V1390" s="23"/>
      <c r="W1390" s="100"/>
      <c r="X1390" s="100"/>
      <c r="Y1390" s="82"/>
      <c r="Z1390" s="100"/>
      <c r="AA1390"/>
      <c r="AB1390" s="412"/>
      <c r="AC1390" s="412"/>
      <c r="AD1390" s="412"/>
      <c r="AE1390" s="412"/>
    </row>
    <row r="1391" spans="1:34">
      <c r="A1391" s="358" t="s">
        <v>137</v>
      </c>
      <c r="B1391" s="369">
        <v>1388</v>
      </c>
      <c r="C1391" s="360" t="s">
        <v>1911</v>
      </c>
      <c r="D1391" s="372" t="s">
        <v>50</v>
      </c>
      <c r="E1391" s="373">
        <v>45961</v>
      </c>
      <c r="F1391" s="372" t="s">
        <v>140</v>
      </c>
      <c r="G1391" s="372"/>
      <c r="H1391" s="372" t="s">
        <v>127</v>
      </c>
      <c r="I1391" s="372" t="s">
        <v>36</v>
      </c>
      <c r="J1391" s="372"/>
      <c r="K1391" s="372"/>
      <c r="L1391" s="220"/>
      <c r="M1391" s="22"/>
      <c r="N1391" s="23"/>
      <c r="O1391" s="380"/>
      <c r="P1391" s="23"/>
      <c r="Q1391" s="23"/>
      <c r="R1391" s="81"/>
      <c r="S1391" s="22"/>
      <c r="T1391" s="22"/>
      <c r="U1391" s="24"/>
      <c r="V1391" s="23"/>
      <c r="W1391" s="82"/>
      <c r="X1391" s="82"/>
      <c r="Y1391" s="82"/>
      <c r="Z1391" s="82"/>
      <c r="AA1391"/>
      <c r="AF1391" s="72"/>
      <c r="AG1391" s="96"/>
      <c r="AH1391" s="96"/>
    </row>
    <row r="1392" spans="1:34">
      <c r="A1392" s="358" t="s">
        <v>137</v>
      </c>
      <c r="B1392" s="369">
        <v>1389</v>
      </c>
      <c r="C1392" s="360" t="s">
        <v>1913</v>
      </c>
      <c r="D1392" s="372" t="s">
        <v>102</v>
      </c>
      <c r="E1392" s="373">
        <v>45961</v>
      </c>
      <c r="F1392" s="372" t="s">
        <v>140</v>
      </c>
      <c r="G1392" s="372"/>
      <c r="H1392" s="372" t="s">
        <v>1077</v>
      </c>
      <c r="I1392" s="372" t="s">
        <v>1138</v>
      </c>
      <c r="J1392" s="372"/>
      <c r="K1392" s="372"/>
      <c r="L1392" s="220"/>
      <c r="M1392" s="22"/>
      <c r="N1392" s="23"/>
      <c r="O1392" s="380"/>
      <c r="P1392" s="23"/>
      <c r="Q1392" s="23"/>
      <c r="R1392" s="81"/>
      <c r="S1392" s="22"/>
      <c r="T1392" s="22"/>
      <c r="U1392" s="24"/>
      <c r="V1392" s="23"/>
      <c r="W1392" s="82"/>
      <c r="X1392" s="82"/>
      <c r="Y1392" s="100"/>
      <c r="Z1392" s="100"/>
      <c r="AA1392"/>
      <c r="AB1392" s="412"/>
      <c r="AC1392" s="412"/>
      <c r="AD1392" s="412"/>
      <c r="AE1392" s="412"/>
    </row>
    <row r="1393" spans="1:34">
      <c r="A1393" s="358" t="s">
        <v>137</v>
      </c>
      <c r="B1393" s="369">
        <v>1390</v>
      </c>
      <c r="C1393" s="360" t="s">
        <v>1914</v>
      </c>
      <c r="D1393" s="372" t="s">
        <v>406</v>
      </c>
      <c r="E1393" s="373">
        <v>45961</v>
      </c>
      <c r="F1393" s="372" t="s">
        <v>140</v>
      </c>
      <c r="G1393" s="372"/>
      <c r="H1393" s="372" t="s">
        <v>1721</v>
      </c>
      <c r="I1393" s="372" t="s">
        <v>1638</v>
      </c>
      <c r="J1393" s="102"/>
      <c r="K1393" s="372"/>
      <c r="L1393" s="248"/>
      <c r="M1393" s="22"/>
      <c r="N1393" s="23"/>
      <c r="O1393" s="247"/>
      <c r="P1393" s="23"/>
      <c r="Q1393" s="23"/>
      <c r="R1393" s="81"/>
      <c r="S1393" s="22"/>
      <c r="T1393" s="22"/>
      <c r="U1393" s="24"/>
      <c r="V1393" s="23"/>
      <c r="W1393" s="82"/>
      <c r="X1393" s="82"/>
      <c r="Y1393" s="82"/>
      <c r="Z1393" s="82"/>
      <c r="AA1393"/>
      <c r="AB1393" s="412"/>
      <c r="AC1393" s="412"/>
      <c r="AD1393" s="412"/>
      <c r="AE1393" s="412"/>
    </row>
    <row r="1394" spans="1:34">
      <c r="A1394" s="358" t="s">
        <v>137</v>
      </c>
      <c r="B1394" s="369">
        <v>1391</v>
      </c>
      <c r="C1394" s="360" t="s">
        <v>1915</v>
      </c>
      <c r="D1394" s="372" t="s">
        <v>43</v>
      </c>
      <c r="E1394" s="373">
        <v>45961</v>
      </c>
      <c r="F1394" s="372" t="s">
        <v>140</v>
      </c>
      <c r="G1394" s="372"/>
      <c r="H1394" s="372" t="s">
        <v>1721</v>
      </c>
      <c r="I1394" s="372" t="s">
        <v>1638</v>
      </c>
      <c r="J1394" s="372"/>
      <c r="K1394" s="372"/>
      <c r="L1394" s="220"/>
      <c r="M1394" s="22"/>
      <c r="N1394" s="23"/>
      <c r="O1394" s="380"/>
      <c r="P1394" s="23"/>
      <c r="Q1394" s="23"/>
      <c r="R1394" s="81"/>
      <c r="S1394" s="22"/>
      <c r="T1394" s="22"/>
      <c r="U1394" s="24"/>
      <c r="V1394" s="23"/>
      <c r="W1394" s="82"/>
      <c r="X1394" s="100"/>
      <c r="Y1394" s="100"/>
      <c r="Z1394" s="82"/>
      <c r="AA1394"/>
    </row>
    <row r="1395" spans="1:34">
      <c r="A1395" s="358" t="s">
        <v>137</v>
      </c>
      <c r="B1395" s="369">
        <v>1392</v>
      </c>
      <c r="C1395" s="360" t="s">
        <v>1916</v>
      </c>
      <c r="D1395" s="372" t="s">
        <v>43</v>
      </c>
      <c r="E1395" s="373">
        <v>45961</v>
      </c>
      <c r="F1395" s="372" t="s">
        <v>140</v>
      </c>
      <c r="G1395" s="372"/>
      <c r="H1395" s="372" t="s">
        <v>1721</v>
      </c>
      <c r="I1395" s="372" t="s">
        <v>1638</v>
      </c>
      <c r="J1395" s="372"/>
      <c r="K1395" s="372"/>
      <c r="L1395" s="220"/>
      <c r="M1395" s="22"/>
      <c r="N1395" s="23"/>
      <c r="O1395" s="380"/>
      <c r="P1395" s="23"/>
      <c r="Q1395" s="23"/>
      <c r="R1395" s="81"/>
      <c r="S1395" s="22"/>
      <c r="T1395" s="22"/>
      <c r="U1395" s="24"/>
      <c r="V1395" s="23"/>
      <c r="W1395" s="82"/>
      <c r="X1395" s="82"/>
      <c r="Y1395" s="82"/>
      <c r="Z1395" s="82"/>
      <c r="AA1395"/>
    </row>
    <row r="1396" spans="1:34">
      <c r="A1396" s="358" t="s">
        <v>137</v>
      </c>
      <c r="B1396" s="369">
        <v>1393</v>
      </c>
      <c r="C1396" s="360" t="s">
        <v>1895</v>
      </c>
      <c r="D1396" s="372" t="s">
        <v>1965</v>
      </c>
      <c r="E1396" s="373">
        <v>45961</v>
      </c>
      <c r="F1396" s="372" t="s">
        <v>140</v>
      </c>
      <c r="G1396" s="372"/>
      <c r="H1396" s="372" t="s">
        <v>1077</v>
      </c>
      <c r="I1396" s="372" t="s">
        <v>1138</v>
      </c>
      <c r="J1396" s="372"/>
      <c r="K1396" s="372"/>
      <c r="L1396" s="220"/>
      <c r="M1396" s="22"/>
      <c r="N1396" s="23"/>
      <c r="O1396" s="247"/>
      <c r="P1396" s="380"/>
      <c r="Q1396" s="23"/>
      <c r="R1396" s="81"/>
      <c r="S1396" s="22"/>
      <c r="T1396" s="22"/>
      <c r="U1396" s="24"/>
      <c r="V1396" s="23"/>
      <c r="W1396" s="100"/>
      <c r="X1396" s="100"/>
      <c r="Y1396" s="100"/>
      <c r="Z1396" s="100"/>
      <c r="AA1396"/>
    </row>
    <row r="1397" spans="1:34">
      <c r="A1397" s="358" t="s">
        <v>137</v>
      </c>
      <c r="B1397" s="369">
        <v>1394</v>
      </c>
      <c r="C1397" s="360" t="s">
        <v>1896</v>
      </c>
      <c r="D1397" s="372" t="s">
        <v>43</v>
      </c>
      <c r="E1397" s="373">
        <v>45961</v>
      </c>
      <c r="F1397" s="372" t="s">
        <v>140</v>
      </c>
      <c r="G1397" s="372"/>
      <c r="H1397" s="372" t="s">
        <v>127</v>
      </c>
      <c r="I1397" s="372" t="s">
        <v>36</v>
      </c>
      <c r="J1397" s="372"/>
      <c r="K1397" s="372"/>
      <c r="L1397" s="220"/>
      <c r="M1397" s="22"/>
      <c r="N1397" s="23"/>
      <c r="O1397" s="247"/>
      <c r="P1397" s="23"/>
      <c r="Q1397" s="23"/>
      <c r="R1397" s="81"/>
      <c r="S1397" s="22"/>
      <c r="T1397" s="22"/>
      <c r="U1397" s="24"/>
      <c r="V1397" s="23"/>
      <c r="W1397" s="95"/>
      <c r="X1397" s="95"/>
      <c r="Y1397" s="100"/>
      <c r="Z1397" s="106"/>
      <c r="AA1397"/>
    </row>
    <row r="1398" spans="1:34">
      <c r="A1398" s="358" t="s">
        <v>137</v>
      </c>
      <c r="B1398" s="369">
        <v>1395</v>
      </c>
      <c r="C1398" s="360" t="s">
        <v>1897</v>
      </c>
      <c r="D1398" s="372" t="s">
        <v>26</v>
      </c>
      <c r="E1398" s="373">
        <v>45961</v>
      </c>
      <c r="F1398" s="372" t="s">
        <v>140</v>
      </c>
      <c r="G1398" s="372"/>
      <c r="H1398" s="372" t="s">
        <v>1077</v>
      </c>
      <c r="I1398" s="372" t="s">
        <v>1138</v>
      </c>
      <c r="J1398" s="372"/>
      <c r="K1398" s="372"/>
      <c r="L1398" s="358"/>
      <c r="M1398" s="22"/>
      <c r="N1398" s="23"/>
      <c r="O1398" s="380"/>
      <c r="P1398" s="23"/>
      <c r="Q1398" s="23"/>
      <c r="R1398" s="81"/>
      <c r="S1398" s="22"/>
      <c r="T1398" s="22"/>
      <c r="U1398" s="24"/>
      <c r="V1398" s="23"/>
      <c r="W1398" s="82"/>
      <c r="X1398" s="100"/>
      <c r="Y1398" s="100"/>
      <c r="Z1398" s="82"/>
      <c r="AA1398"/>
    </row>
    <row r="1399" spans="1:34">
      <c r="A1399" s="358" t="s">
        <v>137</v>
      </c>
      <c r="B1399" s="369">
        <v>1396</v>
      </c>
      <c r="C1399" s="360" t="s">
        <v>1899</v>
      </c>
      <c r="D1399" s="372" t="s">
        <v>50</v>
      </c>
      <c r="E1399" s="373">
        <v>45961</v>
      </c>
      <c r="F1399" s="372" t="s">
        <v>140</v>
      </c>
      <c r="G1399" s="372"/>
      <c r="H1399" s="372" t="s">
        <v>1077</v>
      </c>
      <c r="I1399" s="372" t="s">
        <v>1138</v>
      </c>
      <c r="J1399" s="372"/>
      <c r="K1399" s="372"/>
      <c r="L1399" s="358"/>
      <c r="M1399" s="22"/>
      <c r="N1399" s="23"/>
      <c r="O1399" s="247"/>
      <c r="P1399" s="23"/>
      <c r="Q1399" s="23"/>
      <c r="R1399" s="81"/>
      <c r="S1399" s="22"/>
      <c r="T1399" s="22"/>
      <c r="U1399" s="24"/>
      <c r="V1399" s="23"/>
      <c r="W1399" s="95"/>
      <c r="X1399" s="82"/>
      <c r="Y1399" s="82"/>
      <c r="Z1399" s="106"/>
      <c r="AA1399"/>
    </row>
    <row r="1400" spans="1:34">
      <c r="A1400" s="358" t="s">
        <v>137</v>
      </c>
      <c r="B1400" s="369">
        <v>1397</v>
      </c>
      <c r="C1400" s="360" t="s">
        <v>1900</v>
      </c>
      <c r="D1400" s="372" t="s">
        <v>1131</v>
      </c>
      <c r="E1400" s="373">
        <v>45961</v>
      </c>
      <c r="F1400" s="372" t="s">
        <v>140</v>
      </c>
      <c r="G1400" s="372"/>
      <c r="H1400" s="372" t="s">
        <v>1721</v>
      </c>
      <c r="I1400" s="372" t="s">
        <v>1638</v>
      </c>
      <c r="J1400" s="372"/>
      <c r="K1400" s="372"/>
      <c r="L1400" s="21"/>
      <c r="M1400" s="22"/>
      <c r="N1400" s="23"/>
      <c r="O1400" s="380"/>
      <c r="P1400" s="23"/>
      <c r="Q1400" s="23"/>
      <c r="R1400" s="81"/>
      <c r="S1400" s="22"/>
      <c r="T1400" s="22"/>
      <c r="U1400" s="24"/>
      <c r="V1400" s="23"/>
      <c r="W1400" s="82"/>
      <c r="X1400" s="82"/>
      <c r="Y1400" s="82"/>
      <c r="Z1400" s="82"/>
      <c r="AA1400"/>
    </row>
    <row r="1401" spans="1:34">
      <c r="A1401" s="358" t="s">
        <v>137</v>
      </c>
      <c r="B1401" s="369">
        <v>1398</v>
      </c>
      <c r="C1401" s="360" t="s">
        <v>1901</v>
      </c>
      <c r="D1401" s="372" t="s">
        <v>102</v>
      </c>
      <c r="E1401" s="373">
        <v>45961</v>
      </c>
      <c r="F1401" s="372" t="s">
        <v>140</v>
      </c>
      <c r="G1401" s="372"/>
      <c r="H1401" s="372" t="s">
        <v>1725</v>
      </c>
      <c r="I1401" s="372" t="s">
        <v>47</v>
      </c>
      <c r="J1401" s="372"/>
      <c r="K1401" s="372"/>
      <c r="L1401" s="21"/>
      <c r="M1401" s="22"/>
      <c r="N1401" s="23"/>
      <c r="O1401" s="247"/>
      <c r="P1401" s="23"/>
      <c r="Q1401" s="23"/>
      <c r="R1401" s="81"/>
      <c r="S1401" s="22"/>
      <c r="T1401" s="22"/>
      <c r="U1401" s="24"/>
      <c r="V1401" s="23"/>
      <c r="W1401" s="82"/>
      <c r="X1401" s="100"/>
      <c r="Y1401" s="100"/>
      <c r="Z1401" s="100"/>
      <c r="AA1401"/>
      <c r="AB1401" s="412"/>
      <c r="AC1401" s="412"/>
      <c r="AD1401" s="412"/>
      <c r="AE1401" s="412"/>
    </row>
    <row r="1402" spans="1:34">
      <c r="A1402" s="358" t="s">
        <v>137</v>
      </c>
      <c r="B1402" s="369">
        <v>1399</v>
      </c>
      <c r="C1402" s="360" t="s">
        <v>1903</v>
      </c>
      <c r="D1402" s="372" t="s">
        <v>43</v>
      </c>
      <c r="E1402" s="373">
        <v>45961</v>
      </c>
      <c r="F1402" s="372" t="s">
        <v>140</v>
      </c>
      <c r="G1402" s="372"/>
      <c r="H1402" s="372" t="s">
        <v>1721</v>
      </c>
      <c r="I1402" s="372" t="s">
        <v>1638</v>
      </c>
      <c r="J1402" s="102"/>
      <c r="K1402" s="372"/>
      <c r="L1402" s="21"/>
      <c r="M1402" s="22"/>
      <c r="N1402" s="23"/>
      <c r="O1402" s="380"/>
      <c r="P1402" s="23"/>
      <c r="Q1402" s="23"/>
      <c r="R1402" s="81"/>
      <c r="S1402" s="22"/>
      <c r="T1402" s="22"/>
      <c r="U1402" s="24"/>
      <c r="V1402" s="23"/>
      <c r="W1402" s="82"/>
      <c r="X1402" s="82"/>
      <c r="Y1402" s="82"/>
      <c r="Z1402" s="82"/>
      <c r="AA1402"/>
      <c r="AF1402" s="72"/>
      <c r="AG1402" s="96"/>
      <c r="AH1402" s="96"/>
    </row>
    <row r="1403" spans="1:34">
      <c r="A1403" s="358" t="s">
        <v>137</v>
      </c>
      <c r="B1403" s="369">
        <v>1400</v>
      </c>
      <c r="C1403" s="360" t="s">
        <v>1905</v>
      </c>
      <c r="D1403" s="372" t="s">
        <v>34</v>
      </c>
      <c r="E1403" s="373">
        <v>45961</v>
      </c>
      <c r="F1403" s="372" t="s">
        <v>140</v>
      </c>
      <c r="G1403" s="372"/>
      <c r="H1403" s="372" t="s">
        <v>127</v>
      </c>
      <c r="I1403" s="372" t="s">
        <v>36</v>
      </c>
      <c r="J1403" s="372"/>
      <c r="K1403" s="372"/>
      <c r="L1403" s="21"/>
      <c r="M1403" s="22"/>
      <c r="N1403" s="23"/>
      <c r="O1403" s="247"/>
      <c r="P1403" s="23"/>
      <c r="Q1403" s="23"/>
      <c r="R1403" s="81"/>
      <c r="S1403" s="22"/>
      <c r="T1403" s="22"/>
      <c r="U1403" s="24"/>
      <c r="V1403" s="23"/>
      <c r="W1403" s="82"/>
      <c r="X1403" s="100"/>
      <c r="Y1403" s="100"/>
      <c r="Z1403" s="82"/>
      <c r="AA1403"/>
    </row>
    <row r="1404" spans="1:34">
      <c r="A1404" s="358" t="s">
        <v>137</v>
      </c>
      <c r="B1404" s="369">
        <v>1401</v>
      </c>
      <c r="C1404" s="360" t="s">
        <v>1906</v>
      </c>
      <c r="D1404" s="372" t="s">
        <v>234</v>
      </c>
      <c r="E1404" s="373">
        <v>45961</v>
      </c>
      <c r="F1404" s="372" t="s">
        <v>140</v>
      </c>
      <c r="G1404" s="372"/>
      <c r="H1404" s="372" t="s">
        <v>127</v>
      </c>
      <c r="I1404" s="372" t="s">
        <v>36</v>
      </c>
      <c r="J1404" s="372"/>
      <c r="K1404" s="372"/>
      <c r="L1404" s="21"/>
      <c r="M1404" s="22"/>
      <c r="N1404" s="23"/>
      <c r="O1404" s="23"/>
      <c r="P1404" s="23"/>
      <c r="Q1404" s="23"/>
      <c r="R1404" s="81"/>
      <c r="S1404" s="22"/>
      <c r="T1404" s="22"/>
      <c r="U1404" s="24"/>
      <c r="V1404" s="23"/>
      <c r="W1404" s="82"/>
      <c r="X1404" s="82"/>
      <c r="Y1404" s="100"/>
      <c r="Z1404" s="106"/>
      <c r="AA1404"/>
    </row>
    <row r="1405" spans="1:34">
      <c r="A1405" s="358" t="s">
        <v>137</v>
      </c>
      <c r="B1405" s="369">
        <v>1402</v>
      </c>
      <c r="C1405" s="360" t="s">
        <v>1907</v>
      </c>
      <c r="D1405" s="372" t="s">
        <v>34</v>
      </c>
      <c r="E1405" s="373">
        <v>45961</v>
      </c>
      <c r="F1405" s="372" t="s">
        <v>140</v>
      </c>
      <c r="G1405" s="372"/>
      <c r="H1405" s="372" t="s">
        <v>127</v>
      </c>
      <c r="I1405" s="372" t="s">
        <v>36</v>
      </c>
      <c r="J1405" s="372"/>
      <c r="K1405" s="372"/>
      <c r="L1405" s="21"/>
      <c r="M1405" s="22"/>
      <c r="N1405" s="23"/>
      <c r="O1405" s="380"/>
      <c r="P1405" s="23"/>
      <c r="Q1405" s="23"/>
      <c r="R1405" s="81"/>
      <c r="S1405" s="22"/>
      <c r="T1405" s="22"/>
      <c r="U1405" s="24"/>
      <c r="V1405" s="23"/>
      <c r="W1405" s="82"/>
      <c r="X1405" s="100"/>
      <c r="Y1405" s="100"/>
      <c r="Z1405" s="106"/>
      <c r="AA1405"/>
      <c r="AF1405" s="72"/>
      <c r="AG1405" s="96"/>
      <c r="AH1405" s="96"/>
    </row>
    <row r="1406" spans="1:34">
      <c r="A1406" s="358" t="s">
        <v>137</v>
      </c>
      <c r="B1406" s="369">
        <v>1403</v>
      </c>
      <c r="C1406" s="360" t="s">
        <v>1909</v>
      </c>
      <c r="D1406" s="372" t="s">
        <v>34</v>
      </c>
      <c r="E1406" s="373">
        <v>45961</v>
      </c>
      <c r="F1406" s="372" t="s">
        <v>140</v>
      </c>
      <c r="G1406" s="372"/>
      <c r="H1406" s="372" t="s">
        <v>127</v>
      </c>
      <c r="I1406" s="372" t="s">
        <v>36</v>
      </c>
      <c r="J1406" s="372"/>
      <c r="K1406" s="372"/>
      <c r="L1406" s="220"/>
      <c r="M1406" s="22"/>
      <c r="N1406" s="23"/>
      <c r="O1406" s="247"/>
      <c r="P1406" s="23"/>
      <c r="Q1406" s="23"/>
      <c r="R1406" s="81"/>
      <c r="S1406" s="22"/>
      <c r="T1406" s="22"/>
      <c r="U1406" s="24"/>
      <c r="V1406" s="23"/>
      <c r="W1406" s="82"/>
      <c r="X1406" s="100"/>
      <c r="Y1406" s="100"/>
      <c r="Z1406" s="82"/>
      <c r="AA1406"/>
    </row>
    <row r="1407" spans="1:34">
      <c r="A1407" s="358" t="s">
        <v>137</v>
      </c>
      <c r="B1407" s="369">
        <v>1404</v>
      </c>
      <c r="C1407" s="360" t="s">
        <v>1910</v>
      </c>
      <c r="D1407" s="372" t="s">
        <v>102</v>
      </c>
      <c r="E1407" s="373">
        <v>45961</v>
      </c>
      <c r="F1407" s="372" t="s">
        <v>140</v>
      </c>
      <c r="G1407" s="372"/>
      <c r="H1407" s="372" t="s">
        <v>1721</v>
      </c>
      <c r="I1407" s="372" t="s">
        <v>1638</v>
      </c>
      <c r="J1407" s="372"/>
      <c r="K1407" s="372"/>
      <c r="L1407" s="220"/>
      <c r="M1407" s="22"/>
      <c r="N1407" s="23"/>
      <c r="O1407" s="380"/>
      <c r="P1407" s="23"/>
      <c r="Q1407" s="23"/>
      <c r="R1407" s="81"/>
      <c r="S1407" s="22"/>
      <c r="T1407" s="22"/>
      <c r="U1407" s="24"/>
      <c r="V1407" s="23"/>
      <c r="W1407" s="82"/>
      <c r="X1407" s="82"/>
      <c r="Y1407" s="82"/>
      <c r="Z1407" s="82"/>
      <c r="AA1407"/>
    </row>
    <row r="1408" spans="1:34">
      <c r="A1408" s="358" t="s">
        <v>137</v>
      </c>
      <c r="B1408" s="369">
        <v>1405</v>
      </c>
      <c r="C1408" s="360" t="s">
        <v>1911</v>
      </c>
      <c r="D1408" s="372" t="s">
        <v>43</v>
      </c>
      <c r="E1408" s="373">
        <v>45961</v>
      </c>
      <c r="F1408" s="372" t="s">
        <v>140</v>
      </c>
      <c r="G1408" s="372"/>
      <c r="H1408" s="372" t="s">
        <v>1721</v>
      </c>
      <c r="I1408" s="372" t="s">
        <v>1638</v>
      </c>
      <c r="J1408" s="372"/>
      <c r="K1408" s="372"/>
      <c r="L1408" s="220"/>
      <c r="M1408" s="22"/>
      <c r="N1408" s="23"/>
      <c r="O1408" s="380"/>
      <c r="P1408" s="23"/>
      <c r="Q1408" s="23"/>
      <c r="R1408" s="81"/>
      <c r="S1408" s="22"/>
      <c r="T1408" s="22"/>
      <c r="U1408" s="24"/>
      <c r="V1408" s="23"/>
      <c r="W1408" s="82"/>
      <c r="X1408" s="82"/>
      <c r="Y1408" s="82"/>
      <c r="Z1408" s="82"/>
      <c r="AA1408"/>
    </row>
    <row r="1409" spans="1:34">
      <c r="A1409" s="358" t="s">
        <v>137</v>
      </c>
      <c r="B1409" s="369">
        <v>1406</v>
      </c>
      <c r="C1409" s="360" t="s">
        <v>1913</v>
      </c>
      <c r="D1409" s="372" t="s">
        <v>1617</v>
      </c>
      <c r="E1409" s="373">
        <v>45961</v>
      </c>
      <c r="F1409" s="372" t="s">
        <v>140</v>
      </c>
      <c r="G1409" s="372"/>
      <c r="H1409" s="372" t="s">
        <v>1721</v>
      </c>
      <c r="I1409" s="372" t="s">
        <v>1638</v>
      </c>
      <c r="J1409" s="372"/>
      <c r="K1409" s="372"/>
      <c r="L1409" s="221"/>
      <c r="M1409" s="22"/>
      <c r="N1409" s="23"/>
      <c r="O1409" s="380"/>
      <c r="P1409" s="23"/>
      <c r="Q1409" s="23"/>
      <c r="R1409" s="81"/>
      <c r="S1409" s="22"/>
      <c r="T1409" s="22"/>
      <c r="U1409" s="24"/>
      <c r="V1409" s="23"/>
      <c r="W1409" s="82"/>
      <c r="X1409" s="82"/>
      <c r="Y1409" s="100"/>
      <c r="Z1409" s="100"/>
      <c r="AA1409"/>
    </row>
    <row r="1410" spans="1:34">
      <c r="A1410" s="358" t="s">
        <v>137</v>
      </c>
      <c r="B1410" s="369">
        <v>1407</v>
      </c>
      <c r="C1410" s="360" t="s">
        <v>1914</v>
      </c>
      <c r="D1410" s="372" t="s">
        <v>374</v>
      </c>
      <c r="E1410" s="373">
        <v>45961</v>
      </c>
      <c r="F1410" s="372" t="s">
        <v>140</v>
      </c>
      <c r="G1410" s="372"/>
      <c r="H1410" s="372" t="s">
        <v>1725</v>
      </c>
      <c r="I1410" s="372" t="s">
        <v>47</v>
      </c>
      <c r="J1410" s="372"/>
      <c r="K1410" s="372"/>
      <c r="L1410" s="220"/>
      <c r="M1410" s="22"/>
      <c r="N1410" s="23"/>
      <c r="O1410" s="247"/>
      <c r="P1410" s="23"/>
      <c r="Q1410" s="23"/>
      <c r="R1410" s="81"/>
      <c r="S1410" s="22"/>
      <c r="T1410" s="22"/>
      <c r="U1410" s="24"/>
      <c r="V1410" s="23"/>
      <c r="W1410" s="95"/>
      <c r="X1410" s="95"/>
      <c r="Y1410" s="100"/>
      <c r="Z1410" s="106"/>
      <c r="AA1410"/>
    </row>
    <row r="1411" spans="1:34">
      <c r="A1411" s="358" t="s">
        <v>137</v>
      </c>
      <c r="B1411" s="369">
        <v>1408</v>
      </c>
      <c r="C1411" s="360" t="s">
        <v>1915</v>
      </c>
      <c r="D1411" s="372" t="s">
        <v>34</v>
      </c>
      <c r="E1411" s="373">
        <v>45961</v>
      </c>
      <c r="F1411" s="372" t="s">
        <v>140</v>
      </c>
      <c r="G1411" s="372"/>
      <c r="H1411" s="372" t="s">
        <v>1725</v>
      </c>
      <c r="I1411" s="372" t="s">
        <v>47</v>
      </c>
      <c r="J1411" s="372"/>
      <c r="K1411" s="372"/>
      <c r="L1411" s="21"/>
      <c r="M1411" s="22"/>
      <c r="N1411" s="23"/>
      <c r="O1411" s="247"/>
      <c r="P1411" s="23"/>
      <c r="Q1411" s="23"/>
      <c r="R1411" s="81"/>
      <c r="S1411" s="22"/>
      <c r="T1411" s="22"/>
      <c r="U1411" s="24"/>
      <c r="V1411" s="23"/>
      <c r="W1411" s="82"/>
      <c r="X1411" s="100"/>
      <c r="Y1411" s="82"/>
      <c r="Z1411" s="106"/>
      <c r="AA1411"/>
    </row>
    <row r="1412" spans="1:34">
      <c r="A1412" s="358" t="s">
        <v>137</v>
      </c>
      <c r="B1412" s="369">
        <v>1409</v>
      </c>
      <c r="C1412" s="360" t="s">
        <v>1916</v>
      </c>
      <c r="D1412" s="372" t="s">
        <v>34</v>
      </c>
      <c r="E1412" s="373">
        <v>45961</v>
      </c>
      <c r="F1412" s="372" t="s">
        <v>140</v>
      </c>
      <c r="G1412" s="372"/>
      <c r="H1412" s="372" t="s">
        <v>1725</v>
      </c>
      <c r="I1412" s="372" t="s">
        <v>47</v>
      </c>
      <c r="J1412" s="372"/>
      <c r="K1412" s="372"/>
      <c r="L1412" s="21"/>
      <c r="M1412" s="22"/>
      <c r="N1412" s="23"/>
      <c r="O1412" s="23"/>
      <c r="P1412" s="23"/>
      <c r="Q1412" s="23"/>
      <c r="R1412" s="81"/>
      <c r="S1412" s="22"/>
      <c r="T1412" s="22"/>
      <c r="U1412" s="24"/>
      <c r="V1412" s="23"/>
      <c r="W1412" s="82"/>
      <c r="X1412" s="82"/>
      <c r="Y1412" s="82"/>
      <c r="Z1412" s="82"/>
      <c r="AA1412"/>
    </row>
    <row r="1413" spans="1:34">
      <c r="A1413" s="358" t="s">
        <v>137</v>
      </c>
      <c r="B1413" s="369">
        <v>1410</v>
      </c>
      <c r="C1413" s="360" t="s">
        <v>1895</v>
      </c>
      <c r="D1413" s="372" t="s">
        <v>34</v>
      </c>
      <c r="E1413" s="373">
        <v>45961</v>
      </c>
      <c r="F1413" s="372" t="s">
        <v>140</v>
      </c>
      <c r="G1413" s="372"/>
      <c r="H1413" s="372" t="s">
        <v>1725</v>
      </c>
      <c r="I1413" s="372" t="s">
        <v>47</v>
      </c>
      <c r="J1413" s="372"/>
      <c r="K1413" s="372"/>
      <c r="L1413" s="21"/>
      <c r="M1413" s="22"/>
      <c r="N1413" s="23"/>
      <c r="O1413" s="380"/>
      <c r="P1413" s="23"/>
      <c r="Q1413" s="23"/>
      <c r="R1413" s="81"/>
      <c r="S1413" s="22"/>
      <c r="T1413" s="22"/>
      <c r="U1413" s="24"/>
      <c r="V1413" s="23"/>
      <c r="W1413" s="100"/>
      <c r="X1413" s="82"/>
      <c r="Y1413" s="82"/>
      <c r="Z1413" s="100"/>
      <c r="AA1413"/>
      <c r="AE1413" s="88"/>
      <c r="AF1413" s="72"/>
      <c r="AG1413" s="72"/>
      <c r="AH1413" s="72"/>
    </row>
    <row r="1414" spans="1:34">
      <c r="A1414" s="358" t="s">
        <v>137</v>
      </c>
      <c r="B1414" s="369">
        <v>1411</v>
      </c>
      <c r="C1414" s="360" t="s">
        <v>1896</v>
      </c>
      <c r="D1414" s="372" t="s">
        <v>425</v>
      </c>
      <c r="E1414" s="373">
        <v>45961</v>
      </c>
      <c r="F1414" s="372" t="s">
        <v>140</v>
      </c>
      <c r="G1414" s="372"/>
      <c r="H1414" s="372" t="s">
        <v>1725</v>
      </c>
      <c r="I1414" s="372" t="s">
        <v>47</v>
      </c>
      <c r="J1414" s="372"/>
      <c r="K1414" s="372"/>
      <c r="L1414" s="21"/>
      <c r="M1414" s="22"/>
      <c r="N1414" s="23"/>
      <c r="O1414" s="23"/>
      <c r="P1414" s="250"/>
      <c r="Q1414" s="23"/>
      <c r="R1414" s="81"/>
      <c r="S1414" s="22"/>
      <c r="T1414" s="22"/>
      <c r="U1414" s="24"/>
      <c r="V1414" s="23"/>
      <c r="W1414" s="82"/>
      <c r="X1414" s="100"/>
      <c r="Y1414" s="100"/>
      <c r="Z1414" s="82"/>
      <c r="AA1414"/>
    </row>
    <row r="1415" spans="1:34">
      <c r="A1415" s="358" t="s">
        <v>137</v>
      </c>
      <c r="B1415" s="369">
        <v>1412</v>
      </c>
      <c r="C1415" s="360" t="s">
        <v>1897</v>
      </c>
      <c r="D1415" s="372" t="s">
        <v>26</v>
      </c>
      <c r="E1415" s="373">
        <v>45961</v>
      </c>
      <c r="F1415" s="372" t="s">
        <v>140</v>
      </c>
      <c r="G1415" s="372"/>
      <c r="H1415" s="372" t="s">
        <v>1725</v>
      </c>
      <c r="I1415" s="372" t="s">
        <v>47</v>
      </c>
      <c r="J1415" s="372"/>
      <c r="K1415" s="372"/>
      <c r="L1415" s="21"/>
      <c r="M1415" s="22"/>
      <c r="N1415" s="23"/>
      <c r="O1415" s="23"/>
      <c r="P1415" s="23"/>
      <c r="Q1415" s="23"/>
      <c r="R1415" s="81"/>
      <c r="S1415" s="22"/>
      <c r="T1415" s="22"/>
      <c r="U1415" s="24"/>
      <c r="V1415" s="23"/>
      <c r="W1415" s="82"/>
      <c r="X1415" s="100"/>
      <c r="Y1415" s="82"/>
      <c r="Z1415" s="82"/>
      <c r="AA1415"/>
    </row>
    <row r="1416" spans="1:34">
      <c r="A1416" s="358" t="s">
        <v>137</v>
      </c>
      <c r="B1416" s="369">
        <v>1413</v>
      </c>
      <c r="C1416" s="360" t="s">
        <v>1899</v>
      </c>
      <c r="D1416" s="372" t="s">
        <v>64</v>
      </c>
      <c r="E1416" s="373">
        <v>45961</v>
      </c>
      <c r="F1416" s="372" t="s">
        <v>140</v>
      </c>
      <c r="G1416" s="372"/>
      <c r="H1416" s="372" t="s">
        <v>1077</v>
      </c>
      <c r="I1416" s="372" t="s">
        <v>1138</v>
      </c>
      <c r="J1416" s="372"/>
      <c r="K1416" s="372"/>
      <c r="L1416" s="21"/>
      <c r="M1416" s="22"/>
      <c r="N1416" s="23"/>
      <c r="O1416" s="380"/>
      <c r="P1416" s="23"/>
      <c r="Q1416" s="23"/>
      <c r="R1416" s="81"/>
      <c r="S1416" s="22"/>
      <c r="T1416" s="22"/>
      <c r="U1416" s="24"/>
      <c r="V1416" s="23"/>
      <c r="W1416" s="82"/>
      <c r="X1416" s="82"/>
      <c r="Y1416" s="82"/>
      <c r="Z1416" s="100"/>
      <c r="AA1416"/>
      <c r="AE1416" s="88"/>
      <c r="AF1416" s="72"/>
      <c r="AG1416" s="72"/>
      <c r="AH1416" s="72"/>
    </row>
    <row r="1417" spans="1:34">
      <c r="A1417" s="358" t="s">
        <v>137</v>
      </c>
      <c r="B1417" s="369">
        <v>1414</v>
      </c>
      <c r="C1417" s="360" t="s">
        <v>1900</v>
      </c>
      <c r="D1417" s="372" t="s">
        <v>43</v>
      </c>
      <c r="E1417" s="373">
        <v>45961</v>
      </c>
      <c r="F1417" s="372" t="s">
        <v>140</v>
      </c>
      <c r="G1417" s="372"/>
      <c r="H1417" s="372" t="s">
        <v>1077</v>
      </c>
      <c r="I1417" s="372" t="s">
        <v>1138</v>
      </c>
      <c r="J1417" s="372"/>
      <c r="K1417" s="372"/>
      <c r="L1417" s="21"/>
      <c r="M1417" s="22"/>
      <c r="N1417" s="23"/>
      <c r="O1417" s="380"/>
      <c r="P1417" s="23"/>
      <c r="Q1417" s="23"/>
      <c r="R1417" s="81"/>
      <c r="S1417" s="22"/>
      <c r="T1417" s="22"/>
      <c r="U1417" s="24"/>
      <c r="V1417" s="23"/>
      <c r="W1417" s="82"/>
      <c r="X1417" s="100"/>
      <c r="Y1417" s="100"/>
      <c r="Z1417" s="82"/>
      <c r="AA1417"/>
      <c r="AB1417" s="412"/>
      <c r="AC1417" s="412"/>
      <c r="AD1417" s="412"/>
      <c r="AE1417" s="412"/>
    </row>
    <row r="1418" spans="1:34">
      <c r="A1418" s="358" t="s">
        <v>137</v>
      </c>
      <c r="B1418" s="369">
        <v>1415</v>
      </c>
      <c r="C1418" s="360" t="s">
        <v>1901</v>
      </c>
      <c r="D1418" s="372" t="s">
        <v>34</v>
      </c>
      <c r="E1418" s="373">
        <v>45961</v>
      </c>
      <c r="F1418" s="372" t="s">
        <v>140</v>
      </c>
      <c r="G1418" s="372"/>
      <c r="H1418" s="372" t="s">
        <v>1077</v>
      </c>
      <c r="I1418" s="372" t="s">
        <v>1138</v>
      </c>
      <c r="J1418" s="372"/>
      <c r="K1418" s="372"/>
      <c r="L1418" s="21"/>
      <c r="M1418" s="22"/>
      <c r="N1418" s="23"/>
      <c r="O1418" s="380"/>
      <c r="P1418" s="380"/>
      <c r="Q1418" s="23"/>
      <c r="R1418" s="81"/>
      <c r="S1418" s="22"/>
      <c r="T1418" s="22"/>
      <c r="U1418" s="24"/>
      <c r="V1418" s="23"/>
      <c r="W1418" s="82"/>
      <c r="X1418" s="82"/>
      <c r="Y1418" s="82"/>
      <c r="Z1418" s="82"/>
      <c r="AA1418"/>
      <c r="AF1418" s="72"/>
      <c r="AG1418" s="96"/>
      <c r="AH1418" s="96"/>
    </row>
    <row r="1419" spans="1:34">
      <c r="A1419" s="358" t="s">
        <v>137</v>
      </c>
      <c r="B1419" s="369">
        <v>1416</v>
      </c>
      <c r="C1419" s="360" t="s">
        <v>1903</v>
      </c>
      <c r="D1419" s="372" t="s">
        <v>1362</v>
      </c>
      <c r="E1419" s="373">
        <v>45961</v>
      </c>
      <c r="F1419" s="372" t="s">
        <v>140</v>
      </c>
      <c r="G1419" s="372"/>
      <c r="H1419" s="372" t="s">
        <v>1721</v>
      </c>
      <c r="I1419" s="372" t="s">
        <v>1638</v>
      </c>
      <c r="J1419" s="225"/>
      <c r="K1419" s="372"/>
      <c r="L1419" s="21"/>
      <c r="M1419" s="22"/>
      <c r="N1419" s="23"/>
      <c r="O1419" s="23"/>
      <c r="P1419" s="23"/>
      <c r="Q1419" s="23"/>
      <c r="R1419" s="81"/>
      <c r="S1419" s="22"/>
      <c r="T1419" s="22"/>
      <c r="U1419" s="24"/>
      <c r="V1419" s="23"/>
      <c r="W1419" s="95"/>
      <c r="X1419" s="82"/>
      <c r="Y1419" s="82"/>
      <c r="Z1419" s="100"/>
      <c r="AA1419"/>
      <c r="AB1419" s="412"/>
      <c r="AC1419" s="412"/>
      <c r="AD1419" s="412"/>
      <c r="AE1419" s="412"/>
    </row>
    <row r="1420" spans="1:34">
      <c r="A1420" s="358" t="s">
        <v>137</v>
      </c>
      <c r="B1420" s="369">
        <v>1417</v>
      </c>
      <c r="C1420" s="360" t="s">
        <v>1905</v>
      </c>
      <c r="D1420" s="372" t="s">
        <v>64</v>
      </c>
      <c r="E1420" s="373">
        <v>45961</v>
      </c>
      <c r="F1420" s="372" t="s">
        <v>140</v>
      </c>
      <c r="G1420" s="372"/>
      <c r="H1420" s="372" t="s">
        <v>1721</v>
      </c>
      <c r="I1420" s="372" t="s">
        <v>1638</v>
      </c>
      <c r="J1420" s="225"/>
      <c r="K1420" s="372"/>
      <c r="L1420" s="21"/>
      <c r="M1420" s="22"/>
      <c r="N1420" s="23"/>
      <c r="O1420" s="23"/>
      <c r="P1420" s="23"/>
      <c r="Q1420" s="23"/>
      <c r="R1420" s="81"/>
      <c r="S1420" s="22"/>
      <c r="T1420" s="22"/>
      <c r="U1420" s="24"/>
      <c r="V1420" s="23"/>
      <c r="W1420" s="82"/>
      <c r="X1420" s="82"/>
      <c r="Y1420" s="100"/>
      <c r="Z1420" s="100"/>
      <c r="AA1420"/>
      <c r="AB1420" s="412"/>
      <c r="AC1420" s="412"/>
      <c r="AD1420" s="412"/>
      <c r="AE1420" s="412"/>
    </row>
    <row r="1421" spans="1:34">
      <c r="A1421" s="358" t="s">
        <v>137</v>
      </c>
      <c r="B1421" s="369">
        <v>1418</v>
      </c>
      <c r="C1421" s="360" t="s">
        <v>1906</v>
      </c>
      <c r="D1421" s="372" t="s">
        <v>129</v>
      </c>
      <c r="E1421" s="373">
        <v>45961</v>
      </c>
      <c r="F1421" s="372" t="s">
        <v>140</v>
      </c>
      <c r="G1421" s="372"/>
      <c r="H1421" s="372" t="s">
        <v>1721</v>
      </c>
      <c r="I1421" s="372" t="s">
        <v>1638</v>
      </c>
      <c r="J1421" s="225"/>
      <c r="K1421" s="372"/>
      <c r="L1421" s="21"/>
      <c r="M1421" s="22"/>
      <c r="N1421" s="23"/>
      <c r="O1421" s="23"/>
      <c r="P1421" s="250"/>
      <c r="Q1421" s="23"/>
      <c r="R1421" s="81"/>
      <c r="S1421" s="22"/>
      <c r="T1421" s="22"/>
      <c r="U1421" s="24"/>
      <c r="V1421" s="23"/>
      <c r="W1421" s="100"/>
      <c r="X1421" s="82"/>
      <c r="Y1421" s="82"/>
      <c r="Z1421" s="82"/>
      <c r="AA1421"/>
    </row>
    <row r="1422" spans="1:34">
      <c r="A1422" s="358" t="s">
        <v>137</v>
      </c>
      <c r="B1422" s="369">
        <v>1419</v>
      </c>
      <c r="C1422" s="360" t="s">
        <v>1907</v>
      </c>
      <c r="D1422" s="372" t="s">
        <v>129</v>
      </c>
      <c r="E1422" s="373">
        <v>45961</v>
      </c>
      <c r="F1422" s="372" t="s">
        <v>140</v>
      </c>
      <c r="G1422" s="372"/>
      <c r="H1422" s="372" t="s">
        <v>1721</v>
      </c>
      <c r="I1422" s="372" t="s">
        <v>1638</v>
      </c>
      <c r="J1422" s="372"/>
      <c r="K1422" s="372"/>
      <c r="L1422" s="21"/>
      <c r="M1422" s="22"/>
      <c r="N1422" s="23"/>
      <c r="O1422" s="380"/>
      <c r="P1422" s="250"/>
      <c r="Q1422" s="23"/>
      <c r="R1422" s="81"/>
      <c r="S1422" s="22"/>
      <c r="T1422" s="22"/>
      <c r="U1422" s="24"/>
      <c r="V1422" s="23"/>
      <c r="W1422" s="82"/>
      <c r="X1422" s="82"/>
      <c r="Y1422" s="82"/>
      <c r="Z1422" s="82"/>
      <c r="AA1422"/>
    </row>
    <row r="1423" spans="1:34">
      <c r="A1423" s="358" t="s">
        <v>137</v>
      </c>
      <c r="B1423" s="369">
        <v>1420</v>
      </c>
      <c r="C1423" s="360" t="s">
        <v>1909</v>
      </c>
      <c r="D1423" s="372" t="s">
        <v>477</v>
      </c>
      <c r="E1423" s="373">
        <v>45961</v>
      </c>
      <c r="F1423" s="372" t="s">
        <v>140</v>
      </c>
      <c r="G1423" s="372"/>
      <c r="H1423" s="372" t="s">
        <v>127</v>
      </c>
      <c r="I1423" s="372" t="s">
        <v>36</v>
      </c>
      <c r="J1423" s="372"/>
      <c r="K1423" s="372"/>
      <c r="L1423" s="21"/>
      <c r="M1423" s="22"/>
      <c r="N1423" s="23"/>
      <c r="O1423" s="380"/>
      <c r="P1423" s="23"/>
      <c r="Q1423" s="23"/>
      <c r="R1423" s="81"/>
      <c r="S1423" s="22"/>
      <c r="T1423" s="22"/>
      <c r="U1423" s="24"/>
      <c r="V1423" s="23"/>
      <c r="W1423" s="100"/>
      <c r="X1423" s="100"/>
      <c r="Y1423" s="100"/>
      <c r="Z1423" s="82"/>
      <c r="AA1423"/>
    </row>
    <row r="1424" spans="1:34">
      <c r="A1424" s="358" t="s">
        <v>137</v>
      </c>
      <c r="B1424" s="369">
        <v>1421</v>
      </c>
      <c r="C1424" s="360" t="s">
        <v>1910</v>
      </c>
      <c r="D1424" s="372" t="s">
        <v>129</v>
      </c>
      <c r="E1424" s="373">
        <v>45961</v>
      </c>
      <c r="F1424" s="372" t="s">
        <v>140</v>
      </c>
      <c r="G1424" s="372"/>
      <c r="H1424" s="372" t="s">
        <v>1721</v>
      </c>
      <c r="I1424" s="372" t="s">
        <v>1638</v>
      </c>
      <c r="J1424" s="372"/>
      <c r="K1424" s="372"/>
      <c r="L1424" s="21"/>
      <c r="M1424" s="22"/>
      <c r="N1424" s="23"/>
      <c r="O1424" s="23"/>
      <c r="P1424" s="23"/>
      <c r="Q1424" s="23"/>
      <c r="R1424" s="81"/>
      <c r="S1424" s="22"/>
      <c r="T1424" s="22"/>
      <c r="U1424" s="24"/>
      <c r="V1424" s="23"/>
      <c r="W1424" s="82"/>
      <c r="X1424" s="100"/>
      <c r="Y1424" s="82"/>
      <c r="Z1424" s="82"/>
      <c r="AA1424"/>
    </row>
    <row r="1425" spans="1:35">
      <c r="A1425" s="358" t="s">
        <v>137</v>
      </c>
      <c r="B1425" s="369">
        <v>1422</v>
      </c>
      <c r="C1425" s="360" t="s">
        <v>1911</v>
      </c>
      <c r="D1425" s="372" t="s">
        <v>406</v>
      </c>
      <c r="E1425" s="373">
        <v>45961</v>
      </c>
      <c r="F1425" s="372" t="s">
        <v>140</v>
      </c>
      <c r="G1425" s="372"/>
      <c r="H1425" s="372" t="s">
        <v>1725</v>
      </c>
      <c r="I1425" s="372" t="s">
        <v>47</v>
      </c>
      <c r="J1425" s="102"/>
      <c r="K1425" s="372"/>
      <c r="L1425" s="21"/>
      <c r="M1425" s="22"/>
      <c r="N1425" s="23"/>
      <c r="O1425" s="380"/>
      <c r="P1425" s="23"/>
      <c r="Q1425" s="23"/>
      <c r="R1425" s="81"/>
      <c r="S1425" s="22"/>
      <c r="T1425" s="22"/>
      <c r="U1425" s="24"/>
      <c r="V1425" s="23"/>
      <c r="W1425" s="228"/>
      <c r="X1425" s="228"/>
      <c r="Y1425" s="82"/>
      <c r="Z1425" s="100"/>
      <c r="AA1425" s="91"/>
      <c r="AB1425" s="91"/>
      <c r="AF1425" s="72"/>
      <c r="AG1425" s="96"/>
      <c r="AH1425" s="96"/>
    </row>
    <row r="1426" spans="1:35">
      <c r="A1426" s="358" t="s">
        <v>137</v>
      </c>
      <c r="B1426" s="369">
        <v>1423</v>
      </c>
      <c r="C1426" s="360" t="s">
        <v>1913</v>
      </c>
      <c r="D1426" s="372" t="s">
        <v>406</v>
      </c>
      <c r="E1426" s="373">
        <v>45961</v>
      </c>
      <c r="F1426" s="372" t="s">
        <v>140</v>
      </c>
      <c r="G1426" s="372"/>
      <c r="H1426" s="372" t="s">
        <v>1725</v>
      </c>
      <c r="I1426" s="372" t="s">
        <v>47</v>
      </c>
      <c r="J1426" s="372"/>
      <c r="K1426" s="372"/>
      <c r="L1426" s="21"/>
      <c r="M1426" s="22"/>
      <c r="N1426" s="23"/>
      <c r="O1426" s="23"/>
      <c r="P1426" s="121"/>
      <c r="Q1426" s="23"/>
      <c r="R1426" s="81"/>
      <c r="S1426" s="22"/>
      <c r="T1426" s="22"/>
      <c r="U1426" s="24"/>
      <c r="V1426" s="23"/>
      <c r="W1426" s="228"/>
      <c r="X1426" s="100"/>
      <c r="Y1426" s="82"/>
      <c r="Z1426" s="100"/>
      <c r="AA1426"/>
      <c r="AF1426" s="72"/>
      <c r="AG1426" s="96"/>
      <c r="AH1426" s="96"/>
    </row>
    <row r="1427" spans="1:35">
      <c r="A1427" s="358" t="s">
        <v>137</v>
      </c>
      <c r="B1427" s="369">
        <v>1424</v>
      </c>
      <c r="C1427" s="360" t="s">
        <v>1914</v>
      </c>
      <c r="D1427" s="372" t="s">
        <v>1131</v>
      </c>
      <c r="E1427" s="373">
        <v>45961</v>
      </c>
      <c r="F1427" s="372" t="s">
        <v>140</v>
      </c>
      <c r="G1427" s="372"/>
      <c r="H1427" s="372" t="s">
        <v>1721</v>
      </c>
      <c r="I1427" s="372" t="s">
        <v>1638</v>
      </c>
      <c r="J1427" s="372"/>
      <c r="K1427" s="372"/>
      <c r="L1427" s="21"/>
      <c r="M1427" s="22"/>
      <c r="N1427" s="23"/>
      <c r="O1427" s="380"/>
      <c r="P1427" s="23"/>
      <c r="Q1427" s="23"/>
      <c r="R1427" s="81"/>
      <c r="S1427" s="22"/>
      <c r="T1427" s="22"/>
      <c r="U1427" s="24"/>
      <c r="V1427" s="23"/>
      <c r="W1427" s="82"/>
      <c r="X1427" s="82"/>
      <c r="Y1427" s="82"/>
      <c r="Z1427" s="82"/>
      <c r="AA1427" s="91"/>
      <c r="AB1427" s="91"/>
      <c r="AF1427" s="72"/>
      <c r="AG1427" s="96"/>
      <c r="AH1427" s="96"/>
    </row>
    <row r="1428" spans="1:35">
      <c r="A1428" s="358" t="s">
        <v>137</v>
      </c>
      <c r="B1428" s="369">
        <v>1425</v>
      </c>
      <c r="C1428" s="360" t="s">
        <v>1915</v>
      </c>
      <c r="D1428" s="372" t="s">
        <v>2001</v>
      </c>
      <c r="E1428" s="373">
        <v>45961</v>
      </c>
      <c r="F1428" s="372" t="s">
        <v>140</v>
      </c>
      <c r="G1428" s="372"/>
      <c r="H1428" s="372" t="s">
        <v>1077</v>
      </c>
      <c r="I1428" s="372" t="s">
        <v>1138</v>
      </c>
      <c r="J1428" s="372"/>
      <c r="K1428" s="372"/>
      <c r="L1428" s="21"/>
      <c r="M1428" s="22"/>
      <c r="N1428" s="23"/>
      <c r="O1428" s="380"/>
      <c r="P1428" s="23"/>
      <c r="Q1428" s="23"/>
      <c r="R1428" s="81"/>
      <c r="S1428" s="22"/>
      <c r="T1428" s="22"/>
      <c r="U1428" s="24"/>
      <c r="V1428" s="23"/>
      <c r="W1428" s="82"/>
      <c r="X1428" s="100"/>
      <c r="Y1428" s="100"/>
      <c r="Z1428" s="100"/>
      <c r="AA1428"/>
      <c r="AF1428" s="72"/>
      <c r="AG1428" s="96"/>
      <c r="AH1428" s="96"/>
    </row>
    <row r="1429" spans="1:35">
      <c r="A1429" s="358" t="s">
        <v>137</v>
      </c>
      <c r="B1429" s="369">
        <v>1426</v>
      </c>
      <c r="C1429" s="360" t="s">
        <v>1916</v>
      </c>
      <c r="D1429" s="372" t="s">
        <v>43</v>
      </c>
      <c r="E1429" s="373">
        <v>45961</v>
      </c>
      <c r="F1429" s="372" t="s">
        <v>140</v>
      </c>
      <c r="G1429" s="372"/>
      <c r="H1429" s="372" t="s">
        <v>127</v>
      </c>
      <c r="I1429" s="372" t="s">
        <v>36</v>
      </c>
      <c r="J1429" s="372"/>
      <c r="K1429" s="372"/>
      <c r="L1429" s="21"/>
      <c r="M1429" s="22"/>
      <c r="N1429" s="23"/>
      <c r="O1429" s="23"/>
      <c r="P1429" s="23"/>
      <c r="Q1429" s="23"/>
      <c r="R1429" s="81"/>
      <c r="S1429" s="22"/>
      <c r="T1429" s="22"/>
      <c r="U1429" s="24"/>
      <c r="V1429" s="23"/>
      <c r="W1429" s="228"/>
      <c r="X1429" s="100"/>
      <c r="Y1429" s="100"/>
      <c r="Z1429" s="100"/>
      <c r="AA1429"/>
    </row>
    <row r="1430" spans="1:35">
      <c r="A1430" s="358" t="s">
        <v>137</v>
      </c>
      <c r="B1430" s="369">
        <v>1427</v>
      </c>
      <c r="C1430" s="360" t="s">
        <v>1895</v>
      </c>
      <c r="D1430" s="372" t="s">
        <v>34</v>
      </c>
      <c r="E1430" s="373">
        <v>45961</v>
      </c>
      <c r="F1430" s="372" t="s">
        <v>140</v>
      </c>
      <c r="G1430" s="372"/>
      <c r="H1430" s="372" t="s">
        <v>127</v>
      </c>
      <c r="I1430" s="372" t="s">
        <v>36</v>
      </c>
      <c r="J1430" s="372"/>
      <c r="K1430" s="372"/>
      <c r="L1430" s="21"/>
      <c r="M1430" s="22"/>
      <c r="N1430" s="23"/>
      <c r="O1430" s="62"/>
      <c r="P1430" s="23"/>
      <c r="Q1430" s="23"/>
      <c r="R1430" s="81"/>
      <c r="S1430" s="22"/>
      <c r="T1430" s="22"/>
      <c r="U1430" s="24"/>
      <c r="V1430" s="23"/>
      <c r="W1430" s="82"/>
      <c r="X1430" s="82"/>
      <c r="Y1430" s="82"/>
      <c r="Z1430" s="82"/>
      <c r="AA1430"/>
      <c r="AF1430" s="72"/>
      <c r="AG1430" s="96"/>
      <c r="AH1430" s="96"/>
    </row>
    <row r="1431" spans="1:35">
      <c r="A1431" s="358" t="s">
        <v>137</v>
      </c>
      <c r="B1431" s="369">
        <v>1428</v>
      </c>
      <c r="C1431" s="360" t="s">
        <v>1896</v>
      </c>
      <c r="D1431" s="372" t="s">
        <v>34</v>
      </c>
      <c r="E1431" s="373">
        <v>45961</v>
      </c>
      <c r="F1431" s="372" t="s">
        <v>140</v>
      </c>
      <c r="G1431" s="372"/>
      <c r="H1431" s="372" t="s">
        <v>127</v>
      </c>
      <c r="I1431" s="372" t="s">
        <v>36</v>
      </c>
      <c r="J1431" s="226"/>
      <c r="K1431" s="372"/>
      <c r="L1431" s="21"/>
      <c r="M1431" s="22"/>
      <c r="N1431" s="23"/>
      <c r="O1431" s="62"/>
      <c r="P1431" s="250"/>
      <c r="Q1431" s="23"/>
      <c r="R1431" s="81"/>
      <c r="S1431" s="22"/>
      <c r="T1431" s="22"/>
      <c r="U1431" s="24"/>
      <c r="V1431" s="23"/>
      <c r="W1431" s="82"/>
      <c r="X1431" s="100"/>
      <c r="Y1431" s="82"/>
      <c r="Z1431" s="82"/>
      <c r="AA1431"/>
      <c r="AF1431" s="72"/>
      <c r="AG1431" s="96"/>
      <c r="AH1431" s="96"/>
    </row>
    <row r="1432" spans="1:35">
      <c r="A1432" s="358" t="s">
        <v>137</v>
      </c>
      <c r="B1432" s="369">
        <v>1429</v>
      </c>
      <c r="C1432" s="360" t="s">
        <v>1897</v>
      </c>
      <c r="D1432" s="372" t="s">
        <v>34</v>
      </c>
      <c r="E1432" s="373">
        <v>45961</v>
      </c>
      <c r="F1432" s="372" t="s">
        <v>140</v>
      </c>
      <c r="G1432" s="372"/>
      <c r="H1432" s="372" t="s">
        <v>127</v>
      </c>
      <c r="I1432" s="372" t="s">
        <v>36</v>
      </c>
      <c r="J1432" s="372"/>
      <c r="K1432" s="372"/>
      <c r="L1432" s="21"/>
      <c r="M1432" s="22"/>
      <c r="N1432" s="23"/>
      <c r="O1432" s="380"/>
      <c r="P1432" s="250"/>
      <c r="Q1432" s="23"/>
      <c r="R1432" s="81"/>
      <c r="S1432" s="22"/>
      <c r="T1432" s="22"/>
      <c r="U1432" s="24"/>
      <c r="V1432" s="23"/>
      <c r="W1432" s="228"/>
      <c r="X1432" s="100"/>
      <c r="Y1432" s="100"/>
      <c r="Z1432" s="100"/>
      <c r="AA1432"/>
    </row>
    <row r="1433" spans="1:35">
      <c r="A1433" s="358" t="s">
        <v>137</v>
      </c>
      <c r="B1433" s="369">
        <v>1430</v>
      </c>
      <c r="C1433" s="360" t="s">
        <v>1899</v>
      </c>
      <c r="D1433" s="372" t="s">
        <v>34</v>
      </c>
      <c r="E1433" s="373">
        <v>45961</v>
      </c>
      <c r="F1433" s="372" t="s">
        <v>140</v>
      </c>
      <c r="G1433" s="372"/>
      <c r="H1433" s="372" t="s">
        <v>127</v>
      </c>
      <c r="I1433" s="372" t="s">
        <v>36</v>
      </c>
      <c r="J1433" s="226"/>
      <c r="K1433" s="372"/>
      <c r="L1433" s="21"/>
      <c r="M1433" s="22"/>
      <c r="N1433" s="23"/>
      <c r="O1433" s="23"/>
      <c r="P1433" s="23"/>
      <c r="Q1433" s="23"/>
      <c r="R1433" s="81"/>
      <c r="S1433" s="22"/>
      <c r="T1433" s="22"/>
      <c r="U1433" s="24"/>
      <c r="V1433" s="23"/>
      <c r="W1433" s="82"/>
      <c r="X1433" s="82"/>
      <c r="Y1433" s="82"/>
      <c r="Z1433" s="82"/>
      <c r="AA1433"/>
    </row>
    <row r="1434" spans="1:35">
      <c r="A1434" s="358" t="s">
        <v>137</v>
      </c>
      <c r="B1434" s="369">
        <v>1431</v>
      </c>
      <c r="C1434" s="360" t="s">
        <v>1900</v>
      </c>
      <c r="D1434" s="372" t="s">
        <v>34</v>
      </c>
      <c r="E1434" s="373">
        <v>45961</v>
      </c>
      <c r="F1434" s="372" t="s">
        <v>140</v>
      </c>
      <c r="G1434" s="372"/>
      <c r="H1434" s="372" t="s">
        <v>1721</v>
      </c>
      <c r="I1434" s="372" t="s">
        <v>36</v>
      </c>
      <c r="J1434" s="372"/>
      <c r="K1434" s="372"/>
      <c r="L1434" s="21"/>
      <c r="M1434" s="22"/>
      <c r="N1434" s="23"/>
      <c r="O1434" s="380"/>
      <c r="P1434" s="23"/>
      <c r="Q1434" s="23"/>
      <c r="R1434" s="81"/>
      <c r="S1434" s="22"/>
      <c r="T1434" s="22"/>
      <c r="U1434" s="24"/>
      <c r="V1434" s="23"/>
      <c r="W1434" s="82"/>
      <c r="X1434" s="82"/>
      <c r="Y1434" s="82"/>
      <c r="Z1434" s="82"/>
      <c r="AA1434"/>
      <c r="AE1434" s="88"/>
      <c r="AF1434" s="72"/>
      <c r="AG1434" s="72"/>
      <c r="AH1434" s="72"/>
    </row>
    <row r="1435" spans="1:35">
      <c r="A1435" s="358" t="s">
        <v>137</v>
      </c>
      <c r="B1435" s="369">
        <v>1432</v>
      </c>
      <c r="C1435" s="360" t="s">
        <v>1901</v>
      </c>
      <c r="D1435" s="372" t="s">
        <v>102</v>
      </c>
      <c r="E1435" s="373">
        <v>45961</v>
      </c>
      <c r="F1435" s="372" t="s">
        <v>140</v>
      </c>
      <c r="G1435" s="372"/>
      <c r="H1435" s="372" t="s">
        <v>1721</v>
      </c>
      <c r="I1435" s="372" t="s">
        <v>1638</v>
      </c>
      <c r="J1435" s="372"/>
      <c r="K1435" s="372"/>
      <c r="L1435" s="21"/>
      <c r="M1435" s="22"/>
      <c r="N1435" s="23"/>
      <c r="O1435" s="380"/>
      <c r="P1435" s="250"/>
      <c r="Q1435" s="23"/>
      <c r="R1435" s="81"/>
      <c r="S1435" s="22"/>
      <c r="T1435" s="22"/>
      <c r="U1435" s="24"/>
      <c r="V1435" s="23"/>
      <c r="W1435" s="82"/>
      <c r="X1435" s="82"/>
      <c r="Y1435" s="82"/>
      <c r="Z1435" s="82"/>
      <c r="AA1435"/>
      <c r="AF1435" s="72"/>
      <c r="AG1435" s="96"/>
      <c r="AH1435" s="96"/>
    </row>
    <row r="1436" spans="1:35">
      <c r="A1436" s="358" t="s">
        <v>137</v>
      </c>
      <c r="B1436" s="369">
        <v>1433</v>
      </c>
      <c r="C1436" s="360" t="s">
        <v>1903</v>
      </c>
      <c r="D1436" s="372" t="s">
        <v>64</v>
      </c>
      <c r="E1436" s="373">
        <v>45961</v>
      </c>
      <c r="F1436" s="372" t="s">
        <v>140</v>
      </c>
      <c r="G1436" s="372"/>
      <c r="H1436" s="372" t="s">
        <v>1077</v>
      </c>
      <c r="I1436" s="372" t="s">
        <v>1138</v>
      </c>
      <c r="J1436" s="372"/>
      <c r="K1436" s="372"/>
      <c r="L1436" s="21"/>
      <c r="M1436" s="22"/>
      <c r="N1436" s="23"/>
      <c r="O1436" s="23"/>
      <c r="P1436" s="23"/>
      <c r="Q1436" s="23"/>
      <c r="R1436" s="81"/>
      <c r="S1436" s="22"/>
      <c r="T1436" s="22"/>
      <c r="U1436" s="24"/>
      <c r="V1436" s="23"/>
      <c r="W1436" s="82"/>
      <c r="X1436" s="100"/>
      <c r="Y1436" s="100"/>
      <c r="Z1436" s="100"/>
      <c r="AA1436"/>
    </row>
    <row r="1437" spans="1:35">
      <c r="A1437" s="358" t="s">
        <v>137</v>
      </c>
      <c r="B1437" s="369">
        <v>1434</v>
      </c>
      <c r="C1437" s="360" t="s">
        <v>1905</v>
      </c>
      <c r="D1437" s="372" t="s">
        <v>64</v>
      </c>
      <c r="E1437" s="373">
        <v>45961</v>
      </c>
      <c r="F1437" s="372" t="s">
        <v>140</v>
      </c>
      <c r="G1437" s="372"/>
      <c r="H1437" s="372" t="s">
        <v>1077</v>
      </c>
      <c r="I1437" s="372" t="s">
        <v>1138</v>
      </c>
      <c r="J1437" s="372"/>
      <c r="K1437" s="372"/>
      <c r="L1437" s="21"/>
      <c r="M1437" s="22"/>
      <c r="N1437" s="23"/>
      <c r="O1437" s="23"/>
      <c r="P1437" s="23"/>
      <c r="Q1437" s="23"/>
      <c r="R1437" s="81"/>
      <c r="S1437" s="22"/>
      <c r="T1437" s="22"/>
      <c r="U1437" s="24"/>
      <c r="V1437" s="23"/>
      <c r="W1437" s="100"/>
      <c r="X1437" s="100"/>
      <c r="Y1437" s="100"/>
      <c r="Z1437" s="100"/>
      <c r="AA1437"/>
    </row>
    <row r="1438" spans="1:35">
      <c r="A1438" s="358" t="s">
        <v>137</v>
      </c>
      <c r="B1438" s="369">
        <v>1435</v>
      </c>
      <c r="C1438" s="360" t="s">
        <v>1906</v>
      </c>
      <c r="D1438" s="372" t="s">
        <v>50</v>
      </c>
      <c r="E1438" s="373">
        <v>45961</v>
      </c>
      <c r="F1438" s="372" t="s">
        <v>140</v>
      </c>
      <c r="G1438" s="372"/>
      <c r="H1438" s="372" t="s">
        <v>1077</v>
      </c>
      <c r="I1438" s="372" t="s">
        <v>1138</v>
      </c>
      <c r="J1438" s="372"/>
      <c r="K1438" s="372"/>
      <c r="L1438" s="21"/>
      <c r="M1438" s="22"/>
      <c r="N1438" s="23"/>
      <c r="O1438" s="380"/>
      <c r="P1438" s="23"/>
      <c r="Q1438" s="23"/>
      <c r="R1438" s="81"/>
      <c r="S1438" s="22"/>
      <c r="T1438" s="22"/>
      <c r="U1438" s="24"/>
      <c r="V1438" s="23"/>
      <c r="W1438" s="82"/>
      <c r="X1438" s="82"/>
      <c r="Y1438" s="82"/>
      <c r="Z1438" s="100"/>
      <c r="AA1438" s="6">
        <v>1</v>
      </c>
      <c r="AB1438" s="6">
        <v>0</v>
      </c>
      <c r="AC1438" s="6">
        <v>20</v>
      </c>
      <c r="AD1438" s="6">
        <v>1</v>
      </c>
      <c r="AE1438" s="6">
        <f>SUM(AA1438:AD1438)</f>
        <v>22</v>
      </c>
      <c r="AF1438" s="108">
        <f>+AA1438/AE1438*AF$1</f>
        <v>0</v>
      </c>
      <c r="AG1438" s="109">
        <f>+AB1438/AE1438*AG$1</f>
        <v>0</v>
      </c>
      <c r="AH1438" s="109">
        <f>+AC1438/AE1438*AH$1</f>
        <v>0</v>
      </c>
      <c r="AI1438" s="109">
        <f>+AD1438/AE1438*AI$1</f>
        <v>0</v>
      </c>
    </row>
    <row r="1439" spans="1:35">
      <c r="A1439" s="358" t="s">
        <v>137</v>
      </c>
      <c r="B1439" s="369">
        <v>1436</v>
      </c>
      <c r="C1439" s="360" t="s">
        <v>1907</v>
      </c>
      <c r="D1439" s="372" t="s">
        <v>64</v>
      </c>
      <c r="E1439" s="373">
        <v>45961</v>
      </c>
      <c r="F1439" s="372" t="s">
        <v>140</v>
      </c>
      <c r="G1439" s="372"/>
      <c r="H1439" s="372" t="s">
        <v>1077</v>
      </c>
      <c r="I1439" s="372" t="s">
        <v>1138</v>
      </c>
      <c r="J1439" s="372"/>
      <c r="K1439" s="372"/>
      <c r="L1439" s="21"/>
      <c r="M1439" s="22"/>
      <c r="N1439" s="23"/>
      <c r="O1439" s="380"/>
      <c r="P1439" s="23"/>
      <c r="Q1439" s="23"/>
      <c r="R1439" s="81"/>
      <c r="S1439" s="22"/>
      <c r="T1439" s="22"/>
      <c r="U1439" s="24"/>
      <c r="V1439" s="23"/>
      <c r="W1439" s="82"/>
      <c r="X1439" s="82"/>
      <c r="Y1439" s="82"/>
      <c r="Z1439" s="82"/>
      <c r="AA1439"/>
      <c r="AB1439" s="412"/>
      <c r="AC1439" s="412"/>
      <c r="AD1439" s="412"/>
      <c r="AE1439" s="412"/>
      <c r="AI1439" s="109"/>
    </row>
    <row r="1440" spans="1:35">
      <c r="A1440" s="358" t="s">
        <v>137</v>
      </c>
      <c r="B1440" s="369">
        <v>1437</v>
      </c>
      <c r="C1440" s="360" t="s">
        <v>1909</v>
      </c>
      <c r="D1440" s="372" t="s">
        <v>34</v>
      </c>
      <c r="E1440" s="373">
        <v>45961</v>
      </c>
      <c r="F1440" s="372" t="s">
        <v>140</v>
      </c>
      <c r="G1440" s="372"/>
      <c r="H1440" s="372" t="s">
        <v>1077</v>
      </c>
      <c r="I1440" s="372" t="s">
        <v>1138</v>
      </c>
      <c r="J1440" s="372"/>
      <c r="K1440" s="372"/>
      <c r="L1440" s="21"/>
      <c r="M1440" s="22"/>
      <c r="N1440" s="23"/>
      <c r="O1440" s="380"/>
      <c r="P1440" s="23"/>
      <c r="Q1440" s="23"/>
      <c r="R1440" s="81"/>
      <c r="S1440" s="22"/>
      <c r="T1440" s="22"/>
      <c r="U1440" s="24"/>
      <c r="V1440" s="23"/>
      <c r="W1440" s="82"/>
      <c r="X1440" s="82"/>
      <c r="Y1440" s="82"/>
      <c r="Z1440" s="82"/>
      <c r="AA1440"/>
      <c r="AF1440" s="72"/>
      <c r="AG1440" s="96"/>
      <c r="AH1440" s="96"/>
      <c r="AI1440" s="109"/>
    </row>
    <row r="1441" spans="1:44">
      <c r="A1441" s="358" t="s">
        <v>137</v>
      </c>
      <c r="B1441" s="369">
        <v>1438</v>
      </c>
      <c r="C1441" s="360" t="s">
        <v>1910</v>
      </c>
      <c r="D1441" s="372" t="s">
        <v>477</v>
      </c>
      <c r="E1441" s="373">
        <v>45961</v>
      </c>
      <c r="F1441" s="372" t="s">
        <v>140</v>
      </c>
      <c r="G1441" s="372"/>
      <c r="H1441" s="372" t="s">
        <v>1721</v>
      </c>
      <c r="I1441" s="372" t="s">
        <v>1638</v>
      </c>
      <c r="J1441" s="372"/>
      <c r="K1441" s="372"/>
      <c r="L1441" s="21"/>
      <c r="M1441" s="22"/>
      <c r="N1441" s="23"/>
      <c r="O1441" s="23"/>
      <c r="P1441" s="23"/>
      <c r="Q1441" s="23"/>
      <c r="R1441" s="81"/>
      <c r="S1441" s="22"/>
      <c r="T1441" s="22"/>
      <c r="U1441" s="24"/>
      <c r="V1441" s="23"/>
      <c r="W1441" s="82"/>
      <c r="X1441" s="82"/>
      <c r="Y1441" s="82"/>
      <c r="Z1441" s="82"/>
      <c r="AA1441"/>
      <c r="AB1441" s="412"/>
      <c r="AC1441" s="412"/>
      <c r="AD1441" s="412"/>
      <c r="AE1441" s="412"/>
      <c r="AI1441" s="109"/>
    </row>
    <row r="1442" spans="1:44">
      <c r="A1442" s="358" t="s">
        <v>137</v>
      </c>
      <c r="B1442" s="369">
        <v>1439</v>
      </c>
      <c r="C1442" s="360" t="s">
        <v>1911</v>
      </c>
      <c r="D1442" s="372" t="s">
        <v>34</v>
      </c>
      <c r="E1442" s="373">
        <v>45961</v>
      </c>
      <c r="F1442" s="372" t="s">
        <v>140</v>
      </c>
      <c r="G1442" s="372"/>
      <c r="H1442" s="372" t="s">
        <v>1721</v>
      </c>
      <c r="I1442" s="372" t="s">
        <v>1638</v>
      </c>
      <c r="J1442" s="372"/>
      <c r="K1442" s="372"/>
      <c r="L1442" s="21"/>
      <c r="M1442" s="22"/>
      <c r="N1442" s="23"/>
      <c r="O1442" s="23"/>
      <c r="P1442" s="250"/>
      <c r="Q1442" s="23"/>
      <c r="R1442" s="81"/>
      <c r="S1442" s="22"/>
      <c r="T1442" s="22"/>
      <c r="U1442" s="24"/>
      <c r="V1442" s="23"/>
      <c r="W1442" s="82"/>
      <c r="X1442" s="82"/>
      <c r="Y1442" s="82"/>
      <c r="Z1442" s="82"/>
      <c r="AA1442"/>
      <c r="AB1442" s="412"/>
      <c r="AC1442" s="412"/>
      <c r="AD1442" s="412"/>
      <c r="AE1442" s="412"/>
      <c r="AI1442" s="109"/>
    </row>
    <row r="1443" spans="1:44">
      <c r="A1443" s="358" t="s">
        <v>137</v>
      </c>
      <c r="B1443" s="369">
        <v>1440</v>
      </c>
      <c r="C1443" s="360" t="s">
        <v>1913</v>
      </c>
      <c r="D1443" s="372" t="s">
        <v>34</v>
      </c>
      <c r="E1443" s="373">
        <v>45961</v>
      </c>
      <c r="F1443" s="372" t="s">
        <v>140</v>
      </c>
      <c r="G1443" s="372"/>
      <c r="H1443" s="372" t="s">
        <v>1721</v>
      </c>
      <c r="I1443" s="372" t="s">
        <v>1638</v>
      </c>
      <c r="J1443" s="372"/>
      <c r="K1443" s="372"/>
      <c r="L1443" s="21"/>
      <c r="M1443" s="22"/>
      <c r="N1443" s="23"/>
      <c r="O1443" s="380"/>
      <c r="P1443" s="250"/>
      <c r="Q1443" s="23"/>
      <c r="R1443" s="81"/>
      <c r="S1443" s="22"/>
      <c r="T1443" s="22"/>
      <c r="U1443" s="24"/>
      <c r="V1443" s="23"/>
      <c r="W1443" s="82"/>
      <c r="X1443" s="82"/>
      <c r="Y1443" s="82"/>
      <c r="Z1443" s="82"/>
      <c r="AA1443" s="6">
        <v>6</v>
      </c>
      <c r="AB1443" s="6">
        <v>0</v>
      </c>
      <c r="AC1443" s="6">
        <v>10</v>
      </c>
      <c r="AD1443" s="6">
        <v>1</v>
      </c>
      <c r="AE1443" s="6">
        <f>SUM(AA1443:AD1443)</f>
        <v>17</v>
      </c>
      <c r="AF1443" s="108">
        <f>+AA1443/AE1443*AF$1</f>
        <v>0</v>
      </c>
      <c r="AG1443" s="109">
        <f>+AB1443/AE1443*AG$1</f>
        <v>0</v>
      </c>
      <c r="AH1443" s="109">
        <f>+AC1443/AE1443*AH$1</f>
        <v>0</v>
      </c>
      <c r="AI1443" s="109">
        <f>+AD1443/AE1443*AI$1</f>
        <v>0</v>
      </c>
    </row>
    <row r="1444" spans="1:44">
      <c r="A1444" s="358" t="s">
        <v>137</v>
      </c>
      <c r="B1444" s="369">
        <v>1441</v>
      </c>
      <c r="C1444" s="360" t="s">
        <v>1914</v>
      </c>
      <c r="D1444" s="372" t="s">
        <v>2022</v>
      </c>
      <c r="E1444" s="373">
        <v>45961</v>
      </c>
      <c r="F1444" s="372" t="s">
        <v>140</v>
      </c>
      <c r="G1444" s="372"/>
      <c r="H1444" s="372" t="s">
        <v>1721</v>
      </c>
      <c r="I1444" s="372" t="s">
        <v>1638</v>
      </c>
      <c r="J1444" s="372"/>
      <c r="K1444" s="372"/>
      <c r="L1444" s="21"/>
      <c r="M1444" s="22"/>
      <c r="N1444" s="23"/>
      <c r="O1444" s="380"/>
      <c r="P1444" s="250"/>
      <c r="Q1444" s="23"/>
      <c r="R1444" s="81"/>
      <c r="S1444" s="22"/>
      <c r="T1444" s="22"/>
      <c r="U1444" s="24"/>
      <c r="V1444" s="23"/>
      <c r="W1444" s="100"/>
      <c r="X1444" s="100"/>
      <c r="Y1444" s="100"/>
      <c r="Z1444" s="100"/>
      <c r="AA1444"/>
      <c r="AI1444" s="109"/>
    </row>
    <row r="1445" spans="1:44">
      <c r="A1445" s="358" t="s">
        <v>137</v>
      </c>
      <c r="B1445" s="369">
        <v>1442</v>
      </c>
      <c r="C1445" s="360" t="s">
        <v>1905</v>
      </c>
      <c r="D1445" s="372" t="s">
        <v>34</v>
      </c>
      <c r="E1445" s="373">
        <v>45961</v>
      </c>
      <c r="F1445" s="372" t="s">
        <v>140</v>
      </c>
      <c r="G1445" s="372"/>
      <c r="H1445" s="372" t="s">
        <v>1721</v>
      </c>
      <c r="I1445" s="372" t="s">
        <v>1638</v>
      </c>
      <c r="J1445" s="372"/>
      <c r="K1445" s="372"/>
      <c r="L1445" s="21"/>
      <c r="M1445" s="22"/>
      <c r="N1445" s="23"/>
      <c r="O1445" s="380"/>
      <c r="P1445" s="250"/>
      <c r="Q1445" s="23"/>
      <c r="R1445" s="81"/>
      <c r="S1445" s="22"/>
      <c r="T1445" s="22"/>
      <c r="U1445" s="24"/>
      <c r="V1445" s="23"/>
      <c r="W1445" s="82"/>
      <c r="X1445" s="82"/>
      <c r="Y1445" s="82"/>
      <c r="Z1445" s="82"/>
      <c r="AA1445"/>
      <c r="AI1445" s="109"/>
    </row>
    <row r="1446" spans="1:44">
      <c r="A1446" s="358" t="s">
        <v>137</v>
      </c>
      <c r="B1446" s="369">
        <v>1443</v>
      </c>
      <c r="C1446" s="360" t="s">
        <v>1906</v>
      </c>
      <c r="D1446" s="372" t="s">
        <v>34</v>
      </c>
      <c r="E1446" s="373">
        <v>45961</v>
      </c>
      <c r="F1446" s="372" t="s">
        <v>140</v>
      </c>
      <c r="G1446" s="372"/>
      <c r="H1446" s="372" t="s">
        <v>1725</v>
      </c>
      <c r="I1446" s="372" t="s">
        <v>47</v>
      </c>
      <c r="J1446" s="372"/>
      <c r="K1446" s="372"/>
      <c r="L1446" s="21"/>
      <c r="M1446" s="22"/>
      <c r="N1446" s="23"/>
      <c r="O1446" s="23"/>
      <c r="P1446" s="23"/>
      <c r="Q1446" s="23"/>
      <c r="R1446" s="81"/>
      <c r="S1446" s="22"/>
      <c r="T1446" s="22"/>
      <c r="U1446" s="24"/>
      <c r="V1446" s="23"/>
      <c r="W1446" s="82"/>
      <c r="X1446" s="82"/>
      <c r="Y1446" s="82"/>
      <c r="Z1446" s="82"/>
      <c r="AA1446"/>
      <c r="AI1446" s="109"/>
    </row>
    <row r="1447" spans="1:44">
      <c r="A1447" s="358" t="s">
        <v>137</v>
      </c>
      <c r="B1447" s="369">
        <v>1444</v>
      </c>
      <c r="C1447" s="360" t="s">
        <v>1907</v>
      </c>
      <c r="D1447" s="372" t="s">
        <v>34</v>
      </c>
      <c r="E1447" s="373">
        <v>45961</v>
      </c>
      <c r="F1447" s="372" t="s">
        <v>140</v>
      </c>
      <c r="G1447" s="372"/>
      <c r="H1447" s="372" t="s">
        <v>1725</v>
      </c>
      <c r="I1447" s="372" t="s">
        <v>47</v>
      </c>
      <c r="J1447" s="372"/>
      <c r="K1447" s="372"/>
      <c r="L1447" s="21"/>
      <c r="M1447" s="22"/>
      <c r="N1447" s="23"/>
      <c r="O1447" s="380"/>
      <c r="P1447" s="121"/>
      <c r="Q1447" s="23"/>
      <c r="R1447" s="81"/>
      <c r="S1447" s="22"/>
      <c r="T1447" s="22"/>
      <c r="U1447" s="24"/>
      <c r="V1447" s="23"/>
      <c r="W1447" s="82"/>
      <c r="X1447" s="82"/>
      <c r="Y1447" s="82"/>
      <c r="Z1447" s="82"/>
      <c r="AA1447" s="91"/>
      <c r="AB1447" s="91"/>
      <c r="AF1447" s="72"/>
      <c r="AG1447" s="96"/>
      <c r="AH1447" s="96"/>
      <c r="AI1447" s="109"/>
    </row>
    <row r="1448" spans="1:44">
      <c r="A1448" s="358" t="s">
        <v>137</v>
      </c>
      <c r="B1448" s="369">
        <v>1445</v>
      </c>
      <c r="C1448" s="360" t="s">
        <v>1909</v>
      </c>
      <c r="D1448" s="372" t="s">
        <v>34</v>
      </c>
      <c r="E1448" s="373">
        <v>45961</v>
      </c>
      <c r="F1448" s="372" t="s">
        <v>140</v>
      </c>
      <c r="G1448" s="372"/>
      <c r="H1448" s="372" t="s">
        <v>1725</v>
      </c>
      <c r="I1448" s="372" t="s">
        <v>47</v>
      </c>
      <c r="J1448" s="372"/>
      <c r="K1448" s="372"/>
      <c r="L1448" s="21"/>
      <c r="M1448" s="22"/>
      <c r="N1448" s="23"/>
      <c r="O1448" s="23"/>
      <c r="P1448" s="22"/>
      <c r="Q1448" s="23"/>
      <c r="R1448" s="81"/>
      <c r="S1448" s="22"/>
      <c r="U1448" s="24"/>
      <c r="V1448" s="23"/>
      <c r="W1448" s="100"/>
      <c r="X1448" s="82"/>
      <c r="Y1448" s="82"/>
      <c r="Z1448" s="82"/>
      <c r="AA1448"/>
      <c r="AF1448" s="72"/>
      <c r="AG1448" s="96"/>
      <c r="AH1448" s="96"/>
      <c r="AI1448" s="109"/>
    </row>
    <row r="1449" spans="1:44">
      <c r="A1449" s="358" t="s">
        <v>137</v>
      </c>
      <c r="B1449" s="369">
        <v>1446</v>
      </c>
      <c r="C1449" s="360" t="s">
        <v>1910</v>
      </c>
      <c r="D1449" s="372" t="s">
        <v>34</v>
      </c>
      <c r="E1449" s="373">
        <v>45961</v>
      </c>
      <c r="F1449" s="372" t="s">
        <v>140</v>
      </c>
      <c r="G1449" s="372"/>
      <c r="H1449" s="372" t="s">
        <v>1725</v>
      </c>
      <c r="I1449" s="372" t="s">
        <v>47</v>
      </c>
      <c r="J1449" s="372"/>
      <c r="K1449" s="372"/>
      <c r="L1449" s="21"/>
      <c r="M1449" s="22"/>
      <c r="N1449" s="23"/>
      <c r="O1449" s="380"/>
      <c r="P1449" s="23"/>
      <c r="Q1449" s="23"/>
      <c r="R1449" s="81"/>
      <c r="S1449" s="22"/>
      <c r="T1449" s="22"/>
      <c r="U1449" s="24"/>
      <c r="V1449" s="23"/>
      <c r="W1449" s="82"/>
      <c r="X1449" s="100"/>
      <c r="Y1449" s="82"/>
      <c r="Z1449" s="82"/>
      <c r="AA1449" s="91"/>
      <c r="AB1449" s="91"/>
      <c r="AF1449" s="72"/>
      <c r="AG1449" s="96"/>
      <c r="AH1449" s="96"/>
      <c r="AI1449" s="109"/>
    </row>
    <row r="1450" spans="1:44">
      <c r="A1450" s="358" t="s">
        <v>137</v>
      </c>
      <c r="B1450" s="369">
        <v>1447</v>
      </c>
      <c r="C1450" s="360" t="s">
        <v>1911</v>
      </c>
      <c r="D1450" s="372" t="s">
        <v>34</v>
      </c>
      <c r="E1450" s="373">
        <v>45961</v>
      </c>
      <c r="F1450" s="372" t="s">
        <v>140</v>
      </c>
      <c r="G1450" s="372"/>
      <c r="H1450" s="372" t="s">
        <v>1725</v>
      </c>
      <c r="I1450" s="372" t="s">
        <v>47</v>
      </c>
      <c r="J1450" s="372"/>
      <c r="K1450" s="372"/>
      <c r="L1450" s="21"/>
      <c r="M1450" s="22"/>
      <c r="N1450" s="23"/>
      <c r="O1450" s="23"/>
      <c r="P1450" s="23"/>
      <c r="Q1450" s="23"/>
      <c r="R1450" s="81"/>
      <c r="S1450" s="22"/>
      <c r="T1450" s="22"/>
      <c r="U1450" s="24"/>
      <c r="V1450" s="23"/>
      <c r="W1450" s="82"/>
      <c r="X1450" s="100"/>
      <c r="Y1450" s="82"/>
      <c r="Z1450" s="82"/>
      <c r="AA1450"/>
      <c r="AI1450" s="109"/>
    </row>
    <row r="1451" spans="1:44">
      <c r="A1451" s="358" t="s">
        <v>137</v>
      </c>
      <c r="B1451" s="369">
        <v>1448</v>
      </c>
      <c r="C1451" s="360" t="s">
        <v>1913</v>
      </c>
      <c r="D1451" s="372" t="s">
        <v>34</v>
      </c>
      <c r="E1451" s="373">
        <v>45961</v>
      </c>
      <c r="F1451" s="372" t="s">
        <v>140</v>
      </c>
      <c r="G1451" s="372"/>
      <c r="H1451" s="372" t="s">
        <v>1725</v>
      </c>
      <c r="I1451" s="372" t="s">
        <v>47</v>
      </c>
      <c r="J1451" s="372"/>
      <c r="K1451" s="372"/>
      <c r="L1451" s="21"/>
      <c r="M1451" s="22"/>
      <c r="N1451" s="23"/>
      <c r="O1451" s="380"/>
      <c r="P1451" s="23"/>
      <c r="Q1451" s="23"/>
      <c r="R1451" s="81"/>
      <c r="S1451" s="22"/>
      <c r="T1451" s="22"/>
      <c r="U1451" s="24"/>
      <c r="V1451" s="23"/>
      <c r="W1451" s="82"/>
      <c r="X1451" s="100"/>
      <c r="Y1451" s="82"/>
      <c r="Z1451" s="82"/>
      <c r="AA1451"/>
      <c r="AE1451" s="88"/>
      <c r="AF1451" s="72"/>
      <c r="AG1451" s="72"/>
      <c r="AH1451" s="72"/>
      <c r="AI1451" s="109"/>
    </row>
    <row r="1452" spans="1:44">
      <c r="A1452" s="358" t="s">
        <v>137</v>
      </c>
      <c r="B1452" s="369">
        <v>1449</v>
      </c>
      <c r="C1452" s="360" t="s">
        <v>1914</v>
      </c>
      <c r="D1452" s="372" t="s">
        <v>34</v>
      </c>
      <c r="E1452" s="373">
        <v>45961</v>
      </c>
      <c r="F1452" s="372" t="s">
        <v>140</v>
      </c>
      <c r="G1452" s="372"/>
      <c r="H1452" s="372" t="s">
        <v>1725</v>
      </c>
      <c r="I1452" s="372" t="s">
        <v>47</v>
      </c>
      <c r="J1452" s="372"/>
      <c r="K1452" s="372"/>
      <c r="L1452" s="21"/>
      <c r="M1452" s="22"/>
      <c r="N1452" s="23"/>
      <c r="O1452" s="23"/>
      <c r="P1452" s="250"/>
      <c r="Q1452" s="23"/>
      <c r="R1452" s="81"/>
      <c r="S1452" s="22"/>
      <c r="T1452" s="22"/>
      <c r="U1452" s="24"/>
      <c r="V1452" s="23"/>
      <c r="W1452" s="82"/>
      <c r="X1452" s="100"/>
      <c r="Y1452" s="100"/>
      <c r="Z1452" s="82"/>
      <c r="AA1452"/>
      <c r="AI1452" s="109"/>
    </row>
    <row r="1453" spans="1:44">
      <c r="A1453" s="358" t="s">
        <v>137</v>
      </c>
      <c r="B1453" s="369">
        <v>1450</v>
      </c>
      <c r="C1453" s="360" t="s">
        <v>1914</v>
      </c>
      <c r="D1453" s="372" t="s">
        <v>34</v>
      </c>
      <c r="E1453" s="373">
        <v>45961</v>
      </c>
      <c r="F1453" s="372" t="s">
        <v>140</v>
      </c>
      <c r="G1453" s="372"/>
      <c r="H1453" s="372" t="s">
        <v>1725</v>
      </c>
      <c r="I1453" s="372" t="s">
        <v>47</v>
      </c>
      <c r="J1453" s="372"/>
      <c r="K1453" s="372"/>
      <c r="L1453" s="21"/>
      <c r="M1453" s="22"/>
      <c r="N1453" s="23"/>
      <c r="O1453" s="23"/>
      <c r="P1453" s="23"/>
      <c r="Q1453" s="23"/>
      <c r="R1453" s="81"/>
      <c r="S1453" s="22"/>
      <c r="T1453" s="22"/>
      <c r="U1453" s="24"/>
      <c r="V1453" s="23"/>
      <c r="W1453" s="82"/>
      <c r="X1453" s="82"/>
      <c r="Y1453" s="82"/>
      <c r="Z1453" s="82"/>
      <c r="AA1453"/>
      <c r="AI1453" s="109"/>
    </row>
    <row r="1454" spans="1:44">
      <c r="A1454" s="358" t="s">
        <v>137</v>
      </c>
      <c r="B1454" s="369">
        <v>1451</v>
      </c>
      <c r="C1454" s="360" t="s">
        <v>1914</v>
      </c>
      <c r="D1454" s="372" t="s">
        <v>34</v>
      </c>
      <c r="E1454" s="373">
        <v>45961</v>
      </c>
      <c r="F1454" s="372" t="s">
        <v>140</v>
      </c>
      <c r="G1454" s="372"/>
      <c r="H1454" s="372" t="s">
        <v>1725</v>
      </c>
      <c r="I1454" s="372" t="s">
        <v>47</v>
      </c>
      <c r="J1454" s="372"/>
      <c r="K1454" s="372"/>
      <c r="L1454" s="21"/>
      <c r="M1454" s="22"/>
      <c r="N1454" s="23"/>
      <c r="O1454" s="380"/>
      <c r="P1454" s="23"/>
      <c r="Q1454" s="23"/>
      <c r="R1454" s="81"/>
      <c r="S1454" s="22"/>
      <c r="T1454" s="22"/>
      <c r="U1454" s="24"/>
      <c r="V1454" s="23"/>
      <c r="W1454" s="82"/>
      <c r="X1454" s="100"/>
      <c r="Y1454" s="82"/>
      <c r="Z1454" s="82"/>
      <c r="AA1454"/>
      <c r="AE1454" s="88"/>
      <c r="AF1454" s="72"/>
      <c r="AG1454" s="72"/>
      <c r="AH1454" s="72"/>
      <c r="AI1454" s="109"/>
    </row>
    <row r="1455" spans="1:44">
      <c r="A1455" s="358" t="s">
        <v>24</v>
      </c>
      <c r="B1455" s="369">
        <v>1452</v>
      </c>
      <c r="C1455" s="372" t="s">
        <v>2045</v>
      </c>
      <c r="D1455" s="372" t="s">
        <v>26</v>
      </c>
      <c r="E1455" s="373">
        <v>45965</v>
      </c>
      <c r="F1455" s="372" t="s">
        <v>2046</v>
      </c>
      <c r="G1455" s="372">
        <v>13</v>
      </c>
      <c r="H1455" s="372" t="s">
        <v>1077</v>
      </c>
      <c r="I1455" s="372" t="s">
        <v>1138</v>
      </c>
      <c r="J1455" s="372"/>
      <c r="K1455" s="358" t="s">
        <v>2047</v>
      </c>
      <c r="L1455" s="358" t="s">
        <v>2048</v>
      </c>
      <c r="M1455" s="358" t="s">
        <v>2049</v>
      </c>
      <c r="N1455" s="141" t="s">
        <v>2050</v>
      </c>
      <c r="O1455" s="380" t="s">
        <v>32</v>
      </c>
      <c r="P1455" s="380" t="s">
        <v>1091</v>
      </c>
      <c r="Q1455" s="24">
        <v>45994</v>
      </c>
      <c r="R1455" s="248" t="s">
        <v>1138</v>
      </c>
      <c r="S1455" s="358" t="s">
        <v>32</v>
      </c>
      <c r="T1455" s="358">
        <v>13</v>
      </c>
      <c r="U1455" s="24" t="s">
        <v>2051</v>
      </c>
      <c r="V1455" s="24">
        <v>45994</v>
      </c>
      <c r="W1455" s="100" t="s">
        <v>30</v>
      </c>
      <c r="X1455" s="100" t="s">
        <v>30</v>
      </c>
      <c r="Y1455" s="100" t="s">
        <v>30</v>
      </c>
      <c r="Z1455" s="100" t="s">
        <v>30</v>
      </c>
      <c r="AA1455" s="100" t="s">
        <v>30</v>
      </c>
      <c r="AB1455" s="100" t="s">
        <v>30</v>
      </c>
      <c r="AC1455" s="100" t="s">
        <v>30</v>
      </c>
      <c r="AD1455" s="100" t="s">
        <v>30</v>
      </c>
      <c r="AE1455" s="100" t="s">
        <v>30</v>
      </c>
      <c r="AF1455" s="100" t="s">
        <v>30</v>
      </c>
      <c r="AG1455" s="100" t="s">
        <v>30</v>
      </c>
      <c r="AH1455" s="111" t="s">
        <v>30</v>
      </c>
      <c r="AI1455" s="111" t="s">
        <v>30</v>
      </c>
      <c r="AJ1455" s="111" t="s">
        <v>30</v>
      </c>
      <c r="AK1455" s="111" t="s">
        <v>30</v>
      </c>
      <c r="AL1455" s="100" t="s">
        <v>30</v>
      </c>
      <c r="AM1455" s="360"/>
      <c r="AO1455" s="412"/>
      <c r="AP1455" s="412"/>
      <c r="AQ1455" s="412"/>
      <c r="AR1455" s="412"/>
    </row>
    <row r="1456" spans="1:44">
      <c r="A1456" s="358" t="s">
        <v>24</v>
      </c>
      <c r="B1456" s="369">
        <v>1453</v>
      </c>
      <c r="C1456" s="372" t="s">
        <v>1332</v>
      </c>
      <c r="D1456" s="372" t="s">
        <v>34</v>
      </c>
      <c r="E1456" s="373">
        <v>45965</v>
      </c>
      <c r="F1456" s="372" t="s">
        <v>412</v>
      </c>
      <c r="G1456" s="372">
        <v>11</v>
      </c>
      <c r="H1456" s="372" t="s">
        <v>1077</v>
      </c>
      <c r="I1456" s="372" t="s">
        <v>1138</v>
      </c>
      <c r="J1456" s="372"/>
      <c r="K1456" s="358" t="s">
        <v>2052</v>
      </c>
      <c r="L1456" s="358" t="s">
        <v>2048</v>
      </c>
      <c r="M1456" s="358" t="s">
        <v>2053</v>
      </c>
      <c r="N1456" s="358" t="s">
        <v>2050</v>
      </c>
      <c r="O1456" s="380" t="s">
        <v>32</v>
      </c>
      <c r="P1456" s="380" t="s">
        <v>1091</v>
      </c>
      <c r="Q1456" s="24">
        <v>46009</v>
      </c>
      <c r="R1456" s="248" t="s">
        <v>1138</v>
      </c>
      <c r="S1456" s="358" t="s">
        <v>32</v>
      </c>
      <c r="T1456" s="358">
        <v>11</v>
      </c>
      <c r="U1456" s="24" t="s">
        <v>1138</v>
      </c>
      <c r="V1456" s="24">
        <v>46009</v>
      </c>
      <c r="W1456" s="100" t="s">
        <v>30</v>
      </c>
      <c r="X1456" s="100" t="s">
        <v>30</v>
      </c>
      <c r="Y1456" s="100" t="s">
        <v>30</v>
      </c>
      <c r="Z1456" s="100" t="s">
        <v>30</v>
      </c>
      <c r="AA1456" s="100" t="s">
        <v>30</v>
      </c>
      <c r="AB1456" s="100" t="s">
        <v>30</v>
      </c>
      <c r="AC1456" s="100" t="s">
        <v>30</v>
      </c>
      <c r="AD1456" s="100" t="s">
        <v>30</v>
      </c>
      <c r="AE1456" s="100" t="s">
        <v>30</v>
      </c>
      <c r="AF1456" s="100" t="s">
        <v>30</v>
      </c>
      <c r="AG1456" s="100" t="s">
        <v>30</v>
      </c>
      <c r="AH1456" s="111" t="s">
        <v>30</v>
      </c>
      <c r="AI1456" s="111" t="s">
        <v>30</v>
      </c>
      <c r="AJ1456" s="111" t="s">
        <v>30</v>
      </c>
      <c r="AK1456" s="112" t="s">
        <v>30</v>
      </c>
      <c r="AL1456" s="100" t="s">
        <v>30</v>
      </c>
      <c r="AM1456" s="360"/>
      <c r="AO1456" s="412"/>
      <c r="AP1456" s="412"/>
      <c r="AQ1456" s="412"/>
      <c r="AR1456" s="412"/>
    </row>
    <row r="1457" spans="1:44">
      <c r="A1457" s="358" t="s">
        <v>24</v>
      </c>
      <c r="B1457" s="369">
        <v>1454</v>
      </c>
      <c r="C1457" s="372" t="s">
        <v>2054</v>
      </c>
      <c r="D1457" s="372" t="s">
        <v>50</v>
      </c>
      <c r="E1457" s="373">
        <v>45965</v>
      </c>
      <c r="F1457" s="372" t="s">
        <v>506</v>
      </c>
      <c r="G1457" s="372">
        <v>29</v>
      </c>
      <c r="H1457" s="372" t="s">
        <v>1721</v>
      </c>
      <c r="I1457" s="372" t="s">
        <v>2055</v>
      </c>
      <c r="J1457" s="372"/>
      <c r="K1457" s="358" t="s">
        <v>2056</v>
      </c>
      <c r="L1457" s="358" t="s">
        <v>2057</v>
      </c>
      <c r="M1457" s="358" t="s">
        <v>2057</v>
      </c>
      <c r="N1457" s="358" t="s">
        <v>2058</v>
      </c>
      <c r="O1457" s="117" t="s">
        <v>30</v>
      </c>
      <c r="P1457" s="380" t="s">
        <v>1091</v>
      </c>
      <c r="Q1457" s="24">
        <v>46021</v>
      </c>
      <c r="R1457" s="81" t="s">
        <v>1638</v>
      </c>
      <c r="S1457" s="358" t="s">
        <v>32</v>
      </c>
      <c r="T1457" s="358">
        <v>26</v>
      </c>
      <c r="U1457" s="24" t="s">
        <v>1638</v>
      </c>
      <c r="V1457" s="24">
        <v>46021</v>
      </c>
      <c r="W1457" s="100" t="s">
        <v>30</v>
      </c>
      <c r="X1457" s="100" t="s">
        <v>30</v>
      </c>
      <c r="Y1457" s="100" t="s">
        <v>30</v>
      </c>
      <c r="Z1457" s="100" t="s">
        <v>30</v>
      </c>
      <c r="AA1457" s="100" t="s">
        <v>30</v>
      </c>
      <c r="AB1457" s="100" t="s">
        <v>30</v>
      </c>
      <c r="AC1457" s="100" t="s">
        <v>30</v>
      </c>
      <c r="AD1457" s="100" t="s">
        <v>30</v>
      </c>
      <c r="AE1457" s="100" t="s">
        <v>30</v>
      </c>
      <c r="AF1457" s="100" t="s">
        <v>30</v>
      </c>
      <c r="AG1457" s="100" t="s">
        <v>30</v>
      </c>
      <c r="AH1457" s="100" t="s">
        <v>30</v>
      </c>
      <c r="AI1457" s="100" t="s">
        <v>30</v>
      </c>
      <c r="AJ1457" s="100" t="s">
        <v>30</v>
      </c>
      <c r="AK1457" s="100" t="s">
        <v>30</v>
      </c>
      <c r="AL1457" s="95" t="s">
        <v>32</v>
      </c>
      <c r="AM1457" s="360" t="s">
        <v>2059</v>
      </c>
      <c r="AO1457" s="412"/>
      <c r="AP1457" s="412"/>
      <c r="AQ1457" s="412"/>
      <c r="AR1457" s="412"/>
    </row>
    <row r="1458" spans="1:44">
      <c r="A1458" s="358" t="s">
        <v>24</v>
      </c>
      <c r="B1458" s="369">
        <v>1455</v>
      </c>
      <c r="C1458" s="372" t="s">
        <v>2060</v>
      </c>
      <c r="D1458" s="372" t="s">
        <v>26</v>
      </c>
      <c r="E1458" s="373">
        <v>45966</v>
      </c>
      <c r="F1458" s="372" t="s">
        <v>97</v>
      </c>
      <c r="G1458" s="372">
        <v>18</v>
      </c>
      <c r="H1458" s="372" t="s">
        <v>1721</v>
      </c>
      <c r="I1458" s="372" t="s">
        <v>1638</v>
      </c>
      <c r="J1458" s="372"/>
      <c r="K1458" s="358" t="s">
        <v>2061</v>
      </c>
      <c r="L1458" s="358" t="s">
        <v>2062</v>
      </c>
      <c r="M1458" s="358" t="s">
        <v>2062</v>
      </c>
      <c r="N1458" s="358" t="s">
        <v>2050</v>
      </c>
      <c r="O1458" s="117" t="s">
        <v>30</v>
      </c>
      <c r="P1458" s="380" t="s">
        <v>1091</v>
      </c>
      <c r="Q1458" s="24">
        <v>46021</v>
      </c>
      <c r="R1458" s="81" t="s">
        <v>1638</v>
      </c>
      <c r="S1458" s="358" t="s">
        <v>32</v>
      </c>
      <c r="T1458" s="358">
        <v>8</v>
      </c>
      <c r="U1458" s="24" t="s">
        <v>1638</v>
      </c>
      <c r="V1458" s="24">
        <v>46021</v>
      </c>
      <c r="W1458" s="100" t="s">
        <v>30</v>
      </c>
      <c r="X1458" s="94" t="s">
        <v>30</v>
      </c>
      <c r="Y1458" s="94" t="s">
        <v>30</v>
      </c>
      <c r="Z1458" s="100" t="s">
        <v>30</v>
      </c>
      <c r="AA1458" s="100" t="s">
        <v>30</v>
      </c>
      <c r="AB1458" s="100" t="s">
        <v>30</v>
      </c>
      <c r="AC1458" s="100" t="s">
        <v>30</v>
      </c>
      <c r="AD1458" s="100" t="s">
        <v>30</v>
      </c>
      <c r="AE1458" s="100" t="s">
        <v>30</v>
      </c>
      <c r="AF1458" s="100" t="s">
        <v>30</v>
      </c>
      <c r="AG1458" s="100" t="s">
        <v>30</v>
      </c>
      <c r="AH1458" s="111" t="s">
        <v>30</v>
      </c>
      <c r="AI1458" s="94" t="s">
        <v>30</v>
      </c>
      <c r="AJ1458" s="94" t="s">
        <v>30</v>
      </c>
      <c r="AK1458" s="94" t="s">
        <v>30</v>
      </c>
      <c r="AL1458" s="95" t="s">
        <v>32</v>
      </c>
      <c r="AM1458" s="360"/>
      <c r="AO1458" s="412"/>
      <c r="AP1458" s="412"/>
      <c r="AQ1458" s="412"/>
      <c r="AR1458" s="412"/>
    </row>
    <row r="1459" spans="1:44">
      <c r="A1459" s="358" t="s">
        <v>24</v>
      </c>
      <c r="B1459" s="369">
        <v>1456</v>
      </c>
      <c r="C1459" s="372" t="s">
        <v>2063</v>
      </c>
      <c r="D1459" s="372" t="s">
        <v>26</v>
      </c>
      <c r="E1459" s="373">
        <v>45967</v>
      </c>
      <c r="F1459" s="372" t="s">
        <v>97</v>
      </c>
      <c r="G1459" s="372">
        <v>18</v>
      </c>
      <c r="H1459" s="372" t="s">
        <v>1721</v>
      </c>
      <c r="I1459" s="372" t="s">
        <v>1638</v>
      </c>
      <c r="J1459" s="372"/>
      <c r="K1459" s="358" t="s">
        <v>2061</v>
      </c>
      <c r="L1459" s="358" t="s">
        <v>2062</v>
      </c>
      <c r="M1459" s="358" t="s">
        <v>2062</v>
      </c>
      <c r="N1459" s="358" t="s">
        <v>2050</v>
      </c>
      <c r="O1459" s="117" t="s">
        <v>30</v>
      </c>
      <c r="P1459" s="380" t="s">
        <v>1091</v>
      </c>
      <c r="Q1459" s="24">
        <v>46021</v>
      </c>
      <c r="R1459" s="81" t="s">
        <v>1638</v>
      </c>
      <c r="S1459" s="358" t="s">
        <v>1140</v>
      </c>
      <c r="T1459" s="358">
        <v>8</v>
      </c>
      <c r="U1459" s="24" t="s">
        <v>1638</v>
      </c>
      <c r="V1459" s="24">
        <v>46021</v>
      </c>
      <c r="W1459" s="100" t="s">
        <v>30</v>
      </c>
      <c r="X1459" s="94" t="s">
        <v>30</v>
      </c>
      <c r="Y1459" s="94" t="s">
        <v>30</v>
      </c>
      <c r="Z1459" s="100" t="s">
        <v>30</v>
      </c>
      <c r="AA1459" s="100" t="s">
        <v>30</v>
      </c>
      <c r="AB1459" s="100" t="s">
        <v>30</v>
      </c>
      <c r="AC1459" s="100" t="s">
        <v>30</v>
      </c>
      <c r="AD1459" s="100" t="s">
        <v>30</v>
      </c>
      <c r="AE1459" s="100" t="s">
        <v>30</v>
      </c>
      <c r="AF1459" s="100" t="s">
        <v>30</v>
      </c>
      <c r="AG1459" s="100" t="s">
        <v>30</v>
      </c>
      <c r="AH1459" s="111" t="s">
        <v>30</v>
      </c>
      <c r="AI1459" s="111" t="s">
        <v>30</v>
      </c>
      <c r="AJ1459" s="111" t="s">
        <v>30</v>
      </c>
      <c r="AK1459" s="111" t="s">
        <v>30</v>
      </c>
      <c r="AL1459" s="95" t="s">
        <v>32</v>
      </c>
      <c r="AM1459" s="360"/>
    </row>
    <row r="1460" spans="1:44">
      <c r="A1460" s="358" t="s">
        <v>24</v>
      </c>
      <c r="B1460" s="369">
        <v>1457</v>
      </c>
      <c r="C1460" s="372" t="s">
        <v>2064</v>
      </c>
      <c r="D1460" s="372" t="s">
        <v>102</v>
      </c>
      <c r="E1460" s="373">
        <v>45967</v>
      </c>
      <c r="F1460" s="372" t="s">
        <v>1124</v>
      </c>
      <c r="G1460" s="372">
        <v>11</v>
      </c>
      <c r="H1460" s="372" t="s">
        <v>1077</v>
      </c>
      <c r="I1460" s="372" t="s">
        <v>2065</v>
      </c>
      <c r="J1460" s="372"/>
      <c r="K1460" s="358" t="s">
        <v>2066</v>
      </c>
      <c r="L1460" s="358" t="s">
        <v>2067</v>
      </c>
      <c r="M1460" s="358" t="s">
        <v>2053</v>
      </c>
      <c r="N1460" s="358" t="s">
        <v>2058</v>
      </c>
      <c r="O1460" s="380" t="s">
        <v>32</v>
      </c>
      <c r="P1460" s="380" t="s">
        <v>1091</v>
      </c>
      <c r="Q1460" s="24">
        <v>46010</v>
      </c>
      <c r="R1460" s="248" t="s">
        <v>1138</v>
      </c>
      <c r="S1460" s="358" t="s">
        <v>32</v>
      </c>
      <c r="T1460" s="358">
        <v>11</v>
      </c>
      <c r="U1460" s="24" t="s">
        <v>1138</v>
      </c>
      <c r="V1460" s="24">
        <v>46010</v>
      </c>
      <c r="W1460" s="100" t="s">
        <v>30</v>
      </c>
      <c r="X1460" s="100" t="s">
        <v>30</v>
      </c>
      <c r="Y1460" s="100" t="s">
        <v>30</v>
      </c>
      <c r="Z1460" s="100" t="s">
        <v>30</v>
      </c>
      <c r="AA1460" s="95" t="s">
        <v>32</v>
      </c>
      <c r="AB1460" s="95" t="s">
        <v>32</v>
      </c>
      <c r="AC1460" s="100" t="s">
        <v>30</v>
      </c>
      <c r="AD1460" s="100" t="s">
        <v>30</v>
      </c>
      <c r="AE1460" s="100" t="s">
        <v>30</v>
      </c>
      <c r="AF1460" s="100" t="s">
        <v>30</v>
      </c>
      <c r="AG1460" s="100" t="s">
        <v>30</v>
      </c>
      <c r="AH1460" s="100" t="s">
        <v>30</v>
      </c>
      <c r="AI1460" s="100" t="s">
        <v>30</v>
      </c>
      <c r="AJ1460" s="100" t="s">
        <v>30</v>
      </c>
      <c r="AK1460" s="100" t="s">
        <v>30</v>
      </c>
      <c r="AL1460" s="100" t="s">
        <v>30</v>
      </c>
      <c r="AM1460" s="360" t="s">
        <v>2068</v>
      </c>
      <c r="AO1460" s="412"/>
      <c r="AP1460" s="412"/>
      <c r="AQ1460" s="412"/>
      <c r="AR1460" s="412"/>
    </row>
    <row r="1461" spans="1:44">
      <c r="A1461" s="358" t="s">
        <v>24</v>
      </c>
      <c r="B1461" s="369">
        <v>1458</v>
      </c>
      <c r="C1461" s="372" t="s">
        <v>2069</v>
      </c>
      <c r="D1461" s="372" t="s">
        <v>102</v>
      </c>
      <c r="E1461" s="373">
        <v>45968</v>
      </c>
      <c r="F1461" s="372" t="s">
        <v>282</v>
      </c>
      <c r="G1461" s="372">
        <v>11</v>
      </c>
      <c r="H1461" s="372" t="s">
        <v>127</v>
      </c>
      <c r="I1461" s="372" t="s">
        <v>178</v>
      </c>
      <c r="J1461" s="372"/>
      <c r="K1461" s="358" t="s">
        <v>2056</v>
      </c>
      <c r="L1461" s="358" t="s">
        <v>2070</v>
      </c>
      <c r="M1461" s="358" t="s">
        <v>2070</v>
      </c>
      <c r="N1461" s="358" t="s">
        <v>2058</v>
      </c>
      <c r="O1461" s="380" t="s">
        <v>32</v>
      </c>
      <c r="P1461" s="380" t="s">
        <v>1091</v>
      </c>
      <c r="Q1461" s="24">
        <v>46002</v>
      </c>
      <c r="R1461" s="81" t="s">
        <v>28</v>
      </c>
      <c r="S1461" s="358" t="s">
        <v>32</v>
      </c>
      <c r="T1461" s="358">
        <v>8</v>
      </c>
      <c r="U1461" s="24" t="s">
        <v>28</v>
      </c>
      <c r="V1461" s="24">
        <v>46002</v>
      </c>
      <c r="W1461" s="100" t="s">
        <v>30</v>
      </c>
      <c r="X1461" s="100" t="s">
        <v>30</v>
      </c>
      <c r="Y1461" s="100" t="s">
        <v>30</v>
      </c>
      <c r="Z1461" s="100" t="s">
        <v>30</v>
      </c>
      <c r="AA1461" s="100" t="s">
        <v>30</v>
      </c>
      <c r="AB1461" s="100" t="s">
        <v>30</v>
      </c>
      <c r="AC1461" s="100" t="s">
        <v>30</v>
      </c>
      <c r="AD1461" s="100" t="s">
        <v>30</v>
      </c>
      <c r="AE1461" s="100" t="s">
        <v>30</v>
      </c>
      <c r="AF1461" s="100" t="s">
        <v>30</v>
      </c>
      <c r="AG1461" s="100" t="s">
        <v>30</v>
      </c>
      <c r="AH1461" s="111" t="s">
        <v>30</v>
      </c>
      <c r="AI1461" s="100" t="s">
        <v>30</v>
      </c>
      <c r="AJ1461" s="100" t="s">
        <v>30</v>
      </c>
      <c r="AK1461" s="100" t="s">
        <v>30</v>
      </c>
      <c r="AL1461" s="100" t="s">
        <v>30</v>
      </c>
      <c r="AM1461" s="360" t="s">
        <v>2071</v>
      </c>
      <c r="AO1461" s="412"/>
      <c r="AP1461" s="412"/>
      <c r="AQ1461" s="412"/>
      <c r="AR1461" s="412"/>
    </row>
    <row r="1462" spans="1:44">
      <c r="A1462" s="358" t="s">
        <v>24</v>
      </c>
      <c r="B1462" s="369">
        <v>1459</v>
      </c>
      <c r="C1462" s="372" t="s">
        <v>2072</v>
      </c>
      <c r="D1462" s="372" t="s">
        <v>43</v>
      </c>
      <c r="E1462" s="373">
        <v>45968</v>
      </c>
      <c r="F1462" s="372" t="s">
        <v>439</v>
      </c>
      <c r="G1462" s="372">
        <v>13</v>
      </c>
      <c r="H1462" s="372" t="s">
        <v>127</v>
      </c>
      <c r="I1462" s="372" t="s">
        <v>178</v>
      </c>
      <c r="J1462" s="102" t="s">
        <v>2073</v>
      </c>
      <c r="K1462" s="358" t="s">
        <v>2074</v>
      </c>
      <c r="L1462" s="358" t="s">
        <v>2062</v>
      </c>
      <c r="M1462" s="358" t="s">
        <v>2062</v>
      </c>
      <c r="N1462" s="358" t="s">
        <v>2050</v>
      </c>
      <c r="O1462" s="380" t="s">
        <v>32</v>
      </c>
      <c r="P1462" s="380"/>
      <c r="Q1462" s="24"/>
      <c r="R1462" s="81" t="s">
        <v>28</v>
      </c>
      <c r="S1462" s="358"/>
      <c r="T1462" s="358"/>
      <c r="U1462" s="24"/>
      <c r="V1462" s="24"/>
      <c r="W1462" s="100" t="s">
        <v>30</v>
      </c>
      <c r="X1462" s="100" t="s">
        <v>30</v>
      </c>
      <c r="Y1462" s="100" t="s">
        <v>30</v>
      </c>
      <c r="Z1462" s="100" t="s">
        <v>30</v>
      </c>
      <c r="AA1462" s="100" t="s">
        <v>30</v>
      </c>
      <c r="AB1462" s="100" t="s">
        <v>30</v>
      </c>
      <c r="AC1462" s="100" t="s">
        <v>30</v>
      </c>
      <c r="AD1462" s="100" t="s">
        <v>30</v>
      </c>
      <c r="AE1462" s="100" t="s">
        <v>30</v>
      </c>
      <c r="AF1462" s="100" t="s">
        <v>30</v>
      </c>
      <c r="AG1462" s="100" t="s">
        <v>30</v>
      </c>
      <c r="AH1462" s="111" t="s">
        <v>30</v>
      </c>
      <c r="AI1462" s="114" t="s">
        <v>32</v>
      </c>
      <c r="AJ1462" s="114" t="s">
        <v>32</v>
      </c>
      <c r="AK1462" s="100" t="s">
        <v>30</v>
      </c>
      <c r="AL1462" s="95" t="s">
        <v>32</v>
      </c>
      <c r="AM1462" s="360" t="s">
        <v>2059</v>
      </c>
      <c r="AO1462" s="412"/>
      <c r="AP1462" s="412"/>
      <c r="AQ1462" s="412"/>
      <c r="AR1462" s="412"/>
    </row>
    <row r="1463" spans="1:44">
      <c r="A1463" s="358" t="s">
        <v>24</v>
      </c>
      <c r="B1463" s="369">
        <v>1460</v>
      </c>
      <c r="C1463" s="372" t="s">
        <v>2075</v>
      </c>
      <c r="D1463" s="372" t="s">
        <v>26</v>
      </c>
      <c r="E1463" s="373">
        <v>45968</v>
      </c>
      <c r="F1463" s="372" t="s">
        <v>1495</v>
      </c>
      <c r="G1463" s="372">
        <v>15</v>
      </c>
      <c r="H1463" s="372" t="s">
        <v>1077</v>
      </c>
      <c r="I1463" s="372" t="s">
        <v>1721</v>
      </c>
      <c r="J1463" s="372"/>
      <c r="K1463" s="358" t="s">
        <v>2076</v>
      </c>
      <c r="L1463" s="358" t="s">
        <v>2062</v>
      </c>
      <c r="M1463" s="358" t="s">
        <v>2077</v>
      </c>
      <c r="N1463" s="358" t="s">
        <v>2050</v>
      </c>
      <c r="O1463" s="117" t="s">
        <v>30</v>
      </c>
      <c r="P1463" s="380" t="s">
        <v>1091</v>
      </c>
      <c r="Q1463" s="24">
        <v>45995</v>
      </c>
      <c r="R1463" s="248" t="s">
        <v>1138</v>
      </c>
      <c r="S1463" s="358" t="s">
        <v>32</v>
      </c>
      <c r="T1463" s="358">
        <v>15</v>
      </c>
      <c r="U1463" s="24" t="s">
        <v>1138</v>
      </c>
      <c r="V1463" s="24">
        <v>45995</v>
      </c>
      <c r="W1463" s="100" t="s">
        <v>30</v>
      </c>
      <c r="X1463" s="100" t="s">
        <v>30</v>
      </c>
      <c r="Y1463" s="100" t="s">
        <v>30</v>
      </c>
      <c r="Z1463" s="100" t="s">
        <v>30</v>
      </c>
      <c r="AA1463" s="100" t="s">
        <v>30</v>
      </c>
      <c r="AB1463" s="100" t="s">
        <v>30</v>
      </c>
      <c r="AC1463" s="100" t="s">
        <v>30</v>
      </c>
      <c r="AD1463" s="100" t="s">
        <v>30</v>
      </c>
      <c r="AE1463" s="100" t="s">
        <v>30</v>
      </c>
      <c r="AF1463" s="100" t="s">
        <v>30</v>
      </c>
      <c r="AG1463" s="100" t="s">
        <v>30</v>
      </c>
      <c r="AH1463" s="111" t="s">
        <v>30</v>
      </c>
      <c r="AI1463" s="100" t="s">
        <v>30</v>
      </c>
      <c r="AJ1463" s="100" t="s">
        <v>30</v>
      </c>
      <c r="AK1463" s="100" t="s">
        <v>30</v>
      </c>
      <c r="AL1463" s="100" t="s">
        <v>30</v>
      </c>
      <c r="AM1463" s="360"/>
    </row>
    <row r="1464" spans="1:44">
      <c r="A1464" s="358" t="s">
        <v>24</v>
      </c>
      <c r="B1464" s="369">
        <v>1461</v>
      </c>
      <c r="C1464" s="372" t="s">
        <v>2078</v>
      </c>
      <c r="D1464" s="372" t="s">
        <v>102</v>
      </c>
      <c r="E1464" s="373">
        <v>45968</v>
      </c>
      <c r="F1464" s="372" t="s">
        <v>430</v>
      </c>
      <c r="G1464" s="372">
        <v>10</v>
      </c>
      <c r="H1464" s="372" t="s">
        <v>1077</v>
      </c>
      <c r="I1464" s="372" t="s">
        <v>1138</v>
      </c>
      <c r="J1464" s="372"/>
      <c r="K1464" s="358" t="s">
        <v>2066</v>
      </c>
      <c r="L1464" s="358" t="s">
        <v>2062</v>
      </c>
      <c r="M1464" s="358" t="s">
        <v>2062</v>
      </c>
      <c r="N1464" s="358" t="s">
        <v>2050</v>
      </c>
      <c r="O1464" s="380" t="s">
        <v>32</v>
      </c>
      <c r="P1464" s="380" t="s">
        <v>1091</v>
      </c>
      <c r="Q1464" s="24">
        <v>46002</v>
      </c>
      <c r="R1464" s="248" t="s">
        <v>1138</v>
      </c>
      <c r="S1464" s="358" t="s">
        <v>32</v>
      </c>
      <c r="T1464" s="358">
        <v>2</v>
      </c>
      <c r="U1464" s="24" t="s">
        <v>1138</v>
      </c>
      <c r="V1464" s="24">
        <v>46002</v>
      </c>
      <c r="W1464" s="100" t="s">
        <v>30</v>
      </c>
      <c r="X1464" s="100" t="s">
        <v>30</v>
      </c>
      <c r="Y1464" s="100" t="s">
        <v>30</v>
      </c>
      <c r="Z1464" s="100" t="s">
        <v>30</v>
      </c>
      <c r="AA1464" s="95" t="s">
        <v>32</v>
      </c>
      <c r="AB1464" s="95" t="s">
        <v>32</v>
      </c>
      <c r="AC1464" s="100" t="s">
        <v>30</v>
      </c>
      <c r="AD1464" s="100" t="s">
        <v>30</v>
      </c>
      <c r="AE1464" s="100" t="s">
        <v>30</v>
      </c>
      <c r="AF1464" s="100" t="s">
        <v>30</v>
      </c>
      <c r="AG1464" s="100" t="s">
        <v>30</v>
      </c>
      <c r="AH1464" s="100" t="s">
        <v>30</v>
      </c>
      <c r="AI1464" s="100" t="s">
        <v>30</v>
      </c>
      <c r="AJ1464" s="100" t="s">
        <v>30</v>
      </c>
      <c r="AK1464" s="114" t="s">
        <v>32</v>
      </c>
      <c r="AL1464" s="100" t="s">
        <v>30</v>
      </c>
      <c r="AM1464" s="360" t="s">
        <v>2068</v>
      </c>
    </row>
    <row r="1465" spans="1:44">
      <c r="A1465" s="358" t="s">
        <v>24</v>
      </c>
      <c r="B1465" s="369">
        <v>1462</v>
      </c>
      <c r="C1465" s="372" t="s">
        <v>2079</v>
      </c>
      <c r="D1465" s="372" t="s">
        <v>102</v>
      </c>
      <c r="E1465" s="373">
        <v>45968</v>
      </c>
      <c r="F1465" s="372" t="s">
        <v>430</v>
      </c>
      <c r="G1465" s="372">
        <v>2</v>
      </c>
      <c r="H1465" s="372" t="s">
        <v>1077</v>
      </c>
      <c r="I1465" s="372" t="s">
        <v>1138</v>
      </c>
      <c r="J1465" s="372"/>
      <c r="K1465" s="358" t="s">
        <v>2066</v>
      </c>
      <c r="L1465" s="358" t="s">
        <v>401</v>
      </c>
      <c r="M1465" s="358" t="s">
        <v>401</v>
      </c>
      <c r="N1465" s="358" t="s">
        <v>401</v>
      </c>
      <c r="O1465" s="380" t="s">
        <v>32</v>
      </c>
      <c r="P1465" s="380" t="s">
        <v>1091</v>
      </c>
      <c r="Q1465" s="24">
        <v>46001</v>
      </c>
      <c r="R1465" s="248" t="s">
        <v>1138</v>
      </c>
      <c r="S1465" s="358" t="s">
        <v>32</v>
      </c>
      <c r="T1465" s="358">
        <v>10</v>
      </c>
      <c r="U1465" s="24" t="s">
        <v>1138</v>
      </c>
      <c r="V1465" s="24">
        <v>46001</v>
      </c>
      <c r="W1465" s="100" t="s">
        <v>30</v>
      </c>
      <c r="X1465" s="100" t="s">
        <v>30</v>
      </c>
      <c r="Y1465" s="100" t="s">
        <v>30</v>
      </c>
      <c r="Z1465" s="100" t="s">
        <v>30</v>
      </c>
      <c r="AA1465" s="95" t="s">
        <v>32</v>
      </c>
      <c r="AB1465" s="95" t="s">
        <v>32</v>
      </c>
      <c r="AC1465" s="100" t="s">
        <v>30</v>
      </c>
      <c r="AD1465" s="100" t="s">
        <v>30</v>
      </c>
      <c r="AE1465" s="100" t="s">
        <v>30</v>
      </c>
      <c r="AF1465" s="100" t="s">
        <v>30</v>
      </c>
      <c r="AG1465" s="100" t="s">
        <v>30</v>
      </c>
      <c r="AH1465" s="111" t="s">
        <v>30</v>
      </c>
      <c r="AI1465" s="114" t="s">
        <v>32</v>
      </c>
      <c r="AJ1465" s="100" t="s">
        <v>30</v>
      </c>
      <c r="AK1465" s="114" t="s">
        <v>32</v>
      </c>
      <c r="AL1465" s="100" t="s">
        <v>30</v>
      </c>
      <c r="AM1465" s="360" t="s">
        <v>2080</v>
      </c>
    </row>
    <row r="1466" spans="1:44">
      <c r="A1466" s="358" t="s">
        <v>24</v>
      </c>
      <c r="B1466" s="369">
        <v>1463</v>
      </c>
      <c r="C1466" s="372" t="s">
        <v>2081</v>
      </c>
      <c r="D1466" s="372" t="s">
        <v>403</v>
      </c>
      <c r="E1466" s="373">
        <v>45968</v>
      </c>
      <c r="F1466" s="372" t="s">
        <v>1608</v>
      </c>
      <c r="G1466" s="372">
        <v>14</v>
      </c>
      <c r="H1466" s="372" t="s">
        <v>67</v>
      </c>
      <c r="I1466" s="372" t="s">
        <v>47</v>
      </c>
      <c r="J1466" s="372"/>
      <c r="K1466" s="358" t="s">
        <v>2082</v>
      </c>
      <c r="L1466" s="358" t="s">
        <v>2062</v>
      </c>
      <c r="M1466" s="358" t="s">
        <v>2077</v>
      </c>
      <c r="N1466" s="358" t="s">
        <v>2083</v>
      </c>
      <c r="O1466" s="380" t="s">
        <v>32</v>
      </c>
      <c r="P1466" s="380" t="s">
        <v>1091</v>
      </c>
      <c r="Q1466" s="24">
        <v>46011</v>
      </c>
      <c r="R1466" s="81" t="s">
        <v>47</v>
      </c>
      <c r="S1466" s="358" t="s">
        <v>32</v>
      </c>
      <c r="T1466" s="358">
        <v>14</v>
      </c>
      <c r="U1466" s="24" t="s">
        <v>47</v>
      </c>
      <c r="V1466" s="24">
        <v>46011</v>
      </c>
      <c r="W1466" s="100" t="s">
        <v>30</v>
      </c>
      <c r="X1466" s="100" t="s">
        <v>30</v>
      </c>
      <c r="Y1466" s="100" t="s">
        <v>30</v>
      </c>
      <c r="Z1466" s="100" t="s">
        <v>30</v>
      </c>
      <c r="AA1466" s="100" t="s">
        <v>30</v>
      </c>
      <c r="AB1466" s="100" t="s">
        <v>30</v>
      </c>
      <c r="AC1466" s="100" t="s">
        <v>30</v>
      </c>
      <c r="AD1466" s="100" t="s">
        <v>30</v>
      </c>
      <c r="AE1466" s="100" t="s">
        <v>30</v>
      </c>
      <c r="AF1466" s="95" t="s">
        <v>32</v>
      </c>
      <c r="AG1466" s="95" t="s">
        <v>32</v>
      </c>
      <c r="AH1466" s="111" t="s">
        <v>30</v>
      </c>
      <c r="AI1466" s="111" t="s">
        <v>30</v>
      </c>
      <c r="AJ1466" s="111" t="s">
        <v>30</v>
      </c>
      <c r="AK1466" s="111" t="s">
        <v>30</v>
      </c>
      <c r="AL1466" s="100" t="s">
        <v>30</v>
      </c>
      <c r="AM1466" s="360" t="s">
        <v>2080</v>
      </c>
      <c r="AN1466" s="6"/>
    </row>
    <row r="1467" spans="1:44">
      <c r="A1467" s="358" t="s">
        <v>24</v>
      </c>
      <c r="B1467" s="369">
        <v>1464</v>
      </c>
      <c r="C1467" s="372" t="s">
        <v>2084</v>
      </c>
      <c r="D1467" s="372" t="s">
        <v>83</v>
      </c>
      <c r="E1467" s="373">
        <v>45969</v>
      </c>
      <c r="F1467" s="372" t="s">
        <v>106</v>
      </c>
      <c r="G1467" s="372">
        <v>17</v>
      </c>
      <c r="H1467" s="372" t="s">
        <v>127</v>
      </c>
      <c r="I1467" s="372" t="s">
        <v>178</v>
      </c>
      <c r="J1467" s="372"/>
      <c r="K1467" s="358" t="s">
        <v>2085</v>
      </c>
      <c r="L1467" s="358" t="s">
        <v>2062</v>
      </c>
      <c r="M1467" s="358" t="s">
        <v>2070</v>
      </c>
      <c r="N1467" s="358" t="s">
        <v>2050</v>
      </c>
      <c r="O1467" s="117" t="s">
        <v>30</v>
      </c>
      <c r="P1467" s="380" t="s">
        <v>1091</v>
      </c>
      <c r="Q1467" s="24">
        <v>46008</v>
      </c>
      <c r="R1467" s="81" t="s">
        <v>28</v>
      </c>
      <c r="S1467" s="358" t="s">
        <v>1140</v>
      </c>
      <c r="T1467" s="358">
        <v>17</v>
      </c>
      <c r="U1467" s="24" t="s">
        <v>28</v>
      </c>
      <c r="V1467" s="24">
        <v>46008</v>
      </c>
      <c r="W1467" s="100" t="s">
        <v>30</v>
      </c>
      <c r="X1467" s="100" t="s">
        <v>30</v>
      </c>
      <c r="Y1467" s="100" t="s">
        <v>30</v>
      </c>
      <c r="Z1467" s="100" t="s">
        <v>30</v>
      </c>
      <c r="AA1467" s="100" t="s">
        <v>30</v>
      </c>
      <c r="AB1467" s="100" t="s">
        <v>30</v>
      </c>
      <c r="AC1467" s="100" t="s">
        <v>30</v>
      </c>
      <c r="AD1467" s="100" t="s">
        <v>30</v>
      </c>
      <c r="AE1467" s="100" t="s">
        <v>30</v>
      </c>
      <c r="AF1467" s="100" t="s">
        <v>30</v>
      </c>
      <c r="AG1467" s="100" t="s">
        <v>30</v>
      </c>
      <c r="AH1467" s="111" t="s">
        <v>30</v>
      </c>
      <c r="AI1467" s="100" t="s">
        <v>30</v>
      </c>
      <c r="AJ1467" s="100" t="s">
        <v>30</v>
      </c>
      <c r="AK1467" s="100" t="s">
        <v>30</v>
      </c>
      <c r="AL1467" s="100" t="s">
        <v>30</v>
      </c>
      <c r="AM1467" s="360"/>
    </row>
    <row r="1468" spans="1:44">
      <c r="A1468" s="358" t="s">
        <v>24</v>
      </c>
      <c r="B1468" s="369">
        <v>1465</v>
      </c>
      <c r="C1468" s="372" t="s">
        <v>2086</v>
      </c>
      <c r="D1468" s="372" t="s">
        <v>34</v>
      </c>
      <c r="E1468" s="373">
        <v>45969</v>
      </c>
      <c r="F1468" s="372" t="s">
        <v>106</v>
      </c>
      <c r="G1468" s="372">
        <v>7</v>
      </c>
      <c r="H1468" s="372" t="s">
        <v>127</v>
      </c>
      <c r="I1468" s="372" t="s">
        <v>178</v>
      </c>
      <c r="J1468" s="360"/>
      <c r="K1468" s="358" t="s">
        <v>2087</v>
      </c>
      <c r="L1468" s="358" t="s">
        <v>2070</v>
      </c>
      <c r="M1468" s="358" t="s">
        <v>2070</v>
      </c>
      <c r="N1468" s="358" t="s">
        <v>2088</v>
      </c>
      <c r="O1468" s="117" t="s">
        <v>30</v>
      </c>
      <c r="P1468" s="380" t="s">
        <v>1091</v>
      </c>
      <c r="Q1468" s="24">
        <v>46010</v>
      </c>
      <c r="R1468" s="81" t="s">
        <v>28</v>
      </c>
      <c r="S1468" s="358" t="s">
        <v>32</v>
      </c>
      <c r="T1468" s="358">
        <v>7</v>
      </c>
      <c r="U1468" s="24" t="s">
        <v>28</v>
      </c>
      <c r="V1468" s="24">
        <v>46010</v>
      </c>
      <c r="W1468" s="100" t="s">
        <v>30</v>
      </c>
      <c r="X1468" s="100" t="s">
        <v>30</v>
      </c>
      <c r="Y1468" s="100" t="s">
        <v>30</v>
      </c>
      <c r="Z1468" s="95" t="s">
        <v>32</v>
      </c>
      <c r="AA1468" s="95" t="s">
        <v>32</v>
      </c>
      <c r="AB1468" s="95" t="s">
        <v>32</v>
      </c>
      <c r="AC1468" s="100" t="s">
        <v>30</v>
      </c>
      <c r="AD1468" s="100" t="s">
        <v>30</v>
      </c>
      <c r="AE1468" s="100" t="s">
        <v>30</v>
      </c>
      <c r="AF1468" s="100" t="s">
        <v>30</v>
      </c>
      <c r="AG1468" s="100" t="s">
        <v>30</v>
      </c>
      <c r="AH1468" s="111" t="s">
        <v>30</v>
      </c>
      <c r="AI1468" s="100" t="s">
        <v>30</v>
      </c>
      <c r="AJ1468" s="100" t="s">
        <v>30</v>
      </c>
      <c r="AK1468" s="100" t="s">
        <v>30</v>
      </c>
      <c r="AL1468" s="100" t="s">
        <v>30</v>
      </c>
      <c r="AM1468" s="360" t="s">
        <v>2089</v>
      </c>
    </row>
    <row r="1469" spans="1:44">
      <c r="A1469" s="358" t="s">
        <v>24</v>
      </c>
      <c r="B1469" s="369">
        <v>1466</v>
      </c>
      <c r="C1469" s="372" t="s">
        <v>2090</v>
      </c>
      <c r="D1469" s="372" t="s">
        <v>34</v>
      </c>
      <c r="E1469" s="373">
        <v>45969</v>
      </c>
      <c r="F1469" s="372" t="s">
        <v>106</v>
      </c>
      <c r="G1469" s="372">
        <v>9</v>
      </c>
      <c r="H1469" s="372" t="s">
        <v>127</v>
      </c>
      <c r="I1469" s="372" t="s">
        <v>178</v>
      </c>
      <c r="J1469" s="372"/>
      <c r="K1469" s="358" t="s">
        <v>2087</v>
      </c>
      <c r="L1469" s="358" t="s">
        <v>401</v>
      </c>
      <c r="M1469" s="358" t="s">
        <v>401</v>
      </c>
      <c r="N1469" s="358" t="s">
        <v>401</v>
      </c>
      <c r="O1469" s="380" t="s">
        <v>401</v>
      </c>
      <c r="P1469" s="380" t="s">
        <v>1091</v>
      </c>
      <c r="Q1469" s="24">
        <v>46021</v>
      </c>
      <c r="R1469" s="81" t="s">
        <v>28</v>
      </c>
      <c r="S1469" s="358" t="s">
        <v>1140</v>
      </c>
      <c r="T1469" s="358">
        <v>8</v>
      </c>
      <c r="U1469" s="24" t="s">
        <v>28</v>
      </c>
      <c r="V1469" s="24">
        <v>46021</v>
      </c>
      <c r="W1469" s="100" t="s">
        <v>30</v>
      </c>
      <c r="X1469" s="100" t="s">
        <v>30</v>
      </c>
      <c r="Y1469" s="100" t="s">
        <v>30</v>
      </c>
      <c r="Z1469" s="95" t="s">
        <v>32</v>
      </c>
      <c r="AA1469" s="95" t="s">
        <v>32</v>
      </c>
      <c r="AB1469" s="95" t="s">
        <v>32</v>
      </c>
      <c r="AC1469" s="100" t="s">
        <v>30</v>
      </c>
      <c r="AD1469" s="100" t="s">
        <v>30</v>
      </c>
      <c r="AE1469" s="100" t="s">
        <v>30</v>
      </c>
      <c r="AF1469" s="100" t="s">
        <v>30</v>
      </c>
      <c r="AG1469" s="100" t="s">
        <v>30</v>
      </c>
      <c r="AH1469" s="111" t="s">
        <v>30</v>
      </c>
      <c r="AI1469" s="100" t="s">
        <v>30</v>
      </c>
      <c r="AJ1469" s="100" t="s">
        <v>30</v>
      </c>
      <c r="AK1469" s="100" t="s">
        <v>30</v>
      </c>
      <c r="AL1469" s="95" t="s">
        <v>32</v>
      </c>
      <c r="AM1469" s="360" t="s">
        <v>2089</v>
      </c>
    </row>
    <row r="1470" spans="1:44">
      <c r="A1470" s="358" t="s">
        <v>24</v>
      </c>
      <c r="B1470" s="369">
        <v>1467</v>
      </c>
      <c r="C1470" s="372" t="s">
        <v>2091</v>
      </c>
      <c r="D1470" s="372" t="s">
        <v>34</v>
      </c>
      <c r="E1470" s="373">
        <v>45969</v>
      </c>
      <c r="F1470" s="372" t="s">
        <v>117</v>
      </c>
      <c r="G1470" s="372">
        <v>4</v>
      </c>
      <c r="H1470" s="372" t="s">
        <v>127</v>
      </c>
      <c r="I1470" s="372" t="s">
        <v>178</v>
      </c>
      <c r="J1470" s="372"/>
      <c r="K1470" s="358" t="s">
        <v>2092</v>
      </c>
      <c r="L1470" s="358" t="s">
        <v>2070</v>
      </c>
      <c r="M1470" s="358" t="s">
        <v>2093</v>
      </c>
      <c r="N1470" s="358" t="s">
        <v>2050</v>
      </c>
      <c r="O1470" s="380" t="s">
        <v>32</v>
      </c>
      <c r="P1470" s="380" t="s">
        <v>1091</v>
      </c>
      <c r="Q1470" s="24">
        <v>46010</v>
      </c>
      <c r="R1470" s="81" t="s">
        <v>28</v>
      </c>
      <c r="S1470" s="358" t="s">
        <v>32</v>
      </c>
      <c r="T1470" s="358">
        <v>4</v>
      </c>
      <c r="U1470" s="24" t="s">
        <v>28</v>
      </c>
      <c r="V1470" s="24">
        <v>46010</v>
      </c>
      <c r="W1470" s="100" t="s">
        <v>30</v>
      </c>
      <c r="X1470" s="100" t="s">
        <v>30</v>
      </c>
      <c r="Y1470" s="100" t="s">
        <v>30</v>
      </c>
      <c r="Z1470" s="95" t="s">
        <v>32</v>
      </c>
      <c r="AA1470" s="95" t="s">
        <v>32</v>
      </c>
      <c r="AB1470" s="95" t="s">
        <v>32</v>
      </c>
      <c r="AC1470" s="100" t="s">
        <v>30</v>
      </c>
      <c r="AD1470" s="100" t="s">
        <v>30</v>
      </c>
      <c r="AE1470" s="100" t="s">
        <v>30</v>
      </c>
      <c r="AF1470" s="100" t="s">
        <v>30</v>
      </c>
      <c r="AG1470" s="100" t="s">
        <v>30</v>
      </c>
      <c r="AH1470" s="100" t="s">
        <v>30</v>
      </c>
      <c r="AI1470" s="100" t="s">
        <v>30</v>
      </c>
      <c r="AJ1470" s="100" t="s">
        <v>30</v>
      </c>
      <c r="AK1470" s="111" t="s">
        <v>30</v>
      </c>
      <c r="AL1470" s="100" t="s">
        <v>30</v>
      </c>
      <c r="AM1470" s="360" t="s">
        <v>2089</v>
      </c>
    </row>
    <row r="1471" spans="1:44">
      <c r="A1471" s="358" t="s">
        <v>24</v>
      </c>
      <c r="B1471" s="369">
        <v>1468</v>
      </c>
      <c r="C1471" s="372" t="s">
        <v>2094</v>
      </c>
      <c r="D1471" s="372" t="s">
        <v>34</v>
      </c>
      <c r="E1471" s="373">
        <v>45969</v>
      </c>
      <c r="F1471" s="372" t="s">
        <v>401</v>
      </c>
      <c r="G1471" s="372">
        <v>7</v>
      </c>
      <c r="H1471" s="372" t="s">
        <v>127</v>
      </c>
      <c r="I1471" s="372" t="s">
        <v>178</v>
      </c>
      <c r="J1471" s="372"/>
      <c r="K1471" s="358" t="s">
        <v>2092</v>
      </c>
      <c r="L1471" s="358" t="s">
        <v>401</v>
      </c>
      <c r="M1471" s="119" t="s">
        <v>401</v>
      </c>
      <c r="N1471" s="358" t="s">
        <v>401</v>
      </c>
      <c r="O1471" s="380" t="s">
        <v>32</v>
      </c>
      <c r="P1471" s="380" t="s">
        <v>1091</v>
      </c>
      <c r="Q1471" s="24">
        <v>46017</v>
      </c>
      <c r="R1471" s="81" t="s">
        <v>28</v>
      </c>
      <c r="S1471" s="358" t="s">
        <v>32</v>
      </c>
      <c r="T1471" s="358">
        <v>7</v>
      </c>
      <c r="U1471" s="24" t="s">
        <v>28</v>
      </c>
      <c r="V1471" s="24">
        <v>46017</v>
      </c>
      <c r="W1471" s="100" t="s">
        <v>30</v>
      </c>
      <c r="X1471" s="100" t="s">
        <v>30</v>
      </c>
      <c r="Y1471" s="100" t="s">
        <v>30</v>
      </c>
      <c r="Z1471" s="95" t="s">
        <v>32</v>
      </c>
      <c r="AA1471" s="95" t="s">
        <v>32</v>
      </c>
      <c r="AB1471" s="95" t="s">
        <v>32</v>
      </c>
      <c r="AC1471" s="100" t="s">
        <v>30</v>
      </c>
      <c r="AD1471" s="100" t="s">
        <v>30</v>
      </c>
      <c r="AE1471" s="100" t="s">
        <v>30</v>
      </c>
      <c r="AF1471" s="100" t="s">
        <v>30</v>
      </c>
      <c r="AG1471" s="100" t="s">
        <v>30</v>
      </c>
      <c r="AH1471" s="100" t="s">
        <v>30</v>
      </c>
      <c r="AI1471" s="100" t="s">
        <v>30</v>
      </c>
      <c r="AJ1471" s="100" t="s">
        <v>30</v>
      </c>
      <c r="AK1471" s="111" t="s">
        <v>30</v>
      </c>
      <c r="AL1471" s="100" t="s">
        <v>30</v>
      </c>
      <c r="AM1471" s="360" t="s">
        <v>2089</v>
      </c>
      <c r="AO1471" s="412"/>
      <c r="AP1471" s="412"/>
      <c r="AQ1471" s="412"/>
      <c r="AR1471" s="412"/>
    </row>
    <row r="1472" spans="1:44">
      <c r="A1472" s="358" t="s">
        <v>24</v>
      </c>
      <c r="B1472" s="369">
        <v>1469</v>
      </c>
      <c r="C1472" s="372" t="s">
        <v>2095</v>
      </c>
      <c r="D1472" s="372" t="s">
        <v>57</v>
      </c>
      <c r="E1472" s="373">
        <v>45969</v>
      </c>
      <c r="F1472" s="372" t="s">
        <v>644</v>
      </c>
      <c r="G1472" s="372">
        <v>19</v>
      </c>
      <c r="H1472" s="372" t="s">
        <v>127</v>
      </c>
      <c r="I1472" s="372" t="s">
        <v>178</v>
      </c>
      <c r="J1472" s="372"/>
      <c r="K1472" s="358" t="s">
        <v>2096</v>
      </c>
      <c r="L1472" s="358" t="s">
        <v>2049</v>
      </c>
      <c r="M1472" s="358" t="s">
        <v>2049</v>
      </c>
      <c r="N1472" s="358" t="s">
        <v>2050</v>
      </c>
      <c r="O1472" s="117" t="s">
        <v>30</v>
      </c>
      <c r="P1472" s="380" t="s">
        <v>1091</v>
      </c>
      <c r="Q1472" s="24">
        <v>46001</v>
      </c>
      <c r="R1472" s="81" t="s">
        <v>28</v>
      </c>
      <c r="S1472" s="358" t="s">
        <v>32</v>
      </c>
      <c r="T1472" s="358">
        <v>19</v>
      </c>
      <c r="U1472" s="24" t="s">
        <v>28</v>
      </c>
      <c r="V1472" s="24">
        <v>46001</v>
      </c>
      <c r="W1472" s="107" t="s">
        <v>32</v>
      </c>
      <c r="X1472" s="95" t="s">
        <v>32</v>
      </c>
      <c r="Y1472" s="95" t="s">
        <v>32</v>
      </c>
      <c r="Z1472" s="100" t="s">
        <v>30</v>
      </c>
      <c r="AA1472" s="100" t="s">
        <v>30</v>
      </c>
      <c r="AB1472" s="100" t="s">
        <v>30</v>
      </c>
      <c r="AC1472" s="100" t="s">
        <v>30</v>
      </c>
      <c r="AD1472" s="100" t="s">
        <v>30</v>
      </c>
      <c r="AE1472" s="100" t="s">
        <v>30</v>
      </c>
      <c r="AF1472" s="82" t="s">
        <v>30</v>
      </c>
      <c r="AG1472" s="100" t="s">
        <v>30</v>
      </c>
      <c r="AH1472" s="114" t="s">
        <v>32</v>
      </c>
      <c r="AI1472" s="100" t="s">
        <v>30</v>
      </c>
      <c r="AJ1472" s="100" t="s">
        <v>30</v>
      </c>
      <c r="AK1472" s="100" t="s">
        <v>30</v>
      </c>
      <c r="AL1472" s="100" t="s">
        <v>30</v>
      </c>
      <c r="AM1472" s="360"/>
      <c r="AO1472" s="412"/>
      <c r="AP1472" s="412"/>
      <c r="AQ1472" s="412"/>
      <c r="AR1472" s="412"/>
    </row>
    <row r="1473" spans="1:47">
      <c r="A1473" s="358" t="s">
        <v>24</v>
      </c>
      <c r="B1473" s="369">
        <v>1470</v>
      </c>
      <c r="C1473" s="372" t="s">
        <v>2097</v>
      </c>
      <c r="D1473" s="372" t="s">
        <v>1131</v>
      </c>
      <c r="E1473" s="373">
        <v>45969</v>
      </c>
      <c r="F1473" s="372" t="s">
        <v>35</v>
      </c>
      <c r="G1473" s="372">
        <v>15</v>
      </c>
      <c r="H1473" s="372" t="s">
        <v>1721</v>
      </c>
      <c r="I1473" s="372" t="s">
        <v>1638</v>
      </c>
      <c r="J1473" s="372"/>
      <c r="K1473" s="358" t="s">
        <v>2098</v>
      </c>
      <c r="L1473" s="358" t="s">
        <v>2077</v>
      </c>
      <c r="M1473" s="358" t="s">
        <v>2070</v>
      </c>
      <c r="N1473" s="358" t="s">
        <v>2050</v>
      </c>
      <c r="O1473" s="117" t="s">
        <v>30</v>
      </c>
      <c r="P1473" s="380" t="s">
        <v>1091</v>
      </c>
      <c r="Q1473" s="24">
        <v>45995</v>
      </c>
      <c r="R1473" s="81" t="s">
        <v>1638</v>
      </c>
      <c r="S1473" s="358" t="s">
        <v>32</v>
      </c>
      <c r="T1473" s="358">
        <v>16</v>
      </c>
      <c r="U1473" s="24" t="s">
        <v>1638</v>
      </c>
      <c r="V1473" s="24">
        <v>45995</v>
      </c>
      <c r="W1473" s="100" t="s">
        <v>30</v>
      </c>
      <c r="X1473" s="100" t="s">
        <v>30</v>
      </c>
      <c r="Y1473" s="100" t="s">
        <v>30</v>
      </c>
      <c r="Z1473" s="100" t="s">
        <v>30</v>
      </c>
      <c r="AA1473" s="100" t="s">
        <v>30</v>
      </c>
      <c r="AB1473" s="100" t="s">
        <v>30</v>
      </c>
      <c r="AC1473" s="100" t="s">
        <v>30</v>
      </c>
      <c r="AD1473" s="100" t="s">
        <v>30</v>
      </c>
      <c r="AE1473" s="100" t="s">
        <v>30</v>
      </c>
      <c r="AF1473" s="95" t="s">
        <v>32</v>
      </c>
      <c r="AG1473" s="100" t="s">
        <v>30</v>
      </c>
      <c r="AH1473" s="111" t="s">
        <v>30</v>
      </c>
      <c r="AI1473" s="100" t="s">
        <v>30</v>
      </c>
      <c r="AJ1473" s="100" t="s">
        <v>30</v>
      </c>
      <c r="AK1473" s="100" t="s">
        <v>30</v>
      </c>
      <c r="AL1473" s="100" t="s">
        <v>30</v>
      </c>
      <c r="AM1473" s="360"/>
      <c r="AO1473" s="412"/>
      <c r="AP1473" s="412"/>
      <c r="AQ1473" s="412"/>
      <c r="AR1473" s="412"/>
    </row>
    <row r="1474" spans="1:47">
      <c r="A1474" s="358" t="s">
        <v>24</v>
      </c>
      <c r="B1474" s="369">
        <v>1471</v>
      </c>
      <c r="C1474" s="372" t="s">
        <v>2099</v>
      </c>
      <c r="D1474" s="372" t="s">
        <v>64</v>
      </c>
      <c r="E1474" s="373">
        <v>45969</v>
      </c>
      <c r="F1474" s="372" t="s">
        <v>1921</v>
      </c>
      <c r="G1474" s="372">
        <v>15</v>
      </c>
      <c r="H1474" s="372" t="s">
        <v>1721</v>
      </c>
      <c r="I1474" s="372" t="s">
        <v>1638</v>
      </c>
      <c r="J1474" s="372"/>
      <c r="K1474" s="358" t="s">
        <v>2100</v>
      </c>
      <c r="L1474" s="358" t="s">
        <v>2062</v>
      </c>
      <c r="M1474" s="358" t="s">
        <v>2070</v>
      </c>
      <c r="N1474" s="358" t="s">
        <v>2050</v>
      </c>
      <c r="O1474" s="117" t="s">
        <v>30</v>
      </c>
      <c r="P1474" s="380" t="s">
        <v>1091</v>
      </c>
      <c r="Q1474" s="24">
        <v>46015</v>
      </c>
      <c r="R1474" s="81" t="s">
        <v>1638</v>
      </c>
      <c r="S1474" s="22" t="s">
        <v>1140</v>
      </c>
      <c r="T1474" s="358">
        <v>15</v>
      </c>
      <c r="U1474" s="24" t="s">
        <v>1638</v>
      </c>
      <c r="V1474" s="24">
        <v>46015</v>
      </c>
      <c r="W1474" s="100" t="s">
        <v>30</v>
      </c>
      <c r="X1474" s="100" t="s">
        <v>30</v>
      </c>
      <c r="Y1474" s="100" t="s">
        <v>30</v>
      </c>
      <c r="Z1474" s="100" t="s">
        <v>30</v>
      </c>
      <c r="AA1474" s="100" t="s">
        <v>30</v>
      </c>
      <c r="AB1474" s="100" t="s">
        <v>30</v>
      </c>
      <c r="AC1474" s="100" t="s">
        <v>30</v>
      </c>
      <c r="AD1474" s="100" t="s">
        <v>30</v>
      </c>
      <c r="AE1474" s="100" t="s">
        <v>30</v>
      </c>
      <c r="AF1474" s="100" t="s">
        <v>30</v>
      </c>
      <c r="AG1474" s="100" t="s">
        <v>30</v>
      </c>
      <c r="AH1474" s="100" t="s">
        <v>30</v>
      </c>
      <c r="AI1474" s="100" t="s">
        <v>30</v>
      </c>
      <c r="AJ1474" s="100" t="s">
        <v>30</v>
      </c>
      <c r="AK1474" s="100" t="s">
        <v>30</v>
      </c>
      <c r="AL1474" s="100" t="s">
        <v>30</v>
      </c>
      <c r="AM1474" s="360" t="s">
        <v>2080</v>
      </c>
    </row>
    <row r="1475" spans="1:47">
      <c r="A1475" s="358" t="s">
        <v>24</v>
      </c>
      <c r="B1475" s="369">
        <v>1472</v>
      </c>
      <c r="C1475" s="372" t="s">
        <v>2101</v>
      </c>
      <c r="D1475" s="372" t="s">
        <v>34</v>
      </c>
      <c r="E1475" s="373">
        <v>45969</v>
      </c>
      <c r="F1475" s="372" t="s">
        <v>364</v>
      </c>
      <c r="G1475" s="372">
        <v>15</v>
      </c>
      <c r="H1475" s="372" t="s">
        <v>1721</v>
      </c>
      <c r="I1475" s="372" t="s">
        <v>1638</v>
      </c>
      <c r="J1475" s="372"/>
      <c r="K1475" s="360" t="s">
        <v>2102</v>
      </c>
      <c r="L1475" s="358" t="s">
        <v>2062</v>
      </c>
      <c r="M1475" s="358" t="s">
        <v>2070</v>
      </c>
      <c r="N1475" s="358" t="s">
        <v>2050</v>
      </c>
      <c r="O1475" s="117" t="s">
        <v>30</v>
      </c>
      <c r="P1475" s="380" t="s">
        <v>1091</v>
      </c>
      <c r="Q1475" s="24">
        <v>46006</v>
      </c>
      <c r="R1475" s="81" t="s">
        <v>1638</v>
      </c>
      <c r="S1475" s="358" t="s">
        <v>32</v>
      </c>
      <c r="T1475" s="358">
        <v>15</v>
      </c>
      <c r="U1475" s="24" t="s">
        <v>1638</v>
      </c>
      <c r="V1475" s="24">
        <v>46006</v>
      </c>
      <c r="W1475" s="100" t="s">
        <v>30</v>
      </c>
      <c r="X1475" s="100" t="s">
        <v>30</v>
      </c>
      <c r="Y1475" s="100" t="s">
        <v>30</v>
      </c>
      <c r="Z1475" s="100" t="s">
        <v>30</v>
      </c>
      <c r="AA1475" s="100" t="s">
        <v>30</v>
      </c>
      <c r="AB1475" s="100" t="s">
        <v>30</v>
      </c>
      <c r="AC1475" s="100" t="s">
        <v>30</v>
      </c>
      <c r="AD1475" s="100" t="s">
        <v>30</v>
      </c>
      <c r="AE1475" s="100" t="s">
        <v>30</v>
      </c>
      <c r="AF1475" s="100" t="s">
        <v>30</v>
      </c>
      <c r="AG1475" s="100" t="s">
        <v>30</v>
      </c>
      <c r="AH1475" s="100" t="s">
        <v>30</v>
      </c>
      <c r="AI1475" s="100" t="s">
        <v>30</v>
      </c>
      <c r="AJ1475" s="100" t="s">
        <v>30</v>
      </c>
      <c r="AK1475" s="111" t="s">
        <v>30</v>
      </c>
      <c r="AL1475" s="100" t="s">
        <v>30</v>
      </c>
      <c r="AM1475" s="360"/>
    </row>
    <row r="1476" spans="1:47">
      <c r="A1476" s="358" t="s">
        <v>24</v>
      </c>
      <c r="B1476" s="369">
        <v>1473</v>
      </c>
      <c r="C1476" s="372" t="s">
        <v>2103</v>
      </c>
      <c r="D1476" s="372" t="s">
        <v>34</v>
      </c>
      <c r="E1476" s="373">
        <v>45969</v>
      </c>
      <c r="F1476" s="372" t="s">
        <v>165</v>
      </c>
      <c r="G1476" s="372">
        <v>22</v>
      </c>
      <c r="H1476" s="372" t="s">
        <v>1077</v>
      </c>
      <c r="I1476" s="372" t="s">
        <v>1138</v>
      </c>
      <c r="J1476" s="102" t="s">
        <v>2104</v>
      </c>
      <c r="K1476" s="358" t="s">
        <v>2052</v>
      </c>
      <c r="L1476" s="358" t="s">
        <v>2070</v>
      </c>
      <c r="M1476" s="358" t="s">
        <v>2093</v>
      </c>
      <c r="N1476" s="358" t="s">
        <v>2105</v>
      </c>
      <c r="O1476" s="117" t="s">
        <v>30</v>
      </c>
      <c r="P1476" s="380"/>
      <c r="Q1476" s="24"/>
      <c r="R1476" s="248" t="s">
        <v>1138</v>
      </c>
      <c r="S1476" s="358"/>
      <c r="T1476" s="358"/>
      <c r="U1476" s="24"/>
      <c r="V1476" s="24"/>
      <c r="W1476" s="94" t="s">
        <v>30</v>
      </c>
      <c r="X1476" s="100" t="s">
        <v>30</v>
      </c>
      <c r="Y1476" s="100" t="s">
        <v>30</v>
      </c>
      <c r="Z1476" s="100" t="s">
        <v>30</v>
      </c>
      <c r="AA1476" s="100" t="s">
        <v>30</v>
      </c>
      <c r="AB1476" s="100" t="s">
        <v>30</v>
      </c>
      <c r="AC1476" s="100" t="s">
        <v>30</v>
      </c>
      <c r="AD1476" s="100" t="s">
        <v>30</v>
      </c>
      <c r="AE1476" s="100" t="s">
        <v>30</v>
      </c>
      <c r="AF1476" s="100" t="s">
        <v>30</v>
      </c>
      <c r="AG1476" s="100" t="s">
        <v>30</v>
      </c>
      <c r="AH1476" s="100" t="s">
        <v>30</v>
      </c>
      <c r="AI1476" s="100" t="s">
        <v>30</v>
      </c>
      <c r="AJ1476" s="100" t="s">
        <v>30</v>
      </c>
      <c r="AK1476" s="111" t="s">
        <v>30</v>
      </c>
      <c r="AL1476" s="95" t="s">
        <v>32</v>
      </c>
      <c r="AM1476" s="360"/>
    </row>
    <row r="1477" spans="1:47">
      <c r="A1477" s="358" t="s">
        <v>24</v>
      </c>
      <c r="B1477" s="369">
        <v>1474</v>
      </c>
      <c r="C1477" s="372" t="s">
        <v>2106</v>
      </c>
      <c r="D1477" s="372" t="s">
        <v>26</v>
      </c>
      <c r="E1477" s="373">
        <v>45969</v>
      </c>
      <c r="F1477" s="372" t="s">
        <v>2107</v>
      </c>
      <c r="G1477" s="372">
        <v>17</v>
      </c>
      <c r="H1477" s="372" t="s">
        <v>1077</v>
      </c>
      <c r="I1477" s="372" t="s">
        <v>1138</v>
      </c>
      <c r="J1477" s="372"/>
      <c r="K1477" s="358" t="s">
        <v>2108</v>
      </c>
      <c r="L1477" s="358" t="s">
        <v>2062</v>
      </c>
      <c r="M1477" s="358" t="s">
        <v>2070</v>
      </c>
      <c r="N1477" s="358" t="s">
        <v>2050</v>
      </c>
      <c r="O1477" s="117" t="s">
        <v>30</v>
      </c>
      <c r="P1477" s="380" t="s">
        <v>1091</v>
      </c>
      <c r="Q1477" s="24">
        <v>46007</v>
      </c>
      <c r="R1477" s="248" t="s">
        <v>1138</v>
      </c>
      <c r="S1477" s="358" t="s">
        <v>1140</v>
      </c>
      <c r="T1477" s="358">
        <v>17</v>
      </c>
      <c r="U1477" s="24" t="s">
        <v>1138</v>
      </c>
      <c r="V1477" s="24">
        <v>46007</v>
      </c>
      <c r="W1477" s="94" t="s">
        <v>30</v>
      </c>
      <c r="X1477" s="94" t="s">
        <v>30</v>
      </c>
      <c r="Y1477" s="94" t="s">
        <v>30</v>
      </c>
      <c r="Z1477" s="100" t="s">
        <v>30</v>
      </c>
      <c r="AA1477" s="100" t="s">
        <v>30</v>
      </c>
      <c r="AB1477" s="100" t="s">
        <v>30</v>
      </c>
      <c r="AC1477" s="100" t="s">
        <v>30</v>
      </c>
      <c r="AD1477" s="100" t="s">
        <v>30</v>
      </c>
      <c r="AE1477" s="100" t="s">
        <v>30</v>
      </c>
      <c r="AF1477" s="100" t="s">
        <v>30</v>
      </c>
      <c r="AG1477" s="100" t="s">
        <v>30</v>
      </c>
      <c r="AH1477" s="111" t="s">
        <v>30</v>
      </c>
      <c r="AI1477" s="111" t="s">
        <v>30</v>
      </c>
      <c r="AJ1477" s="111" t="s">
        <v>30</v>
      </c>
      <c r="AK1477" s="111" t="s">
        <v>30</v>
      </c>
      <c r="AL1477" s="82" t="s">
        <v>30</v>
      </c>
      <c r="AM1477" s="360"/>
    </row>
    <row r="1478" spans="1:47">
      <c r="A1478" s="358" t="s">
        <v>24</v>
      </c>
      <c r="B1478" s="369">
        <v>1475</v>
      </c>
      <c r="C1478" s="372" t="s">
        <v>2109</v>
      </c>
      <c r="D1478" s="372" t="s">
        <v>102</v>
      </c>
      <c r="E1478" s="373">
        <v>45969</v>
      </c>
      <c r="F1478" s="372" t="s">
        <v>1054</v>
      </c>
      <c r="G1478" s="372">
        <v>19</v>
      </c>
      <c r="H1478" s="372" t="s">
        <v>67</v>
      </c>
      <c r="I1478" s="372" t="s">
        <v>47</v>
      </c>
      <c r="J1478" s="102" t="s">
        <v>2110</v>
      </c>
      <c r="K1478" s="358" t="s">
        <v>2066</v>
      </c>
      <c r="L1478" s="358" t="s">
        <v>2077</v>
      </c>
      <c r="M1478" s="358" t="s">
        <v>2070</v>
      </c>
      <c r="N1478" s="358" t="s">
        <v>2111</v>
      </c>
      <c r="O1478" s="117" t="s">
        <v>30</v>
      </c>
      <c r="P1478" s="380" t="s">
        <v>1091</v>
      </c>
      <c r="Q1478" s="24">
        <v>46022</v>
      </c>
      <c r="R1478" s="81" t="s">
        <v>47</v>
      </c>
      <c r="S1478" s="358" t="s">
        <v>32</v>
      </c>
      <c r="T1478" s="358">
        <v>17</v>
      </c>
      <c r="U1478" s="24" t="s">
        <v>47</v>
      </c>
      <c r="V1478" s="24">
        <v>46022</v>
      </c>
      <c r="W1478" s="100" t="s">
        <v>30</v>
      </c>
      <c r="X1478" s="100" t="s">
        <v>30</v>
      </c>
      <c r="Y1478" s="100" t="s">
        <v>30</v>
      </c>
      <c r="Z1478" s="100" t="s">
        <v>30</v>
      </c>
      <c r="AA1478" s="95" t="s">
        <v>32</v>
      </c>
      <c r="AB1478" s="95" t="s">
        <v>32</v>
      </c>
      <c r="AC1478" s="100" t="s">
        <v>30</v>
      </c>
      <c r="AD1478" s="100" t="s">
        <v>30</v>
      </c>
      <c r="AE1478" s="100" t="s">
        <v>30</v>
      </c>
      <c r="AF1478" s="100" t="s">
        <v>30</v>
      </c>
      <c r="AG1478" s="100" t="s">
        <v>30</v>
      </c>
      <c r="AH1478" s="111" t="s">
        <v>30</v>
      </c>
      <c r="AI1478" s="114" t="s">
        <v>32</v>
      </c>
      <c r="AJ1478" s="100" t="s">
        <v>30</v>
      </c>
      <c r="AK1478" s="100" t="s">
        <v>30</v>
      </c>
      <c r="AL1478" s="95" t="s">
        <v>32</v>
      </c>
      <c r="AM1478" s="360" t="s">
        <v>2068</v>
      </c>
    </row>
    <row r="1479" spans="1:47">
      <c r="A1479" s="358" t="s">
        <v>24</v>
      </c>
      <c r="B1479" s="369">
        <v>1476</v>
      </c>
      <c r="C1479" s="372" t="s">
        <v>2112</v>
      </c>
      <c r="D1479" s="372" t="s">
        <v>50</v>
      </c>
      <c r="E1479" s="373">
        <v>45969</v>
      </c>
      <c r="F1479" s="372" t="s">
        <v>1972</v>
      </c>
      <c r="G1479" s="372">
        <v>13</v>
      </c>
      <c r="H1479" s="372" t="s">
        <v>67</v>
      </c>
      <c r="I1479" s="372" t="s">
        <v>47</v>
      </c>
      <c r="J1479" s="372"/>
      <c r="K1479" s="358" t="s">
        <v>2113</v>
      </c>
      <c r="L1479" s="358" t="s">
        <v>2077</v>
      </c>
      <c r="M1479" s="358" t="s">
        <v>2070</v>
      </c>
      <c r="N1479" s="358" t="s">
        <v>2050</v>
      </c>
      <c r="O1479" s="380" t="s">
        <v>32</v>
      </c>
      <c r="P1479" s="380" t="s">
        <v>1091</v>
      </c>
      <c r="Q1479" s="24">
        <v>46011</v>
      </c>
      <c r="R1479" s="81" t="s">
        <v>47</v>
      </c>
      <c r="S1479" s="358" t="s">
        <v>1140</v>
      </c>
      <c r="T1479" s="358">
        <v>12</v>
      </c>
      <c r="U1479" s="24" t="s">
        <v>47</v>
      </c>
      <c r="V1479" s="24">
        <v>46011</v>
      </c>
      <c r="W1479" s="94" t="s">
        <v>30</v>
      </c>
      <c r="X1479" s="82" t="s">
        <v>30</v>
      </c>
      <c r="Y1479" s="82" t="s">
        <v>30</v>
      </c>
      <c r="Z1479" s="100" t="s">
        <v>30</v>
      </c>
      <c r="AA1479" s="100" t="s">
        <v>30</v>
      </c>
      <c r="AB1479" s="100" t="s">
        <v>30</v>
      </c>
      <c r="AC1479" s="100" t="s">
        <v>30</v>
      </c>
      <c r="AD1479" s="100" t="s">
        <v>30</v>
      </c>
      <c r="AE1479" s="100" t="s">
        <v>30</v>
      </c>
      <c r="AF1479" s="100" t="s">
        <v>30</v>
      </c>
      <c r="AG1479" s="100" t="s">
        <v>30</v>
      </c>
      <c r="AH1479" s="111" t="s">
        <v>30</v>
      </c>
      <c r="AI1479" s="100" t="s">
        <v>30</v>
      </c>
      <c r="AJ1479" s="100" t="s">
        <v>30</v>
      </c>
      <c r="AK1479" s="100" t="s">
        <v>30</v>
      </c>
      <c r="AL1479" s="95" t="s">
        <v>32</v>
      </c>
      <c r="AM1479" s="360"/>
    </row>
    <row r="1480" spans="1:47">
      <c r="A1480" s="358" t="s">
        <v>24</v>
      </c>
      <c r="B1480" s="369">
        <v>1477</v>
      </c>
      <c r="C1480" s="372" t="s">
        <v>2114</v>
      </c>
      <c r="D1480" s="372" t="s">
        <v>34</v>
      </c>
      <c r="E1480" s="373">
        <v>45969</v>
      </c>
      <c r="F1480" s="372" t="s">
        <v>1608</v>
      </c>
      <c r="G1480" s="372">
        <v>19</v>
      </c>
      <c r="H1480" s="372" t="s">
        <v>67</v>
      </c>
      <c r="I1480" s="372" t="s">
        <v>47</v>
      </c>
      <c r="J1480" s="372"/>
      <c r="K1480" s="358" t="s">
        <v>2115</v>
      </c>
      <c r="L1480" s="358" t="s">
        <v>2077</v>
      </c>
      <c r="M1480" s="358" t="s">
        <v>2070</v>
      </c>
      <c r="N1480" s="358" t="s">
        <v>2116</v>
      </c>
      <c r="O1480" s="117" t="s">
        <v>30</v>
      </c>
      <c r="P1480" s="380" t="s">
        <v>1091</v>
      </c>
      <c r="Q1480" s="24">
        <v>46022</v>
      </c>
      <c r="R1480" s="81" t="s">
        <v>47</v>
      </c>
      <c r="S1480" s="358" t="s">
        <v>32</v>
      </c>
      <c r="T1480" s="358">
        <v>6</v>
      </c>
      <c r="U1480" s="24" t="s">
        <v>47</v>
      </c>
      <c r="V1480" s="24">
        <v>46022</v>
      </c>
      <c r="W1480" s="100" t="s">
        <v>30</v>
      </c>
      <c r="X1480" s="100" t="s">
        <v>30</v>
      </c>
      <c r="Y1480" s="100" t="s">
        <v>30</v>
      </c>
      <c r="Z1480" s="95" t="s">
        <v>32</v>
      </c>
      <c r="AA1480" s="95" t="s">
        <v>32</v>
      </c>
      <c r="AB1480" s="95" t="s">
        <v>32</v>
      </c>
      <c r="AC1480" s="100" t="s">
        <v>30</v>
      </c>
      <c r="AD1480" s="100" t="s">
        <v>30</v>
      </c>
      <c r="AE1480" s="100" t="s">
        <v>30</v>
      </c>
      <c r="AF1480" s="100" t="s">
        <v>30</v>
      </c>
      <c r="AG1480" s="100" t="s">
        <v>30</v>
      </c>
      <c r="AH1480" s="111" t="s">
        <v>30</v>
      </c>
      <c r="AI1480" s="111" t="s">
        <v>30</v>
      </c>
      <c r="AJ1480" s="111" t="s">
        <v>30</v>
      </c>
      <c r="AK1480" s="111" t="s">
        <v>30</v>
      </c>
      <c r="AL1480" s="82" t="s">
        <v>30</v>
      </c>
      <c r="AM1480" s="360" t="s">
        <v>2089</v>
      </c>
    </row>
    <row r="1481" spans="1:47">
      <c r="A1481" s="358" t="s">
        <v>24</v>
      </c>
      <c r="B1481" s="369">
        <v>1478</v>
      </c>
      <c r="C1481" s="372" t="s">
        <v>2117</v>
      </c>
      <c r="D1481" s="372" t="s">
        <v>34</v>
      </c>
      <c r="E1481" s="373">
        <v>45969</v>
      </c>
      <c r="F1481" s="372" t="s">
        <v>401</v>
      </c>
      <c r="G1481" s="372" t="s">
        <v>401</v>
      </c>
      <c r="H1481" s="372" t="s">
        <v>67</v>
      </c>
      <c r="I1481" s="372" t="s">
        <v>47</v>
      </c>
      <c r="J1481" s="372"/>
      <c r="K1481" s="358" t="s">
        <v>2115</v>
      </c>
      <c r="L1481" s="358" t="s">
        <v>401</v>
      </c>
      <c r="M1481" s="119" t="s">
        <v>401</v>
      </c>
      <c r="N1481" s="358"/>
      <c r="O1481" s="380" t="s">
        <v>401</v>
      </c>
      <c r="P1481" s="380" t="s">
        <v>1091</v>
      </c>
      <c r="Q1481" s="24">
        <v>46012</v>
      </c>
      <c r="R1481" s="81" t="s">
        <v>47</v>
      </c>
      <c r="S1481" s="358" t="s">
        <v>32</v>
      </c>
      <c r="T1481" s="358">
        <v>12</v>
      </c>
      <c r="U1481" s="24" t="s">
        <v>47</v>
      </c>
      <c r="V1481" s="24">
        <v>46012</v>
      </c>
      <c r="W1481" s="100" t="s">
        <v>30</v>
      </c>
      <c r="X1481" s="100" t="s">
        <v>30</v>
      </c>
      <c r="Y1481" s="100" t="s">
        <v>30</v>
      </c>
      <c r="Z1481" s="95" t="s">
        <v>32</v>
      </c>
      <c r="AA1481" s="95" t="s">
        <v>32</v>
      </c>
      <c r="AB1481" s="95" t="s">
        <v>32</v>
      </c>
      <c r="AC1481" s="100" t="s">
        <v>30</v>
      </c>
      <c r="AD1481" s="100" t="s">
        <v>30</v>
      </c>
      <c r="AE1481" s="100" t="s">
        <v>30</v>
      </c>
      <c r="AF1481" s="100" t="s">
        <v>30</v>
      </c>
      <c r="AG1481" s="100" t="s">
        <v>30</v>
      </c>
      <c r="AH1481" s="111" t="s">
        <v>30</v>
      </c>
      <c r="AI1481" s="111" t="s">
        <v>30</v>
      </c>
      <c r="AJ1481" s="111" t="s">
        <v>30</v>
      </c>
      <c r="AK1481" s="111" t="s">
        <v>30</v>
      </c>
      <c r="AL1481" s="82" t="s">
        <v>30</v>
      </c>
      <c r="AM1481" s="360" t="s">
        <v>2089</v>
      </c>
    </row>
    <row r="1482" spans="1:47">
      <c r="A1482" s="358" t="s">
        <v>24</v>
      </c>
      <c r="B1482" s="369">
        <v>1479</v>
      </c>
      <c r="C1482" s="372" t="s">
        <v>2118</v>
      </c>
      <c r="D1482" s="372" t="s">
        <v>34</v>
      </c>
      <c r="E1482" s="373">
        <v>45969</v>
      </c>
      <c r="F1482" s="372" t="s">
        <v>688</v>
      </c>
      <c r="G1482" s="372">
        <v>13</v>
      </c>
      <c r="H1482" s="372" t="s">
        <v>67</v>
      </c>
      <c r="I1482" s="372" t="s">
        <v>47</v>
      </c>
      <c r="J1482" s="372"/>
      <c r="K1482" s="358" t="s">
        <v>2119</v>
      </c>
      <c r="L1482" s="358" t="s">
        <v>2070</v>
      </c>
      <c r="M1482" s="358" t="s">
        <v>2070</v>
      </c>
      <c r="N1482" s="358" t="s">
        <v>2120</v>
      </c>
      <c r="O1482" s="380" t="s">
        <v>32</v>
      </c>
      <c r="P1482" s="380" t="s">
        <v>1091</v>
      </c>
      <c r="Q1482" s="24">
        <v>46022</v>
      </c>
      <c r="R1482" s="81" t="s">
        <v>47</v>
      </c>
      <c r="S1482" s="358" t="s">
        <v>32</v>
      </c>
      <c r="T1482" s="358">
        <v>11</v>
      </c>
      <c r="U1482" s="24" t="s">
        <v>47</v>
      </c>
      <c r="V1482" s="24">
        <v>46022</v>
      </c>
      <c r="W1482" s="100" t="s">
        <v>30</v>
      </c>
      <c r="X1482" s="100" t="s">
        <v>30</v>
      </c>
      <c r="Y1482" s="100" t="s">
        <v>30</v>
      </c>
      <c r="Z1482" s="95" t="s">
        <v>32</v>
      </c>
      <c r="AA1482" s="95" t="s">
        <v>32</v>
      </c>
      <c r="AB1482" s="95" t="s">
        <v>32</v>
      </c>
      <c r="AC1482" s="100" t="s">
        <v>30</v>
      </c>
      <c r="AD1482" s="100" t="s">
        <v>30</v>
      </c>
      <c r="AE1482" s="100" t="s">
        <v>30</v>
      </c>
      <c r="AF1482" s="100" t="s">
        <v>30</v>
      </c>
      <c r="AG1482" s="100" t="s">
        <v>30</v>
      </c>
      <c r="AH1482" s="111" t="s">
        <v>30</v>
      </c>
      <c r="AI1482" s="111" t="s">
        <v>30</v>
      </c>
      <c r="AJ1482" s="111" t="s">
        <v>30</v>
      </c>
      <c r="AK1482" s="111" t="s">
        <v>30</v>
      </c>
      <c r="AL1482" s="95" t="s">
        <v>32</v>
      </c>
      <c r="AM1482" s="360" t="s">
        <v>2089</v>
      </c>
      <c r="AO1482" s="412"/>
      <c r="AP1482" s="412"/>
      <c r="AQ1482" s="412"/>
      <c r="AR1482" s="412"/>
    </row>
    <row r="1483" spans="1:47">
      <c r="A1483" s="358" t="s">
        <v>24</v>
      </c>
      <c r="B1483" s="369">
        <v>1480</v>
      </c>
      <c r="C1483" s="372" t="s">
        <v>2121</v>
      </c>
      <c r="D1483" s="372" t="s">
        <v>178</v>
      </c>
      <c r="E1483" s="373">
        <v>45969</v>
      </c>
      <c r="F1483" s="372" t="s">
        <v>187</v>
      </c>
      <c r="G1483" s="372">
        <v>9</v>
      </c>
      <c r="H1483" s="372" t="s">
        <v>67</v>
      </c>
      <c r="I1483" s="372" t="s">
        <v>47</v>
      </c>
      <c r="J1483" s="102" t="s">
        <v>2122</v>
      </c>
      <c r="K1483" s="358" t="s">
        <v>2123</v>
      </c>
      <c r="L1483" s="358" t="s">
        <v>2077</v>
      </c>
      <c r="M1483" s="358" t="s">
        <v>2093</v>
      </c>
      <c r="N1483" s="358" t="s">
        <v>2050</v>
      </c>
      <c r="O1483" s="380" t="s">
        <v>32</v>
      </c>
      <c r="P1483" s="380"/>
      <c r="Q1483" s="24"/>
      <c r="R1483" s="81" t="s">
        <v>47</v>
      </c>
      <c r="S1483" s="358"/>
      <c r="T1483" s="358"/>
      <c r="U1483" s="24"/>
      <c r="V1483" s="24"/>
      <c r="W1483" s="100" t="s">
        <v>30</v>
      </c>
      <c r="X1483" s="100" t="s">
        <v>30</v>
      </c>
      <c r="Y1483" s="100" t="s">
        <v>30</v>
      </c>
      <c r="Z1483" s="100" t="s">
        <v>30</v>
      </c>
      <c r="AA1483" s="100" t="s">
        <v>30</v>
      </c>
      <c r="AB1483" s="100" t="s">
        <v>30</v>
      </c>
      <c r="AC1483" s="100" t="s">
        <v>30</v>
      </c>
      <c r="AD1483" s="100" t="s">
        <v>30</v>
      </c>
      <c r="AE1483" s="100" t="s">
        <v>30</v>
      </c>
      <c r="AF1483" s="100" t="s">
        <v>30</v>
      </c>
      <c r="AG1483" s="100" t="s">
        <v>30</v>
      </c>
      <c r="AH1483" s="111" t="s">
        <v>30</v>
      </c>
      <c r="AI1483" s="100" t="s">
        <v>30</v>
      </c>
      <c r="AJ1483" s="100" t="s">
        <v>30</v>
      </c>
      <c r="AK1483" s="100" t="s">
        <v>30</v>
      </c>
      <c r="AL1483" s="95" t="s">
        <v>32</v>
      </c>
      <c r="AM1483" s="360"/>
      <c r="AS1483" s="72"/>
      <c r="AT1483" s="96"/>
      <c r="AU1483" s="96"/>
    </row>
    <row r="1484" spans="1:47">
      <c r="A1484" s="358" t="s">
        <v>24</v>
      </c>
      <c r="B1484" s="369">
        <v>1481</v>
      </c>
      <c r="C1484" s="372" t="s">
        <v>2124</v>
      </c>
      <c r="D1484" s="372" t="s">
        <v>34</v>
      </c>
      <c r="E1484" s="373">
        <v>45969</v>
      </c>
      <c r="F1484" s="372" t="s">
        <v>1342</v>
      </c>
      <c r="G1484" s="372">
        <v>10</v>
      </c>
      <c r="H1484" s="372" t="s">
        <v>67</v>
      </c>
      <c r="I1484" s="372" t="s">
        <v>47</v>
      </c>
      <c r="J1484" s="102" t="s">
        <v>2125</v>
      </c>
      <c r="K1484" s="358" t="s">
        <v>2126</v>
      </c>
      <c r="L1484" s="358" t="s">
        <v>2077</v>
      </c>
      <c r="M1484" s="358" t="s">
        <v>2070</v>
      </c>
      <c r="N1484" s="358" t="s">
        <v>2050</v>
      </c>
      <c r="O1484" s="117" t="s">
        <v>30</v>
      </c>
      <c r="P1484" s="380"/>
      <c r="Q1484" s="24"/>
      <c r="R1484" s="81" t="s">
        <v>47</v>
      </c>
      <c r="S1484" s="358"/>
      <c r="T1484" s="358"/>
      <c r="U1484" s="24"/>
      <c r="V1484" s="24"/>
      <c r="W1484" s="100" t="s">
        <v>30</v>
      </c>
      <c r="X1484" s="100" t="s">
        <v>30</v>
      </c>
      <c r="Y1484" s="100" t="s">
        <v>30</v>
      </c>
      <c r="Z1484" s="94" t="s">
        <v>30</v>
      </c>
      <c r="AA1484" s="94" t="s">
        <v>30</v>
      </c>
      <c r="AB1484" s="100" t="s">
        <v>30</v>
      </c>
      <c r="AC1484" s="100" t="s">
        <v>30</v>
      </c>
      <c r="AD1484" s="100" t="s">
        <v>30</v>
      </c>
      <c r="AE1484" s="100" t="s">
        <v>30</v>
      </c>
      <c r="AF1484" s="100" t="s">
        <v>30</v>
      </c>
      <c r="AG1484" s="100" t="s">
        <v>30</v>
      </c>
      <c r="AH1484" s="111" t="s">
        <v>30</v>
      </c>
      <c r="AI1484" s="100" t="s">
        <v>30</v>
      </c>
      <c r="AJ1484" s="100" t="s">
        <v>30</v>
      </c>
      <c r="AK1484" s="100" t="s">
        <v>30</v>
      </c>
      <c r="AL1484" s="95" t="s">
        <v>32</v>
      </c>
      <c r="AM1484" s="360"/>
      <c r="AO1484" s="412"/>
      <c r="AP1484" s="412"/>
      <c r="AQ1484" s="412"/>
      <c r="AR1484" s="412"/>
    </row>
    <row r="1485" spans="1:47">
      <c r="A1485" s="358" t="s">
        <v>24</v>
      </c>
      <c r="B1485" s="369">
        <v>1482</v>
      </c>
      <c r="C1485" s="372" t="s">
        <v>2127</v>
      </c>
      <c r="D1485" s="372" t="s">
        <v>34</v>
      </c>
      <c r="E1485" s="373">
        <v>45969</v>
      </c>
      <c r="F1485" s="372" t="s">
        <v>401</v>
      </c>
      <c r="G1485" s="372">
        <v>11</v>
      </c>
      <c r="H1485" s="372" t="s">
        <v>67</v>
      </c>
      <c r="I1485" s="372" t="s">
        <v>47</v>
      </c>
      <c r="J1485" s="372"/>
      <c r="K1485" s="358" t="s">
        <v>2126</v>
      </c>
      <c r="L1485" s="358" t="s">
        <v>401</v>
      </c>
      <c r="M1485" s="119" t="s">
        <v>401</v>
      </c>
      <c r="N1485" s="358" t="s">
        <v>401</v>
      </c>
      <c r="O1485" s="380" t="s">
        <v>401</v>
      </c>
      <c r="P1485" s="380" t="s">
        <v>1091</v>
      </c>
      <c r="Q1485" s="24">
        <v>46022</v>
      </c>
      <c r="R1485" s="81" t="s">
        <v>47</v>
      </c>
      <c r="S1485" s="358" t="s">
        <v>32</v>
      </c>
      <c r="T1485" s="358">
        <v>11</v>
      </c>
      <c r="U1485" s="24" t="s">
        <v>47</v>
      </c>
      <c r="V1485" s="24">
        <v>46022</v>
      </c>
      <c r="W1485" s="100" t="s">
        <v>30</v>
      </c>
      <c r="X1485" s="100" t="s">
        <v>30</v>
      </c>
      <c r="Y1485" s="100" t="s">
        <v>30</v>
      </c>
      <c r="Z1485" s="94" t="s">
        <v>30</v>
      </c>
      <c r="AA1485" s="94" t="s">
        <v>30</v>
      </c>
      <c r="AB1485" s="100" t="s">
        <v>30</v>
      </c>
      <c r="AC1485" s="100" t="s">
        <v>30</v>
      </c>
      <c r="AD1485" s="100" t="s">
        <v>30</v>
      </c>
      <c r="AE1485" s="100" t="s">
        <v>30</v>
      </c>
      <c r="AF1485" s="100" t="s">
        <v>30</v>
      </c>
      <c r="AG1485" s="100" t="s">
        <v>30</v>
      </c>
      <c r="AH1485" s="111" t="s">
        <v>30</v>
      </c>
      <c r="AI1485" s="111" t="s">
        <v>30</v>
      </c>
      <c r="AJ1485" s="111" t="s">
        <v>30</v>
      </c>
      <c r="AK1485" s="111" t="s">
        <v>30</v>
      </c>
      <c r="AL1485" s="95" t="s">
        <v>32</v>
      </c>
      <c r="AM1485" s="360"/>
      <c r="AO1485" s="412"/>
      <c r="AP1485" s="412"/>
      <c r="AQ1485" s="412"/>
      <c r="AR1485" s="412"/>
    </row>
    <row r="1486" spans="1:47">
      <c r="A1486" s="358" t="s">
        <v>24</v>
      </c>
      <c r="B1486" s="369">
        <v>1483</v>
      </c>
      <c r="C1486" s="372" t="s">
        <v>2128</v>
      </c>
      <c r="D1486" s="372" t="s">
        <v>83</v>
      </c>
      <c r="E1486" s="373">
        <v>45969</v>
      </c>
      <c r="F1486" s="372" t="s">
        <v>2129</v>
      </c>
      <c r="G1486" s="372">
        <v>34</v>
      </c>
      <c r="H1486" s="372" t="s">
        <v>67</v>
      </c>
      <c r="I1486" s="372" t="s">
        <v>47</v>
      </c>
      <c r="J1486" s="372"/>
      <c r="K1486" s="358" t="s">
        <v>2130</v>
      </c>
      <c r="L1486" s="358" t="s">
        <v>2070</v>
      </c>
      <c r="M1486" s="358" t="s">
        <v>2070</v>
      </c>
      <c r="N1486" s="358" t="s">
        <v>2131</v>
      </c>
      <c r="O1486" s="117" t="s">
        <v>30</v>
      </c>
      <c r="P1486" s="380" t="s">
        <v>1091</v>
      </c>
      <c r="Q1486" s="24">
        <v>46021</v>
      </c>
      <c r="R1486" s="81" t="s">
        <v>1138</v>
      </c>
      <c r="S1486" s="358" t="s">
        <v>32</v>
      </c>
      <c r="T1486" s="358">
        <v>31</v>
      </c>
      <c r="U1486" s="24" t="s">
        <v>1138</v>
      </c>
      <c r="V1486" s="24">
        <v>46021</v>
      </c>
      <c r="W1486" s="94" t="s">
        <v>30</v>
      </c>
      <c r="X1486" s="94" t="s">
        <v>30</v>
      </c>
      <c r="Y1486" s="94" t="s">
        <v>30</v>
      </c>
      <c r="Z1486" s="95" t="s">
        <v>32</v>
      </c>
      <c r="AA1486" s="95" t="s">
        <v>32</v>
      </c>
      <c r="AB1486" s="100" t="s">
        <v>30</v>
      </c>
      <c r="AC1486" s="100" t="s">
        <v>30</v>
      </c>
      <c r="AD1486" s="100" t="s">
        <v>30</v>
      </c>
      <c r="AE1486" s="100" t="s">
        <v>30</v>
      </c>
      <c r="AF1486" s="100" t="s">
        <v>30</v>
      </c>
      <c r="AG1486" s="100" t="s">
        <v>30</v>
      </c>
      <c r="AH1486" s="111" t="s">
        <v>30</v>
      </c>
      <c r="AI1486" s="100" t="s">
        <v>30</v>
      </c>
      <c r="AJ1486" s="114" t="s">
        <v>32</v>
      </c>
      <c r="AK1486" s="100" t="s">
        <v>30</v>
      </c>
      <c r="AL1486" s="95" t="s">
        <v>32</v>
      </c>
      <c r="AM1486" s="360" t="s">
        <v>2080</v>
      </c>
    </row>
    <row r="1487" spans="1:47">
      <c r="A1487" s="358" t="s">
        <v>24</v>
      </c>
      <c r="B1487" s="369">
        <v>1484</v>
      </c>
      <c r="C1487" s="372" t="s">
        <v>2132</v>
      </c>
      <c r="D1487" s="372" t="s">
        <v>43</v>
      </c>
      <c r="E1487" s="373">
        <v>45971</v>
      </c>
      <c r="F1487" s="372" t="s">
        <v>165</v>
      </c>
      <c r="G1487" s="372">
        <v>18</v>
      </c>
      <c r="H1487" s="372" t="s">
        <v>1077</v>
      </c>
      <c r="I1487" s="372" t="s">
        <v>1138</v>
      </c>
      <c r="J1487" s="372"/>
      <c r="K1487" s="358" t="s">
        <v>2076</v>
      </c>
      <c r="L1487" s="358" t="s">
        <v>2070</v>
      </c>
      <c r="M1487" s="358" t="s">
        <v>2093</v>
      </c>
      <c r="N1487" s="358" t="s">
        <v>2105</v>
      </c>
      <c r="O1487" s="117" t="s">
        <v>30</v>
      </c>
      <c r="P1487" s="380" t="s">
        <v>1091</v>
      </c>
      <c r="Q1487" s="24">
        <v>46008</v>
      </c>
      <c r="R1487" s="248" t="s">
        <v>1138</v>
      </c>
      <c r="S1487" s="358" t="s">
        <v>1140</v>
      </c>
      <c r="T1487" s="358">
        <v>4</v>
      </c>
      <c r="U1487" s="24" t="s">
        <v>1138</v>
      </c>
      <c r="V1487" s="24">
        <v>46008</v>
      </c>
      <c r="W1487" s="100" t="s">
        <v>30</v>
      </c>
      <c r="X1487" s="100" t="s">
        <v>30</v>
      </c>
      <c r="Y1487" s="100" t="s">
        <v>30</v>
      </c>
      <c r="Z1487" s="100" t="s">
        <v>30</v>
      </c>
      <c r="AA1487" s="100" t="s">
        <v>30</v>
      </c>
      <c r="AB1487" s="100" t="s">
        <v>30</v>
      </c>
      <c r="AC1487" s="100" t="s">
        <v>30</v>
      </c>
      <c r="AD1487" s="100" t="s">
        <v>30</v>
      </c>
      <c r="AE1487" s="100" t="s">
        <v>30</v>
      </c>
      <c r="AF1487" s="100" t="s">
        <v>30</v>
      </c>
      <c r="AG1487" s="100" t="s">
        <v>30</v>
      </c>
      <c r="AH1487" s="111" t="s">
        <v>30</v>
      </c>
      <c r="AI1487" s="114" t="s">
        <v>32</v>
      </c>
      <c r="AJ1487" s="114" t="s">
        <v>32</v>
      </c>
      <c r="AK1487" s="114" t="s">
        <v>32</v>
      </c>
      <c r="AL1487" s="82" t="s">
        <v>30</v>
      </c>
      <c r="AM1487" s="360" t="s">
        <v>2080</v>
      </c>
    </row>
    <row r="1488" spans="1:47">
      <c r="A1488" s="358" t="s">
        <v>24</v>
      </c>
      <c r="B1488" s="369">
        <v>1485</v>
      </c>
      <c r="C1488" s="372" t="s">
        <v>2133</v>
      </c>
      <c r="D1488" s="372" t="s">
        <v>43</v>
      </c>
      <c r="E1488" s="373">
        <v>45971</v>
      </c>
      <c r="F1488" s="372" t="s">
        <v>401</v>
      </c>
      <c r="G1488" s="372" t="s">
        <v>401</v>
      </c>
      <c r="H1488" s="372" t="s">
        <v>1077</v>
      </c>
      <c r="I1488" s="372" t="s">
        <v>1138</v>
      </c>
      <c r="J1488" s="372"/>
      <c r="K1488" s="358" t="s">
        <v>2076</v>
      </c>
      <c r="L1488" s="358" t="s">
        <v>401</v>
      </c>
      <c r="M1488" s="358" t="s">
        <v>401</v>
      </c>
      <c r="N1488" s="358" t="s">
        <v>401</v>
      </c>
      <c r="O1488" s="380" t="s">
        <v>32</v>
      </c>
      <c r="P1488" s="380" t="s">
        <v>1091</v>
      </c>
      <c r="Q1488" s="24">
        <v>46009</v>
      </c>
      <c r="R1488" s="248" t="s">
        <v>1138</v>
      </c>
      <c r="S1488" s="358" t="s">
        <v>32</v>
      </c>
      <c r="T1488" s="358">
        <v>13</v>
      </c>
      <c r="U1488" s="24" t="s">
        <v>1138</v>
      </c>
      <c r="V1488" s="24">
        <v>46009</v>
      </c>
      <c r="W1488" s="100" t="s">
        <v>30</v>
      </c>
      <c r="X1488" s="100" t="s">
        <v>30</v>
      </c>
      <c r="Y1488" s="100" t="s">
        <v>30</v>
      </c>
      <c r="Z1488" s="100" t="s">
        <v>30</v>
      </c>
      <c r="AA1488" s="100" t="s">
        <v>30</v>
      </c>
      <c r="AB1488" s="100" t="s">
        <v>30</v>
      </c>
      <c r="AC1488" s="100" t="s">
        <v>30</v>
      </c>
      <c r="AD1488" s="100" t="s">
        <v>30</v>
      </c>
      <c r="AE1488" s="100" t="s">
        <v>30</v>
      </c>
      <c r="AF1488" s="100" t="s">
        <v>30</v>
      </c>
      <c r="AG1488" s="100" t="s">
        <v>30</v>
      </c>
      <c r="AH1488" s="100" t="s">
        <v>30</v>
      </c>
      <c r="AI1488" s="100" t="s">
        <v>30</v>
      </c>
      <c r="AJ1488" s="100" t="s">
        <v>30</v>
      </c>
      <c r="AK1488" s="114" t="s">
        <v>32</v>
      </c>
      <c r="AL1488" s="82" t="s">
        <v>30</v>
      </c>
      <c r="AM1488" s="360" t="s">
        <v>2080</v>
      </c>
    </row>
    <row r="1489" spans="1:47">
      <c r="A1489" s="358" t="s">
        <v>24</v>
      </c>
      <c r="B1489" s="369">
        <v>1486</v>
      </c>
      <c r="C1489" s="372" t="s">
        <v>2134</v>
      </c>
      <c r="D1489" s="372" t="s">
        <v>34</v>
      </c>
      <c r="E1489" s="373">
        <v>45971</v>
      </c>
      <c r="F1489" s="372" t="s">
        <v>1128</v>
      </c>
      <c r="G1489" s="372">
        <v>14</v>
      </c>
      <c r="H1489" s="372" t="s">
        <v>1077</v>
      </c>
      <c r="I1489" s="372" t="s">
        <v>1138</v>
      </c>
      <c r="J1489" s="372"/>
      <c r="K1489" s="358" t="s">
        <v>2135</v>
      </c>
      <c r="L1489" s="358" t="s">
        <v>2070</v>
      </c>
      <c r="M1489" s="358" t="s">
        <v>2093</v>
      </c>
      <c r="N1489" s="358" t="s">
        <v>2136</v>
      </c>
      <c r="O1489" s="380" t="s">
        <v>32</v>
      </c>
      <c r="P1489" s="380" t="s">
        <v>1091</v>
      </c>
      <c r="Q1489" s="24">
        <v>46008</v>
      </c>
      <c r="R1489" s="248" t="s">
        <v>1138</v>
      </c>
      <c r="S1489" s="358" t="s">
        <v>1140</v>
      </c>
      <c r="T1489" s="358">
        <v>13</v>
      </c>
      <c r="U1489" s="24" t="s">
        <v>1138</v>
      </c>
      <c r="V1489" s="24">
        <v>46008</v>
      </c>
      <c r="W1489" s="100" t="s">
        <v>30</v>
      </c>
      <c r="X1489" s="100" t="s">
        <v>30</v>
      </c>
      <c r="Y1489" s="100" t="s">
        <v>30</v>
      </c>
      <c r="Z1489" s="95" t="s">
        <v>32</v>
      </c>
      <c r="AA1489" s="95" t="s">
        <v>32</v>
      </c>
      <c r="AB1489" s="95" t="s">
        <v>32</v>
      </c>
      <c r="AC1489" s="100" t="s">
        <v>30</v>
      </c>
      <c r="AD1489" s="100" t="s">
        <v>30</v>
      </c>
      <c r="AE1489" s="100" t="s">
        <v>30</v>
      </c>
      <c r="AF1489" s="100" t="s">
        <v>30</v>
      </c>
      <c r="AG1489" s="100" t="s">
        <v>30</v>
      </c>
      <c r="AH1489" s="100" t="s">
        <v>30</v>
      </c>
      <c r="AI1489" s="100" t="s">
        <v>30</v>
      </c>
      <c r="AJ1489" s="100" t="s">
        <v>30</v>
      </c>
      <c r="AK1489" s="100" t="s">
        <v>30</v>
      </c>
      <c r="AL1489" s="82" t="s">
        <v>30</v>
      </c>
      <c r="AM1489" s="360" t="s">
        <v>2089</v>
      </c>
    </row>
    <row r="1490" spans="1:47">
      <c r="A1490" s="358" t="s">
        <v>24</v>
      </c>
      <c r="B1490" s="369">
        <v>1487</v>
      </c>
      <c r="C1490" s="372" t="s">
        <v>1936</v>
      </c>
      <c r="D1490" s="372" t="s">
        <v>34</v>
      </c>
      <c r="E1490" s="373">
        <v>45972</v>
      </c>
      <c r="F1490" s="372" t="s">
        <v>412</v>
      </c>
      <c r="G1490" s="372">
        <v>8</v>
      </c>
      <c r="H1490" s="372" t="s">
        <v>1077</v>
      </c>
      <c r="I1490" s="372" t="s">
        <v>1138</v>
      </c>
      <c r="J1490" s="372"/>
      <c r="K1490" s="358" t="s">
        <v>2052</v>
      </c>
      <c r="L1490" s="358" t="s">
        <v>2070</v>
      </c>
      <c r="M1490" s="358" t="s">
        <v>2070</v>
      </c>
      <c r="N1490" s="358" t="s">
        <v>2083</v>
      </c>
      <c r="O1490" s="380" t="s">
        <v>32</v>
      </c>
      <c r="P1490" s="380" t="s">
        <v>1091</v>
      </c>
      <c r="Q1490" s="24">
        <v>46013</v>
      </c>
      <c r="R1490" s="248" t="s">
        <v>1138</v>
      </c>
      <c r="S1490" s="358" t="s">
        <v>32</v>
      </c>
      <c r="T1490" s="358">
        <v>8</v>
      </c>
      <c r="U1490" s="24" t="s">
        <v>1138</v>
      </c>
      <c r="V1490" s="24">
        <v>46013</v>
      </c>
      <c r="W1490" s="100" t="s">
        <v>30</v>
      </c>
      <c r="X1490" s="100" t="s">
        <v>30</v>
      </c>
      <c r="Y1490" s="100" t="s">
        <v>30</v>
      </c>
      <c r="Z1490" s="100" t="s">
        <v>30</v>
      </c>
      <c r="AA1490" s="100" t="s">
        <v>30</v>
      </c>
      <c r="AB1490" s="100" t="s">
        <v>30</v>
      </c>
      <c r="AC1490" s="100" t="s">
        <v>30</v>
      </c>
      <c r="AD1490" s="100" t="s">
        <v>30</v>
      </c>
      <c r="AE1490" s="100" t="s">
        <v>30</v>
      </c>
      <c r="AF1490" s="100" t="s">
        <v>30</v>
      </c>
      <c r="AG1490" s="100" t="s">
        <v>30</v>
      </c>
      <c r="AH1490" s="100" t="s">
        <v>30</v>
      </c>
      <c r="AI1490" s="100" t="s">
        <v>30</v>
      </c>
      <c r="AJ1490" s="100" t="s">
        <v>30</v>
      </c>
      <c r="AK1490" s="112" t="s">
        <v>30</v>
      </c>
      <c r="AL1490" s="82" t="s">
        <v>30</v>
      </c>
      <c r="AM1490" s="360"/>
    </row>
    <row r="1491" spans="1:47">
      <c r="A1491" s="358" t="s">
        <v>24</v>
      </c>
      <c r="B1491" s="369">
        <v>1488</v>
      </c>
      <c r="C1491" s="372" t="s">
        <v>2137</v>
      </c>
      <c r="D1491" s="372" t="s">
        <v>43</v>
      </c>
      <c r="E1491" s="373">
        <v>45972</v>
      </c>
      <c r="F1491" s="372" t="s">
        <v>183</v>
      </c>
      <c r="G1491" s="372">
        <v>20</v>
      </c>
      <c r="H1491" s="372" t="s">
        <v>1077</v>
      </c>
      <c r="I1491" s="372" t="s">
        <v>1138</v>
      </c>
      <c r="J1491" s="372"/>
      <c r="K1491" s="358" t="s">
        <v>2076</v>
      </c>
      <c r="L1491" s="358" t="s">
        <v>2093</v>
      </c>
      <c r="M1491" s="358" t="s">
        <v>2093</v>
      </c>
      <c r="N1491" s="358" t="s">
        <v>2050</v>
      </c>
      <c r="O1491" s="117" t="s">
        <v>30</v>
      </c>
      <c r="P1491" s="380" t="s">
        <v>1091</v>
      </c>
      <c r="Q1491" s="24">
        <v>46010</v>
      </c>
      <c r="R1491" s="248" t="s">
        <v>1138</v>
      </c>
      <c r="S1491" s="358" t="s">
        <v>32</v>
      </c>
      <c r="T1491" s="358">
        <v>17</v>
      </c>
      <c r="U1491" s="24" t="s">
        <v>1138</v>
      </c>
      <c r="V1491" s="24">
        <v>46010</v>
      </c>
      <c r="W1491" s="100" t="s">
        <v>30</v>
      </c>
      <c r="X1491" s="100" t="s">
        <v>30</v>
      </c>
      <c r="Y1491" s="100" t="s">
        <v>30</v>
      </c>
      <c r="Z1491" s="100" t="s">
        <v>30</v>
      </c>
      <c r="AA1491" s="100" t="s">
        <v>30</v>
      </c>
      <c r="AB1491" s="100" t="s">
        <v>30</v>
      </c>
      <c r="AC1491" s="100" t="s">
        <v>30</v>
      </c>
      <c r="AD1491" s="100" t="s">
        <v>30</v>
      </c>
      <c r="AE1491" s="100" t="s">
        <v>30</v>
      </c>
      <c r="AF1491" s="100" t="s">
        <v>30</v>
      </c>
      <c r="AG1491" s="100" t="s">
        <v>30</v>
      </c>
      <c r="AH1491" s="100" t="s">
        <v>30</v>
      </c>
      <c r="AI1491" s="100" t="s">
        <v>30</v>
      </c>
      <c r="AJ1491" s="100" t="s">
        <v>30</v>
      </c>
      <c r="AK1491" s="114" t="s">
        <v>32</v>
      </c>
      <c r="AL1491" s="82" t="s">
        <v>30</v>
      </c>
      <c r="AM1491" s="360" t="s">
        <v>2080</v>
      </c>
    </row>
    <row r="1492" spans="1:47">
      <c r="A1492" s="358" t="s">
        <v>24</v>
      </c>
      <c r="B1492" s="369">
        <v>1489</v>
      </c>
      <c r="C1492" s="372" t="s">
        <v>2138</v>
      </c>
      <c r="D1492" s="372" t="s">
        <v>102</v>
      </c>
      <c r="E1492" s="373">
        <v>45973</v>
      </c>
      <c r="F1492" s="372" t="s">
        <v>1105</v>
      </c>
      <c r="G1492" s="372">
        <v>12</v>
      </c>
      <c r="H1492" s="372" t="s">
        <v>1721</v>
      </c>
      <c r="I1492" s="372" t="s">
        <v>1638</v>
      </c>
      <c r="J1492" s="372"/>
      <c r="K1492" s="358" t="s">
        <v>2061</v>
      </c>
      <c r="L1492" s="358" t="s">
        <v>2093</v>
      </c>
      <c r="M1492" s="358" t="s">
        <v>2093</v>
      </c>
      <c r="N1492" s="358" t="s">
        <v>2058</v>
      </c>
      <c r="O1492" s="380" t="s">
        <v>32</v>
      </c>
      <c r="P1492" s="380" t="s">
        <v>1091</v>
      </c>
      <c r="Q1492" s="24">
        <v>46013</v>
      </c>
      <c r="R1492" s="81" t="s">
        <v>1638</v>
      </c>
      <c r="S1492" s="22" t="s">
        <v>1140</v>
      </c>
      <c r="T1492" s="22">
        <v>12</v>
      </c>
      <c r="U1492" s="24" t="s">
        <v>1638</v>
      </c>
      <c r="V1492" s="24">
        <v>46013</v>
      </c>
      <c r="W1492" s="100" t="s">
        <v>30</v>
      </c>
      <c r="X1492" s="100" t="s">
        <v>30</v>
      </c>
      <c r="Y1492" s="100" t="s">
        <v>30</v>
      </c>
      <c r="Z1492" s="100" t="s">
        <v>30</v>
      </c>
      <c r="AA1492" s="100" t="s">
        <v>30</v>
      </c>
      <c r="AB1492" s="100" t="s">
        <v>30</v>
      </c>
      <c r="AC1492" s="100" t="s">
        <v>30</v>
      </c>
      <c r="AD1492" s="100" t="s">
        <v>30</v>
      </c>
      <c r="AE1492" s="100" t="s">
        <v>30</v>
      </c>
      <c r="AF1492" s="100" t="s">
        <v>30</v>
      </c>
      <c r="AG1492" s="100" t="s">
        <v>30</v>
      </c>
      <c r="AH1492" s="111" t="s">
        <v>30</v>
      </c>
      <c r="AI1492" s="100" t="s">
        <v>30</v>
      </c>
      <c r="AJ1492" s="100" t="s">
        <v>30</v>
      </c>
      <c r="AK1492" s="100" t="s">
        <v>30</v>
      </c>
      <c r="AL1492" s="82" t="s">
        <v>30</v>
      </c>
      <c r="AM1492" s="360"/>
      <c r="AO1492" s="412"/>
      <c r="AP1492" s="412"/>
      <c r="AQ1492" s="412"/>
      <c r="AR1492" s="412"/>
    </row>
    <row r="1493" spans="1:47">
      <c r="A1493" s="358" t="s">
        <v>24</v>
      </c>
      <c r="B1493" s="369">
        <v>1490</v>
      </c>
      <c r="C1493" s="372" t="s">
        <v>2139</v>
      </c>
      <c r="D1493" s="372" t="s">
        <v>43</v>
      </c>
      <c r="E1493" s="373">
        <v>45973</v>
      </c>
      <c r="F1493" s="372" t="s">
        <v>412</v>
      </c>
      <c r="G1493" s="372">
        <v>10</v>
      </c>
      <c r="H1493" s="372" t="s">
        <v>1077</v>
      </c>
      <c r="I1493" s="372" t="s">
        <v>1138</v>
      </c>
      <c r="J1493" s="372"/>
      <c r="K1493" s="358" t="s">
        <v>2140</v>
      </c>
      <c r="L1493" s="358" t="s">
        <v>2093</v>
      </c>
      <c r="M1493" s="358" t="s">
        <v>2093</v>
      </c>
      <c r="N1493" s="358" t="s">
        <v>2050</v>
      </c>
      <c r="O1493" s="380" t="s">
        <v>32</v>
      </c>
      <c r="P1493" s="380" t="s">
        <v>1091</v>
      </c>
      <c r="Q1493" s="24">
        <v>46010</v>
      </c>
      <c r="R1493" s="248" t="s">
        <v>1138</v>
      </c>
      <c r="S1493" s="358" t="s">
        <v>32</v>
      </c>
      <c r="T1493" s="358">
        <v>10</v>
      </c>
      <c r="U1493" s="24" t="s">
        <v>1138</v>
      </c>
      <c r="V1493" s="24">
        <v>46010</v>
      </c>
      <c r="W1493" s="100" t="s">
        <v>30</v>
      </c>
      <c r="X1493" s="100" t="s">
        <v>30</v>
      </c>
      <c r="Y1493" s="100" t="s">
        <v>30</v>
      </c>
      <c r="Z1493" s="100" t="s">
        <v>30</v>
      </c>
      <c r="AA1493" s="95" t="s">
        <v>32</v>
      </c>
      <c r="AB1493" s="100" t="s">
        <v>30</v>
      </c>
      <c r="AC1493" s="100" t="s">
        <v>30</v>
      </c>
      <c r="AD1493" s="100" t="s">
        <v>30</v>
      </c>
      <c r="AE1493" s="100" t="s">
        <v>30</v>
      </c>
      <c r="AF1493" s="100" t="s">
        <v>30</v>
      </c>
      <c r="AG1493" s="100" t="s">
        <v>30</v>
      </c>
      <c r="AH1493" s="100" t="s">
        <v>30</v>
      </c>
      <c r="AI1493" s="100" t="s">
        <v>30</v>
      </c>
      <c r="AJ1493" s="100" t="s">
        <v>30</v>
      </c>
      <c r="AK1493" s="114" t="s">
        <v>32</v>
      </c>
      <c r="AL1493" s="82" t="s">
        <v>30</v>
      </c>
      <c r="AM1493" s="360" t="s">
        <v>2080</v>
      </c>
      <c r="AS1493" s="72"/>
      <c r="AT1493" s="96"/>
      <c r="AU1493" s="96"/>
    </row>
    <row r="1494" spans="1:47">
      <c r="A1494" s="358" t="s">
        <v>24</v>
      </c>
      <c r="B1494" s="369">
        <v>1491</v>
      </c>
      <c r="C1494" s="372" t="s">
        <v>2141</v>
      </c>
      <c r="D1494" s="372" t="s">
        <v>57</v>
      </c>
      <c r="E1494" s="373">
        <v>45973</v>
      </c>
      <c r="F1494" s="372" t="s">
        <v>506</v>
      </c>
      <c r="G1494" s="372">
        <v>5</v>
      </c>
      <c r="H1494" s="372" t="s">
        <v>1721</v>
      </c>
      <c r="I1494" s="372" t="s">
        <v>1638</v>
      </c>
      <c r="J1494" s="372"/>
      <c r="K1494" s="358" t="s">
        <v>2142</v>
      </c>
      <c r="L1494" s="358" t="s">
        <v>2093</v>
      </c>
      <c r="M1494" s="358" t="s">
        <v>2093</v>
      </c>
      <c r="N1494" s="358" t="s">
        <v>2050</v>
      </c>
      <c r="O1494" s="380" t="s">
        <v>32</v>
      </c>
      <c r="P1494" s="23" t="s">
        <v>1091</v>
      </c>
      <c r="Q1494" s="24">
        <v>45659</v>
      </c>
      <c r="R1494" s="81" t="s">
        <v>1638</v>
      </c>
      <c r="S1494" s="22" t="s">
        <v>32</v>
      </c>
      <c r="T1494" s="22">
        <v>5</v>
      </c>
      <c r="U1494" s="24" t="s">
        <v>1638</v>
      </c>
      <c r="V1494" s="24">
        <v>45659</v>
      </c>
      <c r="W1494" s="100" t="s">
        <v>30</v>
      </c>
      <c r="X1494" s="100" t="s">
        <v>30</v>
      </c>
      <c r="Y1494" s="100" t="s">
        <v>30</v>
      </c>
      <c r="Z1494" s="95" t="s">
        <v>32</v>
      </c>
      <c r="AA1494" s="95" t="s">
        <v>32</v>
      </c>
      <c r="AB1494" s="100" t="s">
        <v>30</v>
      </c>
      <c r="AC1494" s="100" t="s">
        <v>30</v>
      </c>
      <c r="AD1494" s="100" t="s">
        <v>30</v>
      </c>
      <c r="AE1494" s="100" t="s">
        <v>30</v>
      </c>
      <c r="AF1494" s="100" t="s">
        <v>30</v>
      </c>
      <c r="AG1494" s="100" t="s">
        <v>30</v>
      </c>
      <c r="AH1494" s="100" t="s">
        <v>30</v>
      </c>
      <c r="AI1494" s="100" t="s">
        <v>30</v>
      </c>
      <c r="AJ1494" s="100" t="s">
        <v>30</v>
      </c>
      <c r="AK1494" s="114" t="s">
        <v>32</v>
      </c>
      <c r="AL1494" s="95" t="s">
        <v>32</v>
      </c>
      <c r="AM1494" s="360" t="s">
        <v>2080</v>
      </c>
    </row>
    <row r="1495" spans="1:47">
      <c r="A1495" s="358" t="s">
        <v>24</v>
      </c>
      <c r="B1495" s="369">
        <v>1492</v>
      </c>
      <c r="C1495" s="372" t="s">
        <v>2143</v>
      </c>
      <c r="D1495" s="372" t="s">
        <v>406</v>
      </c>
      <c r="E1495" s="373">
        <v>45974</v>
      </c>
      <c r="F1495" s="372" t="s">
        <v>1124</v>
      </c>
      <c r="G1495" s="372">
        <v>11</v>
      </c>
      <c r="H1495" s="372" t="s">
        <v>1077</v>
      </c>
      <c r="I1495" s="372" t="s">
        <v>1138</v>
      </c>
      <c r="J1495" s="372"/>
      <c r="K1495" s="358" t="s">
        <v>2066</v>
      </c>
      <c r="L1495" s="358" t="s">
        <v>2049</v>
      </c>
      <c r="M1495" s="358" t="s">
        <v>2053</v>
      </c>
      <c r="N1495" s="358" t="s">
        <v>2058</v>
      </c>
      <c r="O1495" s="380" t="s">
        <v>32</v>
      </c>
      <c r="P1495" s="380" t="s">
        <v>1091</v>
      </c>
      <c r="Q1495" s="24">
        <v>46014</v>
      </c>
      <c r="R1495" s="248" t="s">
        <v>1138</v>
      </c>
      <c r="S1495" s="358" t="s">
        <v>32</v>
      </c>
      <c r="T1495" s="358">
        <v>10</v>
      </c>
      <c r="U1495" s="24" t="s">
        <v>1138</v>
      </c>
      <c r="V1495" s="24">
        <v>46014</v>
      </c>
      <c r="W1495" s="100" t="s">
        <v>30</v>
      </c>
      <c r="X1495" s="100" t="s">
        <v>30</v>
      </c>
      <c r="Y1495" s="100" t="s">
        <v>30</v>
      </c>
      <c r="Z1495" s="100" t="s">
        <v>30</v>
      </c>
      <c r="AA1495" s="95" t="s">
        <v>32</v>
      </c>
      <c r="AB1495" s="95" t="s">
        <v>32</v>
      </c>
      <c r="AC1495" s="100" t="s">
        <v>30</v>
      </c>
      <c r="AD1495" s="100" t="s">
        <v>30</v>
      </c>
      <c r="AE1495" s="100" t="s">
        <v>30</v>
      </c>
      <c r="AF1495" s="100" t="s">
        <v>30</v>
      </c>
      <c r="AG1495" s="100" t="s">
        <v>30</v>
      </c>
      <c r="AH1495" s="100" t="s">
        <v>30</v>
      </c>
      <c r="AI1495" s="100" t="s">
        <v>30</v>
      </c>
      <c r="AJ1495" s="100" t="s">
        <v>30</v>
      </c>
      <c r="AK1495" s="114" t="s">
        <v>32</v>
      </c>
      <c r="AL1495" s="82" t="s">
        <v>30</v>
      </c>
      <c r="AM1495" s="360" t="s">
        <v>2068</v>
      </c>
    </row>
    <row r="1496" spans="1:47">
      <c r="A1496" s="358" t="s">
        <v>24</v>
      </c>
      <c r="B1496" s="369">
        <v>1493</v>
      </c>
      <c r="C1496" s="372" t="s">
        <v>2144</v>
      </c>
      <c r="D1496" s="372" t="s">
        <v>50</v>
      </c>
      <c r="E1496" s="373">
        <v>45974</v>
      </c>
      <c r="F1496" s="372" t="s">
        <v>1295</v>
      </c>
      <c r="G1496" s="372">
        <v>12</v>
      </c>
      <c r="H1496" s="372" t="s">
        <v>67</v>
      </c>
      <c r="I1496" s="372" t="s">
        <v>47</v>
      </c>
      <c r="J1496" s="372"/>
      <c r="K1496" s="358" t="s">
        <v>2145</v>
      </c>
      <c r="L1496" s="358" t="s">
        <v>2146</v>
      </c>
      <c r="M1496" s="358" t="s">
        <v>2146</v>
      </c>
      <c r="N1496" s="358" t="s">
        <v>2050</v>
      </c>
      <c r="O1496" s="380" t="s">
        <v>32</v>
      </c>
      <c r="P1496" s="380" t="s">
        <v>1091</v>
      </c>
      <c r="Q1496" s="24">
        <v>46022</v>
      </c>
      <c r="R1496" s="81" t="s">
        <v>1138</v>
      </c>
      <c r="S1496" s="22" t="s">
        <v>2147</v>
      </c>
      <c r="T1496" s="22">
        <v>10</v>
      </c>
      <c r="U1496" s="24" t="s">
        <v>1138</v>
      </c>
      <c r="V1496" s="24">
        <v>46022</v>
      </c>
      <c r="W1496" s="100" t="s">
        <v>30</v>
      </c>
      <c r="X1496" s="100" t="s">
        <v>30</v>
      </c>
      <c r="Y1496" s="100" t="s">
        <v>30</v>
      </c>
      <c r="Z1496" s="100" t="s">
        <v>30</v>
      </c>
      <c r="AA1496" s="100" t="s">
        <v>30</v>
      </c>
      <c r="AB1496" s="100" t="s">
        <v>30</v>
      </c>
      <c r="AC1496" s="100" t="s">
        <v>30</v>
      </c>
      <c r="AD1496" s="100" t="s">
        <v>30</v>
      </c>
      <c r="AE1496" s="100" t="s">
        <v>30</v>
      </c>
      <c r="AF1496" s="100" t="s">
        <v>30</v>
      </c>
      <c r="AG1496" s="100" t="s">
        <v>30</v>
      </c>
      <c r="AH1496" s="100" t="s">
        <v>30</v>
      </c>
      <c r="AI1496" s="100" t="s">
        <v>30</v>
      </c>
      <c r="AJ1496" s="100" t="s">
        <v>30</v>
      </c>
      <c r="AK1496" s="100" t="s">
        <v>30</v>
      </c>
      <c r="AL1496" s="95" t="s">
        <v>32</v>
      </c>
      <c r="AM1496" s="360"/>
      <c r="AS1496" s="72"/>
      <c r="AT1496" s="96"/>
      <c r="AU1496" s="96"/>
    </row>
    <row r="1497" spans="1:47">
      <c r="A1497" s="358" t="s">
        <v>24</v>
      </c>
      <c r="B1497" s="369">
        <v>1494</v>
      </c>
      <c r="C1497" s="372" t="s">
        <v>2148</v>
      </c>
      <c r="D1497" s="372" t="s">
        <v>923</v>
      </c>
      <c r="E1497" s="373">
        <v>45974</v>
      </c>
      <c r="F1497" s="372" t="s">
        <v>1966</v>
      </c>
      <c r="G1497" s="372">
        <v>10</v>
      </c>
      <c r="H1497" s="372" t="s">
        <v>1077</v>
      </c>
      <c r="I1497" s="372" t="s">
        <v>1138</v>
      </c>
      <c r="J1497" s="372"/>
      <c r="K1497" s="358" t="s">
        <v>2082</v>
      </c>
      <c r="L1497" s="358" t="s">
        <v>2146</v>
      </c>
      <c r="M1497" s="358" t="s">
        <v>2146</v>
      </c>
      <c r="N1497" s="358" t="s">
        <v>2050</v>
      </c>
      <c r="O1497" s="380" t="s">
        <v>32</v>
      </c>
      <c r="P1497" s="380" t="s">
        <v>1091</v>
      </c>
      <c r="Q1497" s="24">
        <v>46013</v>
      </c>
      <c r="R1497" s="248" t="s">
        <v>1138</v>
      </c>
      <c r="S1497" s="358" t="s">
        <v>32</v>
      </c>
      <c r="T1497" s="358">
        <v>10</v>
      </c>
      <c r="U1497" s="24" t="s">
        <v>1138</v>
      </c>
      <c r="V1497" s="24">
        <v>46013</v>
      </c>
      <c r="W1497" s="100" t="s">
        <v>30</v>
      </c>
      <c r="X1497" s="100" t="s">
        <v>30</v>
      </c>
      <c r="Y1497" s="100" t="s">
        <v>30</v>
      </c>
      <c r="Z1497" s="100" t="s">
        <v>30</v>
      </c>
      <c r="AA1497" s="100" t="s">
        <v>30</v>
      </c>
      <c r="AB1497" s="100" t="s">
        <v>30</v>
      </c>
      <c r="AC1497" s="100" t="s">
        <v>30</v>
      </c>
      <c r="AD1497" s="100" t="s">
        <v>30</v>
      </c>
      <c r="AE1497" s="100" t="s">
        <v>30</v>
      </c>
      <c r="AF1497" s="100" t="s">
        <v>30</v>
      </c>
      <c r="AG1497" s="100" t="s">
        <v>30</v>
      </c>
      <c r="AH1497" s="111" t="s">
        <v>30</v>
      </c>
      <c r="AI1497" s="111" t="s">
        <v>30</v>
      </c>
      <c r="AJ1497" s="111" t="s">
        <v>30</v>
      </c>
      <c r="AK1497" s="111" t="s">
        <v>30</v>
      </c>
      <c r="AL1497" s="82" t="s">
        <v>30</v>
      </c>
      <c r="AM1497" s="360" t="s">
        <v>2080</v>
      </c>
    </row>
    <row r="1498" spans="1:47">
      <c r="A1498" s="358" t="s">
        <v>24</v>
      </c>
      <c r="B1498" s="369">
        <v>1495</v>
      </c>
      <c r="C1498" s="372" t="s">
        <v>2149</v>
      </c>
      <c r="D1498" s="372" t="s">
        <v>57</v>
      </c>
      <c r="E1498" s="373">
        <v>45973</v>
      </c>
      <c r="F1498" s="372" t="s">
        <v>506</v>
      </c>
      <c r="G1498" s="372">
        <v>5</v>
      </c>
      <c r="H1498" s="372" t="s">
        <v>1721</v>
      </c>
      <c r="I1498" s="372" t="s">
        <v>1638</v>
      </c>
      <c r="J1498" s="372"/>
      <c r="K1498" s="358" t="s">
        <v>2142</v>
      </c>
      <c r="L1498" s="358" t="s">
        <v>2093</v>
      </c>
      <c r="M1498" s="358" t="s">
        <v>2093</v>
      </c>
      <c r="N1498" s="358" t="s">
        <v>2050</v>
      </c>
      <c r="O1498" s="380" t="s">
        <v>32</v>
      </c>
      <c r="P1498" s="23" t="s">
        <v>1091</v>
      </c>
      <c r="Q1498" s="24">
        <v>45659</v>
      </c>
      <c r="R1498" s="81" t="s">
        <v>1638</v>
      </c>
      <c r="S1498" s="22" t="s">
        <v>32</v>
      </c>
      <c r="T1498" s="22">
        <v>4</v>
      </c>
      <c r="U1498" s="24" t="s">
        <v>1638</v>
      </c>
      <c r="V1498" s="24">
        <v>45659</v>
      </c>
      <c r="W1498" s="100" t="s">
        <v>30</v>
      </c>
      <c r="X1498" s="100" t="s">
        <v>30</v>
      </c>
      <c r="Y1498" s="100" t="s">
        <v>30</v>
      </c>
      <c r="Z1498" s="95" t="s">
        <v>32</v>
      </c>
      <c r="AA1498" s="95" t="s">
        <v>32</v>
      </c>
      <c r="AB1498" s="100" t="s">
        <v>30</v>
      </c>
      <c r="AC1498" s="100" t="s">
        <v>30</v>
      </c>
      <c r="AD1498" s="100" t="s">
        <v>30</v>
      </c>
      <c r="AE1498" s="100" t="s">
        <v>30</v>
      </c>
      <c r="AF1498" s="100" t="s">
        <v>30</v>
      </c>
      <c r="AG1498" s="100" t="s">
        <v>30</v>
      </c>
      <c r="AH1498" s="111" t="s">
        <v>30</v>
      </c>
      <c r="AI1498" s="114" t="s">
        <v>32</v>
      </c>
      <c r="AJ1498" s="114" t="s">
        <v>32</v>
      </c>
      <c r="AK1498" s="100" t="s">
        <v>30</v>
      </c>
      <c r="AL1498" s="95" t="s">
        <v>32</v>
      </c>
      <c r="AM1498" s="360" t="s">
        <v>2080</v>
      </c>
    </row>
    <row r="1499" spans="1:47">
      <c r="A1499" s="358" t="s">
        <v>24</v>
      </c>
      <c r="B1499" s="369">
        <v>1496</v>
      </c>
      <c r="C1499" s="372" t="s">
        <v>2150</v>
      </c>
      <c r="D1499" s="372" t="s">
        <v>102</v>
      </c>
      <c r="E1499" s="373">
        <v>45975</v>
      </c>
      <c r="F1499" s="372" t="s">
        <v>324</v>
      </c>
      <c r="G1499" s="372">
        <v>12</v>
      </c>
      <c r="H1499" s="372" t="s">
        <v>67</v>
      </c>
      <c r="I1499" s="372" t="s">
        <v>47</v>
      </c>
      <c r="J1499" s="372"/>
      <c r="K1499" s="358" t="s">
        <v>2123</v>
      </c>
      <c r="L1499" s="358" t="s">
        <v>2146</v>
      </c>
      <c r="M1499" s="358" t="s">
        <v>2146</v>
      </c>
      <c r="N1499" s="358" t="s">
        <v>2050</v>
      </c>
      <c r="O1499" s="380" t="s">
        <v>32</v>
      </c>
      <c r="P1499" s="380" t="s">
        <v>1091</v>
      </c>
      <c r="Q1499" s="24">
        <v>45999</v>
      </c>
      <c r="R1499" s="81" t="s">
        <v>47</v>
      </c>
      <c r="S1499" s="22" t="s">
        <v>32</v>
      </c>
      <c r="T1499" s="22">
        <v>11</v>
      </c>
      <c r="U1499" s="24" t="s">
        <v>47</v>
      </c>
      <c r="V1499" s="24">
        <v>45999</v>
      </c>
      <c r="W1499" s="100" t="s">
        <v>30</v>
      </c>
      <c r="X1499" s="100" t="s">
        <v>30</v>
      </c>
      <c r="Y1499" s="100" t="s">
        <v>30</v>
      </c>
      <c r="Z1499" s="100" t="s">
        <v>30</v>
      </c>
      <c r="AA1499" s="100" t="s">
        <v>30</v>
      </c>
      <c r="AB1499" s="100" t="s">
        <v>30</v>
      </c>
      <c r="AC1499" s="100" t="s">
        <v>30</v>
      </c>
      <c r="AD1499" s="100" t="s">
        <v>30</v>
      </c>
      <c r="AE1499" s="100" t="s">
        <v>30</v>
      </c>
      <c r="AF1499" s="100" t="s">
        <v>30</v>
      </c>
      <c r="AG1499" s="100" t="s">
        <v>30</v>
      </c>
      <c r="AH1499" s="111" t="s">
        <v>30</v>
      </c>
      <c r="AI1499" s="100" t="s">
        <v>30</v>
      </c>
      <c r="AJ1499" s="100" t="s">
        <v>30</v>
      </c>
      <c r="AK1499" s="100" t="s">
        <v>30</v>
      </c>
      <c r="AL1499" s="95" t="s">
        <v>32</v>
      </c>
      <c r="AM1499" s="360"/>
    </row>
    <row r="1500" spans="1:47">
      <c r="A1500" s="358" t="s">
        <v>24</v>
      </c>
      <c r="B1500" s="369">
        <v>1497</v>
      </c>
      <c r="C1500" s="372" t="s">
        <v>2151</v>
      </c>
      <c r="D1500" s="372" t="s">
        <v>406</v>
      </c>
      <c r="E1500" s="373">
        <v>45975</v>
      </c>
      <c r="F1500" s="372" t="s">
        <v>187</v>
      </c>
      <c r="G1500" s="372">
        <v>19</v>
      </c>
      <c r="H1500" s="372" t="s">
        <v>67</v>
      </c>
      <c r="I1500" s="372" t="s">
        <v>47</v>
      </c>
      <c r="J1500" s="372"/>
      <c r="K1500" s="358" t="s">
        <v>2126</v>
      </c>
      <c r="L1500" s="358" t="s">
        <v>2146</v>
      </c>
      <c r="M1500" s="358" t="s">
        <v>2152</v>
      </c>
      <c r="N1500" s="358" t="s">
        <v>2050</v>
      </c>
      <c r="O1500" s="117" t="s">
        <v>30</v>
      </c>
      <c r="P1500" s="380" t="s">
        <v>1091</v>
      </c>
      <c r="Q1500" s="24">
        <v>46008</v>
      </c>
      <c r="R1500" s="81" t="s">
        <v>47</v>
      </c>
      <c r="S1500" s="22" t="s">
        <v>32</v>
      </c>
      <c r="T1500" s="22">
        <v>17</v>
      </c>
      <c r="U1500" s="24" t="s">
        <v>47</v>
      </c>
      <c r="V1500" s="24">
        <v>46008</v>
      </c>
      <c r="W1500" s="100" t="s">
        <v>30</v>
      </c>
      <c r="X1500" s="100" t="s">
        <v>30</v>
      </c>
      <c r="Y1500" s="100" t="s">
        <v>30</v>
      </c>
      <c r="Z1500" s="100" t="s">
        <v>30</v>
      </c>
      <c r="AA1500" s="100" t="s">
        <v>30</v>
      </c>
      <c r="AB1500" s="100" t="s">
        <v>30</v>
      </c>
      <c r="AC1500" s="100" t="s">
        <v>30</v>
      </c>
      <c r="AD1500" s="100" t="s">
        <v>30</v>
      </c>
      <c r="AE1500" s="100" t="s">
        <v>30</v>
      </c>
      <c r="AF1500" s="100" t="s">
        <v>30</v>
      </c>
      <c r="AG1500" s="100" t="s">
        <v>30</v>
      </c>
      <c r="AH1500" s="111" t="s">
        <v>30</v>
      </c>
      <c r="AI1500" s="100" t="s">
        <v>30</v>
      </c>
      <c r="AJ1500" s="100" t="s">
        <v>30</v>
      </c>
      <c r="AK1500" s="112" t="s">
        <v>30</v>
      </c>
      <c r="AL1500" s="82" t="s">
        <v>30</v>
      </c>
      <c r="AM1500" s="360"/>
    </row>
    <row r="1501" spans="1:47">
      <c r="A1501" s="358" t="s">
        <v>24</v>
      </c>
      <c r="B1501" s="369">
        <v>1498</v>
      </c>
      <c r="C1501" s="372" t="s">
        <v>2153</v>
      </c>
      <c r="D1501" s="372" t="s">
        <v>64</v>
      </c>
      <c r="E1501" s="373">
        <v>45975</v>
      </c>
      <c r="F1501" s="372" t="s">
        <v>106</v>
      </c>
      <c r="G1501" s="372">
        <v>12</v>
      </c>
      <c r="H1501" s="372" t="s">
        <v>1721</v>
      </c>
      <c r="I1501" s="372" t="s">
        <v>1638</v>
      </c>
      <c r="J1501" s="372"/>
      <c r="K1501" s="358" t="s">
        <v>2085</v>
      </c>
      <c r="L1501" s="358" t="s">
        <v>2152</v>
      </c>
      <c r="M1501" s="358" t="s">
        <v>2152</v>
      </c>
      <c r="N1501" s="358" t="s">
        <v>2050</v>
      </c>
      <c r="O1501" s="117" t="s">
        <v>30</v>
      </c>
      <c r="P1501" s="380" t="s">
        <v>1091</v>
      </c>
      <c r="Q1501" s="24">
        <v>46014</v>
      </c>
      <c r="R1501" s="81" t="s">
        <v>1638</v>
      </c>
      <c r="S1501" s="22" t="s">
        <v>32</v>
      </c>
      <c r="T1501" s="251">
        <v>11</v>
      </c>
      <c r="U1501" s="24" t="s">
        <v>1638</v>
      </c>
      <c r="V1501" s="24">
        <v>46014</v>
      </c>
      <c r="W1501" s="100" t="s">
        <v>30</v>
      </c>
      <c r="X1501" s="100" t="s">
        <v>30</v>
      </c>
      <c r="Y1501" s="100" t="s">
        <v>30</v>
      </c>
      <c r="Z1501" s="100" t="s">
        <v>30</v>
      </c>
      <c r="AA1501" s="100" t="s">
        <v>30</v>
      </c>
      <c r="AB1501" s="100" t="s">
        <v>30</v>
      </c>
      <c r="AC1501" s="100" t="s">
        <v>30</v>
      </c>
      <c r="AD1501" s="100" t="s">
        <v>30</v>
      </c>
      <c r="AE1501" s="100" t="s">
        <v>30</v>
      </c>
      <c r="AF1501" s="100" t="s">
        <v>30</v>
      </c>
      <c r="AG1501" s="100" t="s">
        <v>30</v>
      </c>
      <c r="AH1501" s="111" t="s">
        <v>30</v>
      </c>
      <c r="AI1501" s="100" t="s">
        <v>30</v>
      </c>
      <c r="AJ1501" s="100" t="s">
        <v>30</v>
      </c>
      <c r="AK1501" s="100" t="s">
        <v>30</v>
      </c>
      <c r="AL1501" s="82" t="s">
        <v>30</v>
      </c>
      <c r="AM1501" s="360"/>
    </row>
    <row r="1502" spans="1:47">
      <c r="A1502" s="358" t="s">
        <v>24</v>
      </c>
      <c r="B1502" s="369">
        <v>1499</v>
      </c>
      <c r="C1502" s="372" t="s">
        <v>2154</v>
      </c>
      <c r="D1502" s="372" t="s">
        <v>50</v>
      </c>
      <c r="E1502" s="373">
        <v>45975</v>
      </c>
      <c r="F1502" s="372" t="s">
        <v>106</v>
      </c>
      <c r="G1502" s="372">
        <v>12</v>
      </c>
      <c r="H1502" s="372" t="s">
        <v>1721</v>
      </c>
      <c r="I1502" s="372" t="s">
        <v>1638</v>
      </c>
      <c r="J1502" s="372"/>
      <c r="K1502" s="358" t="s">
        <v>2085</v>
      </c>
      <c r="L1502" s="358" t="s">
        <v>401</v>
      </c>
      <c r="M1502" s="358" t="s">
        <v>401</v>
      </c>
      <c r="N1502" s="358" t="s">
        <v>401</v>
      </c>
      <c r="O1502" s="372" t="s">
        <v>401</v>
      </c>
      <c r="P1502" s="380" t="s">
        <v>1091</v>
      </c>
      <c r="Q1502" s="24">
        <v>46015</v>
      </c>
      <c r="R1502" s="81" t="s">
        <v>1638</v>
      </c>
      <c r="S1502" s="22" t="s">
        <v>32</v>
      </c>
      <c r="T1502" s="22">
        <v>12</v>
      </c>
      <c r="U1502" s="24" t="s">
        <v>1638</v>
      </c>
      <c r="V1502" s="24">
        <v>46015</v>
      </c>
      <c r="W1502" s="100" t="s">
        <v>30</v>
      </c>
      <c r="X1502" s="100" t="s">
        <v>30</v>
      </c>
      <c r="Y1502" s="100" t="s">
        <v>30</v>
      </c>
      <c r="Z1502" s="100" t="s">
        <v>30</v>
      </c>
      <c r="AA1502" s="100" t="s">
        <v>30</v>
      </c>
      <c r="AB1502" s="100" t="s">
        <v>30</v>
      </c>
      <c r="AC1502" s="100" t="s">
        <v>30</v>
      </c>
      <c r="AD1502" s="100" t="s">
        <v>30</v>
      </c>
      <c r="AE1502" s="100" t="s">
        <v>30</v>
      </c>
      <c r="AF1502" s="100" t="s">
        <v>30</v>
      </c>
      <c r="AG1502" s="100" t="s">
        <v>30</v>
      </c>
      <c r="AH1502" s="111" t="s">
        <v>30</v>
      </c>
      <c r="AI1502" s="100" t="s">
        <v>30</v>
      </c>
      <c r="AJ1502" s="100" t="s">
        <v>30</v>
      </c>
      <c r="AK1502" s="100" t="s">
        <v>30</v>
      </c>
      <c r="AL1502" s="95" t="s">
        <v>32</v>
      </c>
      <c r="AM1502" s="360"/>
    </row>
    <row r="1503" spans="1:47">
      <c r="A1503" s="358" t="s">
        <v>24</v>
      </c>
      <c r="B1503" s="369">
        <v>1500</v>
      </c>
      <c r="C1503" s="372" t="s">
        <v>2155</v>
      </c>
      <c r="D1503" s="372" t="s">
        <v>43</v>
      </c>
      <c r="E1503" s="373">
        <v>45975</v>
      </c>
      <c r="F1503" s="372" t="s">
        <v>2042</v>
      </c>
      <c r="G1503" s="372">
        <v>9</v>
      </c>
      <c r="H1503" s="372" t="s">
        <v>1077</v>
      </c>
      <c r="I1503" s="372" t="s">
        <v>1138</v>
      </c>
      <c r="J1503" s="372"/>
      <c r="K1503" s="358" t="s">
        <v>2140</v>
      </c>
      <c r="L1503" s="358" t="s">
        <v>2146</v>
      </c>
      <c r="M1503" s="358" t="s">
        <v>2146</v>
      </c>
      <c r="N1503" s="358" t="s">
        <v>2050</v>
      </c>
      <c r="O1503" s="380" t="s">
        <v>32</v>
      </c>
      <c r="P1503" s="380" t="s">
        <v>1091</v>
      </c>
      <c r="Q1503" s="24">
        <v>45996</v>
      </c>
      <c r="R1503" s="248" t="s">
        <v>1138</v>
      </c>
      <c r="S1503" s="358" t="s">
        <v>32</v>
      </c>
      <c r="T1503" s="358">
        <v>9</v>
      </c>
      <c r="U1503" s="24" t="s">
        <v>1138</v>
      </c>
      <c r="V1503" s="24">
        <v>45996</v>
      </c>
      <c r="W1503" s="100" t="s">
        <v>30</v>
      </c>
      <c r="X1503" s="100" t="s">
        <v>30</v>
      </c>
      <c r="Y1503" s="100" t="s">
        <v>30</v>
      </c>
      <c r="Z1503" s="100" t="s">
        <v>30</v>
      </c>
      <c r="AA1503" s="95" t="s">
        <v>32</v>
      </c>
      <c r="AB1503" s="100" t="s">
        <v>30</v>
      </c>
      <c r="AC1503" s="100" t="s">
        <v>30</v>
      </c>
      <c r="AD1503" s="100" t="s">
        <v>30</v>
      </c>
      <c r="AE1503" s="100" t="s">
        <v>30</v>
      </c>
      <c r="AF1503" s="100" t="s">
        <v>30</v>
      </c>
      <c r="AG1503" s="100" t="s">
        <v>30</v>
      </c>
      <c r="AH1503" s="111" t="s">
        <v>30</v>
      </c>
      <c r="AI1503" s="114" t="s">
        <v>32</v>
      </c>
      <c r="AJ1503" s="114" t="s">
        <v>32</v>
      </c>
      <c r="AK1503" s="114" t="s">
        <v>32</v>
      </c>
      <c r="AL1503" s="82" t="s">
        <v>30</v>
      </c>
      <c r="AM1503" s="360" t="s">
        <v>2080</v>
      </c>
    </row>
    <row r="1504" spans="1:47">
      <c r="A1504" s="358" t="s">
        <v>24</v>
      </c>
      <c r="B1504" s="369">
        <v>1501</v>
      </c>
      <c r="C1504" s="372" t="s">
        <v>2156</v>
      </c>
      <c r="D1504" s="372" t="s">
        <v>64</v>
      </c>
      <c r="E1504" s="373">
        <v>45975</v>
      </c>
      <c r="F1504" s="372" t="s">
        <v>412</v>
      </c>
      <c r="G1504" s="372">
        <v>17</v>
      </c>
      <c r="H1504" s="372" t="s">
        <v>1077</v>
      </c>
      <c r="I1504" s="372" t="s">
        <v>1138</v>
      </c>
      <c r="J1504" s="372"/>
      <c r="K1504" s="358" t="s">
        <v>2076</v>
      </c>
      <c r="L1504" s="358" t="s">
        <v>2152</v>
      </c>
      <c r="M1504" s="358" t="s">
        <v>2152</v>
      </c>
      <c r="N1504" s="358" t="s">
        <v>2157</v>
      </c>
      <c r="O1504" s="117" t="s">
        <v>30</v>
      </c>
      <c r="P1504" s="380" t="s">
        <v>1091</v>
      </c>
      <c r="Q1504" s="24">
        <v>46014</v>
      </c>
      <c r="R1504" s="248" t="s">
        <v>1138</v>
      </c>
      <c r="S1504" s="358" t="s">
        <v>32</v>
      </c>
      <c r="T1504" s="358">
        <v>17</v>
      </c>
      <c r="U1504" s="24" t="s">
        <v>1138</v>
      </c>
      <c r="V1504" s="24">
        <v>46014</v>
      </c>
      <c r="W1504" s="100" t="s">
        <v>30</v>
      </c>
      <c r="X1504" s="100" t="s">
        <v>30</v>
      </c>
      <c r="Y1504" s="100" t="s">
        <v>30</v>
      </c>
      <c r="Z1504" s="100" t="s">
        <v>30</v>
      </c>
      <c r="AA1504" s="100" t="s">
        <v>30</v>
      </c>
      <c r="AB1504" s="100" t="s">
        <v>30</v>
      </c>
      <c r="AC1504" s="100" t="s">
        <v>30</v>
      </c>
      <c r="AD1504" s="100" t="s">
        <v>30</v>
      </c>
      <c r="AE1504" s="100" t="s">
        <v>30</v>
      </c>
      <c r="AF1504" s="100" t="s">
        <v>30</v>
      </c>
      <c r="AG1504" s="100" t="s">
        <v>30</v>
      </c>
      <c r="AH1504" s="100" t="s">
        <v>30</v>
      </c>
      <c r="AI1504" s="100" t="s">
        <v>30</v>
      </c>
      <c r="AJ1504" s="100" t="s">
        <v>30</v>
      </c>
      <c r="AK1504" s="114" t="s">
        <v>32</v>
      </c>
      <c r="AL1504" s="82" t="s">
        <v>30</v>
      </c>
      <c r="AM1504" s="360" t="s">
        <v>2080</v>
      </c>
      <c r="AR1504" s="88"/>
      <c r="AS1504" s="72"/>
      <c r="AT1504" s="72"/>
      <c r="AU1504" s="72"/>
    </row>
    <row r="1505" spans="1:47">
      <c r="A1505" s="358" t="s">
        <v>24</v>
      </c>
      <c r="B1505" s="369">
        <v>1502</v>
      </c>
      <c r="C1505" s="372" t="s">
        <v>2158</v>
      </c>
      <c r="D1505" s="372" t="s">
        <v>34</v>
      </c>
      <c r="E1505" s="373">
        <v>45975</v>
      </c>
      <c r="F1505" s="372" t="s">
        <v>2159</v>
      </c>
      <c r="G1505" s="372">
        <v>6</v>
      </c>
      <c r="H1505" s="372" t="s">
        <v>127</v>
      </c>
      <c r="I1505" s="372" t="s">
        <v>178</v>
      </c>
      <c r="J1505" s="372"/>
      <c r="K1505" s="358" t="s">
        <v>2087</v>
      </c>
      <c r="L1505" s="358" t="s">
        <v>2152</v>
      </c>
      <c r="M1505" s="358" t="s">
        <v>2152</v>
      </c>
      <c r="N1505" s="358" t="s">
        <v>2050</v>
      </c>
      <c r="O1505" s="380" t="s">
        <v>32</v>
      </c>
      <c r="P1505" s="23" t="s">
        <v>1091</v>
      </c>
      <c r="Q1505" s="24">
        <v>46020</v>
      </c>
      <c r="R1505" s="81" t="s">
        <v>28</v>
      </c>
      <c r="S1505" s="22" t="s">
        <v>1140</v>
      </c>
      <c r="T1505" s="22">
        <v>6</v>
      </c>
      <c r="U1505" s="24" t="s">
        <v>28</v>
      </c>
      <c r="V1505" s="24">
        <v>46020</v>
      </c>
      <c r="W1505" s="100" t="s">
        <v>30</v>
      </c>
      <c r="X1505" s="100" t="s">
        <v>30</v>
      </c>
      <c r="Y1505" s="100" t="s">
        <v>30</v>
      </c>
      <c r="Z1505" s="95" t="s">
        <v>32</v>
      </c>
      <c r="AA1505" s="95" t="s">
        <v>32</v>
      </c>
      <c r="AB1505" s="95" t="s">
        <v>32</v>
      </c>
      <c r="AC1505" s="100" t="s">
        <v>30</v>
      </c>
      <c r="AD1505" s="100" t="s">
        <v>30</v>
      </c>
      <c r="AE1505" s="100" t="s">
        <v>30</v>
      </c>
      <c r="AF1505" s="100" t="s">
        <v>30</v>
      </c>
      <c r="AG1505" s="100" t="s">
        <v>30</v>
      </c>
      <c r="AH1505" s="111" t="s">
        <v>30</v>
      </c>
      <c r="AI1505" s="100" t="s">
        <v>30</v>
      </c>
      <c r="AJ1505" s="100" t="s">
        <v>30</v>
      </c>
      <c r="AK1505" s="100" t="s">
        <v>30</v>
      </c>
      <c r="AL1505" s="100" t="s">
        <v>30</v>
      </c>
      <c r="AM1505" s="360" t="s">
        <v>2089</v>
      </c>
    </row>
    <row r="1506" spans="1:47">
      <c r="A1506" s="358" t="s">
        <v>24</v>
      </c>
      <c r="B1506" s="369">
        <v>1503</v>
      </c>
      <c r="C1506" s="372" t="s">
        <v>2160</v>
      </c>
      <c r="D1506" s="372" t="s">
        <v>43</v>
      </c>
      <c r="E1506" s="373">
        <v>45976</v>
      </c>
      <c r="F1506" s="372" t="s">
        <v>2161</v>
      </c>
      <c r="G1506" s="372">
        <v>12</v>
      </c>
      <c r="H1506" s="372" t="s">
        <v>1077</v>
      </c>
      <c r="I1506" s="372" t="s">
        <v>1138</v>
      </c>
      <c r="J1506" s="372"/>
      <c r="K1506" s="358" t="s">
        <v>2162</v>
      </c>
      <c r="L1506" s="358" t="s">
        <v>2146</v>
      </c>
      <c r="M1506" s="358" t="s">
        <v>2163</v>
      </c>
      <c r="N1506" s="358" t="s">
        <v>2050</v>
      </c>
      <c r="O1506" s="380" t="s">
        <v>32</v>
      </c>
      <c r="P1506" s="380" t="s">
        <v>1091</v>
      </c>
      <c r="Q1506" s="24">
        <v>46020</v>
      </c>
      <c r="R1506" s="248" t="s">
        <v>1138</v>
      </c>
      <c r="S1506" s="358" t="s">
        <v>32</v>
      </c>
      <c r="T1506" s="358">
        <v>10</v>
      </c>
      <c r="U1506" s="24" t="s">
        <v>1138</v>
      </c>
      <c r="V1506" s="24">
        <v>46020</v>
      </c>
      <c r="W1506" s="100" t="s">
        <v>30</v>
      </c>
      <c r="X1506" s="100" t="s">
        <v>30</v>
      </c>
      <c r="Y1506" s="100" t="s">
        <v>30</v>
      </c>
      <c r="Z1506" s="100" t="s">
        <v>30</v>
      </c>
      <c r="AA1506" s="100" t="s">
        <v>30</v>
      </c>
      <c r="AB1506" s="100" t="s">
        <v>30</v>
      </c>
      <c r="AC1506" s="100" t="s">
        <v>30</v>
      </c>
      <c r="AD1506" s="100" t="s">
        <v>30</v>
      </c>
      <c r="AE1506" s="100" t="s">
        <v>30</v>
      </c>
      <c r="AF1506" s="100" t="s">
        <v>30</v>
      </c>
      <c r="AG1506" s="100" t="s">
        <v>30</v>
      </c>
      <c r="AH1506" s="111" t="s">
        <v>30</v>
      </c>
      <c r="AI1506" s="100" t="s">
        <v>30</v>
      </c>
      <c r="AJ1506" s="100" t="s">
        <v>30</v>
      </c>
      <c r="AK1506" s="100" t="s">
        <v>30</v>
      </c>
      <c r="AL1506" s="95" t="s">
        <v>32</v>
      </c>
      <c r="AM1506" s="360"/>
    </row>
    <row r="1507" spans="1:47">
      <c r="A1507" s="358" t="s">
        <v>24</v>
      </c>
      <c r="B1507" s="369">
        <v>1504</v>
      </c>
      <c r="C1507" s="372" t="s">
        <v>2164</v>
      </c>
      <c r="D1507" s="372" t="s">
        <v>34</v>
      </c>
      <c r="E1507" s="373">
        <v>45976</v>
      </c>
      <c r="F1507" s="372" t="s">
        <v>65</v>
      </c>
      <c r="G1507" s="372">
        <v>24</v>
      </c>
      <c r="H1507" s="372" t="s">
        <v>1077</v>
      </c>
      <c r="I1507" s="372" t="s">
        <v>1138</v>
      </c>
      <c r="J1507" s="102" t="s">
        <v>2165</v>
      </c>
      <c r="K1507" s="358" t="s">
        <v>2052</v>
      </c>
      <c r="L1507" s="358" t="s">
        <v>2146</v>
      </c>
      <c r="M1507" s="358" t="s">
        <v>2152</v>
      </c>
      <c r="N1507" s="358" t="s">
        <v>2166</v>
      </c>
      <c r="O1507" s="117" t="s">
        <v>30</v>
      </c>
      <c r="P1507" s="380"/>
      <c r="Q1507" s="24"/>
      <c r="R1507" s="248" t="s">
        <v>1138</v>
      </c>
      <c r="S1507" s="358"/>
      <c r="T1507" s="358"/>
      <c r="U1507" s="24"/>
      <c r="V1507" s="24"/>
      <c r="W1507" s="94" t="s">
        <v>30</v>
      </c>
      <c r="X1507" s="100" t="s">
        <v>30</v>
      </c>
      <c r="Y1507" s="94" t="s">
        <v>30</v>
      </c>
      <c r="Z1507" s="100" t="s">
        <v>30</v>
      </c>
      <c r="AA1507" s="100" t="s">
        <v>30</v>
      </c>
      <c r="AB1507" s="100" t="s">
        <v>30</v>
      </c>
      <c r="AC1507" s="100" t="s">
        <v>30</v>
      </c>
      <c r="AD1507" s="100" t="s">
        <v>30</v>
      </c>
      <c r="AE1507" s="100" t="s">
        <v>30</v>
      </c>
      <c r="AF1507" s="100" t="s">
        <v>30</v>
      </c>
      <c r="AG1507" s="100" t="s">
        <v>30</v>
      </c>
      <c r="AH1507" s="111" t="s">
        <v>30</v>
      </c>
      <c r="AI1507" s="100" t="s">
        <v>30</v>
      </c>
      <c r="AJ1507" s="100" t="s">
        <v>30</v>
      </c>
      <c r="AK1507" s="100" t="s">
        <v>30</v>
      </c>
      <c r="AL1507" s="95" t="s">
        <v>32</v>
      </c>
      <c r="AM1507" s="360"/>
      <c r="AR1507" s="88"/>
      <c r="AS1507" s="72"/>
      <c r="AT1507" s="72"/>
      <c r="AU1507" s="72"/>
    </row>
    <row r="1508" spans="1:47">
      <c r="A1508" s="358" t="s">
        <v>24</v>
      </c>
      <c r="B1508" s="369">
        <v>1505</v>
      </c>
      <c r="C1508" s="372" t="s">
        <v>2167</v>
      </c>
      <c r="D1508" s="372" t="s">
        <v>34</v>
      </c>
      <c r="E1508" s="373">
        <v>45976</v>
      </c>
      <c r="F1508" s="372" t="s">
        <v>65</v>
      </c>
      <c r="G1508" s="372">
        <v>1</v>
      </c>
      <c r="H1508" s="372" t="s">
        <v>1077</v>
      </c>
      <c r="I1508" s="372" t="s">
        <v>1138</v>
      </c>
      <c r="J1508" s="372"/>
      <c r="K1508" s="358" t="s">
        <v>2052</v>
      </c>
      <c r="L1508" s="358" t="s">
        <v>401</v>
      </c>
      <c r="M1508" s="358" t="s">
        <v>401</v>
      </c>
      <c r="N1508" s="358" t="s">
        <v>401</v>
      </c>
      <c r="O1508" s="117" t="s">
        <v>401</v>
      </c>
      <c r="P1508" s="380" t="s">
        <v>1091</v>
      </c>
      <c r="Q1508" s="24">
        <v>46020</v>
      </c>
      <c r="R1508" s="248" t="s">
        <v>1138</v>
      </c>
      <c r="S1508" s="358" t="s">
        <v>32</v>
      </c>
      <c r="T1508" s="358">
        <v>1</v>
      </c>
      <c r="U1508" s="24" t="s">
        <v>1138</v>
      </c>
      <c r="V1508" s="24">
        <v>46020</v>
      </c>
      <c r="W1508" s="94" t="s">
        <v>30</v>
      </c>
      <c r="X1508" s="100" t="s">
        <v>30</v>
      </c>
      <c r="Y1508" s="94" t="s">
        <v>30</v>
      </c>
      <c r="Z1508" s="100" t="s">
        <v>30</v>
      </c>
      <c r="AA1508" s="100" t="s">
        <v>30</v>
      </c>
      <c r="AB1508" s="100" t="s">
        <v>30</v>
      </c>
      <c r="AC1508" s="114" t="s">
        <v>32</v>
      </c>
      <c r="AD1508" s="100" t="s">
        <v>30</v>
      </c>
      <c r="AE1508" s="100" t="s">
        <v>30</v>
      </c>
      <c r="AF1508" s="100" t="s">
        <v>30</v>
      </c>
      <c r="AG1508" s="100" t="s">
        <v>30</v>
      </c>
      <c r="AH1508" s="114"/>
      <c r="AI1508" s="100" t="s">
        <v>30</v>
      </c>
      <c r="AJ1508" s="100" t="s">
        <v>30</v>
      </c>
      <c r="AK1508" s="114" t="s">
        <v>32</v>
      </c>
      <c r="AL1508" s="95"/>
      <c r="AM1508" s="360" t="s">
        <v>2168</v>
      </c>
      <c r="AR1508" s="88"/>
      <c r="AS1508" s="72"/>
      <c r="AT1508" s="72"/>
      <c r="AU1508" s="72"/>
    </row>
    <row r="1509" spans="1:47">
      <c r="A1509" s="358" t="s">
        <v>24</v>
      </c>
      <c r="B1509" s="369">
        <v>1506</v>
      </c>
      <c r="C1509" s="372" t="s">
        <v>2169</v>
      </c>
      <c r="D1509" s="372" t="s">
        <v>34</v>
      </c>
      <c r="E1509" s="373">
        <v>45976</v>
      </c>
      <c r="F1509" s="372" t="s">
        <v>65</v>
      </c>
      <c r="G1509" s="372">
        <v>7</v>
      </c>
      <c r="H1509" s="372" t="s">
        <v>1077</v>
      </c>
      <c r="I1509" s="372" t="s">
        <v>1138</v>
      </c>
      <c r="J1509" s="372"/>
      <c r="K1509" s="358" t="s">
        <v>2170</v>
      </c>
      <c r="L1509" s="358" t="s">
        <v>2146</v>
      </c>
      <c r="M1509" s="358" t="s">
        <v>2152</v>
      </c>
      <c r="N1509" s="358" t="s">
        <v>2166</v>
      </c>
      <c r="O1509" s="380" t="s">
        <v>32</v>
      </c>
      <c r="P1509" s="380" t="s">
        <v>1091</v>
      </c>
      <c r="Q1509" s="24">
        <v>46014</v>
      </c>
      <c r="R1509" s="248" t="s">
        <v>1138</v>
      </c>
      <c r="S1509" s="358" t="s">
        <v>32</v>
      </c>
      <c r="T1509" s="358">
        <v>7</v>
      </c>
      <c r="U1509" s="24" t="s">
        <v>1138</v>
      </c>
      <c r="V1509" s="24">
        <v>46014</v>
      </c>
      <c r="W1509" s="94" t="s">
        <v>30</v>
      </c>
      <c r="X1509" s="100" t="s">
        <v>30</v>
      </c>
      <c r="Y1509" s="100" t="s">
        <v>30</v>
      </c>
      <c r="Z1509" s="95" t="s">
        <v>32</v>
      </c>
      <c r="AA1509" s="95" t="s">
        <v>32</v>
      </c>
      <c r="AB1509" s="95" t="s">
        <v>32</v>
      </c>
      <c r="AC1509" s="100" t="s">
        <v>30</v>
      </c>
      <c r="AD1509" s="100" t="s">
        <v>30</v>
      </c>
      <c r="AE1509" s="100" t="s">
        <v>30</v>
      </c>
      <c r="AF1509" s="100" t="s">
        <v>30</v>
      </c>
      <c r="AG1509" s="100" t="s">
        <v>30</v>
      </c>
      <c r="AH1509" s="111" t="s">
        <v>30</v>
      </c>
      <c r="AI1509" s="112" t="s">
        <v>30</v>
      </c>
      <c r="AJ1509" s="112" t="s">
        <v>30</v>
      </c>
      <c r="AK1509" s="112" t="s">
        <v>30</v>
      </c>
      <c r="AL1509" s="82" t="s">
        <v>30</v>
      </c>
      <c r="AM1509" s="360"/>
      <c r="AO1509" s="412"/>
      <c r="AP1509" s="412"/>
      <c r="AQ1509" s="412"/>
      <c r="AR1509" s="412"/>
    </row>
    <row r="1510" spans="1:47">
      <c r="A1510" s="358" t="s">
        <v>24</v>
      </c>
      <c r="B1510" s="369">
        <v>1507</v>
      </c>
      <c r="C1510" s="372" t="s">
        <v>2171</v>
      </c>
      <c r="D1510" s="372" t="s">
        <v>446</v>
      </c>
      <c r="E1510" s="373">
        <v>45976</v>
      </c>
      <c r="F1510" s="372" t="s">
        <v>439</v>
      </c>
      <c r="G1510" s="372">
        <v>11</v>
      </c>
      <c r="H1510" s="372" t="s">
        <v>127</v>
      </c>
      <c r="I1510" s="372" t="s">
        <v>178</v>
      </c>
      <c r="J1510" s="102"/>
      <c r="K1510" s="358" t="s">
        <v>2142</v>
      </c>
      <c r="L1510" s="358" t="s">
        <v>2152</v>
      </c>
      <c r="M1510" s="358" t="s">
        <v>2152</v>
      </c>
      <c r="N1510" s="358" t="s">
        <v>2050</v>
      </c>
      <c r="O1510" s="380" t="s">
        <v>32</v>
      </c>
      <c r="P1510" s="380" t="s">
        <v>1091</v>
      </c>
      <c r="Q1510" s="24">
        <v>46010</v>
      </c>
      <c r="R1510" s="81" t="s">
        <v>28</v>
      </c>
      <c r="S1510" s="22" t="s">
        <v>32</v>
      </c>
      <c r="T1510" s="22">
        <v>11</v>
      </c>
      <c r="U1510" s="24" t="s">
        <v>28</v>
      </c>
      <c r="V1510" s="24">
        <v>46010</v>
      </c>
      <c r="W1510" s="100" t="s">
        <v>30</v>
      </c>
      <c r="X1510" s="100" t="s">
        <v>30</v>
      </c>
      <c r="Y1510" s="100" t="s">
        <v>30</v>
      </c>
      <c r="Z1510" s="95" t="s">
        <v>32</v>
      </c>
      <c r="AA1510" s="95" t="s">
        <v>32</v>
      </c>
      <c r="AB1510" s="100" t="s">
        <v>30</v>
      </c>
      <c r="AC1510" s="100" t="s">
        <v>30</v>
      </c>
      <c r="AD1510" s="100" t="s">
        <v>30</v>
      </c>
      <c r="AE1510" s="100" t="s">
        <v>30</v>
      </c>
      <c r="AF1510" s="100" t="s">
        <v>30</v>
      </c>
      <c r="AG1510" s="100" t="s">
        <v>30</v>
      </c>
      <c r="AH1510" s="100" t="s">
        <v>30</v>
      </c>
      <c r="AI1510" s="100" t="s">
        <v>30</v>
      </c>
      <c r="AJ1510" s="100" t="s">
        <v>30</v>
      </c>
      <c r="AK1510" s="100" t="s">
        <v>30</v>
      </c>
      <c r="AL1510" s="82" t="s">
        <v>30</v>
      </c>
      <c r="AM1510" s="360" t="s">
        <v>2080</v>
      </c>
      <c r="AS1510" s="72"/>
      <c r="AT1510" s="96"/>
      <c r="AU1510" s="96"/>
    </row>
    <row r="1511" spans="1:47">
      <c r="A1511" s="358" t="s">
        <v>24</v>
      </c>
      <c r="B1511" s="369">
        <v>1508</v>
      </c>
      <c r="C1511" s="372" t="s">
        <v>2172</v>
      </c>
      <c r="D1511" s="372" t="s">
        <v>57</v>
      </c>
      <c r="E1511" s="373">
        <v>45976</v>
      </c>
      <c r="F1511" s="372" t="s">
        <v>644</v>
      </c>
      <c r="G1511" s="372">
        <v>18</v>
      </c>
      <c r="H1511" s="372" t="s">
        <v>127</v>
      </c>
      <c r="I1511" s="372" t="s">
        <v>36</v>
      </c>
      <c r="J1511" s="102"/>
      <c r="K1511" s="358" t="s">
        <v>2096</v>
      </c>
      <c r="L1511" s="358" t="s">
        <v>2049</v>
      </c>
      <c r="M1511" s="358" t="s">
        <v>2049</v>
      </c>
      <c r="N1511" s="358" t="s">
        <v>2050</v>
      </c>
      <c r="O1511" s="117" t="s">
        <v>30</v>
      </c>
      <c r="P1511" s="23" t="s">
        <v>1091</v>
      </c>
      <c r="Q1511" s="24">
        <v>46020</v>
      </c>
      <c r="R1511" s="81" t="s">
        <v>28</v>
      </c>
      <c r="S1511" s="22" t="s">
        <v>32</v>
      </c>
      <c r="T1511" s="22">
        <v>16</v>
      </c>
      <c r="U1511" s="24" t="s">
        <v>28</v>
      </c>
      <c r="V1511" s="24">
        <v>46020</v>
      </c>
      <c r="W1511" s="107" t="s">
        <v>32</v>
      </c>
      <c r="X1511" s="95" t="s">
        <v>32</v>
      </c>
      <c r="Y1511" s="95" t="s">
        <v>32</v>
      </c>
      <c r="Z1511" s="100" t="s">
        <v>30</v>
      </c>
      <c r="AA1511" s="100" t="s">
        <v>30</v>
      </c>
      <c r="AB1511" s="100" t="s">
        <v>30</v>
      </c>
      <c r="AC1511" s="100" t="s">
        <v>30</v>
      </c>
      <c r="AD1511" s="100" t="s">
        <v>30</v>
      </c>
      <c r="AE1511" s="100" t="s">
        <v>30</v>
      </c>
      <c r="AF1511" s="100" t="s">
        <v>30</v>
      </c>
      <c r="AG1511" s="100" t="s">
        <v>30</v>
      </c>
      <c r="AH1511" s="114" t="s">
        <v>32</v>
      </c>
      <c r="AI1511" s="100" t="s">
        <v>30</v>
      </c>
      <c r="AJ1511" s="100" t="s">
        <v>30</v>
      </c>
      <c r="AK1511" s="100" t="s">
        <v>30</v>
      </c>
      <c r="AL1511" s="82" t="s">
        <v>30</v>
      </c>
      <c r="AM1511" s="360"/>
      <c r="AO1511" s="412"/>
      <c r="AP1511" s="412"/>
      <c r="AQ1511" s="412"/>
      <c r="AR1511" s="412"/>
    </row>
    <row r="1512" spans="1:47">
      <c r="A1512" s="358" t="s">
        <v>24</v>
      </c>
      <c r="B1512" s="369">
        <v>1509</v>
      </c>
      <c r="C1512" s="372" t="s">
        <v>2173</v>
      </c>
      <c r="D1512" s="372" t="s">
        <v>83</v>
      </c>
      <c r="E1512" s="373">
        <v>45976</v>
      </c>
      <c r="F1512" s="372" t="s">
        <v>106</v>
      </c>
      <c r="G1512" s="372">
        <v>16</v>
      </c>
      <c r="H1512" s="372" t="s">
        <v>127</v>
      </c>
      <c r="I1512" s="372" t="s">
        <v>36</v>
      </c>
      <c r="J1512" s="225"/>
      <c r="K1512" s="358" t="s">
        <v>2085</v>
      </c>
      <c r="L1512" s="358" t="s">
        <v>2146</v>
      </c>
      <c r="M1512" s="358" t="s">
        <v>2146</v>
      </c>
      <c r="N1512" s="358" t="s">
        <v>2083</v>
      </c>
      <c r="O1512" s="117" t="s">
        <v>30</v>
      </c>
      <c r="P1512" s="23" t="s">
        <v>1091</v>
      </c>
      <c r="Q1512" s="24">
        <v>46011</v>
      </c>
      <c r="R1512" s="81" t="s">
        <v>28</v>
      </c>
      <c r="S1512" s="22" t="s">
        <v>32</v>
      </c>
      <c r="T1512" s="22">
        <v>15</v>
      </c>
      <c r="U1512" s="24" t="s">
        <v>28</v>
      </c>
      <c r="V1512" s="24">
        <v>46011</v>
      </c>
      <c r="W1512" s="100" t="s">
        <v>30</v>
      </c>
      <c r="X1512" s="100" t="s">
        <v>30</v>
      </c>
      <c r="Y1512" s="100" t="s">
        <v>30</v>
      </c>
      <c r="Z1512" s="100" t="s">
        <v>30</v>
      </c>
      <c r="AA1512" s="100" t="s">
        <v>30</v>
      </c>
      <c r="AB1512" s="100" t="s">
        <v>30</v>
      </c>
      <c r="AC1512" s="100" t="s">
        <v>30</v>
      </c>
      <c r="AD1512" s="100" t="s">
        <v>30</v>
      </c>
      <c r="AE1512" s="100" t="s">
        <v>30</v>
      </c>
      <c r="AF1512" s="100" t="s">
        <v>30</v>
      </c>
      <c r="AG1512" s="100" t="s">
        <v>30</v>
      </c>
      <c r="AH1512" s="111" t="s">
        <v>30</v>
      </c>
      <c r="AI1512" s="100" t="s">
        <v>30</v>
      </c>
      <c r="AJ1512" s="100" t="s">
        <v>30</v>
      </c>
      <c r="AK1512" s="100" t="s">
        <v>30</v>
      </c>
      <c r="AL1512" s="82" t="s">
        <v>30</v>
      </c>
      <c r="AM1512" s="360"/>
      <c r="AO1512" s="412"/>
      <c r="AP1512" s="412"/>
      <c r="AQ1512" s="412"/>
      <c r="AR1512" s="412"/>
    </row>
    <row r="1513" spans="1:47">
      <c r="A1513" s="358" t="s">
        <v>24</v>
      </c>
      <c r="B1513" s="369">
        <v>1510</v>
      </c>
      <c r="C1513" s="372" t="s">
        <v>2174</v>
      </c>
      <c r="D1513" s="372" t="s">
        <v>34</v>
      </c>
      <c r="E1513" s="373">
        <v>45976</v>
      </c>
      <c r="F1513" s="372" t="s">
        <v>167</v>
      </c>
      <c r="G1513" s="372">
        <v>17</v>
      </c>
      <c r="H1513" s="372" t="s">
        <v>127</v>
      </c>
      <c r="I1513" s="372" t="s">
        <v>36</v>
      </c>
      <c r="J1513" s="102" t="s">
        <v>2175</v>
      </c>
      <c r="K1513" s="358" t="s">
        <v>2092</v>
      </c>
      <c r="L1513" s="358" t="s">
        <v>2146</v>
      </c>
      <c r="M1513" s="358" t="s">
        <v>2146</v>
      </c>
      <c r="N1513" s="358" t="s">
        <v>2050</v>
      </c>
      <c r="O1513" s="117" t="s">
        <v>30</v>
      </c>
      <c r="P1513" s="23"/>
      <c r="Q1513" s="24"/>
      <c r="R1513" s="81" t="s">
        <v>28</v>
      </c>
      <c r="S1513" s="22"/>
      <c r="T1513" s="22"/>
      <c r="U1513" s="24"/>
      <c r="V1513" s="24"/>
      <c r="W1513" s="100" t="s">
        <v>30</v>
      </c>
      <c r="X1513" s="100" t="s">
        <v>30</v>
      </c>
      <c r="Y1513" s="100" t="s">
        <v>30</v>
      </c>
      <c r="Z1513" s="95" t="s">
        <v>32</v>
      </c>
      <c r="AA1513" s="95" t="s">
        <v>32</v>
      </c>
      <c r="AB1513" s="95" t="s">
        <v>32</v>
      </c>
      <c r="AC1513" s="100" t="s">
        <v>30</v>
      </c>
      <c r="AD1513" s="100" t="s">
        <v>30</v>
      </c>
      <c r="AE1513" s="100" t="s">
        <v>30</v>
      </c>
      <c r="AF1513" s="100" t="s">
        <v>30</v>
      </c>
      <c r="AG1513" s="100" t="s">
        <v>30</v>
      </c>
      <c r="AH1513" s="111" t="s">
        <v>30</v>
      </c>
      <c r="AI1513" s="100" t="s">
        <v>30</v>
      </c>
      <c r="AJ1513" s="100" t="s">
        <v>30</v>
      </c>
      <c r="AK1513" s="100" t="s">
        <v>30</v>
      </c>
      <c r="AL1513" s="95" t="s">
        <v>32</v>
      </c>
      <c r="AM1513" s="360" t="s">
        <v>2089</v>
      </c>
    </row>
    <row r="1514" spans="1:47">
      <c r="A1514" s="358" t="s">
        <v>24</v>
      </c>
      <c r="B1514" s="369">
        <v>1511</v>
      </c>
      <c r="C1514" s="372" t="s">
        <v>2176</v>
      </c>
      <c r="D1514" s="372" t="s">
        <v>34</v>
      </c>
      <c r="E1514" s="373">
        <v>45976</v>
      </c>
      <c r="F1514" s="372" t="s">
        <v>2177</v>
      </c>
      <c r="G1514" s="372">
        <v>11</v>
      </c>
      <c r="H1514" s="372" t="s">
        <v>127</v>
      </c>
      <c r="I1514" s="372" t="s">
        <v>36</v>
      </c>
      <c r="J1514" s="372"/>
      <c r="K1514" s="358" t="s">
        <v>2087</v>
      </c>
      <c r="L1514" s="358" t="s">
        <v>2152</v>
      </c>
      <c r="M1514" s="358" t="s">
        <v>2152</v>
      </c>
      <c r="N1514" s="358" t="s">
        <v>2050</v>
      </c>
      <c r="O1514" s="380" t="s">
        <v>32</v>
      </c>
      <c r="P1514" s="380" t="s">
        <v>1091</v>
      </c>
      <c r="Q1514" s="24">
        <v>46020</v>
      </c>
      <c r="R1514" s="81" t="s">
        <v>28</v>
      </c>
      <c r="S1514" s="22" t="s">
        <v>1140</v>
      </c>
      <c r="T1514" s="22">
        <v>11</v>
      </c>
      <c r="U1514" s="24" t="s">
        <v>28</v>
      </c>
      <c r="V1514" s="24">
        <v>46020</v>
      </c>
      <c r="W1514" s="100" t="s">
        <v>30</v>
      </c>
      <c r="X1514" s="100" t="s">
        <v>30</v>
      </c>
      <c r="Y1514" s="100" t="s">
        <v>30</v>
      </c>
      <c r="Z1514" s="95" t="s">
        <v>32</v>
      </c>
      <c r="AA1514" s="95" t="s">
        <v>32</v>
      </c>
      <c r="AB1514" s="95" t="s">
        <v>32</v>
      </c>
      <c r="AC1514" s="100" t="s">
        <v>30</v>
      </c>
      <c r="AD1514" s="100" t="s">
        <v>30</v>
      </c>
      <c r="AE1514" s="100" t="s">
        <v>30</v>
      </c>
      <c r="AF1514" s="100" t="s">
        <v>30</v>
      </c>
      <c r="AG1514" s="100" t="s">
        <v>30</v>
      </c>
      <c r="AH1514" s="111" t="s">
        <v>30</v>
      </c>
      <c r="AI1514" s="100" t="s">
        <v>30</v>
      </c>
      <c r="AJ1514" s="100" t="s">
        <v>30</v>
      </c>
      <c r="AK1514" s="100" t="s">
        <v>30</v>
      </c>
      <c r="AL1514" s="82" t="s">
        <v>30</v>
      </c>
      <c r="AM1514" s="360" t="s">
        <v>2089</v>
      </c>
    </row>
    <row r="1515" spans="1:47">
      <c r="A1515" s="358" t="s">
        <v>24</v>
      </c>
      <c r="B1515" s="369">
        <v>1512</v>
      </c>
      <c r="C1515" s="372" t="s">
        <v>2178</v>
      </c>
      <c r="D1515" s="372" t="s">
        <v>34</v>
      </c>
      <c r="E1515" s="373">
        <v>45976</v>
      </c>
      <c r="F1515" s="372" t="s">
        <v>2179</v>
      </c>
      <c r="G1515" s="372">
        <v>18</v>
      </c>
      <c r="H1515" s="372" t="s">
        <v>1795</v>
      </c>
      <c r="I1515" s="372" t="s">
        <v>1877</v>
      </c>
      <c r="J1515" s="372"/>
      <c r="K1515" s="358" t="s">
        <v>2180</v>
      </c>
      <c r="L1515" s="358" t="s">
        <v>2146</v>
      </c>
      <c r="M1515" s="358" t="s">
        <v>2152</v>
      </c>
      <c r="N1515" s="358" t="s">
        <v>2136</v>
      </c>
      <c r="O1515" s="117" t="s">
        <v>30</v>
      </c>
      <c r="P1515" s="380" t="s">
        <v>1091</v>
      </c>
      <c r="Q1515" s="24">
        <v>45994</v>
      </c>
      <c r="R1515" s="248" t="s">
        <v>1638</v>
      </c>
      <c r="S1515" s="358" t="s">
        <v>32</v>
      </c>
      <c r="T1515" s="358">
        <v>12</v>
      </c>
      <c r="U1515" s="24" t="s">
        <v>1638</v>
      </c>
      <c r="V1515" s="24">
        <v>45994</v>
      </c>
      <c r="W1515" s="100" t="s">
        <v>30</v>
      </c>
      <c r="X1515" s="100" t="s">
        <v>30</v>
      </c>
      <c r="Y1515" s="100" t="s">
        <v>30</v>
      </c>
      <c r="Z1515" s="95" t="s">
        <v>32</v>
      </c>
      <c r="AA1515" s="95" t="s">
        <v>32</v>
      </c>
      <c r="AB1515" s="95" t="s">
        <v>32</v>
      </c>
      <c r="AC1515" s="100" t="s">
        <v>30</v>
      </c>
      <c r="AD1515" s="100" t="s">
        <v>30</v>
      </c>
      <c r="AE1515" s="100" t="s">
        <v>30</v>
      </c>
      <c r="AF1515" s="100" t="s">
        <v>30</v>
      </c>
      <c r="AG1515" s="100" t="s">
        <v>30</v>
      </c>
      <c r="AH1515" s="100" t="s">
        <v>30</v>
      </c>
      <c r="AI1515" s="100" t="s">
        <v>30</v>
      </c>
      <c r="AJ1515" s="100" t="s">
        <v>30</v>
      </c>
      <c r="AK1515" s="100" t="s">
        <v>30</v>
      </c>
      <c r="AL1515" s="82" t="s">
        <v>30</v>
      </c>
      <c r="AM1515" s="360" t="s">
        <v>2089</v>
      </c>
    </row>
    <row r="1516" spans="1:47">
      <c r="A1516" s="358" t="s">
        <v>24</v>
      </c>
      <c r="B1516" s="369">
        <v>1513</v>
      </c>
      <c r="C1516" s="372" t="s">
        <v>2181</v>
      </c>
      <c r="D1516" s="372" t="s">
        <v>43</v>
      </c>
      <c r="E1516" s="373">
        <v>45976</v>
      </c>
      <c r="F1516" s="372" t="s">
        <v>2020</v>
      </c>
      <c r="G1516" s="372">
        <v>18</v>
      </c>
      <c r="H1516" s="372" t="s">
        <v>1721</v>
      </c>
      <c r="I1516" s="372" t="s">
        <v>1638</v>
      </c>
      <c r="J1516" s="372"/>
      <c r="K1516" s="358" t="s">
        <v>2100</v>
      </c>
      <c r="L1516" s="358" t="s">
        <v>2146</v>
      </c>
      <c r="M1516" s="358" t="s">
        <v>2146</v>
      </c>
      <c r="N1516" s="358" t="s">
        <v>2182</v>
      </c>
      <c r="O1516" s="117" t="s">
        <v>30</v>
      </c>
      <c r="P1516" s="380" t="s">
        <v>1091</v>
      </c>
      <c r="Q1516" s="24">
        <v>46017</v>
      </c>
      <c r="R1516" s="248" t="s">
        <v>1638</v>
      </c>
      <c r="S1516" s="358" t="s">
        <v>32</v>
      </c>
      <c r="T1516" s="358">
        <v>16</v>
      </c>
      <c r="U1516" s="24" t="s">
        <v>1638</v>
      </c>
      <c r="V1516" s="24">
        <v>46017</v>
      </c>
      <c r="W1516" s="100" t="s">
        <v>30</v>
      </c>
      <c r="X1516" s="100" t="s">
        <v>30</v>
      </c>
      <c r="Y1516" s="100" t="s">
        <v>30</v>
      </c>
      <c r="Z1516" s="100" t="s">
        <v>30</v>
      </c>
      <c r="AA1516" s="100" t="s">
        <v>30</v>
      </c>
      <c r="AB1516" s="100" t="s">
        <v>30</v>
      </c>
      <c r="AC1516" s="100" t="s">
        <v>30</v>
      </c>
      <c r="AD1516" s="100" t="s">
        <v>30</v>
      </c>
      <c r="AE1516" s="100" t="s">
        <v>30</v>
      </c>
      <c r="AF1516" s="100" t="s">
        <v>30</v>
      </c>
      <c r="AG1516" s="100" t="s">
        <v>30</v>
      </c>
      <c r="AH1516" s="111" t="s">
        <v>30</v>
      </c>
      <c r="AI1516" s="114" t="s">
        <v>32</v>
      </c>
      <c r="AJ1516" s="114" t="s">
        <v>32</v>
      </c>
      <c r="AK1516" s="100" t="s">
        <v>30</v>
      </c>
      <c r="AL1516" s="82" t="s">
        <v>30</v>
      </c>
      <c r="AM1516" s="360" t="s">
        <v>2080</v>
      </c>
    </row>
    <row r="1517" spans="1:47">
      <c r="A1517" s="358" t="s">
        <v>24</v>
      </c>
      <c r="B1517" s="369">
        <v>1514</v>
      </c>
      <c r="C1517" s="372" t="s">
        <v>2183</v>
      </c>
      <c r="D1517" s="372" t="s">
        <v>64</v>
      </c>
      <c r="E1517" s="373">
        <v>45976</v>
      </c>
      <c r="F1517" s="372" t="s">
        <v>2184</v>
      </c>
      <c r="G1517" s="372">
        <v>20</v>
      </c>
      <c r="H1517" s="372" t="s">
        <v>1721</v>
      </c>
      <c r="I1517" s="372" t="s">
        <v>1638</v>
      </c>
      <c r="J1517" s="372"/>
      <c r="K1517" s="360" t="s">
        <v>2102</v>
      </c>
      <c r="L1517" s="358" t="s">
        <v>2146</v>
      </c>
      <c r="M1517" s="358" t="s">
        <v>2146</v>
      </c>
      <c r="N1517" s="358" t="s">
        <v>2185</v>
      </c>
      <c r="O1517" s="117" t="s">
        <v>30</v>
      </c>
      <c r="P1517" s="380" t="s">
        <v>1091</v>
      </c>
      <c r="Q1517" s="24">
        <v>46021</v>
      </c>
      <c r="R1517" s="248" t="s">
        <v>1638</v>
      </c>
      <c r="S1517" s="358" t="s">
        <v>32</v>
      </c>
      <c r="T1517" s="358">
        <v>21</v>
      </c>
      <c r="U1517" s="24" t="s">
        <v>1638</v>
      </c>
      <c r="V1517" s="24">
        <v>46021</v>
      </c>
      <c r="W1517" s="100" t="s">
        <v>30</v>
      </c>
      <c r="X1517" s="100" t="s">
        <v>30</v>
      </c>
      <c r="Y1517" s="100" t="s">
        <v>30</v>
      </c>
      <c r="Z1517" s="100" t="s">
        <v>30</v>
      </c>
      <c r="AA1517" s="100" t="s">
        <v>30</v>
      </c>
      <c r="AB1517" s="100" t="s">
        <v>30</v>
      </c>
      <c r="AC1517" s="100" t="s">
        <v>30</v>
      </c>
      <c r="AD1517" s="100" t="s">
        <v>30</v>
      </c>
      <c r="AE1517" s="100" t="s">
        <v>30</v>
      </c>
      <c r="AF1517" s="100" t="s">
        <v>30</v>
      </c>
      <c r="AG1517" s="100" t="s">
        <v>30</v>
      </c>
      <c r="AH1517" s="111" t="s">
        <v>30</v>
      </c>
      <c r="AI1517" s="100" t="s">
        <v>30</v>
      </c>
      <c r="AJ1517" s="100" t="s">
        <v>30</v>
      </c>
      <c r="AK1517" s="111" t="s">
        <v>30</v>
      </c>
      <c r="AL1517" s="95" t="s">
        <v>32</v>
      </c>
      <c r="AM1517" s="360"/>
      <c r="AN1517" s="91"/>
      <c r="AO1517" s="91"/>
      <c r="AS1517" s="72"/>
      <c r="AT1517" s="96"/>
      <c r="AU1517" s="96"/>
    </row>
    <row r="1518" spans="1:47">
      <c r="A1518" s="358" t="s">
        <v>24</v>
      </c>
      <c r="B1518" s="369">
        <v>1515</v>
      </c>
      <c r="C1518" s="372" t="s">
        <v>2186</v>
      </c>
      <c r="D1518" s="372" t="s">
        <v>50</v>
      </c>
      <c r="E1518" s="373">
        <v>45976</v>
      </c>
      <c r="F1518" s="372" t="s">
        <v>1921</v>
      </c>
      <c r="G1518" s="372">
        <v>8</v>
      </c>
      <c r="H1518" s="372" t="s">
        <v>1721</v>
      </c>
      <c r="I1518" s="372" t="s">
        <v>1638</v>
      </c>
      <c r="J1518" s="372"/>
      <c r="K1518" s="358" t="s">
        <v>2126</v>
      </c>
      <c r="L1518" s="358" t="s">
        <v>2146</v>
      </c>
      <c r="M1518" s="358" t="s">
        <v>2152</v>
      </c>
      <c r="N1518" s="358" t="s">
        <v>2050</v>
      </c>
      <c r="O1518" s="380" t="s">
        <v>32</v>
      </c>
      <c r="P1518" s="380" t="s">
        <v>1091</v>
      </c>
      <c r="Q1518" s="24">
        <v>46010</v>
      </c>
      <c r="R1518" s="248" t="s">
        <v>1638</v>
      </c>
      <c r="S1518" s="358" t="s">
        <v>32</v>
      </c>
      <c r="T1518" s="365">
        <v>8</v>
      </c>
      <c r="U1518" s="24" t="s">
        <v>1638</v>
      </c>
      <c r="V1518" s="24">
        <v>46010</v>
      </c>
      <c r="W1518" s="100" t="s">
        <v>30</v>
      </c>
      <c r="X1518" s="100" t="s">
        <v>30</v>
      </c>
      <c r="Y1518" s="100" t="s">
        <v>30</v>
      </c>
      <c r="Z1518" s="100" t="s">
        <v>30</v>
      </c>
      <c r="AA1518" s="100" t="s">
        <v>30</v>
      </c>
      <c r="AB1518" s="100" t="s">
        <v>30</v>
      </c>
      <c r="AC1518" s="100" t="s">
        <v>30</v>
      </c>
      <c r="AD1518" s="100" t="s">
        <v>30</v>
      </c>
      <c r="AE1518" s="100" t="s">
        <v>30</v>
      </c>
      <c r="AF1518" s="100" t="s">
        <v>30</v>
      </c>
      <c r="AG1518" s="100" t="s">
        <v>30</v>
      </c>
      <c r="AH1518" s="111" t="s">
        <v>30</v>
      </c>
      <c r="AI1518" s="100" t="s">
        <v>30</v>
      </c>
      <c r="AJ1518" s="100" t="s">
        <v>30</v>
      </c>
      <c r="AK1518" s="100" t="s">
        <v>30</v>
      </c>
      <c r="AL1518" s="82" t="s">
        <v>30</v>
      </c>
      <c r="AM1518" s="360"/>
      <c r="AS1518" s="72"/>
      <c r="AT1518" s="96"/>
      <c r="AU1518" s="96"/>
    </row>
    <row r="1519" spans="1:47">
      <c r="A1519" s="358" t="s">
        <v>24</v>
      </c>
      <c r="B1519" s="369">
        <v>1516</v>
      </c>
      <c r="C1519" s="372" t="s">
        <v>2187</v>
      </c>
      <c r="D1519" s="372" t="s">
        <v>2188</v>
      </c>
      <c r="E1519" s="373">
        <v>45976</v>
      </c>
      <c r="F1519" s="372" t="s">
        <v>1749</v>
      </c>
      <c r="G1519" s="372">
        <v>13</v>
      </c>
      <c r="H1519" s="372" t="s">
        <v>67</v>
      </c>
      <c r="I1519" s="372" t="s">
        <v>47</v>
      </c>
      <c r="J1519" s="372"/>
      <c r="K1519" s="358" t="s">
        <v>2056</v>
      </c>
      <c r="L1519" s="358" t="s">
        <v>2146</v>
      </c>
      <c r="M1519" s="358" t="s">
        <v>2152</v>
      </c>
      <c r="N1519" s="358" t="s">
        <v>2058</v>
      </c>
      <c r="O1519" s="380" t="s">
        <v>32</v>
      </c>
      <c r="P1519" s="380" t="s">
        <v>1091</v>
      </c>
      <c r="Q1519" s="24">
        <v>46021</v>
      </c>
      <c r="R1519" s="81" t="s">
        <v>47</v>
      </c>
      <c r="S1519" s="22" t="s">
        <v>32</v>
      </c>
      <c r="T1519" s="22">
        <v>17</v>
      </c>
      <c r="U1519" s="24" t="s">
        <v>47</v>
      </c>
      <c r="V1519" s="24">
        <v>46021</v>
      </c>
      <c r="W1519" s="100" t="s">
        <v>30</v>
      </c>
      <c r="X1519" s="100" t="s">
        <v>30</v>
      </c>
      <c r="Y1519" s="100" t="s">
        <v>30</v>
      </c>
      <c r="Z1519" s="100" t="s">
        <v>30</v>
      </c>
      <c r="AA1519" s="100" t="s">
        <v>30</v>
      </c>
      <c r="AB1519" s="100" t="s">
        <v>30</v>
      </c>
      <c r="AC1519" s="100" t="s">
        <v>30</v>
      </c>
      <c r="AD1519" s="100" t="s">
        <v>30</v>
      </c>
      <c r="AE1519" s="100" t="s">
        <v>30</v>
      </c>
      <c r="AF1519" s="100" t="s">
        <v>30</v>
      </c>
      <c r="AG1519" s="100" t="s">
        <v>30</v>
      </c>
      <c r="AH1519" s="100" t="s">
        <v>30</v>
      </c>
      <c r="AI1519" s="100" t="s">
        <v>30</v>
      </c>
      <c r="AJ1519" s="100" t="s">
        <v>30</v>
      </c>
      <c r="AK1519" s="100" t="s">
        <v>30</v>
      </c>
      <c r="AL1519" s="95" t="s">
        <v>32</v>
      </c>
      <c r="AM1519" s="360"/>
      <c r="AN1519" s="91"/>
      <c r="AO1519" s="91"/>
      <c r="AS1519" s="72"/>
      <c r="AT1519" s="96"/>
      <c r="AU1519" s="96"/>
    </row>
    <row r="1520" spans="1:47">
      <c r="A1520" s="358" t="s">
        <v>24</v>
      </c>
      <c r="B1520" s="369">
        <v>1517</v>
      </c>
      <c r="C1520" s="372" t="s">
        <v>2189</v>
      </c>
      <c r="D1520" s="372" t="s">
        <v>178</v>
      </c>
      <c r="E1520" s="373">
        <v>45976</v>
      </c>
      <c r="F1520" s="372" t="s">
        <v>1314</v>
      </c>
      <c r="G1520" s="372">
        <v>12</v>
      </c>
      <c r="H1520" s="372" t="s">
        <v>67</v>
      </c>
      <c r="I1520" s="372" t="s">
        <v>47</v>
      </c>
      <c r="J1520" s="372"/>
      <c r="K1520" s="358" t="s">
        <v>2123</v>
      </c>
      <c r="L1520" s="358" t="s">
        <v>2146</v>
      </c>
      <c r="M1520" s="358" t="s">
        <v>2152</v>
      </c>
      <c r="N1520" s="358" t="s">
        <v>2185</v>
      </c>
      <c r="O1520" s="380" t="s">
        <v>32</v>
      </c>
      <c r="P1520" s="380" t="s">
        <v>1091</v>
      </c>
      <c r="Q1520" s="24">
        <v>46021</v>
      </c>
      <c r="R1520" s="81" t="s">
        <v>47</v>
      </c>
      <c r="S1520" s="22" t="s">
        <v>1140</v>
      </c>
      <c r="T1520" s="22">
        <v>12</v>
      </c>
      <c r="U1520" s="24" t="s">
        <v>47</v>
      </c>
      <c r="V1520" s="24">
        <v>46021</v>
      </c>
      <c r="W1520" s="100" t="s">
        <v>30</v>
      </c>
      <c r="X1520" s="100" t="s">
        <v>30</v>
      </c>
      <c r="Y1520" s="100" t="s">
        <v>30</v>
      </c>
      <c r="Z1520" s="100" t="s">
        <v>30</v>
      </c>
      <c r="AA1520" s="100" t="s">
        <v>30</v>
      </c>
      <c r="AB1520" s="100" t="s">
        <v>30</v>
      </c>
      <c r="AC1520" s="100" t="s">
        <v>30</v>
      </c>
      <c r="AD1520" s="100" t="s">
        <v>30</v>
      </c>
      <c r="AE1520" s="100" t="s">
        <v>30</v>
      </c>
      <c r="AF1520" s="100" t="s">
        <v>30</v>
      </c>
      <c r="AG1520" s="100" t="s">
        <v>30</v>
      </c>
      <c r="AH1520" s="111" t="s">
        <v>30</v>
      </c>
      <c r="AI1520" s="100" t="s">
        <v>30</v>
      </c>
      <c r="AJ1520" s="100" t="s">
        <v>30</v>
      </c>
      <c r="AK1520" s="100" t="s">
        <v>30</v>
      </c>
      <c r="AL1520" s="95" t="s">
        <v>32</v>
      </c>
      <c r="AM1520" s="360"/>
      <c r="AS1520" s="72"/>
      <c r="AT1520" s="96"/>
      <c r="AU1520" s="96"/>
    </row>
    <row r="1521" spans="1:48">
      <c r="A1521" s="358" t="s">
        <v>24</v>
      </c>
      <c r="B1521" s="369">
        <v>1518</v>
      </c>
      <c r="C1521" s="372" t="s">
        <v>2190</v>
      </c>
      <c r="D1521" s="372" t="s">
        <v>34</v>
      </c>
      <c r="E1521" s="373">
        <v>45976</v>
      </c>
      <c r="F1521" s="372" t="s">
        <v>236</v>
      </c>
      <c r="G1521" s="372">
        <v>18</v>
      </c>
      <c r="H1521" s="372" t="s">
        <v>67</v>
      </c>
      <c r="I1521" s="372" t="s">
        <v>47</v>
      </c>
      <c r="J1521" s="102" t="s">
        <v>2191</v>
      </c>
      <c r="K1521" s="358" t="s">
        <v>2098</v>
      </c>
      <c r="L1521" s="358" t="s">
        <v>2152</v>
      </c>
      <c r="M1521" s="358" t="s">
        <v>2152</v>
      </c>
      <c r="N1521" s="358" t="s">
        <v>2182</v>
      </c>
      <c r="O1521" s="117" t="s">
        <v>30</v>
      </c>
      <c r="P1521" s="23"/>
      <c r="Q1521" s="24"/>
      <c r="R1521" s="81" t="s">
        <v>1138</v>
      </c>
      <c r="S1521" s="22"/>
      <c r="T1521" s="22"/>
      <c r="U1521" s="24" t="s">
        <v>1138</v>
      </c>
      <c r="V1521" s="24"/>
      <c r="W1521" s="100" t="s">
        <v>30</v>
      </c>
      <c r="X1521" s="100" t="s">
        <v>30</v>
      </c>
      <c r="Y1521" s="100" t="s">
        <v>30</v>
      </c>
      <c r="Z1521" s="100" t="s">
        <v>30</v>
      </c>
      <c r="AA1521" s="100" t="s">
        <v>30</v>
      </c>
      <c r="AB1521" s="100" t="s">
        <v>30</v>
      </c>
      <c r="AC1521" s="100" t="s">
        <v>30</v>
      </c>
      <c r="AD1521" s="100" t="s">
        <v>30</v>
      </c>
      <c r="AE1521" s="100" t="s">
        <v>30</v>
      </c>
      <c r="AF1521" s="100" t="s">
        <v>30</v>
      </c>
      <c r="AG1521" s="100" t="s">
        <v>30</v>
      </c>
      <c r="AH1521" s="111" t="s">
        <v>30</v>
      </c>
      <c r="AI1521" s="100" t="s">
        <v>30</v>
      </c>
      <c r="AJ1521" s="100" t="s">
        <v>30</v>
      </c>
      <c r="AK1521" s="100" t="s">
        <v>30</v>
      </c>
      <c r="AL1521" s="95" t="s">
        <v>32</v>
      </c>
      <c r="AM1521" s="360"/>
    </row>
    <row r="1522" spans="1:48">
      <c r="A1522" s="358" t="s">
        <v>24</v>
      </c>
      <c r="B1522" s="369">
        <v>1519</v>
      </c>
      <c r="C1522" s="372" t="s">
        <v>2192</v>
      </c>
      <c r="D1522" s="372" t="s">
        <v>26</v>
      </c>
      <c r="E1522" s="373">
        <v>45976</v>
      </c>
      <c r="F1522" s="372" t="s">
        <v>1470</v>
      </c>
      <c r="G1522" s="372">
        <v>12</v>
      </c>
      <c r="H1522" s="372" t="s">
        <v>67</v>
      </c>
      <c r="I1522" s="372" t="s">
        <v>47</v>
      </c>
      <c r="J1522" s="372"/>
      <c r="K1522" s="358" t="s">
        <v>2113</v>
      </c>
      <c r="L1522" s="358" t="s">
        <v>2146</v>
      </c>
      <c r="M1522" s="358" t="s">
        <v>2146</v>
      </c>
      <c r="N1522" s="358" t="s">
        <v>2193</v>
      </c>
      <c r="O1522" s="380" t="s">
        <v>32</v>
      </c>
      <c r="P1522" s="120" t="s">
        <v>1091</v>
      </c>
      <c r="Q1522" s="24">
        <v>46002</v>
      </c>
      <c r="R1522" s="81" t="s">
        <v>47</v>
      </c>
      <c r="S1522" s="22" t="s">
        <v>32</v>
      </c>
      <c r="T1522" s="22">
        <v>11</v>
      </c>
      <c r="U1522" s="24" t="s">
        <v>47</v>
      </c>
      <c r="V1522" s="24">
        <v>46002</v>
      </c>
      <c r="W1522" s="100" t="s">
        <v>30</v>
      </c>
      <c r="X1522" s="100" t="s">
        <v>30</v>
      </c>
      <c r="Y1522" s="100" t="s">
        <v>30</v>
      </c>
      <c r="Z1522" s="100" t="s">
        <v>30</v>
      </c>
      <c r="AA1522" s="100" t="s">
        <v>30</v>
      </c>
      <c r="AB1522" s="100" t="s">
        <v>30</v>
      </c>
      <c r="AC1522" s="100" t="s">
        <v>30</v>
      </c>
      <c r="AD1522" s="100" t="s">
        <v>30</v>
      </c>
      <c r="AE1522" s="100" t="s">
        <v>30</v>
      </c>
      <c r="AF1522" s="100" t="s">
        <v>30</v>
      </c>
      <c r="AG1522" s="100" t="s">
        <v>30</v>
      </c>
      <c r="AH1522" s="111" t="s">
        <v>30</v>
      </c>
      <c r="AI1522" s="100" t="s">
        <v>30</v>
      </c>
      <c r="AJ1522" s="100" t="s">
        <v>30</v>
      </c>
      <c r="AK1522" s="100" t="s">
        <v>30</v>
      </c>
      <c r="AL1522" s="82" t="s">
        <v>30</v>
      </c>
      <c r="AM1522" s="360"/>
      <c r="AS1522" s="72"/>
      <c r="AT1522" s="96"/>
      <c r="AU1522" s="96"/>
    </row>
    <row r="1523" spans="1:48">
      <c r="A1523" s="358" t="s">
        <v>24</v>
      </c>
      <c r="B1523" s="369">
        <v>1520</v>
      </c>
      <c r="C1523" s="372" t="s">
        <v>2194</v>
      </c>
      <c r="D1523" s="372" t="s">
        <v>34</v>
      </c>
      <c r="E1523" s="373">
        <v>45976</v>
      </c>
      <c r="F1523" s="372" t="s">
        <v>631</v>
      </c>
      <c r="G1523" s="372">
        <v>13</v>
      </c>
      <c r="H1523" s="372" t="s">
        <v>67</v>
      </c>
      <c r="I1523" s="372" t="s">
        <v>47</v>
      </c>
      <c r="J1523" s="372"/>
      <c r="K1523" s="358" t="s">
        <v>2195</v>
      </c>
      <c r="L1523" s="358" t="s">
        <v>2146</v>
      </c>
      <c r="M1523" s="358" t="s">
        <v>2152</v>
      </c>
      <c r="N1523" s="358" t="s">
        <v>2050</v>
      </c>
      <c r="O1523" s="380" t="s">
        <v>32</v>
      </c>
      <c r="P1523" s="120" t="s">
        <v>1091</v>
      </c>
      <c r="Q1523" s="24">
        <v>46022</v>
      </c>
      <c r="R1523" s="81" t="s">
        <v>1138</v>
      </c>
      <c r="S1523" s="22" t="s">
        <v>32</v>
      </c>
      <c r="T1523" s="22">
        <v>13</v>
      </c>
      <c r="U1523" s="24" t="s">
        <v>1138</v>
      </c>
      <c r="V1523" s="24">
        <v>46022</v>
      </c>
      <c r="W1523" s="100" t="s">
        <v>30</v>
      </c>
      <c r="X1523" s="100" t="s">
        <v>30</v>
      </c>
      <c r="Y1523" s="100" t="s">
        <v>30</v>
      </c>
      <c r="Z1523" s="100" t="s">
        <v>30</v>
      </c>
      <c r="AA1523" s="100" t="s">
        <v>30</v>
      </c>
      <c r="AB1523" s="100" t="s">
        <v>30</v>
      </c>
      <c r="AC1523" s="100" t="s">
        <v>30</v>
      </c>
      <c r="AD1523" s="100" t="s">
        <v>30</v>
      </c>
      <c r="AE1523" s="100" t="s">
        <v>30</v>
      </c>
      <c r="AF1523" s="100" t="s">
        <v>30</v>
      </c>
      <c r="AG1523" s="100" t="s">
        <v>30</v>
      </c>
      <c r="AH1523" s="100" t="s">
        <v>30</v>
      </c>
      <c r="AI1523" s="100" t="s">
        <v>30</v>
      </c>
      <c r="AJ1523" s="100" t="s">
        <v>30</v>
      </c>
      <c r="AK1523" s="100" t="s">
        <v>30</v>
      </c>
      <c r="AL1523" s="95" t="s">
        <v>32</v>
      </c>
      <c r="AM1523" s="360"/>
      <c r="AS1523" s="72"/>
      <c r="AT1523" s="96"/>
      <c r="AU1523" s="96"/>
    </row>
    <row r="1524" spans="1:48">
      <c r="A1524" s="358" t="s">
        <v>24</v>
      </c>
      <c r="B1524" s="369">
        <v>1521</v>
      </c>
      <c r="C1524" s="372" t="s">
        <v>2196</v>
      </c>
      <c r="D1524" s="372" t="s">
        <v>469</v>
      </c>
      <c r="E1524" s="373">
        <v>45976</v>
      </c>
      <c r="F1524" s="372" t="s">
        <v>653</v>
      </c>
      <c r="G1524" s="372">
        <v>14</v>
      </c>
      <c r="H1524" s="372" t="s">
        <v>67</v>
      </c>
      <c r="I1524" s="372" t="s">
        <v>47</v>
      </c>
      <c r="J1524" s="372"/>
      <c r="K1524" s="358" t="s">
        <v>2066</v>
      </c>
      <c r="L1524" s="358" t="s">
        <v>2146</v>
      </c>
      <c r="M1524" s="358" t="s">
        <v>2152</v>
      </c>
      <c r="N1524" s="358" t="s">
        <v>2050</v>
      </c>
      <c r="O1524" s="380" t="s">
        <v>32</v>
      </c>
      <c r="P1524" s="380" t="s">
        <v>1091</v>
      </c>
      <c r="Q1524" s="24">
        <v>46021</v>
      </c>
      <c r="R1524" s="81" t="s">
        <v>47</v>
      </c>
      <c r="S1524" s="22" t="s">
        <v>32</v>
      </c>
      <c r="T1524" s="22">
        <v>8</v>
      </c>
      <c r="U1524" s="24" t="s">
        <v>47</v>
      </c>
      <c r="V1524" s="24">
        <v>46021</v>
      </c>
      <c r="W1524" s="100" t="s">
        <v>30</v>
      </c>
      <c r="X1524" s="100" t="s">
        <v>30</v>
      </c>
      <c r="Y1524" s="100" t="s">
        <v>30</v>
      </c>
      <c r="Z1524" s="100" t="s">
        <v>30</v>
      </c>
      <c r="AA1524" s="95" t="s">
        <v>32</v>
      </c>
      <c r="AB1524" s="95" t="s">
        <v>32</v>
      </c>
      <c r="AC1524" s="100" t="s">
        <v>30</v>
      </c>
      <c r="AD1524" s="100" t="s">
        <v>30</v>
      </c>
      <c r="AE1524" s="100" t="s">
        <v>30</v>
      </c>
      <c r="AF1524" s="100" t="s">
        <v>30</v>
      </c>
      <c r="AG1524" s="100" t="s">
        <v>30</v>
      </c>
      <c r="AH1524" s="111" t="s">
        <v>30</v>
      </c>
      <c r="AI1524" s="100" t="s">
        <v>30</v>
      </c>
      <c r="AJ1524" s="100" t="s">
        <v>30</v>
      </c>
      <c r="AK1524" s="100" t="s">
        <v>30</v>
      </c>
      <c r="AL1524" s="95" t="s">
        <v>32</v>
      </c>
      <c r="AM1524" s="360" t="s">
        <v>2068</v>
      </c>
    </row>
    <row r="1525" spans="1:48">
      <c r="A1525" s="358" t="s">
        <v>24</v>
      </c>
      <c r="B1525" s="369">
        <v>1522</v>
      </c>
      <c r="C1525" s="372" t="s">
        <v>2197</v>
      </c>
      <c r="D1525" s="372" t="s">
        <v>34</v>
      </c>
      <c r="E1525" s="373">
        <v>45976</v>
      </c>
      <c r="F1525" s="372" t="s">
        <v>1943</v>
      </c>
      <c r="G1525" s="372">
        <v>12</v>
      </c>
      <c r="H1525" s="372" t="s">
        <v>127</v>
      </c>
      <c r="I1525" s="372" t="s">
        <v>36</v>
      </c>
      <c r="J1525" s="102" t="s">
        <v>2198</v>
      </c>
      <c r="K1525" s="358" t="s">
        <v>2130</v>
      </c>
      <c r="L1525" s="358" t="s">
        <v>2146</v>
      </c>
      <c r="M1525" s="358" t="s">
        <v>2146</v>
      </c>
      <c r="N1525" s="358" t="s">
        <v>2050</v>
      </c>
      <c r="O1525" s="380" t="s">
        <v>32</v>
      </c>
      <c r="P1525" s="23"/>
      <c r="Q1525" s="24"/>
      <c r="R1525" s="81" t="s">
        <v>28</v>
      </c>
      <c r="S1525" s="22"/>
      <c r="T1525" s="22"/>
      <c r="U1525" s="24"/>
      <c r="V1525" s="24"/>
      <c r="W1525" s="94" t="s">
        <v>30</v>
      </c>
      <c r="X1525" s="100" t="s">
        <v>30</v>
      </c>
      <c r="Y1525" s="100" t="s">
        <v>30</v>
      </c>
      <c r="Z1525" s="95" t="s">
        <v>32</v>
      </c>
      <c r="AA1525" s="95" t="s">
        <v>32</v>
      </c>
      <c r="AB1525" s="100" t="s">
        <v>30</v>
      </c>
      <c r="AC1525" s="100" t="s">
        <v>30</v>
      </c>
      <c r="AD1525" s="100" t="s">
        <v>30</v>
      </c>
      <c r="AE1525" s="100" t="s">
        <v>30</v>
      </c>
      <c r="AF1525" s="100" t="s">
        <v>30</v>
      </c>
      <c r="AG1525" s="100" t="s">
        <v>30</v>
      </c>
      <c r="AH1525" s="100" t="s">
        <v>30</v>
      </c>
      <c r="AI1525" s="100" t="s">
        <v>30</v>
      </c>
      <c r="AJ1525" s="100" t="s">
        <v>30</v>
      </c>
      <c r="AK1525" s="100" t="s">
        <v>30</v>
      </c>
      <c r="AL1525" s="95" t="s">
        <v>32</v>
      </c>
      <c r="AM1525" s="360" t="s">
        <v>2080</v>
      </c>
    </row>
    <row r="1526" spans="1:48">
      <c r="A1526" s="358" t="s">
        <v>24</v>
      </c>
      <c r="B1526" s="369">
        <v>1523</v>
      </c>
      <c r="C1526" s="372" t="s">
        <v>2199</v>
      </c>
      <c r="D1526" s="372" t="s">
        <v>102</v>
      </c>
      <c r="E1526" s="373">
        <v>45978</v>
      </c>
      <c r="F1526" s="372" t="s">
        <v>187</v>
      </c>
      <c r="G1526" s="372">
        <v>16</v>
      </c>
      <c r="H1526" s="372" t="s">
        <v>67</v>
      </c>
      <c r="I1526" s="372" t="s">
        <v>47</v>
      </c>
      <c r="J1526" s="372"/>
      <c r="K1526" s="358" t="s">
        <v>2066</v>
      </c>
      <c r="L1526" s="358" t="s">
        <v>2200</v>
      </c>
      <c r="M1526" s="358" t="s">
        <v>2152</v>
      </c>
      <c r="N1526" s="358" t="s">
        <v>2058</v>
      </c>
      <c r="O1526" s="117" t="s">
        <v>30</v>
      </c>
      <c r="P1526" s="23" t="s">
        <v>1091</v>
      </c>
      <c r="Q1526" s="24">
        <v>46024</v>
      </c>
      <c r="R1526" s="81" t="s">
        <v>1138</v>
      </c>
      <c r="S1526" s="22" t="s">
        <v>32</v>
      </c>
      <c r="T1526" s="22">
        <v>16</v>
      </c>
      <c r="U1526" s="24" t="s">
        <v>1138</v>
      </c>
      <c r="V1526" s="24">
        <v>46024</v>
      </c>
      <c r="W1526" s="100" t="s">
        <v>30</v>
      </c>
      <c r="X1526" s="100" t="s">
        <v>30</v>
      </c>
      <c r="Y1526" s="100" t="s">
        <v>30</v>
      </c>
      <c r="Z1526" s="100" t="s">
        <v>30</v>
      </c>
      <c r="AA1526" s="95" t="s">
        <v>32</v>
      </c>
      <c r="AB1526" s="95" t="s">
        <v>32</v>
      </c>
      <c r="AC1526" s="100" t="s">
        <v>30</v>
      </c>
      <c r="AD1526" s="100" t="s">
        <v>30</v>
      </c>
      <c r="AE1526" s="100" t="s">
        <v>30</v>
      </c>
      <c r="AF1526" s="100" t="s">
        <v>30</v>
      </c>
      <c r="AG1526" s="100" t="s">
        <v>30</v>
      </c>
      <c r="AH1526" s="111" t="s">
        <v>30</v>
      </c>
      <c r="AI1526" s="114" t="s">
        <v>32</v>
      </c>
      <c r="AJ1526" s="100" t="s">
        <v>30</v>
      </c>
      <c r="AK1526" s="114" t="s">
        <v>32</v>
      </c>
      <c r="AL1526" s="114" t="s">
        <v>32</v>
      </c>
      <c r="AM1526" s="360" t="s">
        <v>2080</v>
      </c>
      <c r="AR1526" s="88"/>
      <c r="AS1526" s="72"/>
      <c r="AT1526" s="72"/>
      <c r="AU1526" s="72"/>
    </row>
    <row r="1527" spans="1:48">
      <c r="A1527" s="358" t="s">
        <v>24</v>
      </c>
      <c r="B1527" s="369">
        <v>1524</v>
      </c>
      <c r="C1527" s="372" t="s">
        <v>2201</v>
      </c>
      <c r="D1527" s="372" t="s">
        <v>50</v>
      </c>
      <c r="E1527" s="373">
        <v>45978</v>
      </c>
      <c r="F1527" s="372" t="s">
        <v>2202</v>
      </c>
      <c r="G1527" s="372">
        <v>18</v>
      </c>
      <c r="H1527" s="372" t="s">
        <v>1077</v>
      </c>
      <c r="I1527" s="372" t="s">
        <v>1138</v>
      </c>
      <c r="J1527" s="102"/>
      <c r="K1527" s="358" t="s">
        <v>2203</v>
      </c>
      <c r="L1527" s="358" t="s">
        <v>2200</v>
      </c>
      <c r="M1527" s="358" t="s">
        <v>2200</v>
      </c>
      <c r="N1527" s="358" t="s">
        <v>2083</v>
      </c>
      <c r="O1527" s="117" t="s">
        <v>30</v>
      </c>
      <c r="P1527" s="380" t="s">
        <v>1091</v>
      </c>
      <c r="Q1527" s="24">
        <v>46021</v>
      </c>
      <c r="R1527" s="248" t="s">
        <v>1138</v>
      </c>
      <c r="S1527" s="358" t="s">
        <v>32</v>
      </c>
      <c r="T1527" s="358">
        <v>18</v>
      </c>
      <c r="U1527" s="24" t="s">
        <v>1138</v>
      </c>
      <c r="V1527" s="24">
        <v>46021</v>
      </c>
      <c r="W1527" s="100" t="s">
        <v>30</v>
      </c>
      <c r="X1527" s="107" t="s">
        <v>32</v>
      </c>
      <c r="Y1527" s="100" t="s">
        <v>30</v>
      </c>
      <c r="Z1527" s="100" t="s">
        <v>30</v>
      </c>
      <c r="AA1527" s="107" t="s">
        <v>32</v>
      </c>
      <c r="AB1527" s="100" t="s">
        <v>30</v>
      </c>
      <c r="AC1527" s="100" t="s">
        <v>30</v>
      </c>
      <c r="AD1527" s="100" t="s">
        <v>30</v>
      </c>
      <c r="AE1527" s="100" t="s">
        <v>30</v>
      </c>
      <c r="AF1527" s="100" t="s">
        <v>30</v>
      </c>
      <c r="AG1527" s="100" t="s">
        <v>30</v>
      </c>
      <c r="AH1527" s="100" t="s">
        <v>30</v>
      </c>
      <c r="AI1527" s="114" t="s">
        <v>32</v>
      </c>
      <c r="AJ1527" s="114" t="s">
        <v>32</v>
      </c>
      <c r="AK1527" s="114" t="s">
        <v>32</v>
      </c>
      <c r="AL1527" s="114" t="s">
        <v>32</v>
      </c>
      <c r="AM1527" s="360" t="s">
        <v>2080</v>
      </c>
      <c r="AS1527" s="72"/>
      <c r="AT1527" s="96"/>
      <c r="AU1527" s="96"/>
    </row>
    <row r="1528" spans="1:48">
      <c r="A1528" s="358" t="s">
        <v>24</v>
      </c>
      <c r="B1528" s="369">
        <v>1525</v>
      </c>
      <c r="C1528" s="372" t="s">
        <v>2204</v>
      </c>
      <c r="D1528" s="372" t="s">
        <v>1965</v>
      </c>
      <c r="E1528" s="373">
        <v>45978</v>
      </c>
      <c r="F1528" s="372" t="s">
        <v>324</v>
      </c>
      <c r="G1528" s="372">
        <v>16</v>
      </c>
      <c r="H1528" s="372" t="s">
        <v>67</v>
      </c>
      <c r="I1528" s="372" t="s">
        <v>47</v>
      </c>
      <c r="J1528" s="372"/>
      <c r="K1528" s="358" t="s">
        <v>2205</v>
      </c>
      <c r="L1528" s="358" t="s">
        <v>2200</v>
      </c>
      <c r="M1528" s="358" t="s">
        <v>2200</v>
      </c>
      <c r="N1528" s="358" t="s">
        <v>2206</v>
      </c>
      <c r="O1528" s="117" t="s">
        <v>30</v>
      </c>
      <c r="P1528" s="23" t="s">
        <v>1091</v>
      </c>
      <c r="Q1528" s="24">
        <v>46024</v>
      </c>
      <c r="R1528" s="81" t="s">
        <v>1138</v>
      </c>
      <c r="S1528" s="22" t="s">
        <v>32</v>
      </c>
      <c r="T1528" s="22">
        <v>11</v>
      </c>
      <c r="U1528" s="24" t="s">
        <v>1138</v>
      </c>
      <c r="V1528" s="24">
        <v>46024</v>
      </c>
      <c r="W1528" s="100" t="s">
        <v>30</v>
      </c>
      <c r="X1528" s="100" t="s">
        <v>30</v>
      </c>
      <c r="Y1528" s="100" t="s">
        <v>30</v>
      </c>
      <c r="Z1528" s="100" t="s">
        <v>30</v>
      </c>
      <c r="AA1528" s="100" t="s">
        <v>30</v>
      </c>
      <c r="AB1528" s="100" t="s">
        <v>30</v>
      </c>
      <c r="AC1528" s="100" t="s">
        <v>30</v>
      </c>
      <c r="AD1528" s="100" t="s">
        <v>30</v>
      </c>
      <c r="AE1528" s="100" t="s">
        <v>30</v>
      </c>
      <c r="AF1528" s="100" t="s">
        <v>30</v>
      </c>
      <c r="AG1528" s="100" t="s">
        <v>30</v>
      </c>
      <c r="AH1528" s="111" t="s">
        <v>30</v>
      </c>
      <c r="AI1528" s="100" t="s">
        <v>30</v>
      </c>
      <c r="AJ1528" s="100" t="s">
        <v>30</v>
      </c>
      <c r="AK1528" s="100" t="s">
        <v>30</v>
      </c>
      <c r="AL1528" s="114" t="s">
        <v>32</v>
      </c>
      <c r="AM1528" s="360"/>
    </row>
    <row r="1529" spans="1:48">
      <c r="A1529" s="358" t="s">
        <v>24</v>
      </c>
      <c r="B1529" s="369">
        <v>1526</v>
      </c>
      <c r="C1529" s="372" t="s">
        <v>2207</v>
      </c>
      <c r="D1529" s="372" t="s">
        <v>34</v>
      </c>
      <c r="E1529" s="373">
        <v>45979</v>
      </c>
      <c r="F1529" s="372" t="s">
        <v>412</v>
      </c>
      <c r="G1529" s="372">
        <v>9</v>
      </c>
      <c r="H1529" s="372" t="s">
        <v>1077</v>
      </c>
      <c r="I1529" s="372" t="s">
        <v>1138</v>
      </c>
      <c r="J1529" s="372"/>
      <c r="K1529" s="358" t="s">
        <v>2052</v>
      </c>
      <c r="L1529" s="358" t="s">
        <v>2048</v>
      </c>
      <c r="M1529" s="358" t="s">
        <v>2200</v>
      </c>
      <c r="N1529" s="358" t="s">
        <v>2050</v>
      </c>
      <c r="O1529" s="380" t="s">
        <v>32</v>
      </c>
      <c r="P1529" s="380" t="s">
        <v>1091</v>
      </c>
      <c r="Q1529" s="24">
        <v>46015</v>
      </c>
      <c r="R1529" s="248" t="s">
        <v>1138</v>
      </c>
      <c r="S1529" s="358" t="s">
        <v>32</v>
      </c>
      <c r="T1529" s="358">
        <v>9</v>
      </c>
      <c r="U1529" s="24" t="s">
        <v>1138</v>
      </c>
      <c r="V1529" s="24">
        <v>46015</v>
      </c>
      <c r="W1529" s="94" t="s">
        <v>30</v>
      </c>
      <c r="X1529" s="100" t="s">
        <v>30</v>
      </c>
      <c r="Y1529" s="94" t="s">
        <v>30</v>
      </c>
      <c r="Z1529" s="100" t="s">
        <v>30</v>
      </c>
      <c r="AA1529" s="100" t="s">
        <v>30</v>
      </c>
      <c r="AB1529" s="100" t="s">
        <v>30</v>
      </c>
      <c r="AC1529" s="114" t="s">
        <v>32</v>
      </c>
      <c r="AD1529" s="100" t="s">
        <v>30</v>
      </c>
      <c r="AE1529" s="100" t="s">
        <v>30</v>
      </c>
      <c r="AF1529" s="100" t="s">
        <v>30</v>
      </c>
      <c r="AG1529" s="100" t="s">
        <v>30</v>
      </c>
      <c r="AH1529" s="100" t="s">
        <v>30</v>
      </c>
      <c r="AI1529" s="100" t="s">
        <v>30</v>
      </c>
      <c r="AJ1529" s="100" t="s">
        <v>30</v>
      </c>
      <c r="AK1529" s="114" t="s">
        <v>32</v>
      </c>
      <c r="AL1529" s="114" t="s">
        <v>32</v>
      </c>
      <c r="AM1529" s="360" t="s">
        <v>2168</v>
      </c>
    </row>
    <row r="1530" spans="1:48">
      <c r="A1530" s="358" t="s">
        <v>24</v>
      </c>
      <c r="B1530" s="369">
        <v>1527</v>
      </c>
      <c r="C1530" s="372" t="s">
        <v>2208</v>
      </c>
      <c r="D1530" s="372" t="s">
        <v>425</v>
      </c>
      <c r="E1530" s="373">
        <v>45979</v>
      </c>
      <c r="F1530" s="372" t="s">
        <v>1105</v>
      </c>
      <c r="G1530" s="372">
        <v>12</v>
      </c>
      <c r="H1530" s="372" t="s">
        <v>1721</v>
      </c>
      <c r="I1530" s="372" t="s">
        <v>1638</v>
      </c>
      <c r="J1530" s="372"/>
      <c r="K1530" s="358" t="s">
        <v>2098</v>
      </c>
      <c r="L1530" s="358" t="s">
        <v>2200</v>
      </c>
      <c r="M1530" s="358" t="s">
        <v>2200</v>
      </c>
      <c r="N1530" s="358" t="s">
        <v>2050</v>
      </c>
      <c r="O1530" s="380" t="s">
        <v>32</v>
      </c>
      <c r="P1530" s="380" t="s">
        <v>1091</v>
      </c>
      <c r="Q1530" s="24">
        <v>46017</v>
      </c>
      <c r="R1530" s="248" t="s">
        <v>1638</v>
      </c>
      <c r="S1530" s="358" t="s">
        <v>1140</v>
      </c>
      <c r="T1530" s="358">
        <v>12</v>
      </c>
      <c r="U1530" s="24" t="s">
        <v>1638</v>
      </c>
      <c r="V1530" s="24">
        <v>46017</v>
      </c>
      <c r="W1530" s="100" t="s">
        <v>30</v>
      </c>
      <c r="X1530" s="100" t="s">
        <v>30</v>
      </c>
      <c r="Y1530" s="100" t="s">
        <v>30</v>
      </c>
      <c r="Z1530" s="100" t="s">
        <v>30</v>
      </c>
      <c r="AA1530" s="100" t="s">
        <v>30</v>
      </c>
      <c r="AB1530" s="100" t="s">
        <v>30</v>
      </c>
      <c r="AC1530" s="100" t="s">
        <v>30</v>
      </c>
      <c r="AD1530" s="100" t="s">
        <v>30</v>
      </c>
      <c r="AE1530" s="100" t="s">
        <v>30</v>
      </c>
      <c r="AF1530" s="100" t="s">
        <v>30</v>
      </c>
      <c r="AG1530" s="100" t="s">
        <v>30</v>
      </c>
      <c r="AH1530" s="111" t="s">
        <v>30</v>
      </c>
      <c r="AI1530" s="100" t="s">
        <v>30</v>
      </c>
      <c r="AJ1530" s="100" t="s">
        <v>30</v>
      </c>
      <c r="AK1530" s="100" t="s">
        <v>30</v>
      </c>
      <c r="AL1530" s="82" t="s">
        <v>30</v>
      </c>
      <c r="AM1530" s="360"/>
      <c r="AO1530" s="412"/>
      <c r="AP1530" s="412"/>
      <c r="AQ1530" s="412"/>
      <c r="AR1530" s="412"/>
      <c r="AV1530" s="109"/>
    </row>
    <row r="1531" spans="1:48">
      <c r="A1531" s="358" t="s">
        <v>24</v>
      </c>
      <c r="B1531" s="369">
        <v>1528</v>
      </c>
      <c r="C1531" s="372" t="s">
        <v>2209</v>
      </c>
      <c r="D1531" s="372" t="s">
        <v>34</v>
      </c>
      <c r="E1531" s="373">
        <v>45979</v>
      </c>
      <c r="F1531" s="372" t="s">
        <v>1061</v>
      </c>
      <c r="G1531" s="372">
        <v>7</v>
      </c>
      <c r="H1531" s="372" t="s">
        <v>67</v>
      </c>
      <c r="I1531" s="372" t="s">
        <v>47</v>
      </c>
      <c r="J1531" s="372"/>
      <c r="K1531" s="358" t="s">
        <v>2126</v>
      </c>
      <c r="L1531" s="358" t="s">
        <v>2210</v>
      </c>
      <c r="M1531" s="358" t="s">
        <v>2211</v>
      </c>
      <c r="N1531" s="358" t="s">
        <v>2050</v>
      </c>
      <c r="O1531" s="380" t="s">
        <v>32</v>
      </c>
      <c r="P1531" s="380" t="s">
        <v>1091</v>
      </c>
      <c r="Q1531" s="24">
        <v>46026</v>
      </c>
      <c r="R1531" s="81" t="s">
        <v>127</v>
      </c>
      <c r="S1531" s="22" t="s">
        <v>32</v>
      </c>
      <c r="T1531" s="22">
        <v>4</v>
      </c>
      <c r="U1531" s="24" t="s">
        <v>127</v>
      </c>
      <c r="V1531" s="24">
        <v>46026</v>
      </c>
      <c r="W1531" s="100" t="s">
        <v>30</v>
      </c>
      <c r="X1531" s="100" t="s">
        <v>30</v>
      </c>
      <c r="Y1531" s="100" t="s">
        <v>30</v>
      </c>
      <c r="Z1531" s="100" t="s">
        <v>30</v>
      </c>
      <c r="AA1531" s="100" t="s">
        <v>30</v>
      </c>
      <c r="AB1531" s="100" t="s">
        <v>30</v>
      </c>
      <c r="AC1531" s="100" t="s">
        <v>30</v>
      </c>
      <c r="AD1531" s="100" t="s">
        <v>30</v>
      </c>
      <c r="AE1531" s="100" t="s">
        <v>30</v>
      </c>
      <c r="AF1531" s="100" t="s">
        <v>30</v>
      </c>
      <c r="AG1531" s="100" t="s">
        <v>30</v>
      </c>
      <c r="AH1531" s="100" t="s">
        <v>30</v>
      </c>
      <c r="AI1531" s="100" t="s">
        <v>30</v>
      </c>
      <c r="AJ1531" s="100" t="s">
        <v>30</v>
      </c>
      <c r="AK1531" s="111" t="s">
        <v>30</v>
      </c>
      <c r="AL1531" s="114" t="s">
        <v>32</v>
      </c>
      <c r="AM1531" s="360"/>
      <c r="AS1531" s="72"/>
      <c r="AT1531" s="96"/>
      <c r="AU1531" s="96"/>
      <c r="AV1531" s="109"/>
    </row>
    <row r="1532" spans="1:48">
      <c r="A1532" s="358" t="s">
        <v>24</v>
      </c>
      <c r="B1532" s="369">
        <v>1529</v>
      </c>
      <c r="C1532" s="372" t="s">
        <v>2212</v>
      </c>
      <c r="D1532" s="372" t="s">
        <v>234</v>
      </c>
      <c r="E1532" s="373">
        <v>45979</v>
      </c>
      <c r="F1532" s="372" t="s">
        <v>1061</v>
      </c>
      <c r="G1532" s="372">
        <v>7</v>
      </c>
      <c r="H1532" s="372" t="s">
        <v>67</v>
      </c>
      <c r="I1532" s="372" t="s">
        <v>47</v>
      </c>
      <c r="J1532" s="372"/>
      <c r="K1532" s="358" t="s">
        <v>2126</v>
      </c>
      <c r="L1532" s="358" t="s">
        <v>401</v>
      </c>
      <c r="M1532" s="358" t="s">
        <v>401</v>
      </c>
      <c r="N1532" s="358"/>
      <c r="O1532" s="380" t="s">
        <v>401</v>
      </c>
      <c r="P1532" s="23" t="s">
        <v>1091</v>
      </c>
      <c r="Q1532" s="24">
        <v>46024</v>
      </c>
      <c r="R1532" s="81" t="s">
        <v>1721</v>
      </c>
      <c r="S1532" s="22" t="s">
        <v>32</v>
      </c>
      <c r="T1532" s="22">
        <v>6</v>
      </c>
      <c r="U1532" s="24" t="s">
        <v>1721</v>
      </c>
      <c r="V1532" s="24">
        <v>46024</v>
      </c>
      <c r="W1532" s="100" t="s">
        <v>30</v>
      </c>
      <c r="X1532" s="100" t="s">
        <v>30</v>
      </c>
      <c r="Y1532" s="100" t="s">
        <v>30</v>
      </c>
      <c r="Z1532" s="100" t="s">
        <v>30</v>
      </c>
      <c r="AA1532" s="100" t="s">
        <v>30</v>
      </c>
      <c r="AB1532" s="100" t="s">
        <v>30</v>
      </c>
      <c r="AC1532" s="100" t="s">
        <v>30</v>
      </c>
      <c r="AD1532" s="100" t="s">
        <v>30</v>
      </c>
      <c r="AE1532" s="100" t="s">
        <v>30</v>
      </c>
      <c r="AF1532" s="100" t="s">
        <v>30</v>
      </c>
      <c r="AG1532" s="100" t="s">
        <v>30</v>
      </c>
      <c r="AH1532" s="111" t="s">
        <v>30</v>
      </c>
      <c r="AI1532" s="114" t="s">
        <v>32</v>
      </c>
      <c r="AJ1532" s="114" t="s">
        <v>32</v>
      </c>
      <c r="AK1532" s="114" t="s">
        <v>32</v>
      </c>
      <c r="AL1532" s="114" t="s">
        <v>32</v>
      </c>
      <c r="AM1532" s="360" t="s">
        <v>2213</v>
      </c>
      <c r="AO1532" s="412"/>
      <c r="AP1532" s="412"/>
      <c r="AQ1532" s="412"/>
      <c r="AR1532" s="412"/>
      <c r="AV1532" s="109"/>
    </row>
    <row r="1533" spans="1:48">
      <c r="A1533" s="358" t="s">
        <v>24</v>
      </c>
      <c r="B1533" s="369">
        <v>1530</v>
      </c>
      <c r="C1533" s="372" t="s">
        <v>2214</v>
      </c>
      <c r="D1533" s="372" t="s">
        <v>50</v>
      </c>
      <c r="E1533" s="373">
        <v>45980</v>
      </c>
      <c r="F1533" s="372" t="s">
        <v>412</v>
      </c>
      <c r="G1533" s="372">
        <v>11</v>
      </c>
      <c r="H1533" s="372" t="s">
        <v>1077</v>
      </c>
      <c r="I1533" s="372" t="s">
        <v>1138</v>
      </c>
      <c r="J1533" s="372"/>
      <c r="K1533" s="358" t="s">
        <v>2203</v>
      </c>
      <c r="L1533" s="358" t="s">
        <v>2211</v>
      </c>
      <c r="M1533" s="358" t="s">
        <v>2211</v>
      </c>
      <c r="N1533" s="358" t="s">
        <v>2050</v>
      </c>
      <c r="O1533" s="380" t="s">
        <v>32</v>
      </c>
      <c r="P1533" s="380" t="s">
        <v>1091</v>
      </c>
      <c r="Q1533" s="24">
        <v>46017</v>
      </c>
      <c r="R1533" s="248" t="s">
        <v>1138</v>
      </c>
      <c r="S1533" s="358" t="s">
        <v>32</v>
      </c>
      <c r="T1533" s="358">
        <v>10</v>
      </c>
      <c r="U1533" s="24" t="s">
        <v>1138</v>
      </c>
      <c r="V1533" s="24">
        <v>46017</v>
      </c>
      <c r="W1533" s="100" t="s">
        <v>30</v>
      </c>
      <c r="X1533" s="100" t="s">
        <v>30</v>
      </c>
      <c r="Y1533" s="100" t="s">
        <v>30</v>
      </c>
      <c r="Z1533" s="100" t="s">
        <v>30</v>
      </c>
      <c r="AA1533" s="107" t="s">
        <v>32</v>
      </c>
      <c r="AB1533" s="100" t="s">
        <v>30</v>
      </c>
      <c r="AC1533" s="100" t="s">
        <v>30</v>
      </c>
      <c r="AD1533" s="100" t="s">
        <v>30</v>
      </c>
      <c r="AE1533" s="100" t="s">
        <v>30</v>
      </c>
      <c r="AF1533" s="100" t="s">
        <v>30</v>
      </c>
      <c r="AG1533" s="100" t="s">
        <v>30</v>
      </c>
      <c r="AH1533" s="100" t="s">
        <v>30</v>
      </c>
      <c r="AI1533" s="114" t="s">
        <v>32</v>
      </c>
      <c r="AJ1533" s="114" t="s">
        <v>32</v>
      </c>
      <c r="AK1533" s="100" t="s">
        <v>30</v>
      </c>
      <c r="AL1533" s="114" t="s">
        <v>32</v>
      </c>
      <c r="AM1533" s="360" t="s">
        <v>2080</v>
      </c>
      <c r="AO1533" s="412"/>
      <c r="AP1533" s="412"/>
      <c r="AQ1533" s="412"/>
      <c r="AR1533" s="412"/>
      <c r="AV1533" s="109"/>
    </row>
    <row r="1534" spans="1:48">
      <c r="A1534" s="358" t="s">
        <v>24</v>
      </c>
      <c r="B1534" s="369">
        <v>1531</v>
      </c>
      <c r="C1534" s="372" t="s">
        <v>2215</v>
      </c>
      <c r="D1534" s="372" t="s">
        <v>50</v>
      </c>
      <c r="E1534" s="373">
        <v>45981</v>
      </c>
      <c r="F1534" s="372" t="s">
        <v>412</v>
      </c>
      <c r="G1534" s="372">
        <v>12</v>
      </c>
      <c r="H1534" s="372" t="s">
        <v>1077</v>
      </c>
      <c r="I1534" s="372" t="s">
        <v>1138</v>
      </c>
      <c r="J1534" s="372"/>
      <c r="K1534" s="358" t="s">
        <v>2203</v>
      </c>
      <c r="L1534" s="358" t="s">
        <v>2200</v>
      </c>
      <c r="M1534" s="358" t="s">
        <v>2211</v>
      </c>
      <c r="N1534" s="358" t="s">
        <v>2157</v>
      </c>
      <c r="O1534" s="380" t="s">
        <v>32</v>
      </c>
      <c r="P1534" s="380" t="s">
        <v>1091</v>
      </c>
      <c r="Q1534" s="24">
        <v>46021</v>
      </c>
      <c r="R1534" s="248" t="s">
        <v>1138</v>
      </c>
      <c r="S1534" s="358" t="s">
        <v>32</v>
      </c>
      <c r="T1534" s="358">
        <v>12</v>
      </c>
      <c r="U1534" s="24" t="s">
        <v>1138</v>
      </c>
      <c r="V1534" s="24">
        <v>46021</v>
      </c>
      <c r="W1534" s="100" t="s">
        <v>30</v>
      </c>
      <c r="X1534" s="100" t="s">
        <v>30</v>
      </c>
      <c r="Y1534" s="100" t="s">
        <v>30</v>
      </c>
      <c r="Z1534" s="100" t="s">
        <v>30</v>
      </c>
      <c r="AA1534" s="107" t="s">
        <v>32</v>
      </c>
      <c r="AB1534" s="100" t="s">
        <v>30</v>
      </c>
      <c r="AC1534" s="100" t="s">
        <v>30</v>
      </c>
      <c r="AD1534" s="100" t="s">
        <v>30</v>
      </c>
      <c r="AE1534" s="100" t="s">
        <v>30</v>
      </c>
      <c r="AF1534" s="100" t="s">
        <v>30</v>
      </c>
      <c r="AG1534" s="100" t="s">
        <v>30</v>
      </c>
      <c r="AH1534" s="100" t="s">
        <v>30</v>
      </c>
      <c r="AI1534" s="114" t="s">
        <v>32</v>
      </c>
      <c r="AJ1534" s="114" t="s">
        <v>32</v>
      </c>
      <c r="AK1534" s="111" t="s">
        <v>30</v>
      </c>
      <c r="AL1534" s="114" t="s">
        <v>32</v>
      </c>
      <c r="AM1534" s="360" t="s">
        <v>2080</v>
      </c>
      <c r="AN1534" s="6"/>
      <c r="AO1534" s="6"/>
      <c r="AP1534" s="6"/>
      <c r="AQ1534" s="6"/>
      <c r="AR1534" s="6"/>
      <c r="AS1534" s="108"/>
      <c r="AT1534" s="109"/>
      <c r="AU1534" s="109"/>
      <c r="AV1534" s="109"/>
    </row>
    <row r="1535" spans="1:48">
      <c r="A1535" s="358" t="s">
        <v>24</v>
      </c>
      <c r="B1535" s="369">
        <v>1532</v>
      </c>
      <c r="C1535" s="372" t="s">
        <v>2216</v>
      </c>
      <c r="D1535" s="372" t="s">
        <v>43</v>
      </c>
      <c r="E1535" s="373">
        <v>45981</v>
      </c>
      <c r="F1535" s="372" t="s">
        <v>65</v>
      </c>
      <c r="G1535" s="372">
        <v>11</v>
      </c>
      <c r="H1535" s="372" t="s">
        <v>1077</v>
      </c>
      <c r="I1535" s="372" t="s">
        <v>1138</v>
      </c>
      <c r="J1535" s="372"/>
      <c r="K1535" s="358" t="s">
        <v>2076</v>
      </c>
      <c r="L1535" s="358" t="s">
        <v>2200</v>
      </c>
      <c r="M1535" s="358" t="s">
        <v>2217</v>
      </c>
      <c r="N1535" s="358" t="s">
        <v>2166</v>
      </c>
      <c r="O1535" s="380" t="s">
        <v>32</v>
      </c>
      <c r="P1535" s="380" t="s">
        <v>1091</v>
      </c>
      <c r="Q1535" s="24">
        <v>46021</v>
      </c>
      <c r="R1535" s="81" t="s">
        <v>48</v>
      </c>
      <c r="S1535" s="22" t="s">
        <v>1140</v>
      </c>
      <c r="T1535" s="22">
        <v>11</v>
      </c>
      <c r="U1535" s="24" t="s">
        <v>48</v>
      </c>
      <c r="V1535" s="24">
        <v>46021</v>
      </c>
      <c r="W1535" s="100" t="s">
        <v>30</v>
      </c>
      <c r="X1535" s="100" t="s">
        <v>30</v>
      </c>
      <c r="Y1535" s="100" t="s">
        <v>30</v>
      </c>
      <c r="Z1535" s="100" t="s">
        <v>30</v>
      </c>
      <c r="AA1535" s="100" t="s">
        <v>30</v>
      </c>
      <c r="AB1535" s="100" t="s">
        <v>30</v>
      </c>
      <c r="AC1535" s="100" t="s">
        <v>30</v>
      </c>
      <c r="AD1535" s="100" t="s">
        <v>30</v>
      </c>
      <c r="AE1535" s="100" t="s">
        <v>30</v>
      </c>
      <c r="AF1535" s="100" t="s">
        <v>30</v>
      </c>
      <c r="AG1535" s="100" t="s">
        <v>30</v>
      </c>
      <c r="AH1535" s="100" t="s">
        <v>30</v>
      </c>
      <c r="AI1535" s="114" t="s">
        <v>32</v>
      </c>
      <c r="AJ1535" s="114" t="s">
        <v>32</v>
      </c>
      <c r="AK1535" s="114" t="s">
        <v>32</v>
      </c>
      <c r="AL1535" s="114" t="s">
        <v>32</v>
      </c>
      <c r="AM1535" s="360" t="s">
        <v>2080</v>
      </c>
      <c r="AV1535" s="109"/>
    </row>
    <row r="1536" spans="1:48">
      <c r="A1536" s="358" t="s">
        <v>24</v>
      </c>
      <c r="B1536" s="369">
        <v>1533</v>
      </c>
      <c r="C1536" s="372" t="s">
        <v>2218</v>
      </c>
      <c r="D1536" s="372" t="s">
        <v>34</v>
      </c>
      <c r="E1536" s="373">
        <v>45981</v>
      </c>
      <c r="F1536" s="372" t="s">
        <v>1105</v>
      </c>
      <c r="G1536" s="372">
        <v>12</v>
      </c>
      <c r="H1536" s="372" t="s">
        <v>127</v>
      </c>
      <c r="I1536" s="372" t="s">
        <v>36</v>
      </c>
      <c r="J1536" s="372"/>
      <c r="K1536" s="358" t="s">
        <v>2092</v>
      </c>
      <c r="L1536" s="358" t="s">
        <v>2200</v>
      </c>
      <c r="M1536" s="358" t="s">
        <v>2200</v>
      </c>
      <c r="N1536" s="358" t="s">
        <v>2050</v>
      </c>
      <c r="O1536" s="380" t="s">
        <v>32</v>
      </c>
      <c r="P1536" s="380" t="s">
        <v>1091</v>
      </c>
      <c r="Q1536" s="24">
        <v>46014</v>
      </c>
      <c r="R1536" s="81" t="s">
        <v>28</v>
      </c>
      <c r="S1536" s="22" t="s">
        <v>32</v>
      </c>
      <c r="T1536" s="22">
        <v>10</v>
      </c>
      <c r="U1536" s="24" t="s">
        <v>28</v>
      </c>
      <c r="V1536" s="24">
        <v>46014</v>
      </c>
      <c r="W1536" s="100" t="s">
        <v>30</v>
      </c>
      <c r="X1536" s="100" t="s">
        <v>30</v>
      </c>
      <c r="Y1536" s="100" t="s">
        <v>30</v>
      </c>
      <c r="Z1536" s="95" t="s">
        <v>32</v>
      </c>
      <c r="AA1536" s="95" t="s">
        <v>32</v>
      </c>
      <c r="AB1536" s="95" t="s">
        <v>32</v>
      </c>
      <c r="AC1536" s="100" t="s">
        <v>30</v>
      </c>
      <c r="AD1536" s="100" t="s">
        <v>30</v>
      </c>
      <c r="AE1536" s="100" t="s">
        <v>30</v>
      </c>
      <c r="AF1536" s="100" t="s">
        <v>30</v>
      </c>
      <c r="AG1536" s="100" t="s">
        <v>30</v>
      </c>
      <c r="AH1536" s="111" t="s">
        <v>30</v>
      </c>
      <c r="AI1536" s="111" t="s">
        <v>30</v>
      </c>
      <c r="AJ1536" s="111" t="s">
        <v>30</v>
      </c>
      <c r="AK1536" s="111" t="s">
        <v>30</v>
      </c>
      <c r="AL1536" s="82" t="s">
        <v>30</v>
      </c>
      <c r="AM1536" s="360" t="s">
        <v>2089</v>
      </c>
      <c r="AV1536" s="109"/>
    </row>
    <row r="1537" spans="1:48">
      <c r="A1537" s="358" t="s">
        <v>24</v>
      </c>
      <c r="B1537" s="369">
        <v>1534</v>
      </c>
      <c r="C1537" s="372" t="s">
        <v>2219</v>
      </c>
      <c r="D1537" s="372" t="s">
        <v>469</v>
      </c>
      <c r="E1537" s="373">
        <v>45981</v>
      </c>
      <c r="F1537" s="372" t="s">
        <v>1124</v>
      </c>
      <c r="G1537" s="372">
        <v>15</v>
      </c>
      <c r="H1537" s="372" t="s">
        <v>1077</v>
      </c>
      <c r="I1537" s="372" t="s">
        <v>1138</v>
      </c>
      <c r="J1537" s="372"/>
      <c r="K1537" s="358" t="s">
        <v>2066</v>
      </c>
      <c r="L1537" s="358" t="s">
        <v>2067</v>
      </c>
      <c r="M1537" s="358" t="s">
        <v>2053</v>
      </c>
      <c r="N1537" s="358" t="s">
        <v>2050</v>
      </c>
      <c r="O1537" s="117" t="s">
        <v>30</v>
      </c>
      <c r="P1537" s="380" t="s">
        <v>1091</v>
      </c>
      <c r="Q1537" s="24">
        <v>46021</v>
      </c>
      <c r="R1537" s="81" t="s">
        <v>48</v>
      </c>
      <c r="S1537" s="22" t="s">
        <v>1140</v>
      </c>
      <c r="T1537" s="22">
        <v>11</v>
      </c>
      <c r="U1537" s="24" t="s">
        <v>48</v>
      </c>
      <c r="V1537" s="24">
        <v>46021</v>
      </c>
      <c r="W1537" s="100" t="s">
        <v>30</v>
      </c>
      <c r="X1537" s="100" t="s">
        <v>30</v>
      </c>
      <c r="Y1537" s="100" t="s">
        <v>30</v>
      </c>
      <c r="Z1537" s="100" t="s">
        <v>30</v>
      </c>
      <c r="AA1537" s="95" t="s">
        <v>32</v>
      </c>
      <c r="AB1537" s="95" t="s">
        <v>32</v>
      </c>
      <c r="AC1537" s="100" t="s">
        <v>30</v>
      </c>
      <c r="AD1537" s="100"/>
      <c r="AE1537" s="100"/>
      <c r="AF1537" s="100" t="s">
        <v>30</v>
      </c>
      <c r="AG1537" s="100" t="s">
        <v>30</v>
      </c>
      <c r="AH1537" s="100" t="s">
        <v>30</v>
      </c>
      <c r="AI1537" s="100" t="s">
        <v>30</v>
      </c>
      <c r="AJ1537" s="100" t="s">
        <v>30</v>
      </c>
      <c r="AK1537" s="114" t="s">
        <v>32</v>
      </c>
      <c r="AL1537" s="114"/>
      <c r="AM1537" s="360" t="s">
        <v>2080</v>
      </c>
      <c r="AV1537" s="109"/>
    </row>
    <row r="1538" spans="1:48">
      <c r="A1538" s="358" t="s">
        <v>24</v>
      </c>
      <c r="B1538" s="369">
        <v>1535</v>
      </c>
      <c r="C1538" s="372" t="s">
        <v>2220</v>
      </c>
      <c r="D1538" s="372" t="s">
        <v>432</v>
      </c>
      <c r="E1538" s="373">
        <v>45982</v>
      </c>
      <c r="F1538" s="372" t="s">
        <v>2221</v>
      </c>
      <c r="G1538" s="372">
        <v>17</v>
      </c>
      <c r="H1538" s="372" t="s">
        <v>127</v>
      </c>
      <c r="I1538" s="372" t="s">
        <v>36</v>
      </c>
      <c r="J1538" s="372"/>
      <c r="K1538" s="358" t="s">
        <v>2222</v>
      </c>
      <c r="L1538" s="358" t="s">
        <v>2200</v>
      </c>
      <c r="M1538" s="358" t="s">
        <v>2200</v>
      </c>
      <c r="N1538" s="358" t="s">
        <v>2050</v>
      </c>
      <c r="O1538" s="117" t="s">
        <v>30</v>
      </c>
      <c r="P1538" s="23" t="s">
        <v>1091</v>
      </c>
      <c r="Q1538" s="24">
        <v>46012</v>
      </c>
      <c r="R1538" s="81" t="s">
        <v>28</v>
      </c>
      <c r="S1538" s="22" t="s">
        <v>32</v>
      </c>
      <c r="T1538" s="22">
        <v>17</v>
      </c>
      <c r="U1538" s="24" t="s">
        <v>28</v>
      </c>
      <c r="V1538" s="24">
        <v>46012</v>
      </c>
      <c r="W1538" s="100" t="s">
        <v>30</v>
      </c>
      <c r="X1538" s="100" t="s">
        <v>30</v>
      </c>
      <c r="Y1538" s="100" t="s">
        <v>30</v>
      </c>
      <c r="Z1538" s="100" t="s">
        <v>30</v>
      </c>
      <c r="AA1538" s="100" t="s">
        <v>30</v>
      </c>
      <c r="AB1538" s="100" t="s">
        <v>30</v>
      </c>
      <c r="AC1538" s="100" t="s">
        <v>30</v>
      </c>
      <c r="AD1538" s="100" t="s">
        <v>30</v>
      </c>
      <c r="AE1538" s="100" t="s">
        <v>30</v>
      </c>
      <c r="AF1538" s="100" t="s">
        <v>30</v>
      </c>
      <c r="AG1538" s="100" t="s">
        <v>30</v>
      </c>
      <c r="AH1538" s="100" t="s">
        <v>30</v>
      </c>
      <c r="AI1538" s="100" t="s">
        <v>30</v>
      </c>
      <c r="AJ1538" s="100" t="s">
        <v>30</v>
      </c>
      <c r="AK1538" s="100" t="s">
        <v>30</v>
      </c>
      <c r="AL1538" s="82" t="s">
        <v>30</v>
      </c>
      <c r="AM1538" s="360" t="s">
        <v>2080</v>
      </c>
      <c r="AV1538" s="109"/>
    </row>
    <row r="1539" spans="1:48">
      <c r="A1539" s="358" t="s">
        <v>24</v>
      </c>
      <c r="B1539" s="369">
        <v>1536</v>
      </c>
      <c r="C1539" s="372" t="s">
        <v>2223</v>
      </c>
      <c r="D1539" s="372" t="s">
        <v>43</v>
      </c>
      <c r="E1539" s="373">
        <v>45982</v>
      </c>
      <c r="F1539" s="372" t="s">
        <v>1295</v>
      </c>
      <c r="G1539" s="372">
        <v>12</v>
      </c>
      <c r="H1539" s="372" t="s">
        <v>67</v>
      </c>
      <c r="I1539" s="372" t="s">
        <v>47</v>
      </c>
      <c r="J1539" s="372"/>
      <c r="K1539" s="358" t="s">
        <v>2145</v>
      </c>
      <c r="L1539" s="358" t="s">
        <v>2146</v>
      </c>
      <c r="M1539" s="358" t="s">
        <v>2146</v>
      </c>
      <c r="N1539" s="358" t="s">
        <v>2050</v>
      </c>
      <c r="O1539" s="380" t="s">
        <v>32</v>
      </c>
      <c r="P1539" s="380" t="s">
        <v>1091</v>
      </c>
      <c r="Q1539" s="24">
        <v>46027</v>
      </c>
      <c r="R1539" s="81" t="s">
        <v>127</v>
      </c>
      <c r="S1539" s="22" t="s">
        <v>32</v>
      </c>
      <c r="T1539" s="22">
        <v>11</v>
      </c>
      <c r="U1539" s="24" t="s">
        <v>127</v>
      </c>
      <c r="V1539" s="24">
        <v>46027</v>
      </c>
      <c r="W1539" s="100" t="s">
        <v>30</v>
      </c>
      <c r="X1539" s="100" t="s">
        <v>30</v>
      </c>
      <c r="Y1539" s="100" t="s">
        <v>30</v>
      </c>
      <c r="Z1539" s="100" t="s">
        <v>30</v>
      </c>
      <c r="AA1539" s="100" t="s">
        <v>30</v>
      </c>
      <c r="AB1539" s="100" t="s">
        <v>30</v>
      </c>
      <c r="AC1539" s="100" t="s">
        <v>30</v>
      </c>
      <c r="AD1539" s="100" t="s">
        <v>30</v>
      </c>
      <c r="AE1539" s="100" t="s">
        <v>30</v>
      </c>
      <c r="AF1539" s="100" t="s">
        <v>30</v>
      </c>
      <c r="AG1539" s="100" t="s">
        <v>30</v>
      </c>
      <c r="AH1539" s="100" t="s">
        <v>30</v>
      </c>
      <c r="AI1539" s="100" t="s">
        <v>30</v>
      </c>
      <c r="AJ1539" s="100" t="s">
        <v>30</v>
      </c>
      <c r="AK1539" s="100" t="s">
        <v>30</v>
      </c>
      <c r="AL1539" s="114" t="s">
        <v>32</v>
      </c>
      <c r="AM1539" s="360"/>
      <c r="AN1539" s="91"/>
      <c r="AO1539" s="91"/>
      <c r="AS1539" s="72"/>
      <c r="AT1539" s="96"/>
      <c r="AU1539" s="96"/>
      <c r="AV1539" s="109"/>
    </row>
    <row r="1540" spans="1:48">
      <c r="A1540" s="358" t="s">
        <v>24</v>
      </c>
      <c r="B1540" s="369">
        <v>1537</v>
      </c>
      <c r="C1540" s="372" t="s">
        <v>2224</v>
      </c>
      <c r="D1540" s="372" t="s">
        <v>50</v>
      </c>
      <c r="E1540" s="373">
        <v>45982</v>
      </c>
      <c r="F1540" s="372" t="s">
        <v>106</v>
      </c>
      <c r="G1540" s="372">
        <v>12</v>
      </c>
      <c r="H1540" s="372" t="s">
        <v>1721</v>
      </c>
      <c r="I1540" s="372" t="s">
        <v>1638</v>
      </c>
      <c r="J1540" s="102" t="s">
        <v>2225</v>
      </c>
      <c r="K1540" s="358" t="s">
        <v>2226</v>
      </c>
      <c r="L1540" s="358" t="s">
        <v>2227</v>
      </c>
      <c r="M1540" s="358" t="s">
        <v>2227</v>
      </c>
      <c r="N1540" s="358" t="s">
        <v>2050</v>
      </c>
      <c r="O1540" s="117" t="s">
        <v>30</v>
      </c>
      <c r="P1540" s="380" t="s">
        <v>1091</v>
      </c>
      <c r="Q1540" s="24">
        <v>46035</v>
      </c>
      <c r="R1540" s="248" t="s">
        <v>1638</v>
      </c>
      <c r="S1540" s="358" t="s">
        <v>1140</v>
      </c>
      <c r="T1540" s="358">
        <v>8</v>
      </c>
      <c r="U1540" s="384" t="s">
        <v>1638</v>
      </c>
      <c r="V1540" s="24">
        <v>46035</v>
      </c>
      <c r="W1540" s="100" t="s">
        <v>30</v>
      </c>
      <c r="X1540" s="100" t="s">
        <v>30</v>
      </c>
      <c r="Y1540" s="100" t="s">
        <v>30</v>
      </c>
      <c r="Z1540" s="94" t="s">
        <v>30</v>
      </c>
      <c r="AA1540" s="94" t="s">
        <v>30</v>
      </c>
      <c r="AB1540" s="94" t="s">
        <v>30</v>
      </c>
      <c r="AC1540" s="100" t="s">
        <v>30</v>
      </c>
      <c r="AD1540" s="100" t="s">
        <v>30</v>
      </c>
      <c r="AE1540" s="100" t="s">
        <v>30</v>
      </c>
      <c r="AF1540" s="100" t="s">
        <v>30</v>
      </c>
      <c r="AG1540" s="100" t="s">
        <v>30</v>
      </c>
      <c r="AH1540" s="100" t="s">
        <v>30</v>
      </c>
      <c r="AI1540" s="100" t="s">
        <v>30</v>
      </c>
      <c r="AJ1540" s="114" t="s">
        <v>32</v>
      </c>
      <c r="AK1540" s="111" t="s">
        <v>30</v>
      </c>
      <c r="AL1540" s="114" t="s">
        <v>32</v>
      </c>
      <c r="AM1540" s="360" t="s">
        <v>2080</v>
      </c>
      <c r="AN1540" s="91"/>
      <c r="AO1540" s="91"/>
      <c r="AS1540" s="72"/>
      <c r="AT1540" s="96"/>
      <c r="AU1540" s="96"/>
      <c r="AV1540" s="109"/>
    </row>
    <row r="1541" spans="1:48">
      <c r="A1541" s="358" t="s">
        <v>24</v>
      </c>
      <c r="B1541" s="369">
        <v>1538</v>
      </c>
      <c r="C1541" s="372" t="s">
        <v>2228</v>
      </c>
      <c r="D1541" s="372" t="s">
        <v>64</v>
      </c>
      <c r="E1541" s="373">
        <v>45982</v>
      </c>
      <c r="F1541" s="372" t="s">
        <v>106</v>
      </c>
      <c r="G1541" s="372">
        <v>12</v>
      </c>
      <c r="H1541" s="372" t="s">
        <v>1721</v>
      </c>
      <c r="I1541" s="372" t="s">
        <v>1638</v>
      </c>
      <c r="J1541" s="102" t="s">
        <v>2225</v>
      </c>
      <c r="K1541" s="358" t="s">
        <v>2226</v>
      </c>
      <c r="L1541" s="358" t="s">
        <v>401</v>
      </c>
      <c r="M1541" s="358" t="s">
        <v>401</v>
      </c>
      <c r="N1541" s="358" t="s">
        <v>2050</v>
      </c>
      <c r="O1541" s="358" t="s">
        <v>401</v>
      </c>
      <c r="P1541" s="23" t="s">
        <v>1091</v>
      </c>
      <c r="Q1541" s="24">
        <v>46035</v>
      </c>
      <c r="R1541" s="81" t="s">
        <v>1638</v>
      </c>
      <c r="S1541" s="22" t="s">
        <v>32</v>
      </c>
      <c r="T1541" s="22">
        <v>8</v>
      </c>
      <c r="U1541" s="24" t="s">
        <v>1638</v>
      </c>
      <c r="V1541" s="24">
        <v>46035</v>
      </c>
      <c r="W1541" s="100" t="s">
        <v>30</v>
      </c>
      <c r="X1541" s="100" t="s">
        <v>30</v>
      </c>
      <c r="Y1541" s="100" t="s">
        <v>30</v>
      </c>
      <c r="Z1541" s="94" t="s">
        <v>30</v>
      </c>
      <c r="AA1541" s="94" t="s">
        <v>30</v>
      </c>
      <c r="AB1541" s="94" t="s">
        <v>30</v>
      </c>
      <c r="AC1541" s="100" t="s">
        <v>30</v>
      </c>
      <c r="AD1541" s="100" t="s">
        <v>30</v>
      </c>
      <c r="AE1541" s="100" t="s">
        <v>30</v>
      </c>
      <c r="AF1541" s="100" t="s">
        <v>30</v>
      </c>
      <c r="AG1541" s="100" t="s">
        <v>30</v>
      </c>
      <c r="AH1541" s="100" t="s">
        <v>30</v>
      </c>
      <c r="AI1541" s="100" t="s">
        <v>30</v>
      </c>
      <c r="AJ1541" s="114" t="s">
        <v>32</v>
      </c>
      <c r="AK1541" s="111" t="s">
        <v>30</v>
      </c>
      <c r="AL1541" s="114" t="s">
        <v>32</v>
      </c>
      <c r="AM1541" s="360" t="s">
        <v>2080</v>
      </c>
      <c r="AV1541" s="109"/>
    </row>
    <row r="1542" spans="1:48">
      <c r="A1542" s="358" t="s">
        <v>24</v>
      </c>
      <c r="B1542" s="369">
        <v>1539</v>
      </c>
      <c r="C1542" s="372" t="s">
        <v>2229</v>
      </c>
      <c r="D1542" s="372" t="s">
        <v>2230</v>
      </c>
      <c r="E1542" s="373">
        <v>45982</v>
      </c>
      <c r="F1542" s="372" t="s">
        <v>439</v>
      </c>
      <c r="G1542" s="372">
        <v>10</v>
      </c>
      <c r="H1542" s="372" t="s">
        <v>127</v>
      </c>
      <c r="I1542" s="372" t="s">
        <v>178</v>
      </c>
      <c r="J1542" s="102" t="s">
        <v>2231</v>
      </c>
      <c r="K1542" s="358" t="s">
        <v>2096</v>
      </c>
      <c r="L1542" s="358" t="s">
        <v>2227</v>
      </c>
      <c r="M1542" s="358" t="s">
        <v>2227</v>
      </c>
      <c r="N1542" s="358" t="s">
        <v>2050</v>
      </c>
      <c r="O1542" s="380" t="s">
        <v>32</v>
      </c>
      <c r="P1542" s="380"/>
      <c r="Q1542" s="24"/>
      <c r="R1542" s="81" t="s">
        <v>28</v>
      </c>
      <c r="S1542" s="22"/>
      <c r="T1542" s="22"/>
      <c r="U1542" s="24"/>
      <c r="V1542" s="24"/>
      <c r="W1542" s="107" t="s">
        <v>32</v>
      </c>
      <c r="X1542" s="107" t="s">
        <v>32</v>
      </c>
      <c r="Y1542" s="107" t="s">
        <v>32</v>
      </c>
      <c r="Z1542" s="100" t="s">
        <v>30</v>
      </c>
      <c r="AA1542" s="100" t="s">
        <v>30</v>
      </c>
      <c r="AB1542" s="100" t="s">
        <v>30</v>
      </c>
      <c r="AC1542" s="100" t="s">
        <v>30</v>
      </c>
      <c r="AD1542" s="100" t="s">
        <v>30</v>
      </c>
      <c r="AE1542" s="100" t="s">
        <v>30</v>
      </c>
      <c r="AF1542" s="100" t="s">
        <v>30</v>
      </c>
      <c r="AG1542" s="100" t="s">
        <v>30</v>
      </c>
      <c r="AH1542" s="114" t="s">
        <v>32</v>
      </c>
      <c r="AI1542" s="114" t="s">
        <v>32</v>
      </c>
      <c r="AJ1542" s="114" t="s">
        <v>32</v>
      </c>
      <c r="AK1542" s="114" t="s">
        <v>32</v>
      </c>
      <c r="AL1542" s="114" t="s">
        <v>32</v>
      </c>
      <c r="AM1542" s="360" t="s">
        <v>2080</v>
      </c>
      <c r="AR1542" s="88"/>
      <c r="AS1542" s="72"/>
      <c r="AT1542" s="72"/>
      <c r="AU1542" s="72"/>
      <c r="AV1542" s="109"/>
    </row>
    <row r="1543" spans="1:48">
      <c r="A1543" s="358" t="s">
        <v>24</v>
      </c>
      <c r="B1543" s="369">
        <v>1540</v>
      </c>
      <c r="C1543" s="372" t="s">
        <v>2232</v>
      </c>
      <c r="D1543" s="372" t="s">
        <v>102</v>
      </c>
      <c r="E1543" s="373">
        <v>45982</v>
      </c>
      <c r="F1543" s="372" t="s">
        <v>2233</v>
      </c>
      <c r="G1543" s="372">
        <v>13</v>
      </c>
      <c r="H1543" s="372" t="s">
        <v>1721</v>
      </c>
      <c r="I1543" s="372" t="s">
        <v>1638</v>
      </c>
      <c r="J1543" s="372"/>
      <c r="K1543" s="358" t="s">
        <v>2234</v>
      </c>
      <c r="L1543" s="358" t="s">
        <v>2211</v>
      </c>
      <c r="M1543" s="358" t="s">
        <v>2211</v>
      </c>
      <c r="N1543" s="358" t="s">
        <v>2058</v>
      </c>
      <c r="O1543" s="380" t="s">
        <v>32</v>
      </c>
      <c r="P1543" s="23" t="s">
        <v>1091</v>
      </c>
      <c r="Q1543" s="24">
        <v>45993</v>
      </c>
      <c r="R1543" s="24" t="s">
        <v>67</v>
      </c>
      <c r="S1543" s="22" t="s">
        <v>32</v>
      </c>
      <c r="T1543" s="22">
        <v>11</v>
      </c>
      <c r="U1543" s="24" t="s">
        <v>67</v>
      </c>
      <c r="V1543" s="24">
        <v>45993</v>
      </c>
      <c r="W1543" s="100" t="s">
        <v>30</v>
      </c>
      <c r="X1543" s="100" t="s">
        <v>30</v>
      </c>
      <c r="Y1543" s="100" t="s">
        <v>30</v>
      </c>
      <c r="Z1543" s="100" t="s">
        <v>30</v>
      </c>
      <c r="AA1543" s="100" t="s">
        <v>30</v>
      </c>
      <c r="AB1543" s="100" t="s">
        <v>30</v>
      </c>
      <c r="AC1543" s="100" t="s">
        <v>30</v>
      </c>
      <c r="AD1543" s="100" t="s">
        <v>30</v>
      </c>
      <c r="AE1543" s="100" t="s">
        <v>30</v>
      </c>
      <c r="AF1543" s="100" t="s">
        <v>30</v>
      </c>
      <c r="AG1543" s="100" t="s">
        <v>30</v>
      </c>
      <c r="AH1543" s="111" t="s">
        <v>30</v>
      </c>
      <c r="AI1543" s="111" t="s">
        <v>30</v>
      </c>
      <c r="AJ1543" s="111" t="s">
        <v>30</v>
      </c>
      <c r="AK1543" s="111" t="s">
        <v>30</v>
      </c>
      <c r="AL1543" s="82" t="s">
        <v>30</v>
      </c>
      <c r="AM1543" s="360" t="s">
        <v>2080</v>
      </c>
      <c r="AV1543" s="109"/>
    </row>
    <row r="1544" spans="1:48">
      <c r="A1544" s="358" t="s">
        <v>24</v>
      </c>
      <c r="B1544" s="369">
        <v>1541</v>
      </c>
      <c r="C1544" s="372" t="s">
        <v>2235</v>
      </c>
      <c r="D1544" s="372" t="s">
        <v>2236</v>
      </c>
      <c r="E1544" s="373">
        <v>45982</v>
      </c>
      <c r="F1544" s="372" t="s">
        <v>324</v>
      </c>
      <c r="G1544" s="372">
        <v>12</v>
      </c>
      <c r="H1544" s="372" t="s">
        <v>67</v>
      </c>
      <c r="I1544" s="372" t="s">
        <v>47</v>
      </c>
      <c r="J1544" s="372"/>
      <c r="K1544" s="358" t="s">
        <v>2205</v>
      </c>
      <c r="L1544" s="358" t="s">
        <v>2200</v>
      </c>
      <c r="M1544" s="358" t="s">
        <v>2211</v>
      </c>
      <c r="N1544" s="358" t="s">
        <v>2206</v>
      </c>
      <c r="O1544" s="380" t="s">
        <v>32</v>
      </c>
      <c r="P1544" s="380" t="s">
        <v>1091</v>
      </c>
      <c r="Q1544" s="24">
        <v>46022</v>
      </c>
      <c r="R1544" s="81" t="s">
        <v>127</v>
      </c>
      <c r="S1544" s="358" t="s">
        <v>32</v>
      </c>
      <c r="T1544" s="22">
        <v>19</v>
      </c>
      <c r="U1544" s="24" t="s">
        <v>127</v>
      </c>
      <c r="V1544" s="24">
        <v>46022</v>
      </c>
      <c r="W1544" s="100" t="s">
        <v>30</v>
      </c>
      <c r="X1544" s="100" t="s">
        <v>30</v>
      </c>
      <c r="Y1544" s="100" t="s">
        <v>30</v>
      </c>
      <c r="Z1544" s="100" t="s">
        <v>30</v>
      </c>
      <c r="AA1544" s="100" t="s">
        <v>30</v>
      </c>
      <c r="AB1544" s="100" t="s">
        <v>30</v>
      </c>
      <c r="AC1544" s="100" t="s">
        <v>30</v>
      </c>
      <c r="AD1544" s="100" t="s">
        <v>30</v>
      </c>
      <c r="AE1544" s="100" t="s">
        <v>30</v>
      </c>
      <c r="AF1544" s="100" t="s">
        <v>30</v>
      </c>
      <c r="AG1544" s="100" t="s">
        <v>30</v>
      </c>
      <c r="AH1544" s="111" t="s">
        <v>30</v>
      </c>
      <c r="AI1544" s="100" t="s">
        <v>30</v>
      </c>
      <c r="AJ1544" s="100" t="s">
        <v>30</v>
      </c>
      <c r="AK1544" s="100" t="s">
        <v>30</v>
      </c>
      <c r="AL1544" s="114" t="s">
        <v>32</v>
      </c>
      <c r="AM1544" s="360"/>
      <c r="AV1544" s="109"/>
    </row>
    <row r="1545" spans="1:48">
      <c r="A1545" s="358" t="s">
        <v>24</v>
      </c>
      <c r="B1545" s="369">
        <v>1542</v>
      </c>
      <c r="C1545" s="372" t="s">
        <v>2237</v>
      </c>
      <c r="D1545" s="372" t="s">
        <v>178</v>
      </c>
      <c r="E1545" s="373">
        <v>45982</v>
      </c>
      <c r="F1545" s="372" t="s">
        <v>199</v>
      </c>
      <c r="G1545" s="372">
        <v>28</v>
      </c>
      <c r="H1545" s="372" t="s">
        <v>1721</v>
      </c>
      <c r="I1545" s="372" t="s">
        <v>1638</v>
      </c>
      <c r="J1545" s="102" t="s">
        <v>2238</v>
      </c>
      <c r="K1545" s="358" t="s">
        <v>2098</v>
      </c>
      <c r="L1545" s="358" t="s">
        <v>2211</v>
      </c>
      <c r="M1545" s="358" t="s">
        <v>2211</v>
      </c>
      <c r="N1545" s="358" t="s">
        <v>2050</v>
      </c>
      <c r="O1545" s="117" t="s">
        <v>30</v>
      </c>
      <c r="P1545" s="380"/>
      <c r="Q1545" s="24"/>
      <c r="R1545" s="81" t="s">
        <v>1138</v>
      </c>
      <c r="S1545" s="22"/>
      <c r="T1545" s="22"/>
      <c r="U1545" s="24" t="s">
        <v>1138</v>
      </c>
      <c r="V1545" s="24"/>
      <c r="W1545" s="100" t="s">
        <v>30</v>
      </c>
      <c r="X1545" s="100" t="s">
        <v>30</v>
      </c>
      <c r="Y1545" s="100" t="s">
        <v>30</v>
      </c>
      <c r="Z1545" s="100" t="s">
        <v>30</v>
      </c>
      <c r="AA1545" s="100" t="s">
        <v>30</v>
      </c>
      <c r="AB1545" s="100" t="s">
        <v>30</v>
      </c>
      <c r="AC1545" s="100" t="s">
        <v>30</v>
      </c>
      <c r="AD1545" s="100" t="s">
        <v>30</v>
      </c>
      <c r="AE1545" s="100" t="s">
        <v>30</v>
      </c>
      <c r="AF1545" s="100" t="s">
        <v>30</v>
      </c>
      <c r="AG1545" s="100" t="s">
        <v>30</v>
      </c>
      <c r="AH1545" s="100" t="s">
        <v>30</v>
      </c>
      <c r="AI1545" s="100" t="s">
        <v>30</v>
      </c>
      <c r="AJ1545" s="100" t="s">
        <v>30</v>
      </c>
      <c r="AK1545" s="100" t="s">
        <v>30</v>
      </c>
      <c r="AL1545" s="114" t="s">
        <v>32</v>
      </c>
      <c r="AM1545" s="360"/>
      <c r="AR1545" s="88"/>
      <c r="AS1545" s="72"/>
      <c r="AT1545" s="72"/>
      <c r="AU1545" s="72"/>
      <c r="AV1545" s="109"/>
    </row>
    <row r="1546" spans="1:48">
      <c r="A1546" s="358" t="s">
        <v>24</v>
      </c>
      <c r="B1546" s="369">
        <v>1543</v>
      </c>
      <c r="C1546" s="372" t="s">
        <v>2239</v>
      </c>
      <c r="D1546" s="372" t="s">
        <v>34</v>
      </c>
      <c r="E1546" s="373">
        <v>45983</v>
      </c>
      <c r="F1546" s="372" t="s">
        <v>2240</v>
      </c>
      <c r="G1546" s="372">
        <v>19</v>
      </c>
      <c r="H1546" s="372" t="s">
        <v>127</v>
      </c>
      <c r="I1546" s="372" t="s">
        <v>178</v>
      </c>
      <c r="J1546" s="102" t="s">
        <v>2241</v>
      </c>
      <c r="K1546" s="358" t="s">
        <v>2130</v>
      </c>
      <c r="L1546" s="358" t="s">
        <v>2217</v>
      </c>
      <c r="M1546" s="358" t="s">
        <v>2217</v>
      </c>
      <c r="N1546" s="358" t="s">
        <v>2050</v>
      </c>
      <c r="O1546" s="117" t="s">
        <v>30</v>
      </c>
      <c r="P1546" s="380"/>
      <c r="Q1546" s="24"/>
      <c r="R1546" s="81" t="s">
        <v>28</v>
      </c>
      <c r="S1546" s="22"/>
      <c r="T1546" s="22"/>
      <c r="U1546" s="24"/>
      <c r="V1546" s="24"/>
      <c r="W1546" s="94" t="s">
        <v>30</v>
      </c>
      <c r="X1546" s="100" t="s">
        <v>30</v>
      </c>
      <c r="Y1546" s="100" t="s">
        <v>30</v>
      </c>
      <c r="Z1546" s="95" t="s">
        <v>32</v>
      </c>
      <c r="AA1546" s="95" t="s">
        <v>32</v>
      </c>
      <c r="AB1546" s="100" t="s">
        <v>30</v>
      </c>
      <c r="AC1546" s="100" t="s">
        <v>30</v>
      </c>
      <c r="AD1546" s="100" t="s">
        <v>30</v>
      </c>
      <c r="AE1546" s="100" t="s">
        <v>30</v>
      </c>
      <c r="AF1546" s="100" t="s">
        <v>30</v>
      </c>
      <c r="AG1546" s="100" t="s">
        <v>30</v>
      </c>
      <c r="AH1546" s="100" t="s">
        <v>30</v>
      </c>
      <c r="AI1546" s="100" t="s">
        <v>30</v>
      </c>
      <c r="AJ1546" s="100" t="s">
        <v>30</v>
      </c>
      <c r="AK1546" s="100" t="s">
        <v>30</v>
      </c>
      <c r="AL1546" s="114" t="s">
        <v>32</v>
      </c>
      <c r="AM1546" s="360" t="s">
        <v>2080</v>
      </c>
      <c r="AO1546" s="412"/>
      <c r="AP1546" s="412"/>
      <c r="AQ1546" s="412"/>
      <c r="AR1546" s="412"/>
      <c r="AV1546" s="109"/>
    </row>
    <row r="1547" spans="1:48">
      <c r="A1547" s="358" t="s">
        <v>24</v>
      </c>
      <c r="B1547" s="369">
        <v>1544</v>
      </c>
      <c r="C1547" s="372" t="s">
        <v>2242</v>
      </c>
      <c r="D1547" s="372" t="s">
        <v>34</v>
      </c>
      <c r="E1547" s="373">
        <v>45983</v>
      </c>
      <c r="F1547" s="372" t="s">
        <v>106</v>
      </c>
      <c r="G1547" s="372">
        <v>12</v>
      </c>
      <c r="H1547" s="372" t="s">
        <v>127</v>
      </c>
      <c r="I1547" s="372" t="s">
        <v>178</v>
      </c>
      <c r="J1547" s="372"/>
      <c r="K1547" s="358" t="s">
        <v>2087</v>
      </c>
      <c r="L1547" s="358" t="s">
        <v>2217</v>
      </c>
      <c r="M1547" s="358" t="s">
        <v>2217</v>
      </c>
      <c r="N1547" s="358" t="s">
        <v>2050</v>
      </c>
      <c r="O1547" s="380" t="s">
        <v>32</v>
      </c>
      <c r="P1547" s="380" t="s">
        <v>1091</v>
      </c>
      <c r="Q1547" s="24">
        <v>46013</v>
      </c>
      <c r="R1547" s="81" t="s">
        <v>28</v>
      </c>
      <c r="S1547" s="22" t="s">
        <v>32</v>
      </c>
      <c r="T1547" s="22">
        <v>9</v>
      </c>
      <c r="U1547" s="24" t="s">
        <v>28</v>
      </c>
      <c r="V1547" s="24">
        <v>46013</v>
      </c>
      <c r="W1547" s="100" t="s">
        <v>30</v>
      </c>
      <c r="X1547" s="100" t="s">
        <v>30</v>
      </c>
      <c r="Y1547" s="100" t="s">
        <v>30</v>
      </c>
      <c r="Z1547" s="95" t="s">
        <v>32</v>
      </c>
      <c r="AA1547" s="95" t="s">
        <v>32</v>
      </c>
      <c r="AB1547" s="95" t="s">
        <v>32</v>
      </c>
      <c r="AC1547" s="100" t="s">
        <v>30</v>
      </c>
      <c r="AD1547" s="100" t="s">
        <v>30</v>
      </c>
      <c r="AE1547" s="100" t="s">
        <v>30</v>
      </c>
      <c r="AF1547" s="100" t="s">
        <v>30</v>
      </c>
      <c r="AG1547" s="100" t="s">
        <v>30</v>
      </c>
      <c r="AH1547" s="111" t="s">
        <v>30</v>
      </c>
      <c r="AI1547" s="100" t="s">
        <v>30</v>
      </c>
      <c r="AJ1547" s="100" t="s">
        <v>30</v>
      </c>
      <c r="AK1547" s="100" t="s">
        <v>30</v>
      </c>
      <c r="AL1547" s="82" t="s">
        <v>30</v>
      </c>
      <c r="AM1547" s="360" t="s">
        <v>2089</v>
      </c>
      <c r="AS1547" s="72"/>
      <c r="AT1547" s="96"/>
      <c r="AU1547" s="96"/>
      <c r="AV1547" s="109"/>
    </row>
    <row r="1548" spans="1:48">
      <c r="A1548" s="358" t="s">
        <v>24</v>
      </c>
      <c r="B1548" s="369">
        <v>1545</v>
      </c>
      <c r="C1548" s="372" t="s">
        <v>2243</v>
      </c>
      <c r="D1548" s="372" t="s">
        <v>34</v>
      </c>
      <c r="E1548" s="373">
        <v>45983</v>
      </c>
      <c r="F1548" s="372" t="s">
        <v>97</v>
      </c>
      <c r="G1548" s="372">
        <v>31</v>
      </c>
      <c r="H1548" s="372" t="s">
        <v>127</v>
      </c>
      <c r="I1548" s="372" t="s">
        <v>178</v>
      </c>
      <c r="J1548" s="102"/>
      <c r="K1548" s="358" t="s">
        <v>2244</v>
      </c>
      <c r="L1548" s="358" t="s">
        <v>2217</v>
      </c>
      <c r="M1548" s="358" t="s">
        <v>2217</v>
      </c>
      <c r="N1548" s="358" t="s">
        <v>2245</v>
      </c>
      <c r="O1548" s="117" t="s">
        <v>30</v>
      </c>
      <c r="P1548" s="23" t="s">
        <v>1091</v>
      </c>
      <c r="Q1548" s="24">
        <v>46013</v>
      </c>
      <c r="R1548" s="81" t="s">
        <v>28</v>
      </c>
      <c r="S1548" s="22" t="s">
        <v>32</v>
      </c>
      <c r="T1548" s="22">
        <v>29</v>
      </c>
      <c r="U1548" s="24" t="s">
        <v>28</v>
      </c>
      <c r="V1548" s="24">
        <v>46013</v>
      </c>
      <c r="W1548" s="100" t="s">
        <v>30</v>
      </c>
      <c r="X1548" s="100" t="s">
        <v>30</v>
      </c>
      <c r="Y1548" s="100" t="s">
        <v>30</v>
      </c>
      <c r="Z1548" s="100" t="s">
        <v>30</v>
      </c>
      <c r="AA1548" s="100" t="s">
        <v>30</v>
      </c>
      <c r="AB1548" s="100" t="s">
        <v>30</v>
      </c>
      <c r="AC1548" s="100" t="s">
        <v>30</v>
      </c>
      <c r="AD1548" s="100" t="s">
        <v>30</v>
      </c>
      <c r="AE1548" s="100" t="s">
        <v>30</v>
      </c>
      <c r="AF1548" s="100" t="s">
        <v>30</v>
      </c>
      <c r="AG1548" s="100" t="s">
        <v>30</v>
      </c>
      <c r="AH1548" s="111" t="s">
        <v>30</v>
      </c>
      <c r="AI1548" s="100" t="s">
        <v>30</v>
      </c>
      <c r="AJ1548" s="100" t="s">
        <v>30</v>
      </c>
      <c r="AK1548" s="100" t="s">
        <v>30</v>
      </c>
      <c r="AL1548" s="82" t="s">
        <v>30</v>
      </c>
      <c r="AM1548" s="360"/>
      <c r="AO1548" s="412"/>
      <c r="AP1548" s="412"/>
      <c r="AQ1548" s="412"/>
      <c r="AR1548" s="412"/>
      <c r="AV1548" s="109"/>
    </row>
    <row r="1549" spans="1:48">
      <c r="A1549" s="358" t="s">
        <v>24</v>
      </c>
      <c r="B1549" s="369">
        <v>1546</v>
      </c>
      <c r="C1549" s="372" t="s">
        <v>2246</v>
      </c>
      <c r="D1549" s="372" t="s">
        <v>178</v>
      </c>
      <c r="E1549" s="373">
        <v>45983</v>
      </c>
      <c r="F1549" s="372" t="s">
        <v>1962</v>
      </c>
      <c r="G1549" s="372">
        <v>11</v>
      </c>
      <c r="H1549" s="372" t="s">
        <v>127</v>
      </c>
      <c r="I1549" s="372" t="s">
        <v>178</v>
      </c>
      <c r="J1549" s="372"/>
      <c r="K1549" s="358" t="s">
        <v>2085</v>
      </c>
      <c r="L1549" s="358" t="s">
        <v>2217</v>
      </c>
      <c r="M1549" s="358" t="s">
        <v>2217</v>
      </c>
      <c r="N1549" s="358" t="s">
        <v>2050</v>
      </c>
      <c r="O1549" s="380" t="s">
        <v>32</v>
      </c>
      <c r="P1549" s="23" t="s">
        <v>1091</v>
      </c>
      <c r="Q1549" s="24">
        <v>46014</v>
      </c>
      <c r="R1549" s="81" t="s">
        <v>28</v>
      </c>
      <c r="S1549" s="22" t="s">
        <v>32</v>
      </c>
      <c r="T1549" s="22">
        <v>12</v>
      </c>
      <c r="U1549" s="24" t="s">
        <v>28</v>
      </c>
      <c r="V1549" s="24">
        <v>46014</v>
      </c>
      <c r="W1549" s="100" t="s">
        <v>30</v>
      </c>
      <c r="X1549" s="100" t="s">
        <v>30</v>
      </c>
      <c r="Y1549" s="100" t="s">
        <v>30</v>
      </c>
      <c r="Z1549" s="100" t="s">
        <v>30</v>
      </c>
      <c r="AA1549" s="100" t="s">
        <v>30</v>
      </c>
      <c r="AB1549" s="100" t="s">
        <v>30</v>
      </c>
      <c r="AC1549" s="100" t="s">
        <v>30</v>
      </c>
      <c r="AD1549" s="100" t="s">
        <v>30</v>
      </c>
      <c r="AE1549" s="100" t="s">
        <v>30</v>
      </c>
      <c r="AF1549" s="100" t="s">
        <v>30</v>
      </c>
      <c r="AG1549" s="100" t="s">
        <v>30</v>
      </c>
      <c r="AH1549" s="111" t="s">
        <v>30</v>
      </c>
      <c r="AI1549" s="111" t="s">
        <v>30</v>
      </c>
      <c r="AJ1549" s="111" t="s">
        <v>30</v>
      </c>
      <c r="AK1549" s="111" t="s">
        <v>30</v>
      </c>
      <c r="AL1549" s="82" t="s">
        <v>30</v>
      </c>
      <c r="AM1549" s="360"/>
      <c r="AO1549" s="412"/>
      <c r="AP1549" s="412"/>
      <c r="AQ1549" s="412"/>
      <c r="AR1549" s="412"/>
      <c r="AV1549" s="109"/>
    </row>
    <row r="1550" spans="1:48">
      <c r="A1550" s="358" t="s">
        <v>24</v>
      </c>
      <c r="B1550" s="369">
        <v>1547</v>
      </c>
      <c r="C1550" s="372" t="s">
        <v>2247</v>
      </c>
      <c r="D1550" s="372" t="s">
        <v>34</v>
      </c>
      <c r="E1550" s="373">
        <v>45983</v>
      </c>
      <c r="F1550" s="372" t="s">
        <v>206</v>
      </c>
      <c r="G1550" s="372">
        <v>12</v>
      </c>
      <c r="H1550" s="372" t="s">
        <v>127</v>
      </c>
      <c r="I1550" s="372" t="s">
        <v>178</v>
      </c>
      <c r="J1550" s="372"/>
      <c r="K1550" s="358" t="s">
        <v>2180</v>
      </c>
      <c r="L1550" s="358" t="s">
        <v>2217</v>
      </c>
      <c r="M1550" s="358" t="s">
        <v>2217</v>
      </c>
      <c r="N1550" s="358" t="s">
        <v>2248</v>
      </c>
      <c r="O1550" s="380" t="s">
        <v>32</v>
      </c>
      <c r="P1550" s="380" t="s">
        <v>1091</v>
      </c>
      <c r="Q1550" s="24">
        <v>46026</v>
      </c>
      <c r="R1550" s="81" t="s">
        <v>127</v>
      </c>
      <c r="S1550" s="22" t="s">
        <v>32</v>
      </c>
      <c r="T1550" s="22">
        <v>11</v>
      </c>
      <c r="U1550" s="24" t="s">
        <v>127</v>
      </c>
      <c r="V1550" s="24">
        <v>46026</v>
      </c>
      <c r="W1550" s="100" t="s">
        <v>30</v>
      </c>
      <c r="X1550" s="100" t="s">
        <v>30</v>
      </c>
      <c r="Y1550" s="100" t="s">
        <v>30</v>
      </c>
      <c r="Z1550" s="95" t="s">
        <v>32</v>
      </c>
      <c r="AA1550" s="95" t="s">
        <v>32</v>
      </c>
      <c r="AB1550" s="95" t="s">
        <v>32</v>
      </c>
      <c r="AC1550" s="100" t="s">
        <v>30</v>
      </c>
      <c r="AD1550" s="100" t="s">
        <v>30</v>
      </c>
      <c r="AE1550" s="100" t="s">
        <v>30</v>
      </c>
      <c r="AF1550" s="100" t="s">
        <v>30</v>
      </c>
      <c r="AG1550" s="100" t="s">
        <v>30</v>
      </c>
      <c r="AH1550" s="111" t="s">
        <v>30</v>
      </c>
      <c r="AI1550" s="100" t="s">
        <v>30</v>
      </c>
      <c r="AJ1550" s="100" t="s">
        <v>30</v>
      </c>
      <c r="AK1550" s="111" t="s">
        <v>30</v>
      </c>
      <c r="AL1550" s="114" t="s">
        <v>32</v>
      </c>
      <c r="AM1550" s="360" t="s">
        <v>2089</v>
      </c>
      <c r="AN1550" s="6"/>
      <c r="AO1550" s="6"/>
      <c r="AP1550" s="6"/>
      <c r="AQ1550" s="6"/>
      <c r="AR1550" s="6"/>
      <c r="AS1550" s="108"/>
      <c r="AT1550" s="109"/>
      <c r="AU1550" s="109"/>
      <c r="AV1550" s="109"/>
    </row>
    <row r="1551" spans="1:48">
      <c r="A1551" s="358" t="s">
        <v>24</v>
      </c>
      <c r="B1551" s="369">
        <v>1548</v>
      </c>
      <c r="C1551" s="372" t="s">
        <v>2249</v>
      </c>
      <c r="D1551" s="372" t="s">
        <v>102</v>
      </c>
      <c r="E1551" s="373">
        <v>45983</v>
      </c>
      <c r="F1551" s="372" t="s">
        <v>1135</v>
      </c>
      <c r="G1551" s="372">
        <v>12</v>
      </c>
      <c r="H1551" s="372" t="s">
        <v>67</v>
      </c>
      <c r="I1551" s="372" t="s">
        <v>47</v>
      </c>
      <c r="J1551" s="102" t="s">
        <v>2250</v>
      </c>
      <c r="K1551" s="358" t="s">
        <v>2126</v>
      </c>
      <c r="L1551" s="358" t="s">
        <v>2251</v>
      </c>
      <c r="M1551" s="358" t="s">
        <v>2251</v>
      </c>
      <c r="N1551" s="358" t="s">
        <v>2252</v>
      </c>
      <c r="O1551" s="380" t="s">
        <v>32</v>
      </c>
      <c r="P1551" s="380" t="s">
        <v>1091</v>
      </c>
      <c r="Q1551" s="24">
        <v>46030</v>
      </c>
      <c r="R1551" s="81" t="s">
        <v>2253</v>
      </c>
      <c r="S1551" s="22" t="s">
        <v>32</v>
      </c>
      <c r="T1551" s="22">
        <v>12</v>
      </c>
      <c r="U1551" s="81" t="s">
        <v>2253</v>
      </c>
      <c r="V1551" s="24">
        <v>46030</v>
      </c>
      <c r="W1551" s="100" t="s">
        <v>30</v>
      </c>
      <c r="X1551" s="100" t="s">
        <v>30</v>
      </c>
      <c r="Y1551" s="100" t="s">
        <v>30</v>
      </c>
      <c r="Z1551" s="100" t="s">
        <v>30</v>
      </c>
      <c r="AA1551" s="100" t="s">
        <v>30</v>
      </c>
      <c r="AB1551" s="100" t="s">
        <v>30</v>
      </c>
      <c r="AC1551" s="100" t="s">
        <v>30</v>
      </c>
      <c r="AD1551" s="100" t="s">
        <v>30</v>
      </c>
      <c r="AE1551" s="100" t="s">
        <v>30</v>
      </c>
      <c r="AF1551" s="100" t="s">
        <v>30</v>
      </c>
      <c r="AG1551" s="100" t="s">
        <v>30</v>
      </c>
      <c r="AH1551" s="111" t="s">
        <v>30</v>
      </c>
      <c r="AI1551" s="114" t="s">
        <v>32</v>
      </c>
      <c r="AJ1551" s="100" t="s">
        <v>30</v>
      </c>
      <c r="AK1551" s="114" t="s">
        <v>32</v>
      </c>
      <c r="AL1551" s="114" t="s">
        <v>32</v>
      </c>
      <c r="AM1551" s="360" t="s">
        <v>2080</v>
      </c>
      <c r="AN1551" s="6"/>
      <c r="AO1551" s="6"/>
      <c r="AP1551" s="6"/>
      <c r="AQ1551" s="6"/>
      <c r="AR1551" s="6"/>
      <c r="AS1551" s="108"/>
      <c r="AT1551" s="109"/>
      <c r="AU1551" s="109"/>
      <c r="AV1551" s="109"/>
    </row>
    <row r="1552" spans="1:48">
      <c r="A1552" s="358" t="s">
        <v>24</v>
      </c>
      <c r="B1552" s="369">
        <v>1549</v>
      </c>
      <c r="C1552" s="372" t="s">
        <v>2254</v>
      </c>
      <c r="D1552" s="372" t="s">
        <v>102</v>
      </c>
      <c r="E1552" s="373">
        <v>45983</v>
      </c>
      <c r="F1552" s="372" t="s">
        <v>683</v>
      </c>
      <c r="G1552" s="372">
        <v>25</v>
      </c>
      <c r="H1552" s="372" t="s">
        <v>67</v>
      </c>
      <c r="I1552" s="372" t="s">
        <v>47</v>
      </c>
      <c r="J1552" s="102" t="s">
        <v>2250</v>
      </c>
      <c r="K1552" s="358" t="s">
        <v>2123</v>
      </c>
      <c r="L1552" s="358" t="s">
        <v>2217</v>
      </c>
      <c r="M1552" s="358" t="s">
        <v>2217</v>
      </c>
      <c r="N1552" s="358" t="s">
        <v>2050</v>
      </c>
      <c r="O1552" s="117" t="s">
        <v>30</v>
      </c>
      <c r="P1552" s="380"/>
      <c r="Q1552" s="24"/>
      <c r="R1552" s="81" t="s">
        <v>127</v>
      </c>
      <c r="S1552" s="22"/>
      <c r="T1552" s="22"/>
      <c r="U1552" s="24"/>
      <c r="V1552" s="24"/>
      <c r="W1552" s="100" t="s">
        <v>30</v>
      </c>
      <c r="X1552" s="100" t="s">
        <v>30</v>
      </c>
      <c r="Y1552" s="100" t="s">
        <v>30</v>
      </c>
      <c r="Z1552" s="100" t="s">
        <v>30</v>
      </c>
      <c r="AA1552" s="100" t="s">
        <v>30</v>
      </c>
      <c r="AB1552" s="100" t="s">
        <v>30</v>
      </c>
      <c r="AC1552" s="100" t="s">
        <v>30</v>
      </c>
      <c r="AD1552" s="100" t="s">
        <v>30</v>
      </c>
      <c r="AE1552" s="100" t="s">
        <v>30</v>
      </c>
      <c r="AF1552" s="100" t="s">
        <v>30</v>
      </c>
      <c r="AG1552" s="100" t="s">
        <v>30</v>
      </c>
      <c r="AH1552" s="111" t="s">
        <v>30</v>
      </c>
      <c r="AI1552" s="111" t="s">
        <v>30</v>
      </c>
      <c r="AJ1552" s="111" t="s">
        <v>30</v>
      </c>
      <c r="AK1552" s="111" t="s">
        <v>30</v>
      </c>
      <c r="AL1552" s="114" t="s">
        <v>32</v>
      </c>
      <c r="AM1552" s="360"/>
      <c r="AV1552" s="109"/>
    </row>
    <row r="1553" spans="1:48">
      <c r="A1553" s="358" t="s">
        <v>24</v>
      </c>
      <c r="B1553" s="369">
        <v>1550</v>
      </c>
      <c r="C1553" s="372" t="s">
        <v>2255</v>
      </c>
      <c r="D1553" s="372" t="s">
        <v>50</v>
      </c>
      <c r="E1553" s="373">
        <v>45983</v>
      </c>
      <c r="F1553" s="372" t="s">
        <v>272</v>
      </c>
      <c r="G1553" s="372">
        <v>12</v>
      </c>
      <c r="H1553" s="372" t="s">
        <v>67</v>
      </c>
      <c r="I1553" s="372" t="s">
        <v>47</v>
      </c>
      <c r="J1553" s="372"/>
      <c r="K1553" s="358" t="s">
        <v>2113</v>
      </c>
      <c r="L1553" s="358" t="s">
        <v>2211</v>
      </c>
      <c r="M1553" s="358" t="s">
        <v>2217</v>
      </c>
      <c r="N1553" s="358" t="s">
        <v>2050</v>
      </c>
      <c r="O1553" s="380" t="s">
        <v>32</v>
      </c>
      <c r="P1553" s="380" t="s">
        <v>1091</v>
      </c>
      <c r="Q1553" s="24">
        <v>46022</v>
      </c>
      <c r="R1553" s="81" t="s">
        <v>127</v>
      </c>
      <c r="S1553" s="358" t="s">
        <v>32</v>
      </c>
      <c r="T1553" s="22">
        <v>13</v>
      </c>
      <c r="U1553" s="24" t="s">
        <v>127</v>
      </c>
      <c r="V1553" s="24">
        <v>46022</v>
      </c>
      <c r="W1553" s="100" t="s">
        <v>30</v>
      </c>
      <c r="X1553" s="100" t="s">
        <v>30</v>
      </c>
      <c r="Y1553" s="100" t="s">
        <v>30</v>
      </c>
      <c r="Z1553" s="100" t="s">
        <v>30</v>
      </c>
      <c r="AA1553" s="100" t="s">
        <v>30</v>
      </c>
      <c r="AB1553" s="100" t="s">
        <v>30</v>
      </c>
      <c r="AC1553" s="100" t="s">
        <v>30</v>
      </c>
      <c r="AD1553" s="100" t="s">
        <v>30</v>
      </c>
      <c r="AE1553" s="100" t="s">
        <v>30</v>
      </c>
      <c r="AF1553" s="100" t="s">
        <v>30</v>
      </c>
      <c r="AG1553" s="100" t="s">
        <v>30</v>
      </c>
      <c r="AH1553" s="111" t="s">
        <v>30</v>
      </c>
      <c r="AI1553" s="111" t="s">
        <v>30</v>
      </c>
      <c r="AJ1553" s="111" t="s">
        <v>30</v>
      </c>
      <c r="AK1553" s="111" t="s">
        <v>30</v>
      </c>
      <c r="AL1553" s="114" t="s">
        <v>32</v>
      </c>
      <c r="AM1553" s="360"/>
      <c r="AN1553" s="91"/>
      <c r="AO1553" s="91"/>
      <c r="AS1553" s="72"/>
      <c r="AT1553" s="96"/>
      <c r="AU1553" s="96"/>
      <c r="AV1553" s="109"/>
    </row>
    <row r="1554" spans="1:48">
      <c r="A1554" s="358" t="s">
        <v>24</v>
      </c>
      <c r="B1554" s="369">
        <v>1551</v>
      </c>
      <c r="C1554" s="372" t="s">
        <v>2256</v>
      </c>
      <c r="D1554" s="372" t="s">
        <v>34</v>
      </c>
      <c r="E1554" s="373">
        <v>45983</v>
      </c>
      <c r="F1554" s="372" t="s">
        <v>2257</v>
      </c>
      <c r="G1554" s="372">
        <v>39</v>
      </c>
      <c r="H1554" s="372" t="s">
        <v>67</v>
      </c>
      <c r="I1554" s="372" t="s">
        <v>47</v>
      </c>
      <c r="J1554" s="372"/>
      <c r="K1554" s="358" t="s">
        <v>2195</v>
      </c>
      <c r="L1554" s="358" t="s">
        <v>2211</v>
      </c>
      <c r="M1554" s="358" t="s">
        <v>2211</v>
      </c>
      <c r="N1554" s="358" t="s">
        <v>2258</v>
      </c>
      <c r="O1554" s="117" t="s">
        <v>30</v>
      </c>
      <c r="P1554" s="23" t="s">
        <v>1091</v>
      </c>
      <c r="Q1554" s="24">
        <v>46022</v>
      </c>
      <c r="R1554" s="81" t="s">
        <v>127</v>
      </c>
      <c r="S1554" s="358" t="s">
        <v>32</v>
      </c>
      <c r="T1554" s="22">
        <v>13</v>
      </c>
      <c r="U1554" s="24" t="s">
        <v>127</v>
      </c>
      <c r="V1554" s="24">
        <v>46022</v>
      </c>
      <c r="W1554" s="100" t="s">
        <v>30</v>
      </c>
      <c r="X1554" s="100" t="s">
        <v>30</v>
      </c>
      <c r="Y1554" s="100" t="s">
        <v>30</v>
      </c>
      <c r="Z1554" s="100" t="s">
        <v>30</v>
      </c>
      <c r="AA1554" s="100" t="s">
        <v>30</v>
      </c>
      <c r="AB1554" s="100" t="s">
        <v>30</v>
      </c>
      <c r="AC1554" s="100" t="s">
        <v>30</v>
      </c>
      <c r="AD1554" s="100" t="s">
        <v>30</v>
      </c>
      <c r="AE1554" s="100" t="s">
        <v>30</v>
      </c>
      <c r="AF1554" s="100" t="s">
        <v>30</v>
      </c>
      <c r="AG1554" s="100" t="s">
        <v>30</v>
      </c>
      <c r="AH1554" s="111" t="s">
        <v>30</v>
      </c>
      <c r="AI1554" s="100" t="s">
        <v>30</v>
      </c>
      <c r="AJ1554" s="100" t="s">
        <v>30</v>
      </c>
      <c r="AK1554" s="100" t="s">
        <v>30</v>
      </c>
      <c r="AL1554" s="114" t="s">
        <v>32</v>
      </c>
      <c r="AM1554" s="360"/>
      <c r="AS1554" s="72"/>
      <c r="AT1554" s="96"/>
      <c r="AU1554" s="96"/>
      <c r="AV1554" s="109"/>
    </row>
    <row r="1555" spans="1:48">
      <c r="A1555" s="358" t="s">
        <v>24</v>
      </c>
      <c r="B1555" s="369">
        <v>1552</v>
      </c>
      <c r="C1555" s="372" t="s">
        <v>2259</v>
      </c>
      <c r="D1555" s="372" t="s">
        <v>34</v>
      </c>
      <c r="E1555" s="373">
        <v>45983</v>
      </c>
      <c r="F1555" s="372" t="s">
        <v>2260</v>
      </c>
      <c r="G1555" s="372">
        <v>19</v>
      </c>
      <c r="H1555" s="372" t="s">
        <v>67</v>
      </c>
      <c r="I1555" s="372" t="s">
        <v>47</v>
      </c>
      <c r="J1555" s="372"/>
      <c r="K1555" s="358" t="s">
        <v>2098</v>
      </c>
      <c r="L1555" s="358" t="s">
        <v>2217</v>
      </c>
      <c r="M1555" s="358" t="s">
        <v>2217</v>
      </c>
      <c r="N1555" s="358" t="s">
        <v>2050</v>
      </c>
      <c r="O1555" s="117" t="s">
        <v>30</v>
      </c>
      <c r="P1555" s="380" t="s">
        <v>1091</v>
      </c>
      <c r="Q1555" s="24">
        <v>46017</v>
      </c>
      <c r="R1555" s="384" t="s">
        <v>1138</v>
      </c>
      <c r="S1555" s="358" t="s">
        <v>32</v>
      </c>
      <c r="T1555" s="358">
        <v>16</v>
      </c>
      <c r="U1555" s="24" t="s">
        <v>1138</v>
      </c>
      <c r="V1555" s="24">
        <v>46017</v>
      </c>
      <c r="W1555" s="100" t="s">
        <v>30</v>
      </c>
      <c r="X1555" s="100" t="s">
        <v>30</v>
      </c>
      <c r="Y1555" s="100" t="s">
        <v>30</v>
      </c>
      <c r="Z1555" s="100" t="s">
        <v>30</v>
      </c>
      <c r="AA1555" s="100" t="s">
        <v>30</v>
      </c>
      <c r="AB1555" s="100" t="s">
        <v>30</v>
      </c>
      <c r="AC1555" s="100" t="s">
        <v>30</v>
      </c>
      <c r="AD1555" s="100" t="s">
        <v>30</v>
      </c>
      <c r="AE1555" s="100" t="s">
        <v>30</v>
      </c>
      <c r="AF1555" s="100" t="s">
        <v>30</v>
      </c>
      <c r="AG1555" s="100" t="s">
        <v>30</v>
      </c>
      <c r="AH1555" s="111" t="s">
        <v>30</v>
      </c>
      <c r="AI1555" s="100" t="s">
        <v>30</v>
      </c>
      <c r="AJ1555" s="100" t="s">
        <v>30</v>
      </c>
      <c r="AK1555" s="100" t="s">
        <v>30</v>
      </c>
      <c r="AL1555" s="114" t="s">
        <v>32</v>
      </c>
      <c r="AM1555" s="360" t="s">
        <v>2080</v>
      </c>
      <c r="AN1555" s="91"/>
      <c r="AO1555" s="91"/>
      <c r="AS1555" s="72"/>
      <c r="AT1555" s="96"/>
      <c r="AU1555" s="96"/>
      <c r="AV1555" s="109"/>
    </row>
    <row r="1556" spans="1:48">
      <c r="A1556" s="358" t="s">
        <v>24</v>
      </c>
      <c r="B1556" s="369">
        <v>1553</v>
      </c>
      <c r="C1556" s="372" t="s">
        <v>2261</v>
      </c>
      <c r="D1556" s="372" t="s">
        <v>34</v>
      </c>
      <c r="E1556" s="373">
        <v>45983</v>
      </c>
      <c r="F1556" s="372" t="s">
        <v>2260</v>
      </c>
      <c r="G1556" s="372">
        <v>1</v>
      </c>
      <c r="H1556" s="372" t="s">
        <v>67</v>
      </c>
      <c r="I1556" s="372" t="s">
        <v>47</v>
      </c>
      <c r="J1556" s="372"/>
      <c r="K1556" s="358" t="s">
        <v>2098</v>
      </c>
      <c r="L1556" s="358" t="s">
        <v>401</v>
      </c>
      <c r="M1556" s="358" t="s">
        <v>401</v>
      </c>
      <c r="N1556" s="358" t="s">
        <v>401</v>
      </c>
      <c r="O1556" s="380" t="s">
        <v>32</v>
      </c>
      <c r="P1556" s="252" t="s">
        <v>1091</v>
      </c>
      <c r="Q1556" s="24">
        <v>46027</v>
      </c>
      <c r="R1556" s="81" t="s">
        <v>127</v>
      </c>
      <c r="S1556" s="358" t="s">
        <v>32</v>
      </c>
      <c r="T1556" s="22">
        <v>9</v>
      </c>
      <c r="U1556" s="24" t="s">
        <v>127</v>
      </c>
      <c r="V1556" s="24">
        <v>46027</v>
      </c>
      <c r="W1556" s="100" t="s">
        <v>30</v>
      </c>
      <c r="X1556" s="100" t="s">
        <v>30</v>
      </c>
      <c r="Y1556" s="100" t="s">
        <v>30</v>
      </c>
      <c r="Z1556" s="100" t="s">
        <v>30</v>
      </c>
      <c r="AA1556" s="100" t="s">
        <v>30</v>
      </c>
      <c r="AB1556" s="100" t="s">
        <v>30</v>
      </c>
      <c r="AC1556" s="100" t="s">
        <v>30</v>
      </c>
      <c r="AD1556" s="100" t="s">
        <v>30</v>
      </c>
      <c r="AE1556" s="100" t="s">
        <v>30</v>
      </c>
      <c r="AF1556" s="100" t="s">
        <v>30</v>
      </c>
      <c r="AG1556" s="100" t="s">
        <v>30</v>
      </c>
      <c r="AH1556" s="100" t="s">
        <v>30</v>
      </c>
      <c r="AI1556" s="100" t="s">
        <v>30</v>
      </c>
      <c r="AJ1556" s="100" t="s">
        <v>30</v>
      </c>
      <c r="AK1556" s="100" t="s">
        <v>30</v>
      </c>
      <c r="AL1556" s="114" t="s">
        <v>32</v>
      </c>
      <c r="AM1556" s="360" t="s">
        <v>2080</v>
      </c>
      <c r="AN1556" s="91"/>
      <c r="AO1556" s="91"/>
      <c r="AS1556" s="72"/>
      <c r="AT1556" s="96"/>
      <c r="AU1556" s="96"/>
      <c r="AV1556" s="109"/>
    </row>
    <row r="1557" spans="1:48">
      <c r="A1557" s="358" t="s">
        <v>24</v>
      </c>
      <c r="B1557" s="369">
        <v>1554</v>
      </c>
      <c r="C1557" s="372" t="s">
        <v>2262</v>
      </c>
      <c r="D1557" s="372" t="s">
        <v>102</v>
      </c>
      <c r="E1557" s="373">
        <v>45983</v>
      </c>
      <c r="F1557" s="372" t="s">
        <v>653</v>
      </c>
      <c r="G1557" s="372">
        <v>13</v>
      </c>
      <c r="H1557" s="372" t="s">
        <v>67</v>
      </c>
      <c r="I1557" s="372" t="s">
        <v>47</v>
      </c>
      <c r="J1557" s="102" t="s">
        <v>2250</v>
      </c>
      <c r="K1557" s="358" t="s">
        <v>2066</v>
      </c>
      <c r="L1557" s="358" t="s">
        <v>2217</v>
      </c>
      <c r="M1557" s="358" t="s">
        <v>2217</v>
      </c>
      <c r="N1557" s="358" t="s">
        <v>2050</v>
      </c>
      <c r="O1557" s="380" t="s">
        <v>32</v>
      </c>
      <c r="P1557" s="380"/>
      <c r="Q1557" s="24"/>
      <c r="R1557" s="81" t="s">
        <v>127</v>
      </c>
      <c r="S1557" s="22"/>
      <c r="T1557" s="22"/>
      <c r="U1557" s="24"/>
      <c r="V1557" s="24"/>
      <c r="W1557" s="100" t="s">
        <v>30</v>
      </c>
      <c r="X1557" s="100" t="s">
        <v>30</v>
      </c>
      <c r="Y1557" s="100" t="s">
        <v>30</v>
      </c>
      <c r="Z1557" s="100" t="s">
        <v>30</v>
      </c>
      <c r="AA1557" s="95" t="s">
        <v>32</v>
      </c>
      <c r="AB1557" s="95" t="s">
        <v>32</v>
      </c>
      <c r="AC1557" s="100" t="s">
        <v>30</v>
      </c>
      <c r="AD1557" s="100" t="s">
        <v>30</v>
      </c>
      <c r="AE1557" s="100" t="s">
        <v>30</v>
      </c>
      <c r="AF1557" s="100" t="s">
        <v>30</v>
      </c>
      <c r="AG1557" s="100" t="s">
        <v>30</v>
      </c>
      <c r="AH1557" s="100" t="s">
        <v>30</v>
      </c>
      <c r="AI1557" s="100" t="s">
        <v>30</v>
      </c>
      <c r="AJ1557" s="100" t="s">
        <v>30</v>
      </c>
      <c r="AK1557" s="114" t="s">
        <v>32</v>
      </c>
      <c r="AL1557" s="114" t="s">
        <v>32</v>
      </c>
      <c r="AM1557" s="360" t="s">
        <v>2080</v>
      </c>
      <c r="AS1557" s="72"/>
      <c r="AT1557" s="96"/>
      <c r="AU1557" s="96"/>
      <c r="AV1557" s="109"/>
    </row>
    <row r="1558" spans="1:48">
      <c r="A1558" s="358" t="s">
        <v>24</v>
      </c>
      <c r="B1558" s="369">
        <v>1555</v>
      </c>
      <c r="C1558" s="372" t="s">
        <v>2263</v>
      </c>
      <c r="D1558" s="372" t="s">
        <v>606</v>
      </c>
      <c r="E1558" s="373">
        <v>45983</v>
      </c>
      <c r="F1558" s="372" t="s">
        <v>398</v>
      </c>
      <c r="G1558" s="372">
        <v>12</v>
      </c>
      <c r="H1558" s="372" t="s">
        <v>67</v>
      </c>
      <c r="I1558" s="372" t="s">
        <v>47</v>
      </c>
      <c r="J1558" s="372"/>
      <c r="K1558" s="360" t="s">
        <v>2264</v>
      </c>
      <c r="L1558" s="358" t="s">
        <v>2251</v>
      </c>
      <c r="M1558" s="358" t="s">
        <v>2251</v>
      </c>
      <c r="N1558" s="358" t="s">
        <v>2050</v>
      </c>
      <c r="O1558" s="380" t="s">
        <v>32</v>
      </c>
      <c r="P1558" s="252" t="s">
        <v>1091</v>
      </c>
      <c r="Q1558" s="24">
        <v>46027</v>
      </c>
      <c r="R1558" s="81" t="s">
        <v>127</v>
      </c>
      <c r="S1558" s="358" t="s">
        <v>32</v>
      </c>
      <c r="T1558" s="22">
        <v>12</v>
      </c>
      <c r="U1558" s="24" t="s">
        <v>127</v>
      </c>
      <c r="V1558" s="24">
        <v>46027</v>
      </c>
      <c r="W1558" s="100" t="s">
        <v>30</v>
      </c>
      <c r="X1558" s="100" t="s">
        <v>30</v>
      </c>
      <c r="Y1558" s="100" t="s">
        <v>30</v>
      </c>
      <c r="Z1558" s="100" t="s">
        <v>30</v>
      </c>
      <c r="AA1558" s="100" t="s">
        <v>30</v>
      </c>
      <c r="AB1558" s="100" t="s">
        <v>30</v>
      </c>
      <c r="AC1558" s="100" t="s">
        <v>30</v>
      </c>
      <c r="AD1558" s="100" t="s">
        <v>30</v>
      </c>
      <c r="AE1558" s="100" t="s">
        <v>30</v>
      </c>
      <c r="AF1558" s="100" t="s">
        <v>30</v>
      </c>
      <c r="AG1558" s="100" t="s">
        <v>30</v>
      </c>
      <c r="AH1558" s="100" t="s">
        <v>30</v>
      </c>
      <c r="AI1558" s="100" t="s">
        <v>30</v>
      </c>
      <c r="AJ1558" s="111" t="s">
        <v>30</v>
      </c>
      <c r="AK1558" s="111" t="s">
        <v>30</v>
      </c>
      <c r="AL1558" s="114" t="s">
        <v>32</v>
      </c>
      <c r="AM1558" s="360"/>
      <c r="AV1558" s="109"/>
    </row>
    <row r="1559" spans="1:48">
      <c r="A1559" s="358" t="s">
        <v>24</v>
      </c>
      <c r="B1559" s="369">
        <v>1556</v>
      </c>
      <c r="C1559" s="372" t="s">
        <v>2265</v>
      </c>
      <c r="D1559" s="372" t="s">
        <v>102</v>
      </c>
      <c r="E1559" s="373">
        <v>45983</v>
      </c>
      <c r="F1559" s="372" t="s">
        <v>187</v>
      </c>
      <c r="G1559" s="372">
        <v>21</v>
      </c>
      <c r="H1559" s="372" t="s">
        <v>67</v>
      </c>
      <c r="I1559" s="372" t="s">
        <v>47</v>
      </c>
      <c r="J1559" s="372"/>
      <c r="K1559" s="360" t="s">
        <v>2266</v>
      </c>
      <c r="L1559" s="358" t="s">
        <v>2227</v>
      </c>
      <c r="M1559" s="358" t="s">
        <v>2227</v>
      </c>
      <c r="N1559" s="358" t="s">
        <v>2050</v>
      </c>
      <c r="O1559" s="117" t="s">
        <v>30</v>
      </c>
      <c r="P1559" s="380" t="s">
        <v>1091</v>
      </c>
      <c r="Q1559" s="24">
        <v>46024</v>
      </c>
      <c r="R1559" s="81" t="s">
        <v>127</v>
      </c>
      <c r="S1559" s="22" t="s">
        <v>32</v>
      </c>
      <c r="T1559" s="22">
        <v>19</v>
      </c>
      <c r="U1559" s="24" t="s">
        <v>127</v>
      </c>
      <c r="V1559" s="24">
        <v>46024</v>
      </c>
      <c r="W1559" s="100" t="s">
        <v>30</v>
      </c>
      <c r="X1559" s="100" t="s">
        <v>30</v>
      </c>
      <c r="Y1559" s="100" t="s">
        <v>30</v>
      </c>
      <c r="Z1559" s="100" t="s">
        <v>30</v>
      </c>
      <c r="AA1559" s="100" t="s">
        <v>30</v>
      </c>
      <c r="AB1559" s="100" t="s">
        <v>30</v>
      </c>
      <c r="AC1559" s="100" t="s">
        <v>30</v>
      </c>
      <c r="AD1559" s="100" t="s">
        <v>30</v>
      </c>
      <c r="AE1559" s="100" t="s">
        <v>30</v>
      </c>
      <c r="AF1559" s="100" t="s">
        <v>30</v>
      </c>
      <c r="AG1559" s="100" t="s">
        <v>30</v>
      </c>
      <c r="AH1559" s="100" t="s">
        <v>30</v>
      </c>
      <c r="AI1559" s="100" t="s">
        <v>30</v>
      </c>
      <c r="AJ1559" s="100" t="s">
        <v>30</v>
      </c>
      <c r="AK1559" s="100" t="s">
        <v>30</v>
      </c>
      <c r="AL1559" s="114" t="s">
        <v>32</v>
      </c>
      <c r="AM1559" s="360" t="s">
        <v>2080</v>
      </c>
      <c r="AS1559" s="72"/>
      <c r="AT1559" s="96"/>
      <c r="AU1559" s="96"/>
      <c r="AV1559" s="109"/>
    </row>
    <row r="1560" spans="1:48">
      <c r="A1560" s="358" t="s">
        <v>24</v>
      </c>
      <c r="B1560" s="369">
        <v>1557</v>
      </c>
      <c r="C1560" s="372" t="s">
        <v>2267</v>
      </c>
      <c r="D1560" s="372" t="s">
        <v>34</v>
      </c>
      <c r="E1560" s="373">
        <v>45983</v>
      </c>
      <c r="F1560" s="372" t="s">
        <v>35</v>
      </c>
      <c r="G1560" s="372">
        <v>11</v>
      </c>
      <c r="H1560" s="372" t="s">
        <v>1721</v>
      </c>
      <c r="I1560" s="372" t="s">
        <v>127</v>
      </c>
      <c r="J1560" s="372"/>
      <c r="K1560" s="360" t="s">
        <v>2102</v>
      </c>
      <c r="L1560" s="358" t="s">
        <v>2217</v>
      </c>
      <c r="M1560" s="358" t="s">
        <v>2217</v>
      </c>
      <c r="N1560" s="358" t="s">
        <v>2166</v>
      </c>
      <c r="O1560" s="380" t="s">
        <v>32</v>
      </c>
      <c r="P1560" s="380" t="s">
        <v>1091</v>
      </c>
      <c r="Q1560" s="24">
        <v>46022</v>
      </c>
      <c r="R1560" s="81" t="s">
        <v>1638</v>
      </c>
      <c r="S1560" s="358" t="s">
        <v>1140</v>
      </c>
      <c r="T1560" s="22">
        <v>10</v>
      </c>
      <c r="U1560" s="24" t="s">
        <v>1638</v>
      </c>
      <c r="V1560" s="24">
        <v>46022</v>
      </c>
      <c r="W1560" s="100" t="s">
        <v>30</v>
      </c>
      <c r="X1560" s="100" t="s">
        <v>30</v>
      </c>
      <c r="Y1560" s="100" t="s">
        <v>30</v>
      </c>
      <c r="Z1560" s="100" t="s">
        <v>30</v>
      </c>
      <c r="AA1560" s="100" t="s">
        <v>30</v>
      </c>
      <c r="AB1560" s="100" t="s">
        <v>30</v>
      </c>
      <c r="AC1560" s="100" t="s">
        <v>30</v>
      </c>
      <c r="AD1560" s="100" t="s">
        <v>30</v>
      </c>
      <c r="AE1560" s="100" t="s">
        <v>30</v>
      </c>
      <c r="AF1560" s="100" t="s">
        <v>30</v>
      </c>
      <c r="AG1560" s="100" t="s">
        <v>30</v>
      </c>
      <c r="AH1560" s="111" t="s">
        <v>30</v>
      </c>
      <c r="AI1560" s="100" t="s">
        <v>30</v>
      </c>
      <c r="AJ1560" s="100" t="s">
        <v>30</v>
      </c>
      <c r="AK1560" s="111" t="s">
        <v>30</v>
      </c>
      <c r="AL1560" s="114" t="s">
        <v>32</v>
      </c>
      <c r="AM1560" s="360"/>
      <c r="AS1560" s="72"/>
      <c r="AT1560" s="96"/>
      <c r="AU1560" s="96"/>
      <c r="AV1560" s="109"/>
    </row>
    <row r="1561" spans="1:48">
      <c r="A1561" s="358" t="s">
        <v>24</v>
      </c>
      <c r="B1561" s="369">
        <v>1558</v>
      </c>
      <c r="C1561" s="372" t="s">
        <v>2268</v>
      </c>
      <c r="D1561" s="372" t="s">
        <v>1610</v>
      </c>
      <c r="E1561" s="373">
        <v>45983</v>
      </c>
      <c r="F1561" s="372" t="s">
        <v>2269</v>
      </c>
      <c r="G1561" s="372">
        <v>12</v>
      </c>
      <c r="H1561" s="372" t="s">
        <v>1721</v>
      </c>
      <c r="I1561" s="372" t="s">
        <v>127</v>
      </c>
      <c r="J1561" s="253" t="s">
        <v>2231</v>
      </c>
      <c r="K1561" s="360" t="s">
        <v>2270</v>
      </c>
      <c r="L1561" s="358" t="s">
        <v>2251</v>
      </c>
      <c r="M1561" s="358" t="s">
        <v>2251</v>
      </c>
      <c r="N1561" s="358" t="s">
        <v>2050</v>
      </c>
      <c r="O1561" s="380" t="s">
        <v>32</v>
      </c>
      <c r="P1561" s="385"/>
      <c r="Q1561" s="24"/>
      <c r="R1561" s="81" t="s">
        <v>1638</v>
      </c>
      <c r="S1561" s="22"/>
      <c r="T1561" s="22"/>
      <c r="U1561" s="24"/>
      <c r="V1561" s="24"/>
      <c r="W1561" s="107" t="s">
        <v>32</v>
      </c>
      <c r="X1561" s="107" t="s">
        <v>32</v>
      </c>
      <c r="Y1561" s="107" t="s">
        <v>32</v>
      </c>
      <c r="Z1561" s="100" t="s">
        <v>30</v>
      </c>
      <c r="AA1561" s="100" t="s">
        <v>30</v>
      </c>
      <c r="AB1561" s="100" t="s">
        <v>30</v>
      </c>
      <c r="AC1561" s="100" t="s">
        <v>30</v>
      </c>
      <c r="AD1561" s="100" t="s">
        <v>30</v>
      </c>
      <c r="AE1561" s="100" t="s">
        <v>30</v>
      </c>
      <c r="AF1561" s="100" t="s">
        <v>30</v>
      </c>
      <c r="AG1561" s="100" t="s">
        <v>30</v>
      </c>
      <c r="AH1561" s="100" t="s">
        <v>30</v>
      </c>
      <c r="AI1561" s="100" t="s">
        <v>30</v>
      </c>
      <c r="AJ1561" s="100" t="s">
        <v>30</v>
      </c>
      <c r="AK1561" s="114" t="s">
        <v>32</v>
      </c>
      <c r="AL1561" s="114" t="s">
        <v>32</v>
      </c>
      <c r="AM1561" s="360" t="s">
        <v>2080</v>
      </c>
      <c r="AV1561" s="109"/>
    </row>
    <row r="1562" spans="1:48">
      <c r="A1562" s="358" t="s">
        <v>24</v>
      </c>
      <c r="B1562" s="369">
        <v>1559</v>
      </c>
      <c r="C1562" s="372" t="s">
        <v>2271</v>
      </c>
      <c r="D1562" s="372" t="s">
        <v>34</v>
      </c>
      <c r="E1562" s="373">
        <v>45983</v>
      </c>
      <c r="F1562" s="372" t="s">
        <v>1505</v>
      </c>
      <c r="G1562" s="372">
        <v>12</v>
      </c>
      <c r="H1562" s="372" t="s">
        <v>1721</v>
      </c>
      <c r="I1562" s="372" t="s">
        <v>127</v>
      </c>
      <c r="J1562" s="372"/>
      <c r="K1562" s="360" t="s">
        <v>2092</v>
      </c>
      <c r="L1562" s="358" t="s">
        <v>2211</v>
      </c>
      <c r="M1562" s="358" t="s">
        <v>2217</v>
      </c>
      <c r="N1562" s="358" t="s">
        <v>2272</v>
      </c>
      <c r="O1562" s="380" t="s">
        <v>32</v>
      </c>
      <c r="P1562" s="380" t="s">
        <v>1091</v>
      </c>
      <c r="Q1562" s="24">
        <v>46022</v>
      </c>
      <c r="R1562" s="81" t="s">
        <v>1638</v>
      </c>
      <c r="S1562" s="358" t="s">
        <v>1140</v>
      </c>
      <c r="T1562" s="22">
        <v>12</v>
      </c>
      <c r="U1562" s="24" t="s">
        <v>1638</v>
      </c>
      <c r="V1562" s="24">
        <v>46022</v>
      </c>
      <c r="W1562" s="100" t="s">
        <v>30</v>
      </c>
      <c r="X1562" s="100" t="s">
        <v>30</v>
      </c>
      <c r="Y1562" s="100" t="s">
        <v>30</v>
      </c>
      <c r="Z1562" s="95" t="s">
        <v>32</v>
      </c>
      <c r="AA1562" s="95" t="s">
        <v>32</v>
      </c>
      <c r="AB1562" s="95" t="s">
        <v>32</v>
      </c>
      <c r="AC1562" s="100" t="s">
        <v>30</v>
      </c>
      <c r="AD1562" s="100" t="s">
        <v>30</v>
      </c>
      <c r="AE1562" s="100" t="s">
        <v>30</v>
      </c>
      <c r="AF1562" s="100" t="s">
        <v>30</v>
      </c>
      <c r="AG1562" s="100" t="s">
        <v>30</v>
      </c>
      <c r="AH1562" s="111" t="s">
        <v>30</v>
      </c>
      <c r="AI1562" s="100" t="s">
        <v>30</v>
      </c>
      <c r="AJ1562" s="100" t="s">
        <v>30</v>
      </c>
      <c r="AK1562" s="100" t="s">
        <v>30</v>
      </c>
      <c r="AL1562" s="114" t="s">
        <v>32</v>
      </c>
      <c r="AM1562" s="360" t="s">
        <v>2089</v>
      </c>
      <c r="AV1562" s="109"/>
    </row>
    <row r="1563" spans="1:48">
      <c r="A1563" s="358" t="s">
        <v>24</v>
      </c>
      <c r="B1563" s="369">
        <v>1560</v>
      </c>
      <c r="C1563" s="372" t="s">
        <v>2273</v>
      </c>
      <c r="D1563" s="372" t="s">
        <v>50</v>
      </c>
      <c r="E1563" s="373">
        <v>45983</v>
      </c>
      <c r="F1563" s="372" t="s">
        <v>179</v>
      </c>
      <c r="G1563" s="372">
        <v>23</v>
      </c>
      <c r="H1563" s="372" t="s">
        <v>1077</v>
      </c>
      <c r="I1563" s="372" t="s">
        <v>1138</v>
      </c>
      <c r="J1563" s="102" t="s">
        <v>2274</v>
      </c>
      <c r="K1563" s="360" t="s">
        <v>2108</v>
      </c>
      <c r="L1563" s="358" t="s">
        <v>2217</v>
      </c>
      <c r="M1563" s="358" t="s">
        <v>2227</v>
      </c>
      <c r="N1563" s="358" t="s">
        <v>2050</v>
      </c>
      <c r="O1563" s="117" t="s">
        <v>30</v>
      </c>
      <c r="P1563" s="385"/>
      <c r="Q1563" s="24"/>
      <c r="R1563" s="81" t="s">
        <v>1138</v>
      </c>
      <c r="S1563" s="22"/>
      <c r="T1563" s="22"/>
      <c r="U1563" s="24" t="s">
        <v>1138</v>
      </c>
      <c r="V1563" s="24"/>
      <c r="W1563" s="100" t="s">
        <v>30</v>
      </c>
      <c r="X1563" s="100" t="s">
        <v>30</v>
      </c>
      <c r="Y1563" s="100" t="s">
        <v>30</v>
      </c>
      <c r="Z1563" s="100" t="s">
        <v>30</v>
      </c>
      <c r="AA1563" s="100" t="s">
        <v>30</v>
      </c>
      <c r="AB1563" s="100" t="s">
        <v>30</v>
      </c>
      <c r="AC1563" s="100" t="s">
        <v>30</v>
      </c>
      <c r="AD1563" s="100" t="s">
        <v>30</v>
      </c>
      <c r="AE1563" s="100" t="s">
        <v>30</v>
      </c>
      <c r="AF1563" s="100" t="s">
        <v>30</v>
      </c>
      <c r="AG1563" s="100" t="s">
        <v>30</v>
      </c>
      <c r="AH1563" s="111" t="s">
        <v>30</v>
      </c>
      <c r="AI1563" s="111" t="s">
        <v>30</v>
      </c>
      <c r="AJ1563" s="111" t="s">
        <v>30</v>
      </c>
      <c r="AK1563" s="111" t="s">
        <v>30</v>
      </c>
      <c r="AL1563" s="114" t="s">
        <v>32</v>
      </c>
      <c r="AM1563" s="360"/>
      <c r="AR1563" s="88"/>
      <c r="AS1563" s="72"/>
      <c r="AT1563" s="72"/>
      <c r="AU1563" s="72"/>
      <c r="AV1563" s="109"/>
    </row>
    <row r="1564" spans="1:48">
      <c r="A1564" s="358" t="s">
        <v>24</v>
      </c>
      <c r="B1564" s="369">
        <v>1561</v>
      </c>
      <c r="C1564" s="372" t="s">
        <v>2275</v>
      </c>
      <c r="D1564" s="372" t="s">
        <v>83</v>
      </c>
      <c r="E1564" s="373">
        <v>45983</v>
      </c>
      <c r="F1564" s="372" t="s">
        <v>65</v>
      </c>
      <c r="G1564" s="372">
        <v>11</v>
      </c>
      <c r="H1564" s="372" t="s">
        <v>1077</v>
      </c>
      <c r="I1564" s="372" t="s">
        <v>1138</v>
      </c>
      <c r="J1564" s="372"/>
      <c r="K1564" s="360" t="s">
        <v>2276</v>
      </c>
      <c r="L1564" s="358" t="s">
        <v>2211</v>
      </c>
      <c r="M1564" s="358" t="s">
        <v>2227</v>
      </c>
      <c r="N1564" s="358" t="s">
        <v>2166</v>
      </c>
      <c r="O1564" s="380" t="s">
        <v>32</v>
      </c>
      <c r="P1564" s="380" t="s">
        <v>1091</v>
      </c>
      <c r="Q1564" s="24">
        <v>46021</v>
      </c>
      <c r="R1564" s="81" t="s">
        <v>1138</v>
      </c>
      <c r="S1564" s="22" t="s">
        <v>1140</v>
      </c>
      <c r="T1564" s="22">
        <v>11</v>
      </c>
      <c r="U1564" s="24" t="s">
        <v>1138</v>
      </c>
      <c r="V1564" s="24">
        <v>46021</v>
      </c>
      <c r="W1564" s="100" t="s">
        <v>30</v>
      </c>
      <c r="X1564" s="100" t="s">
        <v>30</v>
      </c>
      <c r="Y1564" s="100" t="s">
        <v>30</v>
      </c>
      <c r="Z1564" s="100" t="s">
        <v>30</v>
      </c>
      <c r="AA1564" s="100" t="s">
        <v>30</v>
      </c>
      <c r="AB1564" s="100" t="s">
        <v>30</v>
      </c>
      <c r="AC1564" s="100" t="s">
        <v>30</v>
      </c>
      <c r="AD1564" s="100" t="s">
        <v>30</v>
      </c>
      <c r="AE1564" s="100" t="s">
        <v>30</v>
      </c>
      <c r="AF1564" s="100" t="s">
        <v>30</v>
      </c>
      <c r="AG1564" s="100" t="s">
        <v>30</v>
      </c>
      <c r="AH1564" s="100" t="s">
        <v>30</v>
      </c>
      <c r="AI1564" s="114" t="s">
        <v>32</v>
      </c>
      <c r="AJ1564" s="114" t="s">
        <v>32</v>
      </c>
      <c r="AK1564" s="114" t="s">
        <v>32</v>
      </c>
      <c r="AL1564" s="114" t="s">
        <v>32</v>
      </c>
      <c r="AM1564" s="360" t="s">
        <v>2080</v>
      </c>
      <c r="AS1564" s="72"/>
      <c r="AT1564" s="96"/>
      <c r="AU1564" s="96"/>
      <c r="AV1564" s="109"/>
    </row>
    <row r="1565" spans="1:48">
      <c r="A1565" s="358" t="s">
        <v>24</v>
      </c>
      <c r="B1565" s="369">
        <v>1562</v>
      </c>
      <c r="C1565" s="372" t="s">
        <v>2277</v>
      </c>
      <c r="D1565" s="372" t="s">
        <v>83</v>
      </c>
      <c r="E1565" s="373">
        <v>45983</v>
      </c>
      <c r="F1565" s="372" t="s">
        <v>165</v>
      </c>
      <c r="G1565" s="372">
        <v>17</v>
      </c>
      <c r="H1565" s="372" t="s">
        <v>1077</v>
      </c>
      <c r="I1565" s="372" t="s">
        <v>1138</v>
      </c>
      <c r="J1565" s="372"/>
      <c r="K1565" s="358" t="s">
        <v>2162</v>
      </c>
      <c r="L1565" s="358" t="s">
        <v>2211</v>
      </c>
      <c r="M1565" s="358" t="s">
        <v>2227</v>
      </c>
      <c r="N1565" s="358" t="s">
        <v>2278</v>
      </c>
      <c r="O1565" s="117" t="s">
        <v>30</v>
      </c>
      <c r="P1565" s="380" t="s">
        <v>1091</v>
      </c>
      <c r="Q1565" s="24">
        <v>46021</v>
      </c>
      <c r="R1565" s="81" t="s">
        <v>48</v>
      </c>
      <c r="S1565" s="22" t="s">
        <v>1140</v>
      </c>
      <c r="T1565" s="22">
        <v>15</v>
      </c>
      <c r="U1565" s="24" t="s">
        <v>48</v>
      </c>
      <c r="V1565" s="24">
        <v>46021</v>
      </c>
      <c r="W1565" s="100" t="s">
        <v>30</v>
      </c>
      <c r="X1565" s="100" t="s">
        <v>30</v>
      </c>
      <c r="Y1565" s="100" t="s">
        <v>30</v>
      </c>
      <c r="Z1565" s="100" t="s">
        <v>30</v>
      </c>
      <c r="AA1565" s="100" t="s">
        <v>30</v>
      </c>
      <c r="AB1565" s="100" t="s">
        <v>30</v>
      </c>
      <c r="AC1565" s="100" t="s">
        <v>30</v>
      </c>
      <c r="AD1565" s="100" t="s">
        <v>30</v>
      </c>
      <c r="AE1565" s="100" t="s">
        <v>30</v>
      </c>
      <c r="AF1565" s="100" t="s">
        <v>30</v>
      </c>
      <c r="AG1565" s="100" t="s">
        <v>30</v>
      </c>
      <c r="AH1565" s="100" t="s">
        <v>30</v>
      </c>
      <c r="AI1565" s="100" t="s">
        <v>30</v>
      </c>
      <c r="AJ1565" s="100" t="s">
        <v>30</v>
      </c>
      <c r="AK1565" s="100" t="s">
        <v>30</v>
      </c>
      <c r="AL1565" s="114" t="s">
        <v>32</v>
      </c>
      <c r="AM1565" s="360"/>
      <c r="AV1565" s="109"/>
    </row>
    <row r="1566" spans="1:48">
      <c r="A1566" s="358" t="s">
        <v>24</v>
      </c>
      <c r="B1566" s="369">
        <v>1563</v>
      </c>
      <c r="C1566" s="372" t="s">
        <v>2279</v>
      </c>
      <c r="D1566" s="372" t="s">
        <v>34</v>
      </c>
      <c r="E1566" s="373">
        <v>45983</v>
      </c>
      <c r="F1566" s="372" t="s">
        <v>2107</v>
      </c>
      <c r="G1566" s="372">
        <v>13</v>
      </c>
      <c r="H1566" s="372" t="s">
        <v>1077</v>
      </c>
      <c r="I1566" s="372" t="s">
        <v>1138</v>
      </c>
      <c r="J1566" s="372"/>
      <c r="K1566" s="360" t="s">
        <v>2052</v>
      </c>
      <c r="L1566" s="358" t="s">
        <v>2217</v>
      </c>
      <c r="M1566" s="358" t="s">
        <v>2217</v>
      </c>
      <c r="N1566" s="358" t="s">
        <v>2050</v>
      </c>
      <c r="O1566" s="380" t="s">
        <v>32</v>
      </c>
      <c r="P1566" s="380" t="s">
        <v>1091</v>
      </c>
      <c r="Q1566" s="24">
        <v>46021</v>
      </c>
      <c r="R1566" s="81" t="s">
        <v>48</v>
      </c>
      <c r="S1566" s="22" t="s">
        <v>1140</v>
      </c>
      <c r="T1566" s="22">
        <v>13</v>
      </c>
      <c r="U1566" s="24" t="s">
        <v>48</v>
      </c>
      <c r="V1566" s="24">
        <v>46021</v>
      </c>
      <c r="W1566" s="100" t="s">
        <v>30</v>
      </c>
      <c r="X1566" s="100" t="s">
        <v>30</v>
      </c>
      <c r="Y1566" s="100" t="s">
        <v>30</v>
      </c>
      <c r="Z1566" s="100" t="s">
        <v>30</v>
      </c>
      <c r="AA1566" s="100" t="s">
        <v>30</v>
      </c>
      <c r="AB1566" s="100" t="s">
        <v>30</v>
      </c>
      <c r="AC1566" s="100" t="s">
        <v>30</v>
      </c>
      <c r="AD1566" s="100" t="s">
        <v>30</v>
      </c>
      <c r="AE1566" s="100" t="s">
        <v>30</v>
      </c>
      <c r="AF1566" s="100" t="s">
        <v>30</v>
      </c>
      <c r="AG1566" s="100" t="s">
        <v>30</v>
      </c>
      <c r="AH1566" s="100" t="s">
        <v>30</v>
      </c>
      <c r="AI1566" s="111" t="s">
        <v>30</v>
      </c>
      <c r="AJ1566" s="111" t="s">
        <v>30</v>
      </c>
      <c r="AK1566" s="111" t="s">
        <v>30</v>
      </c>
      <c r="AL1566" s="114" t="s">
        <v>32</v>
      </c>
      <c r="AM1566" s="360"/>
      <c r="AV1566" s="109"/>
    </row>
    <row r="1567" spans="1:48">
      <c r="A1567" s="358" t="s">
        <v>24</v>
      </c>
      <c r="B1567" s="369">
        <v>1564</v>
      </c>
      <c r="C1567" s="372" t="s">
        <v>2280</v>
      </c>
      <c r="D1567" s="372" t="s">
        <v>923</v>
      </c>
      <c r="E1567" s="373">
        <v>45985</v>
      </c>
      <c r="F1567" s="372" t="s">
        <v>364</v>
      </c>
      <c r="G1567" s="372">
        <v>9</v>
      </c>
      <c r="H1567" s="372" t="s">
        <v>1721</v>
      </c>
      <c r="I1567" s="372" t="s">
        <v>1638</v>
      </c>
      <c r="J1567" s="372"/>
      <c r="K1567" s="360" t="s">
        <v>2098</v>
      </c>
      <c r="L1567" s="358" t="s">
        <v>2251</v>
      </c>
      <c r="M1567" s="358" t="s">
        <v>2251</v>
      </c>
      <c r="N1567" s="358" t="s">
        <v>2050</v>
      </c>
      <c r="O1567" s="380" t="s">
        <v>32</v>
      </c>
      <c r="P1567" s="252" t="s">
        <v>1091</v>
      </c>
      <c r="Q1567" s="24">
        <v>46009</v>
      </c>
      <c r="R1567" s="81" t="s">
        <v>1638</v>
      </c>
      <c r="S1567" s="22" t="s">
        <v>32</v>
      </c>
      <c r="T1567" s="22">
        <v>9</v>
      </c>
      <c r="U1567" s="24" t="s">
        <v>1638</v>
      </c>
      <c r="V1567" s="24">
        <v>46009</v>
      </c>
      <c r="W1567" s="100" t="s">
        <v>30</v>
      </c>
      <c r="X1567" s="100" t="s">
        <v>30</v>
      </c>
      <c r="Y1567" s="100" t="s">
        <v>30</v>
      </c>
      <c r="Z1567" s="100" t="s">
        <v>30</v>
      </c>
      <c r="AA1567" s="100" t="s">
        <v>30</v>
      </c>
      <c r="AB1567" s="100" t="s">
        <v>30</v>
      </c>
      <c r="AC1567" s="100" t="s">
        <v>30</v>
      </c>
      <c r="AD1567" s="100" t="s">
        <v>30</v>
      </c>
      <c r="AE1567" s="100" t="s">
        <v>30</v>
      </c>
      <c r="AF1567" s="100" t="s">
        <v>30</v>
      </c>
      <c r="AG1567" s="100" t="s">
        <v>30</v>
      </c>
      <c r="AH1567" s="100" t="s">
        <v>30</v>
      </c>
      <c r="AI1567" s="100" t="s">
        <v>30</v>
      </c>
      <c r="AJ1567" s="100" t="s">
        <v>30</v>
      </c>
      <c r="AK1567" s="100" t="s">
        <v>30</v>
      </c>
      <c r="AL1567" s="82" t="s">
        <v>30</v>
      </c>
      <c r="AM1567" s="360"/>
      <c r="AO1567" s="412"/>
      <c r="AP1567" s="412"/>
      <c r="AQ1567" s="412"/>
      <c r="AR1567" s="412"/>
      <c r="AV1567" s="109"/>
    </row>
    <row r="1568" spans="1:48">
      <c r="A1568" s="358" t="s">
        <v>24</v>
      </c>
      <c r="B1568" s="369">
        <v>1565</v>
      </c>
      <c r="C1568" s="372" t="s">
        <v>2281</v>
      </c>
      <c r="D1568" s="372" t="s">
        <v>102</v>
      </c>
      <c r="E1568" s="373">
        <v>45985</v>
      </c>
      <c r="F1568" s="372" t="s">
        <v>439</v>
      </c>
      <c r="G1568" s="372">
        <v>14</v>
      </c>
      <c r="H1568" s="372" t="s">
        <v>127</v>
      </c>
      <c r="I1568" s="372" t="s">
        <v>178</v>
      </c>
      <c r="J1568" s="372"/>
      <c r="K1568" s="360" t="s">
        <v>2061</v>
      </c>
      <c r="L1568" s="358" t="s">
        <v>2251</v>
      </c>
      <c r="M1568" s="358" t="s">
        <v>2227</v>
      </c>
      <c r="N1568" s="358" t="s">
        <v>2058</v>
      </c>
      <c r="O1568" s="380" t="s">
        <v>32</v>
      </c>
      <c r="P1568" s="252" t="s">
        <v>1091</v>
      </c>
      <c r="Q1568" s="24">
        <v>46027</v>
      </c>
      <c r="R1568" s="81" t="s">
        <v>127</v>
      </c>
      <c r="S1568" s="358" t="s">
        <v>32</v>
      </c>
      <c r="T1568" s="22">
        <v>3</v>
      </c>
      <c r="U1568" s="24" t="s">
        <v>127</v>
      </c>
      <c r="V1568" s="24">
        <v>46027</v>
      </c>
      <c r="W1568" s="94" t="s">
        <v>30</v>
      </c>
      <c r="X1568" s="94" t="s">
        <v>30</v>
      </c>
      <c r="Y1568" s="94" t="s">
        <v>30</v>
      </c>
      <c r="Z1568" s="100" t="s">
        <v>30</v>
      </c>
      <c r="AA1568" s="100" t="s">
        <v>30</v>
      </c>
      <c r="AB1568" s="100" t="s">
        <v>30</v>
      </c>
      <c r="AC1568" s="100" t="s">
        <v>30</v>
      </c>
      <c r="AD1568" s="100" t="s">
        <v>30</v>
      </c>
      <c r="AE1568" s="100" t="s">
        <v>30</v>
      </c>
      <c r="AF1568" s="100" t="s">
        <v>30</v>
      </c>
      <c r="AG1568" s="100" t="s">
        <v>30</v>
      </c>
      <c r="AH1568" s="100" t="s">
        <v>30</v>
      </c>
      <c r="AI1568" s="100" t="s">
        <v>30</v>
      </c>
      <c r="AJ1568" s="100" t="s">
        <v>30</v>
      </c>
      <c r="AK1568" s="100" t="s">
        <v>30</v>
      </c>
      <c r="AL1568" s="114" t="s">
        <v>32</v>
      </c>
      <c r="AM1568" s="360"/>
      <c r="AS1568" s="72"/>
      <c r="AT1568" s="96"/>
      <c r="AU1568" s="96"/>
      <c r="AV1568" s="109"/>
    </row>
    <row r="1569" spans="1:48">
      <c r="A1569" s="358" t="s">
        <v>24</v>
      </c>
      <c r="B1569" s="369">
        <v>1566</v>
      </c>
      <c r="C1569" s="372" t="s">
        <v>2282</v>
      </c>
      <c r="D1569" s="372" t="s">
        <v>43</v>
      </c>
      <c r="E1569" s="373">
        <v>45985</v>
      </c>
      <c r="F1569" s="372" t="s">
        <v>1135</v>
      </c>
      <c r="G1569" s="372">
        <v>12</v>
      </c>
      <c r="H1569" s="372" t="s">
        <v>67</v>
      </c>
      <c r="I1569" s="372" t="s">
        <v>47</v>
      </c>
      <c r="J1569" s="372"/>
      <c r="K1569" s="360" t="s">
        <v>2145</v>
      </c>
      <c r="L1569" s="358" t="s">
        <v>2227</v>
      </c>
      <c r="M1569" s="358" t="s">
        <v>2227</v>
      </c>
      <c r="N1569" s="358" t="s">
        <v>2050</v>
      </c>
      <c r="O1569" s="380" t="s">
        <v>32</v>
      </c>
      <c r="P1569" s="380" t="s">
        <v>1091</v>
      </c>
      <c r="Q1569" s="24">
        <v>46026</v>
      </c>
      <c r="R1569" s="81" t="s">
        <v>127</v>
      </c>
      <c r="S1569" s="22" t="s">
        <v>32</v>
      </c>
      <c r="T1569" s="22">
        <v>12</v>
      </c>
      <c r="U1569" s="24" t="s">
        <v>127</v>
      </c>
      <c r="V1569" s="24">
        <v>46026</v>
      </c>
      <c r="W1569" s="100" t="s">
        <v>30</v>
      </c>
      <c r="X1569" s="100" t="s">
        <v>30</v>
      </c>
      <c r="Y1569" s="100" t="s">
        <v>30</v>
      </c>
      <c r="Z1569" s="100" t="s">
        <v>30</v>
      </c>
      <c r="AA1569" s="100" t="s">
        <v>30</v>
      </c>
      <c r="AB1569" s="100" t="s">
        <v>30</v>
      </c>
      <c r="AC1569" s="100" t="s">
        <v>30</v>
      </c>
      <c r="AD1569" s="100" t="s">
        <v>30</v>
      </c>
      <c r="AE1569" s="100" t="s">
        <v>30</v>
      </c>
      <c r="AF1569" s="100" t="s">
        <v>30</v>
      </c>
      <c r="AG1569" s="100" t="s">
        <v>30</v>
      </c>
      <c r="AH1569" s="111" t="s">
        <v>30</v>
      </c>
      <c r="AI1569" s="100" t="s">
        <v>30</v>
      </c>
      <c r="AJ1569" s="100" t="s">
        <v>30</v>
      </c>
      <c r="AK1569" s="100" t="s">
        <v>30</v>
      </c>
      <c r="AL1569" s="114" t="s">
        <v>32</v>
      </c>
      <c r="AM1569" s="360"/>
      <c r="AO1569" s="412"/>
      <c r="AP1569" s="412"/>
      <c r="AQ1569" s="412"/>
      <c r="AR1569" s="412"/>
      <c r="AV1569" s="109"/>
    </row>
    <row r="1570" spans="1:48">
      <c r="A1570" s="358" t="s">
        <v>24</v>
      </c>
      <c r="B1570" s="369">
        <v>1567</v>
      </c>
      <c r="C1570" s="372" t="s">
        <v>2283</v>
      </c>
      <c r="D1570" s="372" t="s">
        <v>2236</v>
      </c>
      <c r="E1570" s="373">
        <v>45985</v>
      </c>
      <c r="F1570" s="372" t="s">
        <v>324</v>
      </c>
      <c r="G1570" s="372">
        <v>12</v>
      </c>
      <c r="H1570" s="372" t="s">
        <v>67</v>
      </c>
      <c r="I1570" s="372" t="s">
        <v>47</v>
      </c>
      <c r="J1570" s="102" t="s">
        <v>2250</v>
      </c>
      <c r="K1570" s="360" t="s">
        <v>2284</v>
      </c>
      <c r="L1570" s="358" t="s">
        <v>2251</v>
      </c>
      <c r="M1570" s="358" t="s">
        <v>2251</v>
      </c>
      <c r="N1570" s="358" t="s">
        <v>2050</v>
      </c>
      <c r="O1570" s="380" t="s">
        <v>32</v>
      </c>
      <c r="P1570" s="252"/>
      <c r="Q1570" s="24"/>
      <c r="R1570" s="81" t="s">
        <v>127</v>
      </c>
      <c r="S1570" s="358"/>
      <c r="T1570" s="22"/>
      <c r="U1570" s="24"/>
      <c r="V1570" s="24"/>
      <c r="W1570" s="94" t="s">
        <v>30</v>
      </c>
      <c r="X1570" s="94" t="s">
        <v>30</v>
      </c>
      <c r="Y1570" s="94" t="s">
        <v>30</v>
      </c>
      <c r="Z1570" s="94" t="s">
        <v>30</v>
      </c>
      <c r="AA1570" s="94" t="s">
        <v>30</v>
      </c>
      <c r="AB1570" s="95" t="s">
        <v>32</v>
      </c>
      <c r="AC1570" s="100" t="s">
        <v>30</v>
      </c>
      <c r="AD1570" s="100" t="s">
        <v>30</v>
      </c>
      <c r="AE1570" s="100" t="s">
        <v>30</v>
      </c>
      <c r="AF1570" s="100" t="s">
        <v>30</v>
      </c>
      <c r="AG1570" s="100" t="s">
        <v>30</v>
      </c>
      <c r="AH1570" s="100" t="s">
        <v>30</v>
      </c>
      <c r="AI1570" s="100" t="s">
        <v>30</v>
      </c>
      <c r="AJ1570" s="100" t="s">
        <v>30</v>
      </c>
      <c r="AK1570" s="100" t="s">
        <v>30</v>
      </c>
      <c r="AL1570" s="114" t="s">
        <v>32</v>
      </c>
      <c r="AM1570" s="360" t="s">
        <v>2080</v>
      </c>
      <c r="AO1570" s="412"/>
      <c r="AP1570" s="412"/>
      <c r="AQ1570" s="412"/>
      <c r="AR1570" s="412"/>
      <c r="AV1570" s="109"/>
    </row>
    <row r="1571" spans="1:48">
      <c r="A1571" s="358" t="s">
        <v>24</v>
      </c>
      <c r="B1571" s="369">
        <v>1568</v>
      </c>
      <c r="C1571" s="372" t="s">
        <v>2285</v>
      </c>
      <c r="D1571" s="372" t="s">
        <v>43</v>
      </c>
      <c r="E1571" s="373">
        <v>45986</v>
      </c>
      <c r="F1571" s="372" t="s">
        <v>1105</v>
      </c>
      <c r="G1571" s="372">
        <v>6</v>
      </c>
      <c r="H1571" s="372" t="s">
        <v>1721</v>
      </c>
      <c r="I1571" s="372" t="s">
        <v>1638</v>
      </c>
      <c r="J1571" s="372"/>
      <c r="K1571" s="360" t="s">
        <v>2056</v>
      </c>
      <c r="L1571" s="358" t="s">
        <v>2217</v>
      </c>
      <c r="M1571" s="358" t="s">
        <v>2217</v>
      </c>
      <c r="N1571" s="358" t="s">
        <v>2058</v>
      </c>
      <c r="O1571" s="380" t="s">
        <v>32</v>
      </c>
      <c r="P1571" s="380" t="s">
        <v>1091</v>
      </c>
      <c r="Q1571" s="24">
        <v>46022</v>
      </c>
      <c r="R1571" s="81" t="s">
        <v>48</v>
      </c>
      <c r="S1571" s="22" t="s">
        <v>1140</v>
      </c>
      <c r="T1571" s="22">
        <v>6</v>
      </c>
      <c r="U1571" s="24" t="s">
        <v>48</v>
      </c>
      <c r="V1571" s="24">
        <v>46022</v>
      </c>
      <c r="W1571" s="100" t="s">
        <v>30</v>
      </c>
      <c r="X1571" s="100" t="s">
        <v>30</v>
      </c>
      <c r="Y1571" s="100" t="s">
        <v>30</v>
      </c>
      <c r="Z1571" s="100" t="s">
        <v>30</v>
      </c>
      <c r="AA1571" s="100" t="s">
        <v>30</v>
      </c>
      <c r="AB1571" s="100" t="s">
        <v>30</v>
      </c>
      <c r="AC1571" s="100" t="s">
        <v>30</v>
      </c>
      <c r="AD1571" s="100" t="s">
        <v>30</v>
      </c>
      <c r="AE1571" s="100" t="s">
        <v>30</v>
      </c>
      <c r="AF1571" s="100" t="s">
        <v>30</v>
      </c>
      <c r="AG1571" s="100" t="s">
        <v>30</v>
      </c>
      <c r="AH1571" s="100" t="s">
        <v>30</v>
      </c>
      <c r="AI1571" s="100" t="s">
        <v>30</v>
      </c>
      <c r="AJ1571" s="100" t="s">
        <v>30</v>
      </c>
      <c r="AK1571" s="100" t="s">
        <v>30</v>
      </c>
      <c r="AL1571" s="114" t="s">
        <v>32</v>
      </c>
      <c r="AM1571" s="360"/>
      <c r="AV1571" s="109"/>
    </row>
    <row r="1572" spans="1:48">
      <c r="A1572" s="358" t="s">
        <v>24</v>
      </c>
      <c r="B1572" s="369">
        <v>1569</v>
      </c>
      <c r="C1572" s="372" t="s">
        <v>2286</v>
      </c>
      <c r="D1572" s="372" t="s">
        <v>50</v>
      </c>
      <c r="E1572" s="373">
        <v>45986</v>
      </c>
      <c r="F1572" s="372" t="s">
        <v>1105</v>
      </c>
      <c r="G1572" s="372">
        <v>6</v>
      </c>
      <c r="H1572" s="372" t="s">
        <v>1721</v>
      </c>
      <c r="I1572" s="372" t="s">
        <v>1638</v>
      </c>
      <c r="J1572" s="372"/>
      <c r="K1572" s="360" t="s">
        <v>2056</v>
      </c>
      <c r="L1572" s="358" t="s">
        <v>401</v>
      </c>
      <c r="M1572" s="358" t="s">
        <v>401</v>
      </c>
      <c r="N1572" s="358" t="s">
        <v>401</v>
      </c>
      <c r="O1572" s="380" t="s">
        <v>32</v>
      </c>
      <c r="P1572" s="380" t="s">
        <v>1091</v>
      </c>
      <c r="Q1572" s="24">
        <v>46022</v>
      </c>
      <c r="R1572" s="81" t="s">
        <v>48</v>
      </c>
      <c r="S1572" s="22" t="s">
        <v>1140</v>
      </c>
      <c r="T1572" s="22">
        <v>6</v>
      </c>
      <c r="U1572" s="24" t="s">
        <v>48</v>
      </c>
      <c r="V1572" s="24">
        <v>46022</v>
      </c>
      <c r="W1572" s="100" t="s">
        <v>30</v>
      </c>
      <c r="X1572" s="100" t="s">
        <v>30</v>
      </c>
      <c r="Y1572" s="100" t="s">
        <v>30</v>
      </c>
      <c r="Z1572" s="100" t="s">
        <v>30</v>
      </c>
      <c r="AA1572" s="100" t="s">
        <v>30</v>
      </c>
      <c r="AB1572" s="100" t="s">
        <v>30</v>
      </c>
      <c r="AC1572" s="100" t="s">
        <v>30</v>
      </c>
      <c r="AD1572" s="100" t="s">
        <v>30</v>
      </c>
      <c r="AE1572" s="100" t="s">
        <v>30</v>
      </c>
      <c r="AF1572" s="100" t="s">
        <v>30</v>
      </c>
      <c r="AG1572" s="100" t="s">
        <v>30</v>
      </c>
      <c r="AH1572" s="111" t="s">
        <v>30</v>
      </c>
      <c r="AI1572" s="100" t="s">
        <v>30</v>
      </c>
      <c r="AJ1572" s="100" t="s">
        <v>30</v>
      </c>
      <c r="AK1572" s="100" t="s">
        <v>30</v>
      </c>
      <c r="AL1572" s="114" t="s">
        <v>32</v>
      </c>
      <c r="AM1572" s="360"/>
      <c r="AV1572" s="109"/>
    </row>
    <row r="1573" spans="1:48">
      <c r="A1573" s="358" t="s">
        <v>24</v>
      </c>
      <c r="B1573" s="369">
        <v>1570</v>
      </c>
      <c r="C1573" s="372" t="s">
        <v>2287</v>
      </c>
      <c r="D1573" s="372" t="s">
        <v>657</v>
      </c>
      <c r="E1573" s="373">
        <v>45986</v>
      </c>
      <c r="F1573" s="372" t="s">
        <v>2288</v>
      </c>
      <c r="G1573" s="372">
        <v>14</v>
      </c>
      <c r="H1573" s="372" t="s">
        <v>127</v>
      </c>
      <c r="I1573" s="372" t="s">
        <v>178</v>
      </c>
      <c r="J1573" s="372"/>
      <c r="K1573" s="360" t="s">
        <v>2056</v>
      </c>
      <c r="L1573" s="358" t="s">
        <v>2217</v>
      </c>
      <c r="M1573" s="358" t="s">
        <v>2227</v>
      </c>
      <c r="N1573" s="358" t="s">
        <v>2058</v>
      </c>
      <c r="O1573" s="380" t="s">
        <v>32</v>
      </c>
      <c r="P1573" s="380" t="s">
        <v>1091</v>
      </c>
      <c r="Q1573" s="24">
        <v>46023</v>
      </c>
      <c r="R1573" s="81" t="s">
        <v>127</v>
      </c>
      <c r="S1573" s="22" t="s">
        <v>32</v>
      </c>
      <c r="T1573" s="22">
        <v>14</v>
      </c>
      <c r="U1573" s="24" t="s">
        <v>127</v>
      </c>
      <c r="V1573" s="24">
        <v>46023</v>
      </c>
      <c r="W1573" s="100" t="s">
        <v>30</v>
      </c>
      <c r="X1573" s="107" t="s">
        <v>32</v>
      </c>
      <c r="Y1573" s="100" t="s">
        <v>30</v>
      </c>
      <c r="Z1573" s="100" t="s">
        <v>30</v>
      </c>
      <c r="AA1573" s="100" t="s">
        <v>30</v>
      </c>
      <c r="AB1573" s="100" t="s">
        <v>30</v>
      </c>
      <c r="AC1573" s="100" t="s">
        <v>30</v>
      </c>
      <c r="AD1573" s="100" t="s">
        <v>30</v>
      </c>
      <c r="AE1573" s="100" t="s">
        <v>30</v>
      </c>
      <c r="AF1573" s="100" t="s">
        <v>30</v>
      </c>
      <c r="AG1573" s="100" t="s">
        <v>30</v>
      </c>
      <c r="AH1573" s="100" t="s">
        <v>30</v>
      </c>
      <c r="AI1573" s="100" t="s">
        <v>30</v>
      </c>
      <c r="AJ1573" s="100" t="s">
        <v>30</v>
      </c>
      <c r="AK1573" s="111" t="s">
        <v>30</v>
      </c>
      <c r="AL1573" s="114" t="s">
        <v>32</v>
      </c>
      <c r="AM1573" s="360" t="s">
        <v>2071</v>
      </c>
      <c r="AN1573" s="6"/>
      <c r="AO1573" s="6"/>
      <c r="AP1573" s="6"/>
      <c r="AQ1573" s="6"/>
      <c r="AR1573" s="6"/>
      <c r="AS1573" s="108"/>
      <c r="AT1573" s="109"/>
      <c r="AU1573" s="109"/>
      <c r="AV1573" s="109"/>
    </row>
    <row r="1574" spans="1:48">
      <c r="A1574" s="358" t="s">
        <v>24</v>
      </c>
      <c r="B1574" s="369">
        <v>1571</v>
      </c>
      <c r="C1574" s="372" t="s">
        <v>2289</v>
      </c>
      <c r="D1574" s="372" t="s">
        <v>406</v>
      </c>
      <c r="E1574" s="373">
        <v>45986</v>
      </c>
      <c r="F1574" s="372" t="s">
        <v>1761</v>
      </c>
      <c r="G1574" s="372">
        <v>10</v>
      </c>
      <c r="H1574" s="372" t="s">
        <v>1077</v>
      </c>
      <c r="I1574" s="372" t="s">
        <v>1138</v>
      </c>
      <c r="J1574" s="372"/>
      <c r="K1574" s="360" t="s">
        <v>2066</v>
      </c>
      <c r="L1574" s="358" t="s">
        <v>2211</v>
      </c>
      <c r="M1574" s="358" t="s">
        <v>2211</v>
      </c>
      <c r="N1574" s="358" t="s">
        <v>2058</v>
      </c>
      <c r="O1574" s="380" t="s">
        <v>32</v>
      </c>
      <c r="P1574" s="380" t="s">
        <v>1091</v>
      </c>
      <c r="Q1574" s="24">
        <v>46021</v>
      </c>
      <c r="R1574" s="81" t="s">
        <v>48</v>
      </c>
      <c r="S1574" s="22" t="s">
        <v>1140</v>
      </c>
      <c r="T1574" s="22">
        <v>8</v>
      </c>
      <c r="U1574" s="24" t="s">
        <v>48</v>
      </c>
      <c r="V1574" s="24">
        <v>46021</v>
      </c>
      <c r="W1574" s="100" t="s">
        <v>30</v>
      </c>
      <c r="X1574" s="100" t="s">
        <v>30</v>
      </c>
      <c r="Y1574" s="100" t="s">
        <v>30</v>
      </c>
      <c r="Z1574" s="100" t="s">
        <v>30</v>
      </c>
      <c r="AA1574" s="95" t="s">
        <v>32</v>
      </c>
      <c r="AB1574" s="95" t="s">
        <v>32</v>
      </c>
      <c r="AC1574" s="100" t="s">
        <v>30</v>
      </c>
      <c r="AD1574" s="100" t="s">
        <v>30</v>
      </c>
      <c r="AE1574" s="100" t="s">
        <v>30</v>
      </c>
      <c r="AF1574" s="100" t="s">
        <v>30</v>
      </c>
      <c r="AG1574" s="100" t="s">
        <v>30</v>
      </c>
      <c r="AH1574" s="100" t="s">
        <v>30</v>
      </c>
      <c r="AI1574" s="100" t="s">
        <v>30</v>
      </c>
      <c r="AJ1574" s="100" t="s">
        <v>30</v>
      </c>
      <c r="AK1574" s="114" t="s">
        <v>32</v>
      </c>
      <c r="AL1574" s="114" t="s">
        <v>32</v>
      </c>
      <c r="AM1574" s="360" t="s">
        <v>2080</v>
      </c>
      <c r="AV1574" s="109"/>
    </row>
    <row r="1575" spans="1:48">
      <c r="A1575" s="358" t="s">
        <v>24</v>
      </c>
      <c r="B1575" s="369">
        <v>1572</v>
      </c>
      <c r="C1575" s="372" t="s">
        <v>2290</v>
      </c>
      <c r="D1575" s="372" t="s">
        <v>57</v>
      </c>
      <c r="E1575" s="373">
        <v>45986</v>
      </c>
      <c r="F1575" s="372" t="s">
        <v>674</v>
      </c>
      <c r="G1575" s="372">
        <v>16</v>
      </c>
      <c r="H1575" s="372" t="s">
        <v>1721</v>
      </c>
      <c r="I1575" s="372" t="s">
        <v>1638</v>
      </c>
      <c r="J1575" s="372"/>
      <c r="K1575" s="360" t="s">
        <v>2264</v>
      </c>
      <c r="L1575" s="380" t="s">
        <v>2211</v>
      </c>
      <c r="M1575" s="358" t="s">
        <v>2227</v>
      </c>
      <c r="N1575" s="358" t="s">
        <v>2050</v>
      </c>
      <c r="O1575" s="117" t="s">
        <v>30</v>
      </c>
      <c r="P1575" s="380" t="s">
        <v>1091</v>
      </c>
      <c r="Q1575" s="24">
        <v>46021</v>
      </c>
      <c r="R1575" s="81" t="s">
        <v>48</v>
      </c>
      <c r="S1575" s="22" t="s">
        <v>1140</v>
      </c>
      <c r="T1575" s="22">
        <v>16</v>
      </c>
      <c r="U1575" s="24" t="s">
        <v>48</v>
      </c>
      <c r="V1575" s="24">
        <v>46021</v>
      </c>
      <c r="W1575" s="100" t="s">
        <v>30</v>
      </c>
      <c r="X1575" s="100" t="s">
        <v>30</v>
      </c>
      <c r="Y1575" s="100" t="s">
        <v>30</v>
      </c>
      <c r="Z1575" s="100" t="s">
        <v>30</v>
      </c>
      <c r="AA1575" s="100" t="s">
        <v>30</v>
      </c>
      <c r="AB1575" s="100" t="s">
        <v>30</v>
      </c>
      <c r="AC1575" s="100" t="s">
        <v>30</v>
      </c>
      <c r="AD1575" s="100" t="s">
        <v>30</v>
      </c>
      <c r="AE1575" s="100" t="s">
        <v>30</v>
      </c>
      <c r="AF1575" s="100" t="s">
        <v>30</v>
      </c>
      <c r="AG1575" s="100" t="s">
        <v>30</v>
      </c>
      <c r="AH1575" s="100" t="s">
        <v>30</v>
      </c>
      <c r="AI1575" s="100" t="s">
        <v>30</v>
      </c>
      <c r="AJ1575" s="100" t="s">
        <v>30</v>
      </c>
      <c r="AK1575" s="100" t="s">
        <v>30</v>
      </c>
      <c r="AL1575" s="114" t="s">
        <v>32</v>
      </c>
      <c r="AM1575" s="360"/>
      <c r="AN1575" s="91"/>
      <c r="AO1575" s="91"/>
      <c r="AS1575" s="72"/>
      <c r="AT1575" s="96"/>
      <c r="AU1575" s="96"/>
      <c r="AV1575" s="109"/>
    </row>
    <row r="1576" spans="1:48">
      <c r="A1576" s="358" t="s">
        <v>24</v>
      </c>
      <c r="B1576" s="369">
        <v>1573</v>
      </c>
      <c r="C1576" s="372" t="s">
        <v>2003</v>
      </c>
      <c r="D1576" s="372" t="s">
        <v>34</v>
      </c>
      <c r="E1576" s="373">
        <v>45986</v>
      </c>
      <c r="F1576" s="372" t="s">
        <v>412</v>
      </c>
      <c r="G1576" s="372">
        <v>12</v>
      </c>
      <c r="H1576" s="372" t="s">
        <v>1077</v>
      </c>
      <c r="I1576" s="372" t="s">
        <v>1138</v>
      </c>
      <c r="J1576" s="372"/>
      <c r="K1576" s="360" t="s">
        <v>2052</v>
      </c>
      <c r="L1576" s="380" t="s">
        <v>2048</v>
      </c>
      <c r="M1576" s="358" t="s">
        <v>2217</v>
      </c>
      <c r="N1576" s="358" t="s">
        <v>2083</v>
      </c>
      <c r="O1576" s="380" t="s">
        <v>32</v>
      </c>
      <c r="P1576" s="380" t="s">
        <v>1091</v>
      </c>
      <c r="Q1576" s="24">
        <v>46021</v>
      </c>
      <c r="R1576" s="81" t="s">
        <v>48</v>
      </c>
      <c r="S1576" s="22" t="s">
        <v>1140</v>
      </c>
      <c r="T1576" s="22">
        <v>8</v>
      </c>
      <c r="U1576" s="24" t="s">
        <v>48</v>
      </c>
      <c r="V1576" s="24">
        <v>46021</v>
      </c>
      <c r="W1576" s="94" t="s">
        <v>30</v>
      </c>
      <c r="X1576" s="100" t="s">
        <v>30</v>
      </c>
      <c r="Y1576" s="100" t="s">
        <v>30</v>
      </c>
      <c r="Z1576" s="100" t="s">
        <v>30</v>
      </c>
      <c r="AA1576" s="100" t="s">
        <v>30</v>
      </c>
      <c r="AB1576" s="100" t="s">
        <v>30</v>
      </c>
      <c r="AC1576" s="100" t="s">
        <v>30</v>
      </c>
      <c r="AD1576" s="100" t="s">
        <v>30</v>
      </c>
      <c r="AE1576" s="100" t="s">
        <v>30</v>
      </c>
      <c r="AF1576" s="100" t="s">
        <v>30</v>
      </c>
      <c r="AG1576" s="100" t="s">
        <v>30</v>
      </c>
      <c r="AH1576" s="100" t="s">
        <v>30</v>
      </c>
      <c r="AI1576" s="111" t="s">
        <v>30</v>
      </c>
      <c r="AJ1576" s="111" t="s">
        <v>30</v>
      </c>
      <c r="AK1576" s="111" t="s">
        <v>30</v>
      </c>
      <c r="AL1576" s="114" t="s">
        <v>32</v>
      </c>
      <c r="AM1576" s="360"/>
      <c r="AS1576" s="72"/>
      <c r="AT1576" s="96"/>
      <c r="AU1576" s="96"/>
      <c r="AV1576" s="109"/>
    </row>
    <row r="1577" spans="1:48">
      <c r="A1577" s="358" t="s">
        <v>24</v>
      </c>
      <c r="B1577" s="369">
        <v>1574</v>
      </c>
      <c r="C1577" s="372" t="s">
        <v>2291</v>
      </c>
      <c r="D1577" s="372" t="s">
        <v>406</v>
      </c>
      <c r="E1577" s="373">
        <v>45987</v>
      </c>
      <c r="F1577" s="372" t="s">
        <v>707</v>
      </c>
      <c r="G1577" s="372">
        <v>13</v>
      </c>
      <c r="H1577" s="372" t="s">
        <v>67</v>
      </c>
      <c r="I1577" s="372" t="s">
        <v>47</v>
      </c>
      <c r="J1577" s="372"/>
      <c r="K1577" s="360" t="s">
        <v>2066</v>
      </c>
      <c r="L1577" s="358" t="s">
        <v>2292</v>
      </c>
      <c r="M1577" s="358" t="s">
        <v>2292</v>
      </c>
      <c r="N1577" s="358" t="s">
        <v>2058</v>
      </c>
      <c r="O1577" s="380" t="s">
        <v>32</v>
      </c>
      <c r="P1577" s="252" t="s">
        <v>1091</v>
      </c>
      <c r="Q1577" s="24">
        <v>46027</v>
      </c>
      <c r="R1577" s="81" t="s">
        <v>127</v>
      </c>
      <c r="S1577" s="358" t="s">
        <v>32</v>
      </c>
      <c r="T1577" s="22">
        <v>13</v>
      </c>
      <c r="U1577" s="24" t="s">
        <v>127</v>
      </c>
      <c r="V1577" s="24">
        <v>46027</v>
      </c>
      <c r="W1577" s="100" t="s">
        <v>30</v>
      </c>
      <c r="X1577" s="100" t="s">
        <v>30</v>
      </c>
      <c r="Y1577" s="100" t="s">
        <v>30</v>
      </c>
      <c r="Z1577" s="100" t="s">
        <v>30</v>
      </c>
      <c r="AA1577" s="95" t="s">
        <v>32</v>
      </c>
      <c r="AB1577" s="95" t="s">
        <v>32</v>
      </c>
      <c r="AC1577" s="100" t="s">
        <v>30</v>
      </c>
      <c r="AD1577" s="100" t="s">
        <v>30</v>
      </c>
      <c r="AE1577" s="100" t="s">
        <v>30</v>
      </c>
      <c r="AF1577" s="100" t="s">
        <v>30</v>
      </c>
      <c r="AG1577" s="100" t="s">
        <v>30</v>
      </c>
      <c r="AH1577" s="111" t="s">
        <v>30</v>
      </c>
      <c r="AI1577" s="114" t="s">
        <v>32</v>
      </c>
      <c r="AJ1577" s="114" t="s">
        <v>32</v>
      </c>
      <c r="AK1577" s="114" t="s">
        <v>32</v>
      </c>
      <c r="AL1577" s="114" t="s">
        <v>32</v>
      </c>
      <c r="AM1577" s="360" t="s">
        <v>2080</v>
      </c>
      <c r="AN1577" s="91"/>
      <c r="AO1577" s="91"/>
      <c r="AS1577" s="72"/>
      <c r="AT1577" s="96"/>
      <c r="AU1577" s="96"/>
      <c r="AV1577" s="109"/>
    </row>
    <row r="1578" spans="1:48">
      <c r="A1578" s="358" t="s">
        <v>24</v>
      </c>
      <c r="B1578" s="369">
        <v>1575</v>
      </c>
      <c r="C1578" s="372" t="s">
        <v>2293</v>
      </c>
      <c r="D1578" s="372" t="s">
        <v>477</v>
      </c>
      <c r="E1578" s="373">
        <v>45987</v>
      </c>
      <c r="F1578" s="372" t="s">
        <v>97</v>
      </c>
      <c r="G1578" s="372">
        <v>7</v>
      </c>
      <c r="H1578" s="372" t="s">
        <v>1721</v>
      </c>
      <c r="I1578" s="372" t="s">
        <v>1638</v>
      </c>
      <c r="J1578" s="372"/>
      <c r="K1578" s="360" t="s">
        <v>2056</v>
      </c>
      <c r="L1578" s="358" t="s">
        <v>2251</v>
      </c>
      <c r="M1578" s="358" t="s">
        <v>2251</v>
      </c>
      <c r="N1578" s="358" t="s">
        <v>2058</v>
      </c>
      <c r="O1578" s="380" t="s">
        <v>32</v>
      </c>
      <c r="P1578" s="380" t="s">
        <v>1091</v>
      </c>
      <c r="Q1578" s="24">
        <v>46020</v>
      </c>
      <c r="R1578" s="81" t="s">
        <v>48</v>
      </c>
      <c r="S1578" s="22" t="s">
        <v>1140</v>
      </c>
      <c r="T1578" s="22">
        <v>7</v>
      </c>
      <c r="U1578" s="24" t="s">
        <v>48</v>
      </c>
      <c r="V1578" s="24">
        <v>46020</v>
      </c>
      <c r="W1578" s="100" t="s">
        <v>30</v>
      </c>
      <c r="X1578" s="100" t="s">
        <v>30</v>
      </c>
      <c r="Y1578" s="100" t="s">
        <v>30</v>
      </c>
      <c r="Z1578" s="100" t="s">
        <v>30</v>
      </c>
      <c r="AA1578" s="100" t="s">
        <v>30</v>
      </c>
      <c r="AB1578" s="100" t="s">
        <v>30</v>
      </c>
      <c r="AC1578" s="100" t="s">
        <v>30</v>
      </c>
      <c r="AD1578" s="100" t="s">
        <v>30</v>
      </c>
      <c r="AE1578" s="100" t="s">
        <v>30</v>
      </c>
      <c r="AF1578" s="100" t="s">
        <v>30</v>
      </c>
      <c r="AG1578" s="100" t="s">
        <v>30</v>
      </c>
      <c r="AH1578" s="111" t="s">
        <v>30</v>
      </c>
      <c r="AI1578" s="100" t="s">
        <v>30</v>
      </c>
      <c r="AJ1578" s="100" t="s">
        <v>30</v>
      </c>
      <c r="AK1578" s="100" t="s">
        <v>30</v>
      </c>
      <c r="AL1578" s="114" t="s">
        <v>32</v>
      </c>
      <c r="AM1578" s="360"/>
      <c r="AS1578" s="72"/>
      <c r="AT1578" s="96"/>
      <c r="AU1578" s="96"/>
      <c r="AV1578" s="109"/>
    </row>
    <row r="1579" spans="1:48">
      <c r="A1579" s="358" t="s">
        <v>24</v>
      </c>
      <c r="B1579" s="369">
        <v>1576</v>
      </c>
      <c r="C1579" s="372" t="s">
        <v>2294</v>
      </c>
      <c r="D1579" s="372" t="s">
        <v>50</v>
      </c>
      <c r="E1579" s="373">
        <v>45987</v>
      </c>
      <c r="F1579" s="372" t="s">
        <v>2295</v>
      </c>
      <c r="G1579" s="372">
        <v>20</v>
      </c>
      <c r="H1579" s="372" t="s">
        <v>1077</v>
      </c>
      <c r="I1579" s="372" t="s">
        <v>1138</v>
      </c>
      <c r="J1579" s="372"/>
      <c r="K1579" s="360" t="s">
        <v>2296</v>
      </c>
      <c r="L1579" s="358" t="s">
        <v>2251</v>
      </c>
      <c r="M1579" s="358" t="s">
        <v>2251</v>
      </c>
      <c r="N1579" s="358" t="s">
        <v>2058</v>
      </c>
      <c r="O1579" s="117" t="s">
        <v>30</v>
      </c>
      <c r="P1579" s="252" t="s">
        <v>1091</v>
      </c>
      <c r="Q1579" s="24">
        <v>46022</v>
      </c>
      <c r="R1579" s="81" t="s">
        <v>1638</v>
      </c>
      <c r="S1579" s="22" t="s">
        <v>1140</v>
      </c>
      <c r="T1579" s="22">
        <v>20</v>
      </c>
      <c r="U1579" s="24" t="s">
        <v>1638</v>
      </c>
      <c r="V1579" s="24">
        <v>46022</v>
      </c>
      <c r="W1579" s="100" t="s">
        <v>30</v>
      </c>
      <c r="X1579" s="100" t="s">
        <v>30</v>
      </c>
      <c r="Y1579" s="100" t="s">
        <v>30</v>
      </c>
      <c r="Z1579" s="100" t="s">
        <v>30</v>
      </c>
      <c r="AA1579" s="100" t="s">
        <v>30</v>
      </c>
      <c r="AB1579" s="100" t="s">
        <v>30</v>
      </c>
      <c r="AC1579" s="100" t="s">
        <v>30</v>
      </c>
      <c r="AD1579" s="100" t="s">
        <v>30</v>
      </c>
      <c r="AE1579" s="100" t="s">
        <v>30</v>
      </c>
      <c r="AF1579" s="100" t="s">
        <v>30</v>
      </c>
      <c r="AG1579" s="100" t="s">
        <v>30</v>
      </c>
      <c r="AH1579" s="111" t="s">
        <v>30</v>
      </c>
      <c r="AI1579" s="100" t="s">
        <v>30</v>
      </c>
      <c r="AJ1579" s="100" t="s">
        <v>30</v>
      </c>
      <c r="AK1579" s="100" t="s">
        <v>30</v>
      </c>
      <c r="AL1579" s="114" t="s">
        <v>32</v>
      </c>
      <c r="AM1579" s="360"/>
      <c r="AV1579" s="109"/>
    </row>
    <row r="1580" spans="1:48">
      <c r="A1580" s="358" t="s">
        <v>24</v>
      </c>
      <c r="B1580" s="369">
        <v>1577</v>
      </c>
      <c r="C1580" s="372" t="s">
        <v>2127</v>
      </c>
      <c r="D1580" s="372" t="s">
        <v>403</v>
      </c>
      <c r="E1580" s="373">
        <v>45988</v>
      </c>
      <c r="F1580" s="372" t="s">
        <v>707</v>
      </c>
      <c r="G1580" s="372">
        <v>13</v>
      </c>
      <c r="H1580" s="372" t="s">
        <v>67</v>
      </c>
      <c r="I1580" s="372" t="s">
        <v>47</v>
      </c>
      <c r="J1580" s="372"/>
      <c r="K1580" s="360" t="s">
        <v>2066</v>
      </c>
      <c r="L1580" s="358" t="s">
        <v>2292</v>
      </c>
      <c r="M1580" s="358" t="s">
        <v>2292</v>
      </c>
      <c r="N1580" s="358" t="s">
        <v>2058</v>
      </c>
      <c r="O1580" s="380" t="s">
        <v>32</v>
      </c>
      <c r="P1580" s="380" t="s">
        <v>1091</v>
      </c>
      <c r="Q1580" s="24">
        <v>46022</v>
      </c>
      <c r="R1580" s="81" t="s">
        <v>127</v>
      </c>
      <c r="S1580" s="358" t="s">
        <v>32</v>
      </c>
      <c r="T1580" s="358">
        <v>11</v>
      </c>
      <c r="U1580" s="24" t="s">
        <v>127</v>
      </c>
      <c r="V1580" s="24">
        <v>46022</v>
      </c>
      <c r="W1580" s="100" t="s">
        <v>30</v>
      </c>
      <c r="X1580" s="100" t="s">
        <v>30</v>
      </c>
      <c r="Y1580" s="100" t="s">
        <v>30</v>
      </c>
      <c r="Z1580" s="100" t="s">
        <v>30</v>
      </c>
      <c r="AA1580" s="95" t="s">
        <v>32</v>
      </c>
      <c r="AB1580" s="95" t="s">
        <v>32</v>
      </c>
      <c r="AC1580" s="100" t="s">
        <v>30</v>
      </c>
      <c r="AD1580" s="100" t="s">
        <v>30</v>
      </c>
      <c r="AE1580" s="100" t="s">
        <v>30</v>
      </c>
      <c r="AF1580" s="100" t="s">
        <v>30</v>
      </c>
      <c r="AG1580" s="100" t="s">
        <v>30</v>
      </c>
      <c r="AH1580" s="100" t="s">
        <v>30</v>
      </c>
      <c r="AI1580" s="100" t="s">
        <v>30</v>
      </c>
      <c r="AJ1580" s="100" t="s">
        <v>30</v>
      </c>
      <c r="AK1580" s="100" t="s">
        <v>30</v>
      </c>
      <c r="AL1580" s="114" t="s">
        <v>32</v>
      </c>
      <c r="AM1580" s="360" t="s">
        <v>2080</v>
      </c>
      <c r="AS1580" s="72"/>
      <c r="AT1580" s="96"/>
      <c r="AU1580" s="96"/>
      <c r="AV1580" s="109"/>
    </row>
    <row r="1581" spans="1:48">
      <c r="A1581" s="358" t="s">
        <v>24</v>
      </c>
      <c r="B1581" s="369">
        <v>1578</v>
      </c>
      <c r="C1581" s="372" t="s">
        <v>2297</v>
      </c>
      <c r="D1581" s="372" t="s">
        <v>477</v>
      </c>
      <c r="E1581" s="373">
        <v>45989</v>
      </c>
      <c r="F1581" s="372" t="s">
        <v>1105</v>
      </c>
      <c r="G1581" s="372">
        <v>14</v>
      </c>
      <c r="H1581" s="372" t="s">
        <v>127</v>
      </c>
      <c r="I1581" s="372" t="s">
        <v>178</v>
      </c>
      <c r="J1581" s="372"/>
      <c r="K1581" s="360" t="s">
        <v>2298</v>
      </c>
      <c r="L1581" s="358" t="s">
        <v>2299</v>
      </c>
      <c r="M1581" s="358" t="s">
        <v>2299</v>
      </c>
      <c r="N1581" s="358" t="s">
        <v>2050</v>
      </c>
      <c r="O1581" s="380" t="s">
        <v>32</v>
      </c>
      <c r="P1581" s="380" t="s">
        <v>1091</v>
      </c>
      <c r="Q1581" s="24">
        <v>46023</v>
      </c>
      <c r="R1581" s="81" t="s">
        <v>127</v>
      </c>
      <c r="S1581" s="358" t="s">
        <v>32</v>
      </c>
      <c r="T1581" s="358">
        <v>9</v>
      </c>
      <c r="U1581" s="24" t="s">
        <v>127</v>
      </c>
      <c r="V1581" s="24">
        <v>46023</v>
      </c>
      <c r="W1581" s="100" t="s">
        <v>30</v>
      </c>
      <c r="X1581" s="100" t="s">
        <v>30</v>
      </c>
      <c r="Y1581" s="100" t="s">
        <v>30</v>
      </c>
      <c r="Z1581" s="107" t="s">
        <v>32</v>
      </c>
      <c r="AA1581" s="107" t="s">
        <v>32</v>
      </c>
      <c r="AB1581" s="107" t="s">
        <v>32</v>
      </c>
      <c r="AC1581" s="100" t="s">
        <v>30</v>
      </c>
      <c r="AD1581" s="100" t="s">
        <v>30</v>
      </c>
      <c r="AE1581" s="100" t="s">
        <v>30</v>
      </c>
      <c r="AF1581" s="100" t="s">
        <v>30</v>
      </c>
      <c r="AG1581" s="100" t="s">
        <v>30</v>
      </c>
      <c r="AH1581" s="111" t="s">
        <v>30</v>
      </c>
      <c r="AI1581" s="114" t="s">
        <v>32</v>
      </c>
      <c r="AJ1581" s="100" t="s">
        <v>30</v>
      </c>
      <c r="AK1581" s="100" t="s">
        <v>30</v>
      </c>
      <c r="AL1581" s="114" t="s">
        <v>32</v>
      </c>
      <c r="AM1581" s="360" t="s">
        <v>2300</v>
      </c>
      <c r="AS1581" s="72"/>
      <c r="AT1581" s="96"/>
      <c r="AU1581" s="96"/>
      <c r="AV1581" s="109"/>
    </row>
    <row r="1582" spans="1:48">
      <c r="A1582" s="358" t="s">
        <v>24</v>
      </c>
      <c r="B1582" s="369">
        <v>1579</v>
      </c>
      <c r="C1582" s="372" t="s">
        <v>2301</v>
      </c>
      <c r="D1582" s="372" t="s">
        <v>477</v>
      </c>
      <c r="E1582" s="373">
        <v>45989</v>
      </c>
      <c r="F1582" s="372" t="s">
        <v>2161</v>
      </c>
      <c r="G1582" s="372">
        <v>12</v>
      </c>
      <c r="H1582" s="372" t="s">
        <v>127</v>
      </c>
      <c r="I1582" s="372" t="s">
        <v>178</v>
      </c>
      <c r="J1582" s="372"/>
      <c r="K1582" s="360" t="s">
        <v>2162</v>
      </c>
      <c r="L1582" s="358" t="s">
        <v>2299</v>
      </c>
      <c r="M1582" s="358" t="s">
        <v>2299</v>
      </c>
      <c r="N1582" s="358" t="s">
        <v>2050</v>
      </c>
      <c r="O1582" s="380" t="s">
        <v>32</v>
      </c>
      <c r="P1582" s="380" t="s">
        <v>1091</v>
      </c>
      <c r="Q1582" s="24">
        <v>46023</v>
      </c>
      <c r="R1582" s="81" t="s">
        <v>127</v>
      </c>
      <c r="S1582" s="358" t="s">
        <v>32</v>
      </c>
      <c r="T1582" s="358">
        <v>7</v>
      </c>
      <c r="U1582" s="24" t="s">
        <v>127</v>
      </c>
      <c r="V1582" s="24">
        <v>46023</v>
      </c>
      <c r="W1582" s="100" t="s">
        <v>30</v>
      </c>
      <c r="X1582" s="100" t="s">
        <v>30</v>
      </c>
      <c r="Y1582" s="100" t="s">
        <v>30</v>
      </c>
      <c r="Z1582" s="100" t="s">
        <v>30</v>
      </c>
      <c r="AA1582" s="100" t="s">
        <v>30</v>
      </c>
      <c r="AB1582" s="100" t="s">
        <v>30</v>
      </c>
      <c r="AC1582" s="100" t="s">
        <v>30</v>
      </c>
      <c r="AD1582" s="100" t="s">
        <v>30</v>
      </c>
      <c r="AE1582" s="100" t="s">
        <v>30</v>
      </c>
      <c r="AF1582" s="100" t="s">
        <v>30</v>
      </c>
      <c r="AG1582" s="100" t="s">
        <v>30</v>
      </c>
      <c r="AH1582" s="111" t="s">
        <v>30</v>
      </c>
      <c r="AI1582" s="100" t="s">
        <v>30</v>
      </c>
      <c r="AJ1582" s="100" t="s">
        <v>30</v>
      </c>
      <c r="AK1582" s="100" t="s">
        <v>30</v>
      </c>
      <c r="AL1582" s="114" t="s">
        <v>32</v>
      </c>
      <c r="AM1582" s="360"/>
      <c r="AS1582" s="72"/>
      <c r="AT1582" s="96"/>
      <c r="AU1582" s="96"/>
      <c r="AV1582" s="109"/>
    </row>
    <row r="1583" spans="1:48">
      <c r="A1583" s="358" t="s">
        <v>24</v>
      </c>
      <c r="B1583" s="369">
        <v>1580</v>
      </c>
      <c r="C1583" s="372" t="s">
        <v>2302</v>
      </c>
      <c r="D1583" s="372" t="s">
        <v>64</v>
      </c>
      <c r="E1583" s="373">
        <v>45989</v>
      </c>
      <c r="F1583" s="372" t="s">
        <v>1295</v>
      </c>
      <c r="G1583" s="372">
        <v>12</v>
      </c>
      <c r="H1583" s="372" t="s">
        <v>67</v>
      </c>
      <c r="I1583" s="372" t="s">
        <v>47</v>
      </c>
      <c r="J1583" s="372"/>
      <c r="K1583" s="360" t="s">
        <v>2098</v>
      </c>
      <c r="L1583" s="358" t="s">
        <v>2303</v>
      </c>
      <c r="M1583" s="358" t="s">
        <v>2303</v>
      </c>
      <c r="N1583" s="358" t="s">
        <v>2050</v>
      </c>
      <c r="O1583" s="380" t="s">
        <v>32</v>
      </c>
      <c r="P1583" s="380" t="s">
        <v>1091</v>
      </c>
      <c r="Q1583" s="24">
        <v>46023</v>
      </c>
      <c r="R1583" s="81" t="s">
        <v>127</v>
      </c>
      <c r="S1583" s="358" t="s">
        <v>32</v>
      </c>
      <c r="T1583" s="358">
        <v>10</v>
      </c>
      <c r="U1583" s="24" t="s">
        <v>127</v>
      </c>
      <c r="V1583" s="24">
        <v>46023</v>
      </c>
      <c r="W1583" s="100" t="s">
        <v>30</v>
      </c>
      <c r="X1583" s="100" t="s">
        <v>30</v>
      </c>
      <c r="Y1583" s="100" t="s">
        <v>30</v>
      </c>
      <c r="Z1583" s="100" t="s">
        <v>30</v>
      </c>
      <c r="AA1583" s="100" t="s">
        <v>30</v>
      </c>
      <c r="AB1583" s="100" t="s">
        <v>30</v>
      </c>
      <c r="AC1583" s="100" t="s">
        <v>30</v>
      </c>
      <c r="AD1583" s="100" t="s">
        <v>30</v>
      </c>
      <c r="AE1583" s="100" t="s">
        <v>30</v>
      </c>
      <c r="AF1583" s="100" t="s">
        <v>30</v>
      </c>
      <c r="AG1583" s="100" t="s">
        <v>30</v>
      </c>
      <c r="AH1583" s="111" t="s">
        <v>30</v>
      </c>
      <c r="AI1583" s="100" t="s">
        <v>30</v>
      </c>
      <c r="AJ1583" s="100" t="s">
        <v>30</v>
      </c>
      <c r="AK1583" s="100" t="s">
        <v>30</v>
      </c>
      <c r="AL1583" s="114" t="s">
        <v>32</v>
      </c>
      <c r="AM1583" s="360"/>
      <c r="AS1583" s="96"/>
      <c r="AT1583" s="96"/>
      <c r="AU1583" s="96"/>
      <c r="AV1583" s="109"/>
    </row>
    <row r="1584" spans="1:48">
      <c r="A1584" s="358" t="s">
        <v>24</v>
      </c>
      <c r="B1584" s="369">
        <v>1581</v>
      </c>
      <c r="C1584" s="372" t="s">
        <v>2304</v>
      </c>
      <c r="D1584" s="372" t="s">
        <v>50</v>
      </c>
      <c r="E1584" s="373">
        <v>45989</v>
      </c>
      <c r="F1584" s="372" t="s">
        <v>1495</v>
      </c>
      <c r="G1584" s="372">
        <v>12</v>
      </c>
      <c r="H1584" s="372" t="s">
        <v>1077</v>
      </c>
      <c r="I1584" s="372" t="s">
        <v>1138</v>
      </c>
      <c r="J1584" s="372"/>
      <c r="K1584" s="360" t="s">
        <v>2203</v>
      </c>
      <c r="L1584" s="358" t="s">
        <v>2303</v>
      </c>
      <c r="M1584" s="358" t="s">
        <v>2292</v>
      </c>
      <c r="N1584" s="358" t="s">
        <v>2305</v>
      </c>
      <c r="O1584" s="380" t="s">
        <v>32</v>
      </c>
      <c r="P1584" s="380" t="s">
        <v>1091</v>
      </c>
      <c r="Q1584" s="24">
        <v>46022</v>
      </c>
      <c r="R1584" s="81" t="s">
        <v>127</v>
      </c>
      <c r="S1584" s="358" t="s">
        <v>32</v>
      </c>
      <c r="T1584" s="22">
        <v>15</v>
      </c>
      <c r="U1584" s="24" t="s">
        <v>127</v>
      </c>
      <c r="V1584" s="24">
        <v>46022</v>
      </c>
      <c r="W1584" s="100" t="s">
        <v>30</v>
      </c>
      <c r="X1584" s="107" t="s">
        <v>32</v>
      </c>
      <c r="Y1584" s="100" t="s">
        <v>30</v>
      </c>
      <c r="Z1584" s="100" t="s">
        <v>30</v>
      </c>
      <c r="AA1584" s="107" t="s">
        <v>32</v>
      </c>
      <c r="AB1584" s="100" t="s">
        <v>30</v>
      </c>
      <c r="AC1584" s="100" t="s">
        <v>30</v>
      </c>
      <c r="AD1584" s="100" t="s">
        <v>30</v>
      </c>
      <c r="AE1584" s="100" t="s">
        <v>30</v>
      </c>
      <c r="AF1584" s="100" t="s">
        <v>30</v>
      </c>
      <c r="AG1584" s="100" t="s">
        <v>30</v>
      </c>
      <c r="AH1584" s="100" t="s">
        <v>30</v>
      </c>
      <c r="AI1584" s="114" t="s">
        <v>32</v>
      </c>
      <c r="AJ1584" s="114" t="s">
        <v>32</v>
      </c>
      <c r="AK1584" s="111" t="s">
        <v>30</v>
      </c>
      <c r="AL1584" s="114" t="s">
        <v>32</v>
      </c>
      <c r="AM1584" s="360" t="s">
        <v>2080</v>
      </c>
      <c r="AS1584" s="96"/>
      <c r="AT1584" s="96"/>
      <c r="AU1584" s="96"/>
      <c r="AV1584" s="109"/>
    </row>
    <row r="1585" spans="1:48">
      <c r="A1585" s="358" t="s">
        <v>24</v>
      </c>
      <c r="B1585" s="369">
        <v>1582</v>
      </c>
      <c r="C1585" s="372" t="s">
        <v>2306</v>
      </c>
      <c r="D1585" s="372" t="s">
        <v>2307</v>
      </c>
      <c r="E1585" s="373">
        <v>45989</v>
      </c>
      <c r="F1585" s="372" t="s">
        <v>439</v>
      </c>
      <c r="G1585" s="372">
        <v>10</v>
      </c>
      <c r="H1585" s="372" t="s">
        <v>127</v>
      </c>
      <c r="I1585" s="372" t="s">
        <v>36</v>
      </c>
      <c r="J1585" s="372"/>
      <c r="K1585" s="360" t="s">
        <v>2056</v>
      </c>
      <c r="L1585" s="358" t="s">
        <v>2077</v>
      </c>
      <c r="M1585" s="358" t="s">
        <v>2077</v>
      </c>
      <c r="N1585" s="358" t="s">
        <v>2050</v>
      </c>
      <c r="O1585" s="380" t="s">
        <v>32</v>
      </c>
      <c r="P1585" s="380" t="s">
        <v>1091</v>
      </c>
      <c r="Q1585" s="24">
        <v>46023</v>
      </c>
      <c r="R1585" s="81" t="s">
        <v>127</v>
      </c>
      <c r="S1585" s="358" t="s">
        <v>32</v>
      </c>
      <c r="T1585" s="22">
        <v>10</v>
      </c>
      <c r="U1585" s="24" t="s">
        <v>127</v>
      </c>
      <c r="V1585" s="24">
        <v>46023</v>
      </c>
      <c r="W1585" s="100" t="s">
        <v>30</v>
      </c>
      <c r="X1585" s="107" t="s">
        <v>32</v>
      </c>
      <c r="Y1585" s="100" t="s">
        <v>30</v>
      </c>
      <c r="Z1585" s="100" t="s">
        <v>30</v>
      </c>
      <c r="AA1585" s="100" t="s">
        <v>30</v>
      </c>
      <c r="AB1585" s="100" t="s">
        <v>30</v>
      </c>
      <c r="AC1585" s="100" t="s">
        <v>30</v>
      </c>
      <c r="AD1585" s="100" t="s">
        <v>30</v>
      </c>
      <c r="AE1585" s="100" t="s">
        <v>30</v>
      </c>
      <c r="AF1585" s="100" t="s">
        <v>30</v>
      </c>
      <c r="AG1585" s="100" t="s">
        <v>30</v>
      </c>
      <c r="AH1585" s="111" t="s">
        <v>30</v>
      </c>
      <c r="AI1585" s="100" t="s">
        <v>30</v>
      </c>
      <c r="AJ1585" s="100" t="s">
        <v>30</v>
      </c>
      <c r="AK1585" s="100" t="s">
        <v>30</v>
      </c>
      <c r="AL1585" s="114" t="s">
        <v>32</v>
      </c>
      <c r="AM1585" s="360" t="s">
        <v>2071</v>
      </c>
      <c r="AO1585" s="89"/>
      <c r="AP1585" s="89"/>
      <c r="AQ1585" s="89"/>
      <c r="AR1585" s="88"/>
      <c r="AS1585" s="96"/>
      <c r="AT1585" s="96"/>
      <c r="AU1585" s="96"/>
      <c r="AV1585" s="109"/>
    </row>
    <row r="1586" spans="1:48">
      <c r="A1586" s="358" t="s">
        <v>24</v>
      </c>
      <c r="B1586" s="369">
        <v>1583</v>
      </c>
      <c r="C1586" s="372" t="s">
        <v>2308</v>
      </c>
      <c r="D1586" s="372" t="s">
        <v>34</v>
      </c>
      <c r="E1586" s="373">
        <v>45990</v>
      </c>
      <c r="F1586" s="372" t="s">
        <v>1945</v>
      </c>
      <c r="G1586" s="372">
        <v>13</v>
      </c>
      <c r="H1586" s="372" t="s">
        <v>127</v>
      </c>
      <c r="I1586" s="372" t="s">
        <v>178</v>
      </c>
      <c r="J1586" s="372"/>
      <c r="K1586" s="360" t="s">
        <v>2087</v>
      </c>
      <c r="L1586" s="358" t="s">
        <v>2309</v>
      </c>
      <c r="M1586" s="358" t="s">
        <v>2309</v>
      </c>
      <c r="N1586" s="358" t="s">
        <v>2310</v>
      </c>
      <c r="O1586" s="380" t="s">
        <v>32</v>
      </c>
      <c r="P1586" s="380" t="s">
        <v>1091</v>
      </c>
      <c r="Q1586" s="24">
        <v>46027</v>
      </c>
      <c r="R1586" s="24" t="s">
        <v>67</v>
      </c>
      <c r="S1586" s="358" t="s">
        <v>32</v>
      </c>
      <c r="T1586" s="22">
        <v>13</v>
      </c>
      <c r="U1586" s="24" t="s">
        <v>67</v>
      </c>
      <c r="V1586" s="24">
        <v>46027</v>
      </c>
      <c r="W1586" s="122" t="s">
        <v>30</v>
      </c>
      <c r="X1586" s="100" t="s">
        <v>30</v>
      </c>
      <c r="Y1586" s="122" t="s">
        <v>30</v>
      </c>
      <c r="Z1586" s="107" t="s">
        <v>32</v>
      </c>
      <c r="AA1586" s="107" t="s">
        <v>32</v>
      </c>
      <c r="AB1586" s="107" t="s">
        <v>32</v>
      </c>
      <c r="AC1586" s="100" t="s">
        <v>30</v>
      </c>
      <c r="AD1586" s="100" t="s">
        <v>30</v>
      </c>
      <c r="AE1586" s="100" t="s">
        <v>30</v>
      </c>
      <c r="AF1586" s="100" t="s">
        <v>30</v>
      </c>
      <c r="AG1586" s="100" t="s">
        <v>30</v>
      </c>
      <c r="AH1586" s="111" t="s">
        <v>30</v>
      </c>
      <c r="AI1586" s="100" t="s">
        <v>30</v>
      </c>
      <c r="AJ1586" s="100" t="s">
        <v>30</v>
      </c>
      <c r="AK1586" s="100" t="s">
        <v>30</v>
      </c>
      <c r="AL1586" s="114" t="s">
        <v>32</v>
      </c>
      <c r="AM1586" s="360"/>
      <c r="AO1586" s="89"/>
      <c r="AP1586" s="89"/>
      <c r="AQ1586" s="89"/>
      <c r="AR1586" s="88"/>
      <c r="AS1586" s="96"/>
      <c r="AT1586" s="96"/>
      <c r="AU1586" s="96"/>
      <c r="AV1586" s="109"/>
    </row>
    <row r="1587" spans="1:48">
      <c r="A1587" s="358" t="s">
        <v>24</v>
      </c>
      <c r="B1587" s="369">
        <v>1584</v>
      </c>
      <c r="C1587" s="372" t="s">
        <v>2311</v>
      </c>
      <c r="D1587" s="372" t="s">
        <v>34</v>
      </c>
      <c r="E1587" s="373">
        <v>45990</v>
      </c>
      <c r="F1587" s="372" t="s">
        <v>97</v>
      </c>
      <c r="G1587" s="372">
        <v>18</v>
      </c>
      <c r="H1587" s="372" t="s">
        <v>127</v>
      </c>
      <c r="I1587" s="372" t="s">
        <v>178</v>
      </c>
      <c r="J1587" s="102" t="s">
        <v>2250</v>
      </c>
      <c r="K1587" s="360" t="s">
        <v>2312</v>
      </c>
      <c r="L1587" s="358" t="s">
        <v>2309</v>
      </c>
      <c r="M1587" s="358" t="s">
        <v>2309</v>
      </c>
      <c r="N1587" s="358" t="s">
        <v>2313</v>
      </c>
      <c r="O1587" s="117" t="s">
        <v>30</v>
      </c>
      <c r="P1587" s="252"/>
      <c r="Q1587" s="24"/>
      <c r="R1587" s="81" t="s">
        <v>127</v>
      </c>
      <c r="S1587" s="358"/>
      <c r="T1587" s="22"/>
      <c r="U1587" s="24"/>
      <c r="V1587" s="24"/>
      <c r="W1587" s="100" t="s">
        <v>30</v>
      </c>
      <c r="X1587" s="100" t="s">
        <v>30</v>
      </c>
      <c r="Y1587" s="100" t="s">
        <v>30</v>
      </c>
      <c r="Z1587" s="100" t="s">
        <v>30</v>
      </c>
      <c r="AA1587" s="100" t="s">
        <v>30</v>
      </c>
      <c r="AB1587" s="100" t="s">
        <v>30</v>
      </c>
      <c r="AC1587" s="100" t="s">
        <v>30</v>
      </c>
      <c r="AD1587" s="100" t="s">
        <v>30</v>
      </c>
      <c r="AE1587" s="100" t="s">
        <v>30</v>
      </c>
      <c r="AF1587" s="100" t="s">
        <v>30</v>
      </c>
      <c r="AG1587" s="100" t="s">
        <v>30</v>
      </c>
      <c r="AH1587" s="100" t="s">
        <v>30</v>
      </c>
      <c r="AI1587" s="100" t="s">
        <v>30</v>
      </c>
      <c r="AJ1587" s="100" t="s">
        <v>30</v>
      </c>
      <c r="AK1587" s="111" t="s">
        <v>30</v>
      </c>
      <c r="AL1587" s="114" t="s">
        <v>32</v>
      </c>
      <c r="AM1587" s="360"/>
      <c r="AS1587" s="72"/>
      <c r="AT1587" s="96"/>
      <c r="AU1587" s="96"/>
    </row>
    <row r="1588" spans="1:48">
      <c r="A1588" s="358" t="s">
        <v>24</v>
      </c>
      <c r="B1588" s="369">
        <v>1585</v>
      </c>
      <c r="C1588" s="372" t="s">
        <v>2314</v>
      </c>
      <c r="D1588" s="372" t="s">
        <v>34</v>
      </c>
      <c r="E1588" s="373">
        <v>45990</v>
      </c>
      <c r="F1588" s="372" t="s">
        <v>401</v>
      </c>
      <c r="G1588" s="372">
        <v>1</v>
      </c>
      <c r="H1588" s="372" t="s">
        <v>1721</v>
      </c>
      <c r="I1588" s="372" t="s">
        <v>1638</v>
      </c>
      <c r="J1588" s="372"/>
      <c r="K1588" s="360" t="s">
        <v>2312</v>
      </c>
      <c r="L1588" s="358" t="s">
        <v>401</v>
      </c>
      <c r="M1588" s="358" t="s">
        <v>401</v>
      </c>
      <c r="N1588" s="358" t="s">
        <v>401</v>
      </c>
      <c r="O1588" s="380" t="s">
        <v>32</v>
      </c>
      <c r="P1588" s="385" t="s">
        <v>1091</v>
      </c>
      <c r="Q1588" s="24">
        <v>46022</v>
      </c>
      <c r="R1588" s="81" t="s">
        <v>48</v>
      </c>
      <c r="S1588" s="22" t="s">
        <v>1140</v>
      </c>
      <c r="T1588" s="22">
        <v>1</v>
      </c>
      <c r="U1588" s="24" t="s">
        <v>48</v>
      </c>
      <c r="V1588" s="24">
        <v>46022</v>
      </c>
      <c r="W1588" s="100" t="s">
        <v>30</v>
      </c>
      <c r="X1588" s="100" t="s">
        <v>30</v>
      </c>
      <c r="Y1588" s="100" t="s">
        <v>30</v>
      </c>
      <c r="Z1588" s="100" t="s">
        <v>30</v>
      </c>
      <c r="AA1588" s="100" t="s">
        <v>30</v>
      </c>
      <c r="AB1588" s="100" t="s">
        <v>30</v>
      </c>
      <c r="AC1588" s="100" t="s">
        <v>30</v>
      </c>
      <c r="AD1588" s="100" t="s">
        <v>30</v>
      </c>
      <c r="AE1588" s="100" t="s">
        <v>30</v>
      </c>
      <c r="AF1588" s="100" t="s">
        <v>30</v>
      </c>
      <c r="AG1588" s="100" t="s">
        <v>30</v>
      </c>
      <c r="AH1588" s="100" t="s">
        <v>30</v>
      </c>
      <c r="AI1588" s="100" t="s">
        <v>30</v>
      </c>
      <c r="AJ1588" s="111" t="s">
        <v>30</v>
      </c>
      <c r="AK1588" s="111" t="s">
        <v>30</v>
      </c>
      <c r="AL1588" s="114" t="s">
        <v>32</v>
      </c>
      <c r="AM1588" s="360"/>
      <c r="AO1588" s="412"/>
      <c r="AP1588" s="412"/>
      <c r="AQ1588" s="412"/>
      <c r="AR1588" s="412"/>
      <c r="AV1588" s="109"/>
    </row>
    <row r="1589" spans="1:48">
      <c r="A1589" s="358" t="s">
        <v>24</v>
      </c>
      <c r="B1589" s="369">
        <v>1586</v>
      </c>
      <c r="C1589" s="372" t="s">
        <v>2315</v>
      </c>
      <c r="D1589" s="372" t="s">
        <v>34</v>
      </c>
      <c r="E1589" s="373">
        <v>45990</v>
      </c>
      <c r="F1589" s="372" t="s">
        <v>439</v>
      </c>
      <c r="G1589" s="372">
        <v>10</v>
      </c>
      <c r="H1589" s="372" t="s">
        <v>127</v>
      </c>
      <c r="I1589" s="372" t="s">
        <v>178</v>
      </c>
      <c r="J1589" s="372"/>
      <c r="K1589" s="360" t="s">
        <v>2316</v>
      </c>
      <c r="L1589" s="358" t="s">
        <v>2299</v>
      </c>
      <c r="M1589" s="358" t="s">
        <v>2299</v>
      </c>
      <c r="N1589" s="358" t="s">
        <v>2050</v>
      </c>
      <c r="O1589" s="380" t="s">
        <v>32</v>
      </c>
      <c r="P1589" s="385" t="s">
        <v>1091</v>
      </c>
      <c r="Q1589" s="24">
        <v>46022</v>
      </c>
      <c r="R1589" s="81" t="s">
        <v>127</v>
      </c>
      <c r="S1589" s="24" t="s">
        <v>32</v>
      </c>
      <c r="T1589" s="22">
        <v>10</v>
      </c>
      <c r="U1589" s="24" t="s">
        <v>127</v>
      </c>
      <c r="V1589" s="24">
        <v>46022</v>
      </c>
      <c r="W1589" s="122" t="s">
        <v>30</v>
      </c>
      <c r="X1589" s="122" t="s">
        <v>30</v>
      </c>
      <c r="Y1589" s="122" t="s">
        <v>30</v>
      </c>
      <c r="Z1589" s="107" t="s">
        <v>32</v>
      </c>
      <c r="AA1589" s="107" t="s">
        <v>32</v>
      </c>
      <c r="AB1589" s="107" t="s">
        <v>32</v>
      </c>
      <c r="AC1589" s="100" t="s">
        <v>30</v>
      </c>
      <c r="AD1589" s="100" t="s">
        <v>30</v>
      </c>
      <c r="AE1589" s="100" t="s">
        <v>30</v>
      </c>
      <c r="AF1589" s="100" t="s">
        <v>30</v>
      </c>
      <c r="AG1589" s="100" t="s">
        <v>30</v>
      </c>
      <c r="AH1589" s="100" t="s">
        <v>30</v>
      </c>
      <c r="AI1589" s="100" t="s">
        <v>30</v>
      </c>
      <c r="AJ1589" s="100" t="s">
        <v>30</v>
      </c>
      <c r="AK1589" s="100" t="s">
        <v>30</v>
      </c>
      <c r="AL1589" s="114" t="s">
        <v>32</v>
      </c>
      <c r="AM1589" s="360" t="s">
        <v>2080</v>
      </c>
      <c r="AS1589" s="72"/>
      <c r="AT1589" s="96"/>
      <c r="AU1589" s="96"/>
      <c r="AV1589" s="109"/>
    </row>
    <row r="1590" spans="1:48">
      <c r="A1590" s="358" t="s">
        <v>24</v>
      </c>
      <c r="B1590" s="369">
        <v>1587</v>
      </c>
      <c r="C1590" s="372" t="s">
        <v>2317</v>
      </c>
      <c r="D1590" s="372" t="s">
        <v>234</v>
      </c>
      <c r="E1590" s="373">
        <v>45990</v>
      </c>
      <c r="F1590" s="372" t="s">
        <v>2107</v>
      </c>
      <c r="G1590" s="372">
        <v>8</v>
      </c>
      <c r="H1590" s="372" t="s">
        <v>1077</v>
      </c>
      <c r="I1590" s="372" t="s">
        <v>1138</v>
      </c>
      <c r="J1590" s="372"/>
      <c r="K1590" s="360" t="s">
        <v>2052</v>
      </c>
      <c r="L1590" s="358" t="s">
        <v>2303</v>
      </c>
      <c r="M1590" s="358" t="s">
        <v>2303</v>
      </c>
      <c r="N1590" s="358" t="s">
        <v>2050</v>
      </c>
      <c r="O1590" s="380" t="s">
        <v>32</v>
      </c>
      <c r="P1590" s="385" t="s">
        <v>1091</v>
      </c>
      <c r="Q1590" s="24">
        <v>46022</v>
      </c>
      <c r="R1590" s="81" t="s">
        <v>127</v>
      </c>
      <c r="S1590" s="24" t="s">
        <v>32</v>
      </c>
      <c r="T1590" s="22">
        <v>10</v>
      </c>
      <c r="U1590" s="24" t="s">
        <v>127</v>
      </c>
      <c r="V1590" s="24">
        <v>46022</v>
      </c>
      <c r="W1590" s="100" t="s">
        <v>30</v>
      </c>
      <c r="X1590" s="100" t="s">
        <v>30</v>
      </c>
      <c r="Y1590" s="100" t="s">
        <v>30</v>
      </c>
      <c r="Z1590" s="100" t="s">
        <v>30</v>
      </c>
      <c r="AA1590" s="100" t="s">
        <v>30</v>
      </c>
      <c r="AB1590" s="100" t="s">
        <v>30</v>
      </c>
      <c r="AC1590" s="100" t="s">
        <v>30</v>
      </c>
      <c r="AD1590" s="100" t="s">
        <v>30</v>
      </c>
      <c r="AE1590" s="100" t="s">
        <v>30</v>
      </c>
      <c r="AF1590" s="100" t="s">
        <v>30</v>
      </c>
      <c r="AG1590" s="100" t="s">
        <v>30</v>
      </c>
      <c r="AH1590" s="111" t="s">
        <v>30</v>
      </c>
      <c r="AI1590" s="100" t="s">
        <v>30</v>
      </c>
      <c r="AJ1590" s="100" t="s">
        <v>30</v>
      </c>
      <c r="AK1590" s="100" t="s">
        <v>30</v>
      </c>
      <c r="AL1590" s="114" t="s">
        <v>32</v>
      </c>
      <c r="AM1590" s="360"/>
      <c r="AO1590" s="412"/>
      <c r="AP1590" s="412"/>
      <c r="AQ1590" s="412"/>
      <c r="AR1590" s="412"/>
      <c r="AV1590" s="109"/>
    </row>
    <row r="1591" spans="1:48">
      <c r="A1591" s="358" t="s">
        <v>24</v>
      </c>
      <c r="B1591" s="369">
        <v>1588</v>
      </c>
      <c r="C1591" s="372" t="s">
        <v>2318</v>
      </c>
      <c r="D1591" s="372" t="s">
        <v>34</v>
      </c>
      <c r="E1591" s="373">
        <v>45990</v>
      </c>
      <c r="F1591" s="372" t="s">
        <v>173</v>
      </c>
      <c r="G1591" s="372">
        <v>13</v>
      </c>
      <c r="H1591" s="372" t="s">
        <v>1077</v>
      </c>
      <c r="I1591" s="372" t="s">
        <v>1138</v>
      </c>
      <c r="J1591" s="102" t="s">
        <v>2250</v>
      </c>
      <c r="K1591" s="360" t="s">
        <v>2319</v>
      </c>
      <c r="L1591" s="358" t="s">
        <v>2303</v>
      </c>
      <c r="M1591" s="358" t="s">
        <v>2303</v>
      </c>
      <c r="N1591" s="358" t="s">
        <v>2058</v>
      </c>
      <c r="O1591" s="380" t="s">
        <v>32</v>
      </c>
      <c r="P1591" s="380"/>
      <c r="Q1591" s="24"/>
      <c r="R1591" s="81" t="s">
        <v>127</v>
      </c>
      <c r="S1591" s="22"/>
      <c r="T1591" s="22"/>
      <c r="U1591" s="24"/>
      <c r="V1591" s="24"/>
      <c r="W1591" s="100" t="s">
        <v>30</v>
      </c>
      <c r="X1591" s="100" t="s">
        <v>30</v>
      </c>
      <c r="Y1591" s="100" t="s">
        <v>30</v>
      </c>
      <c r="Z1591" s="100" t="s">
        <v>30</v>
      </c>
      <c r="AA1591" s="100" t="s">
        <v>30</v>
      </c>
      <c r="AB1591" s="100" t="s">
        <v>30</v>
      </c>
      <c r="AC1591" s="100" t="s">
        <v>30</v>
      </c>
      <c r="AD1591" s="100" t="s">
        <v>30</v>
      </c>
      <c r="AE1591" s="100" t="s">
        <v>30</v>
      </c>
      <c r="AF1591" s="100" t="s">
        <v>30</v>
      </c>
      <c r="AG1591" s="100" t="s">
        <v>30</v>
      </c>
      <c r="AH1591" s="100" t="s">
        <v>30</v>
      </c>
      <c r="AI1591" s="100" t="s">
        <v>30</v>
      </c>
      <c r="AJ1591" s="100" t="s">
        <v>30</v>
      </c>
      <c r="AK1591" s="100" t="s">
        <v>30</v>
      </c>
      <c r="AL1591" s="114" t="s">
        <v>32</v>
      </c>
      <c r="AM1591" s="360" t="s">
        <v>2080</v>
      </c>
      <c r="AO1591" s="412"/>
      <c r="AP1591" s="412"/>
      <c r="AQ1591" s="412"/>
      <c r="AR1591" s="412"/>
      <c r="AV1591" s="109"/>
    </row>
    <row r="1592" spans="1:48">
      <c r="A1592" s="358" t="s">
        <v>24</v>
      </c>
      <c r="B1592" s="369">
        <v>1589</v>
      </c>
      <c r="C1592" s="372" t="s">
        <v>2320</v>
      </c>
      <c r="D1592" s="372" t="s">
        <v>657</v>
      </c>
      <c r="E1592" s="373">
        <v>45990</v>
      </c>
      <c r="F1592" s="372" t="s">
        <v>494</v>
      </c>
      <c r="G1592" s="372">
        <v>15</v>
      </c>
      <c r="H1592" s="372" t="s">
        <v>1077</v>
      </c>
      <c r="I1592" s="372" t="s">
        <v>1138</v>
      </c>
      <c r="J1592" s="372"/>
      <c r="K1592" s="360" t="s">
        <v>2115</v>
      </c>
      <c r="L1592" s="358" t="s">
        <v>2309</v>
      </c>
      <c r="M1592" s="358" t="s">
        <v>2309</v>
      </c>
      <c r="N1592" s="358" t="s">
        <v>2050</v>
      </c>
      <c r="O1592" s="117" t="s">
        <v>30</v>
      </c>
      <c r="P1592" s="380" t="s">
        <v>1091</v>
      </c>
      <c r="Q1592" s="24">
        <v>46025</v>
      </c>
      <c r="R1592" s="81" t="s">
        <v>127</v>
      </c>
      <c r="S1592" s="22" t="s">
        <v>32</v>
      </c>
      <c r="T1592" s="22">
        <v>15</v>
      </c>
      <c r="U1592" s="24" t="s">
        <v>127</v>
      </c>
      <c r="V1592" s="24">
        <v>46025</v>
      </c>
      <c r="W1592" s="122" t="s">
        <v>30</v>
      </c>
      <c r="X1592" s="122" t="s">
        <v>30</v>
      </c>
      <c r="Y1592" s="122" t="s">
        <v>30</v>
      </c>
      <c r="Z1592" s="95" t="s">
        <v>32</v>
      </c>
      <c r="AA1592" s="95" t="s">
        <v>32</v>
      </c>
      <c r="AB1592" s="95" t="s">
        <v>32</v>
      </c>
      <c r="AC1592" s="100" t="s">
        <v>30</v>
      </c>
      <c r="AD1592" s="100" t="s">
        <v>30</v>
      </c>
      <c r="AE1592" s="100" t="s">
        <v>30</v>
      </c>
      <c r="AF1592" s="100" t="s">
        <v>30</v>
      </c>
      <c r="AG1592" s="100" t="s">
        <v>30</v>
      </c>
      <c r="AH1592" s="111" t="s">
        <v>30</v>
      </c>
      <c r="AI1592" s="100" t="s">
        <v>30</v>
      </c>
      <c r="AJ1592" s="100" t="s">
        <v>30</v>
      </c>
      <c r="AK1592" s="100" t="s">
        <v>30</v>
      </c>
      <c r="AL1592" s="114" t="s">
        <v>32</v>
      </c>
      <c r="AM1592" s="360" t="s">
        <v>2089</v>
      </c>
      <c r="AV1592" s="109"/>
    </row>
    <row r="1593" spans="1:48">
      <c r="A1593" s="358" t="s">
        <v>24</v>
      </c>
      <c r="B1593" s="369">
        <v>1590</v>
      </c>
      <c r="C1593" s="372" t="s">
        <v>2321</v>
      </c>
      <c r="D1593" s="372" t="s">
        <v>606</v>
      </c>
      <c r="E1593" s="373">
        <v>45990</v>
      </c>
      <c r="F1593" s="372" t="s">
        <v>2322</v>
      </c>
      <c r="G1593" s="372">
        <v>13</v>
      </c>
      <c r="H1593" s="372" t="s">
        <v>1077</v>
      </c>
      <c r="I1593" s="372" t="s">
        <v>1138</v>
      </c>
      <c r="J1593" s="372"/>
      <c r="K1593" s="360" t="s">
        <v>2162</v>
      </c>
      <c r="L1593" s="358" t="s">
        <v>2299</v>
      </c>
      <c r="M1593" s="358" t="s">
        <v>2299</v>
      </c>
      <c r="N1593" s="358" t="s">
        <v>2050</v>
      </c>
      <c r="O1593" s="380" t="s">
        <v>32</v>
      </c>
      <c r="P1593" s="385" t="s">
        <v>1091</v>
      </c>
      <c r="Q1593" s="24">
        <v>45661</v>
      </c>
      <c r="R1593" s="81" t="s">
        <v>127</v>
      </c>
      <c r="S1593" s="24" t="s">
        <v>32</v>
      </c>
      <c r="T1593" s="22">
        <v>13</v>
      </c>
      <c r="U1593" s="24" t="s">
        <v>127</v>
      </c>
      <c r="V1593" s="24">
        <v>45661</v>
      </c>
      <c r="W1593" s="100" t="s">
        <v>30</v>
      </c>
      <c r="X1593" s="100" t="s">
        <v>30</v>
      </c>
      <c r="Y1593" s="100" t="s">
        <v>30</v>
      </c>
      <c r="Z1593" s="100" t="s">
        <v>30</v>
      </c>
      <c r="AA1593" s="100" t="s">
        <v>30</v>
      </c>
      <c r="AB1593" s="100" t="s">
        <v>30</v>
      </c>
      <c r="AC1593" s="100" t="s">
        <v>30</v>
      </c>
      <c r="AD1593" s="100" t="s">
        <v>30</v>
      </c>
      <c r="AE1593" s="100" t="s">
        <v>30</v>
      </c>
      <c r="AF1593" s="100" t="s">
        <v>30</v>
      </c>
      <c r="AG1593" s="100" t="s">
        <v>30</v>
      </c>
      <c r="AH1593" s="111" t="s">
        <v>30</v>
      </c>
      <c r="AI1593" s="111" t="s">
        <v>30</v>
      </c>
      <c r="AJ1593" s="111" t="s">
        <v>30</v>
      </c>
      <c r="AK1593" s="111" t="s">
        <v>30</v>
      </c>
      <c r="AL1593" s="114" t="s">
        <v>32</v>
      </c>
      <c r="AM1593" s="360"/>
      <c r="AV1593" s="109"/>
    </row>
    <row r="1594" spans="1:48">
      <c r="A1594" s="358" t="s">
        <v>24</v>
      </c>
      <c r="B1594" s="369">
        <v>1591</v>
      </c>
      <c r="C1594" s="372" t="s">
        <v>2323</v>
      </c>
      <c r="D1594" s="372" t="s">
        <v>477</v>
      </c>
      <c r="E1594" s="373">
        <v>45990</v>
      </c>
      <c r="F1594" s="372" t="s">
        <v>670</v>
      </c>
      <c r="G1594" s="372">
        <v>13</v>
      </c>
      <c r="H1594" s="372" t="s">
        <v>67</v>
      </c>
      <c r="I1594" s="372" t="s">
        <v>47</v>
      </c>
      <c r="J1594" s="102" t="s">
        <v>2250</v>
      </c>
      <c r="K1594" s="360" t="s">
        <v>2108</v>
      </c>
      <c r="L1594" s="358" t="s">
        <v>2309</v>
      </c>
      <c r="M1594" s="358" t="s">
        <v>2309</v>
      </c>
      <c r="N1594" s="358" t="s">
        <v>2050</v>
      </c>
      <c r="O1594" s="380" t="s">
        <v>32</v>
      </c>
      <c r="P1594" s="385"/>
      <c r="Q1594" s="24"/>
      <c r="R1594" s="81" t="s">
        <v>127</v>
      </c>
      <c r="S1594" s="24"/>
      <c r="T1594" s="22"/>
      <c r="U1594" s="24"/>
      <c r="V1594" s="24"/>
      <c r="W1594" s="100" t="s">
        <v>30</v>
      </c>
      <c r="X1594" s="100" t="s">
        <v>30</v>
      </c>
      <c r="Y1594" s="100" t="s">
        <v>30</v>
      </c>
      <c r="Z1594" s="100" t="s">
        <v>30</v>
      </c>
      <c r="AA1594" s="100" t="s">
        <v>30</v>
      </c>
      <c r="AB1594" s="100" t="s">
        <v>30</v>
      </c>
      <c r="AC1594" s="100" t="s">
        <v>30</v>
      </c>
      <c r="AD1594" s="100" t="s">
        <v>30</v>
      </c>
      <c r="AE1594" s="100" t="s">
        <v>30</v>
      </c>
      <c r="AF1594" s="100" t="s">
        <v>30</v>
      </c>
      <c r="AG1594" s="100" t="s">
        <v>30</v>
      </c>
      <c r="AH1594" s="111" t="s">
        <v>30</v>
      </c>
      <c r="AI1594" s="100" t="s">
        <v>30</v>
      </c>
      <c r="AJ1594" s="100" t="s">
        <v>30</v>
      </c>
      <c r="AK1594" s="100" t="s">
        <v>30</v>
      </c>
      <c r="AL1594" s="114" t="s">
        <v>32</v>
      </c>
      <c r="AM1594" s="360"/>
      <c r="AN1594" s="6"/>
      <c r="AO1594" s="6"/>
      <c r="AP1594" s="6"/>
      <c r="AQ1594" s="6"/>
      <c r="AR1594" s="6"/>
      <c r="AS1594" s="108"/>
      <c r="AT1594" s="109"/>
      <c r="AU1594" s="109"/>
      <c r="AV1594" s="109"/>
    </row>
    <row r="1595" spans="1:48">
      <c r="A1595" s="358" t="s">
        <v>24</v>
      </c>
      <c r="B1595" s="369">
        <v>1592</v>
      </c>
      <c r="C1595" s="372" t="s">
        <v>2324</v>
      </c>
      <c r="D1595" s="372" t="s">
        <v>34</v>
      </c>
      <c r="E1595" s="373">
        <v>45990</v>
      </c>
      <c r="F1595" s="372" t="s">
        <v>1054</v>
      </c>
      <c r="G1595" s="372">
        <v>12</v>
      </c>
      <c r="H1595" s="372" t="s">
        <v>67</v>
      </c>
      <c r="I1595" s="372" t="s">
        <v>47</v>
      </c>
      <c r="J1595" s="372"/>
      <c r="K1595" s="360" t="s">
        <v>2325</v>
      </c>
      <c r="L1595" s="358" t="s">
        <v>2303</v>
      </c>
      <c r="M1595" s="358" t="s">
        <v>2303</v>
      </c>
      <c r="N1595" s="358" t="s">
        <v>2050</v>
      </c>
      <c r="O1595" s="380" t="s">
        <v>32</v>
      </c>
      <c r="P1595" s="385" t="s">
        <v>1091</v>
      </c>
      <c r="Q1595" s="24">
        <v>46022</v>
      </c>
      <c r="R1595" s="81" t="s">
        <v>127</v>
      </c>
      <c r="S1595" s="24" t="s">
        <v>32</v>
      </c>
      <c r="T1595" s="22">
        <v>9</v>
      </c>
      <c r="U1595" s="24" t="s">
        <v>127</v>
      </c>
      <c r="V1595" s="24">
        <v>46022</v>
      </c>
      <c r="W1595" s="100" t="s">
        <v>30</v>
      </c>
      <c r="X1595" s="100" t="s">
        <v>30</v>
      </c>
      <c r="Y1595" s="100" t="s">
        <v>30</v>
      </c>
      <c r="Z1595" s="100" t="s">
        <v>30</v>
      </c>
      <c r="AA1595" s="100" t="s">
        <v>30</v>
      </c>
      <c r="AB1595" s="100" t="s">
        <v>30</v>
      </c>
      <c r="AC1595" s="100" t="s">
        <v>30</v>
      </c>
      <c r="AD1595" s="100" t="s">
        <v>30</v>
      </c>
      <c r="AE1595" s="100" t="s">
        <v>30</v>
      </c>
      <c r="AF1595" s="100" t="s">
        <v>30</v>
      </c>
      <c r="AG1595" s="100" t="s">
        <v>30</v>
      </c>
      <c r="AH1595" s="111" t="s">
        <v>30</v>
      </c>
      <c r="AI1595" s="100" t="s">
        <v>30</v>
      </c>
      <c r="AJ1595" s="100" t="s">
        <v>30</v>
      </c>
      <c r="AK1595" s="100" t="s">
        <v>30</v>
      </c>
      <c r="AL1595" s="114" t="s">
        <v>32</v>
      </c>
      <c r="AM1595" s="360"/>
      <c r="AV1595" s="109"/>
    </row>
    <row r="1596" spans="1:48">
      <c r="A1596" s="358" t="s">
        <v>24</v>
      </c>
      <c r="B1596" s="369">
        <v>1593</v>
      </c>
      <c r="C1596" s="372" t="s">
        <v>2326</v>
      </c>
      <c r="D1596" s="372" t="s">
        <v>34</v>
      </c>
      <c r="E1596" s="373">
        <v>45990</v>
      </c>
      <c r="F1596" s="372" t="s">
        <v>631</v>
      </c>
      <c r="G1596" s="372">
        <v>13</v>
      </c>
      <c r="H1596" s="372" t="s">
        <v>67</v>
      </c>
      <c r="I1596" s="372" t="s">
        <v>47</v>
      </c>
      <c r="J1596" s="372"/>
      <c r="K1596" s="360" t="s">
        <v>2195</v>
      </c>
      <c r="L1596" s="358" t="s">
        <v>2309</v>
      </c>
      <c r="M1596" s="380" t="s">
        <v>2309</v>
      </c>
      <c r="N1596" s="358" t="s">
        <v>2327</v>
      </c>
      <c r="O1596" s="380" t="s">
        <v>32</v>
      </c>
      <c r="P1596" s="252" t="s">
        <v>1091</v>
      </c>
      <c r="Q1596" s="24">
        <v>46027</v>
      </c>
      <c r="R1596" s="81" t="s">
        <v>127</v>
      </c>
      <c r="S1596" s="358" t="s">
        <v>32</v>
      </c>
      <c r="T1596" s="22">
        <v>11</v>
      </c>
      <c r="U1596" s="24" t="s">
        <v>127</v>
      </c>
      <c r="V1596" s="24">
        <v>46027</v>
      </c>
      <c r="W1596" s="100" t="s">
        <v>30</v>
      </c>
      <c r="X1596" s="100" t="s">
        <v>30</v>
      </c>
      <c r="Y1596" s="100" t="s">
        <v>30</v>
      </c>
      <c r="Z1596" s="100" t="s">
        <v>30</v>
      </c>
      <c r="AA1596" s="100" t="s">
        <v>30</v>
      </c>
      <c r="AB1596" s="100" t="s">
        <v>30</v>
      </c>
      <c r="AC1596" s="100" t="s">
        <v>30</v>
      </c>
      <c r="AD1596" s="100" t="s">
        <v>30</v>
      </c>
      <c r="AE1596" s="100" t="s">
        <v>30</v>
      </c>
      <c r="AF1596" s="100" t="s">
        <v>30</v>
      </c>
      <c r="AG1596" s="100" t="s">
        <v>30</v>
      </c>
      <c r="AH1596" s="111" t="s">
        <v>30</v>
      </c>
      <c r="AI1596" s="100" t="s">
        <v>30</v>
      </c>
      <c r="AJ1596" s="100" t="s">
        <v>30</v>
      </c>
      <c r="AK1596" s="100" t="s">
        <v>30</v>
      </c>
      <c r="AL1596" s="114" t="s">
        <v>32</v>
      </c>
      <c r="AM1596" s="360"/>
      <c r="AN1596" s="91"/>
      <c r="AO1596" s="91"/>
      <c r="AS1596" s="72"/>
      <c r="AT1596" s="96"/>
      <c r="AU1596" s="96"/>
      <c r="AV1596" s="109"/>
    </row>
    <row r="1597" spans="1:48">
      <c r="A1597" s="358" t="s">
        <v>24</v>
      </c>
      <c r="B1597" s="369">
        <v>1594</v>
      </c>
      <c r="C1597" s="372" t="s">
        <v>2328</v>
      </c>
      <c r="D1597" s="372" t="s">
        <v>34</v>
      </c>
      <c r="E1597" s="373">
        <v>45990</v>
      </c>
      <c r="F1597" s="372" t="s">
        <v>2329</v>
      </c>
      <c r="G1597" s="372">
        <v>20</v>
      </c>
      <c r="H1597" s="372" t="s">
        <v>67</v>
      </c>
      <c r="I1597" s="372" t="s">
        <v>47</v>
      </c>
      <c r="J1597" s="102"/>
      <c r="K1597" s="360" t="s">
        <v>2098</v>
      </c>
      <c r="L1597" s="358" t="s">
        <v>2309</v>
      </c>
      <c r="M1597" s="380" t="s">
        <v>2309</v>
      </c>
      <c r="N1597" s="358" t="s">
        <v>2050</v>
      </c>
      <c r="O1597" s="117" t="s">
        <v>30</v>
      </c>
      <c r="P1597" s="385" t="s">
        <v>1091</v>
      </c>
      <c r="Q1597" s="24">
        <v>46017</v>
      </c>
      <c r="R1597" s="228" t="s">
        <v>28</v>
      </c>
      <c r="S1597" s="24" t="s">
        <v>1140</v>
      </c>
      <c r="T1597" s="7">
        <v>7</v>
      </c>
      <c r="U1597" s="24" t="s">
        <v>28</v>
      </c>
      <c r="V1597" s="24">
        <v>46017</v>
      </c>
      <c r="W1597" s="100" t="s">
        <v>30</v>
      </c>
      <c r="X1597" s="100" t="s">
        <v>30</v>
      </c>
      <c r="Y1597" s="100" t="s">
        <v>30</v>
      </c>
      <c r="Z1597" s="100" t="s">
        <v>30</v>
      </c>
      <c r="AA1597" s="100" t="s">
        <v>30</v>
      </c>
      <c r="AB1597" s="100" t="s">
        <v>30</v>
      </c>
      <c r="AC1597" s="100" t="s">
        <v>30</v>
      </c>
      <c r="AD1597" s="100" t="s">
        <v>30</v>
      </c>
      <c r="AE1597" s="100" t="s">
        <v>30</v>
      </c>
      <c r="AF1597" s="100" t="s">
        <v>30</v>
      </c>
      <c r="AG1597" s="100" t="s">
        <v>30</v>
      </c>
      <c r="AH1597" s="111" t="s">
        <v>30</v>
      </c>
      <c r="AI1597" s="100" t="s">
        <v>30</v>
      </c>
      <c r="AJ1597" s="100" t="s">
        <v>30</v>
      </c>
      <c r="AK1597" s="100" t="s">
        <v>30</v>
      </c>
      <c r="AL1597" s="82" t="s">
        <v>30</v>
      </c>
      <c r="AM1597" s="360"/>
      <c r="AS1597" s="72"/>
      <c r="AT1597" s="96"/>
      <c r="AU1597" s="96"/>
      <c r="AV1597" s="109"/>
    </row>
    <row r="1598" spans="1:48">
      <c r="A1598" s="358" t="s">
        <v>24</v>
      </c>
      <c r="B1598" s="369">
        <v>1595</v>
      </c>
      <c r="C1598" s="372" t="s">
        <v>2330</v>
      </c>
      <c r="D1598" s="372" t="s">
        <v>34</v>
      </c>
      <c r="E1598" s="373">
        <v>45990</v>
      </c>
      <c r="F1598" s="372" t="s">
        <v>1342</v>
      </c>
      <c r="G1598" s="372">
        <v>14</v>
      </c>
      <c r="H1598" s="372" t="s">
        <v>67</v>
      </c>
      <c r="I1598" s="372" t="s">
        <v>47</v>
      </c>
      <c r="J1598" s="372"/>
      <c r="K1598" s="360" t="s">
        <v>2123</v>
      </c>
      <c r="L1598" s="358" t="s">
        <v>2309</v>
      </c>
      <c r="M1598" s="358" t="s">
        <v>2309</v>
      </c>
      <c r="N1598" s="358" t="s">
        <v>2331</v>
      </c>
      <c r="O1598" s="380" t="s">
        <v>32</v>
      </c>
      <c r="P1598" s="385" t="s">
        <v>1091</v>
      </c>
      <c r="Q1598" s="24">
        <v>46012</v>
      </c>
      <c r="R1598" s="228" t="s">
        <v>28</v>
      </c>
      <c r="S1598" s="24" t="s">
        <v>32</v>
      </c>
      <c r="T1598" s="22">
        <v>13</v>
      </c>
      <c r="U1598" s="24" t="s">
        <v>28</v>
      </c>
      <c r="V1598" s="24">
        <v>46012</v>
      </c>
      <c r="W1598" s="100" t="s">
        <v>30</v>
      </c>
      <c r="X1598" s="100" t="s">
        <v>30</v>
      </c>
      <c r="Y1598" s="100" t="s">
        <v>30</v>
      </c>
      <c r="Z1598" s="100" t="s">
        <v>30</v>
      </c>
      <c r="AA1598" s="100" t="s">
        <v>30</v>
      </c>
      <c r="AB1598" s="100" t="s">
        <v>30</v>
      </c>
      <c r="AC1598" s="100" t="s">
        <v>30</v>
      </c>
      <c r="AD1598" s="100" t="s">
        <v>30</v>
      </c>
      <c r="AE1598" s="100" t="s">
        <v>30</v>
      </c>
      <c r="AF1598" s="100" t="s">
        <v>30</v>
      </c>
      <c r="AG1598" s="100" t="s">
        <v>30</v>
      </c>
      <c r="AH1598" s="111" t="s">
        <v>30</v>
      </c>
      <c r="AI1598" s="100" t="s">
        <v>30</v>
      </c>
      <c r="AJ1598" s="100" t="s">
        <v>30</v>
      </c>
      <c r="AK1598" s="100" t="s">
        <v>30</v>
      </c>
      <c r="AL1598" s="82" t="s">
        <v>30</v>
      </c>
      <c r="AM1598" s="360"/>
      <c r="AN1598" s="91"/>
      <c r="AO1598" s="91"/>
      <c r="AS1598" s="72"/>
      <c r="AT1598" s="96"/>
      <c r="AU1598" s="96"/>
      <c r="AV1598" s="109"/>
    </row>
    <row r="1599" spans="1:48">
      <c r="A1599" s="358" t="s">
        <v>24</v>
      </c>
      <c r="B1599" s="369">
        <v>1596</v>
      </c>
      <c r="C1599" s="372" t="s">
        <v>2332</v>
      </c>
      <c r="D1599" s="372" t="s">
        <v>374</v>
      </c>
      <c r="E1599" s="373">
        <v>45990</v>
      </c>
      <c r="F1599" s="372" t="s">
        <v>683</v>
      </c>
      <c r="G1599" s="372">
        <v>14</v>
      </c>
      <c r="H1599" s="372" t="s">
        <v>67</v>
      </c>
      <c r="I1599" s="372" t="s">
        <v>47</v>
      </c>
      <c r="J1599" s="372"/>
      <c r="K1599" s="360" t="s">
        <v>2113</v>
      </c>
      <c r="L1599" s="358" t="s">
        <v>2309</v>
      </c>
      <c r="M1599" s="358" t="s">
        <v>2309</v>
      </c>
      <c r="N1599" s="358" t="s">
        <v>2333</v>
      </c>
      <c r="O1599" s="380" t="s">
        <v>32</v>
      </c>
      <c r="P1599" s="380" t="s">
        <v>1091</v>
      </c>
      <c r="Q1599" s="24">
        <v>46024</v>
      </c>
      <c r="R1599" s="228" t="s">
        <v>47</v>
      </c>
      <c r="S1599" s="22" t="s">
        <v>32</v>
      </c>
      <c r="T1599" s="22">
        <v>13</v>
      </c>
      <c r="U1599" s="24" t="s">
        <v>47</v>
      </c>
      <c r="V1599" s="24">
        <v>46024</v>
      </c>
      <c r="W1599" s="100" t="s">
        <v>30</v>
      </c>
      <c r="X1599" s="100" t="s">
        <v>30</v>
      </c>
      <c r="Y1599" s="100" t="s">
        <v>30</v>
      </c>
      <c r="Z1599" s="100" t="s">
        <v>30</v>
      </c>
      <c r="AA1599" s="100" t="s">
        <v>30</v>
      </c>
      <c r="AB1599" s="100" t="s">
        <v>30</v>
      </c>
      <c r="AC1599" s="100" t="s">
        <v>30</v>
      </c>
      <c r="AD1599" s="100" t="s">
        <v>30</v>
      </c>
      <c r="AE1599" s="100" t="s">
        <v>30</v>
      </c>
      <c r="AF1599" s="100" t="s">
        <v>30</v>
      </c>
      <c r="AG1599" s="100" t="s">
        <v>30</v>
      </c>
      <c r="AH1599" s="111" t="s">
        <v>30</v>
      </c>
      <c r="AI1599" s="100" t="s">
        <v>30</v>
      </c>
      <c r="AJ1599" s="100" t="s">
        <v>30</v>
      </c>
      <c r="AK1599" s="100" t="s">
        <v>30</v>
      </c>
      <c r="AL1599" s="114" t="s">
        <v>32</v>
      </c>
      <c r="AM1599" s="360"/>
      <c r="AS1599" s="72"/>
      <c r="AT1599" s="96"/>
      <c r="AU1599" s="96"/>
      <c r="AV1599" s="109"/>
    </row>
    <row r="1600" spans="1:48">
      <c r="A1600" s="358" t="s">
        <v>24</v>
      </c>
      <c r="B1600" s="369">
        <v>1597</v>
      </c>
      <c r="C1600" s="372" t="s">
        <v>2334</v>
      </c>
      <c r="D1600" s="372" t="s">
        <v>34</v>
      </c>
      <c r="E1600" s="373">
        <v>45990</v>
      </c>
      <c r="F1600" s="372" t="s">
        <v>187</v>
      </c>
      <c r="G1600" s="372">
        <v>15</v>
      </c>
      <c r="H1600" s="372" t="s">
        <v>67</v>
      </c>
      <c r="I1600" s="372" t="s">
        <v>47</v>
      </c>
      <c r="J1600" s="102"/>
      <c r="K1600" s="360" t="s">
        <v>2130</v>
      </c>
      <c r="L1600" s="358" t="s">
        <v>2292</v>
      </c>
      <c r="M1600" s="358" t="s">
        <v>2309</v>
      </c>
      <c r="N1600" s="358" t="s">
        <v>2050</v>
      </c>
      <c r="O1600" s="117" t="s">
        <v>30</v>
      </c>
      <c r="P1600" s="385" t="s">
        <v>1091</v>
      </c>
      <c r="Q1600" s="24">
        <v>46027</v>
      </c>
      <c r="R1600" s="228" t="s">
        <v>47</v>
      </c>
      <c r="S1600" s="24" t="s">
        <v>32</v>
      </c>
      <c r="T1600" s="22">
        <v>11</v>
      </c>
      <c r="U1600" s="24" t="s">
        <v>47</v>
      </c>
      <c r="V1600" s="24">
        <v>46027</v>
      </c>
      <c r="W1600" s="122" t="s">
        <v>30</v>
      </c>
      <c r="X1600" s="122" t="s">
        <v>30</v>
      </c>
      <c r="Y1600" s="122" t="s">
        <v>30</v>
      </c>
      <c r="Z1600" s="95" t="s">
        <v>32</v>
      </c>
      <c r="AA1600" s="95" t="s">
        <v>32</v>
      </c>
      <c r="AB1600" s="100" t="s">
        <v>30</v>
      </c>
      <c r="AC1600" s="100" t="s">
        <v>30</v>
      </c>
      <c r="AD1600" s="100" t="s">
        <v>30</v>
      </c>
      <c r="AE1600" s="100" t="s">
        <v>30</v>
      </c>
      <c r="AF1600" s="100" t="s">
        <v>30</v>
      </c>
      <c r="AG1600" s="100" t="s">
        <v>30</v>
      </c>
      <c r="AH1600" s="111" t="s">
        <v>30</v>
      </c>
      <c r="AI1600" s="100" t="s">
        <v>30</v>
      </c>
      <c r="AJ1600" s="100" t="s">
        <v>30</v>
      </c>
      <c r="AK1600" s="114" t="s">
        <v>32</v>
      </c>
      <c r="AL1600" s="114" t="s">
        <v>32</v>
      </c>
      <c r="AM1600" s="360" t="s">
        <v>2080</v>
      </c>
      <c r="AV1600" s="109"/>
    </row>
    <row r="1601" spans="1:48">
      <c r="A1601" s="358" t="s">
        <v>24</v>
      </c>
      <c r="B1601" s="369">
        <v>1598</v>
      </c>
      <c r="C1601" s="372" t="s">
        <v>2335</v>
      </c>
      <c r="D1601" s="372" t="s">
        <v>34</v>
      </c>
      <c r="E1601" s="373">
        <v>45990</v>
      </c>
      <c r="F1601" s="372" t="s">
        <v>695</v>
      </c>
      <c r="G1601" s="372">
        <v>18</v>
      </c>
      <c r="H1601" s="372" t="s">
        <v>1721</v>
      </c>
      <c r="I1601" s="372" t="s">
        <v>1638</v>
      </c>
      <c r="J1601" s="372"/>
      <c r="K1601" s="360" t="s">
        <v>2180</v>
      </c>
      <c r="L1601" s="358" t="s">
        <v>2292</v>
      </c>
      <c r="M1601" s="358" t="s">
        <v>2292</v>
      </c>
      <c r="N1601" s="358" t="s">
        <v>2050</v>
      </c>
      <c r="O1601" s="117" t="s">
        <v>30</v>
      </c>
      <c r="P1601" s="380" t="s">
        <v>1091</v>
      </c>
      <c r="Q1601" s="24">
        <v>46022</v>
      </c>
      <c r="R1601" s="81" t="s">
        <v>1638</v>
      </c>
      <c r="S1601" s="358" t="s">
        <v>32</v>
      </c>
      <c r="T1601" s="22">
        <v>18</v>
      </c>
      <c r="U1601" s="24" t="s">
        <v>1638</v>
      </c>
      <c r="V1601" s="24">
        <v>46022</v>
      </c>
      <c r="W1601" s="100" t="s">
        <v>30</v>
      </c>
      <c r="X1601" s="100" t="s">
        <v>30</v>
      </c>
      <c r="Y1601" s="100" t="s">
        <v>30</v>
      </c>
      <c r="Z1601" s="95" t="s">
        <v>32</v>
      </c>
      <c r="AA1601" s="95" t="s">
        <v>32</v>
      </c>
      <c r="AB1601" s="95" t="s">
        <v>32</v>
      </c>
      <c r="AC1601" s="100" t="s">
        <v>30</v>
      </c>
      <c r="AD1601" s="100" t="s">
        <v>30</v>
      </c>
      <c r="AE1601" s="100" t="s">
        <v>30</v>
      </c>
      <c r="AF1601" s="100" t="s">
        <v>30</v>
      </c>
      <c r="AG1601" s="100" t="s">
        <v>30</v>
      </c>
      <c r="AH1601" s="111" t="s">
        <v>30</v>
      </c>
      <c r="AI1601" s="100" t="s">
        <v>30</v>
      </c>
      <c r="AJ1601" s="100" t="s">
        <v>30</v>
      </c>
      <c r="AK1601" s="111" t="s">
        <v>30</v>
      </c>
      <c r="AL1601" s="114" t="s">
        <v>32</v>
      </c>
      <c r="AM1601" s="360" t="s">
        <v>2089</v>
      </c>
      <c r="AS1601" s="72"/>
      <c r="AT1601" s="96"/>
      <c r="AU1601" s="96"/>
      <c r="AV1601" s="109"/>
    </row>
    <row r="1602" spans="1:48">
      <c r="A1602" s="358" t="s">
        <v>24</v>
      </c>
      <c r="B1602" s="369">
        <v>1599</v>
      </c>
      <c r="C1602" s="372" t="s">
        <v>2336</v>
      </c>
      <c r="D1602" s="372" t="s">
        <v>34</v>
      </c>
      <c r="E1602" s="373">
        <v>45990</v>
      </c>
      <c r="F1602" s="372" t="s">
        <v>77</v>
      </c>
      <c r="G1602" s="372">
        <v>13</v>
      </c>
      <c r="H1602" s="372" t="s">
        <v>1721</v>
      </c>
      <c r="I1602" s="372" t="s">
        <v>1638</v>
      </c>
      <c r="J1602" s="372"/>
      <c r="K1602" s="360" t="s">
        <v>2126</v>
      </c>
      <c r="L1602" s="358" t="s">
        <v>2292</v>
      </c>
      <c r="M1602" s="358" t="s">
        <v>2299</v>
      </c>
      <c r="N1602" s="358" t="s">
        <v>2337</v>
      </c>
      <c r="O1602" s="380" t="s">
        <v>32</v>
      </c>
      <c r="P1602" s="385" t="s">
        <v>1091</v>
      </c>
      <c r="Q1602" s="24">
        <v>46022</v>
      </c>
      <c r="R1602" s="81" t="s">
        <v>48</v>
      </c>
      <c r="S1602" s="22" t="s">
        <v>1140</v>
      </c>
      <c r="T1602" s="22">
        <v>13</v>
      </c>
      <c r="U1602" s="24" t="s">
        <v>48</v>
      </c>
      <c r="V1602" s="24">
        <v>46022</v>
      </c>
      <c r="W1602" s="100" t="s">
        <v>30</v>
      </c>
      <c r="X1602" s="100" t="s">
        <v>30</v>
      </c>
      <c r="Y1602" s="100" t="s">
        <v>30</v>
      </c>
      <c r="Z1602" s="100" t="s">
        <v>30</v>
      </c>
      <c r="AA1602" s="100" t="s">
        <v>30</v>
      </c>
      <c r="AB1602" s="100" t="s">
        <v>30</v>
      </c>
      <c r="AC1602" s="100" t="s">
        <v>30</v>
      </c>
      <c r="AD1602" s="100" t="s">
        <v>30</v>
      </c>
      <c r="AE1602" s="100" t="s">
        <v>30</v>
      </c>
      <c r="AF1602" s="100" t="s">
        <v>30</v>
      </c>
      <c r="AG1602" s="100" t="s">
        <v>30</v>
      </c>
      <c r="AH1602" s="100" t="s">
        <v>30</v>
      </c>
      <c r="AI1602" s="100" t="s">
        <v>30</v>
      </c>
      <c r="AJ1602" s="100" t="s">
        <v>30</v>
      </c>
      <c r="AK1602" s="100" t="s">
        <v>30</v>
      </c>
      <c r="AL1602" s="114" t="s">
        <v>32</v>
      </c>
      <c r="AM1602" s="360" t="s">
        <v>2080</v>
      </c>
      <c r="AS1602" s="72"/>
      <c r="AT1602" s="96"/>
      <c r="AU1602" s="96"/>
      <c r="AV1602" s="109"/>
    </row>
    <row r="1603" spans="1:48">
      <c r="A1603" s="358" t="s">
        <v>24</v>
      </c>
      <c r="B1603" s="369">
        <v>1600</v>
      </c>
      <c r="C1603" s="372" t="s">
        <v>2338</v>
      </c>
      <c r="D1603" s="372" t="s">
        <v>234</v>
      </c>
      <c r="E1603" s="373">
        <v>45990</v>
      </c>
      <c r="F1603" s="372" t="s">
        <v>77</v>
      </c>
      <c r="G1603" s="372">
        <v>1</v>
      </c>
      <c r="H1603" s="372" t="s">
        <v>1721</v>
      </c>
      <c r="I1603" s="372" t="s">
        <v>1638</v>
      </c>
      <c r="J1603" s="372"/>
      <c r="K1603" s="360" t="s">
        <v>2126</v>
      </c>
      <c r="L1603" s="358" t="s">
        <v>401</v>
      </c>
      <c r="M1603" s="358" t="s">
        <v>401</v>
      </c>
      <c r="N1603" s="358" t="s">
        <v>401</v>
      </c>
      <c r="O1603" s="380" t="s">
        <v>32</v>
      </c>
      <c r="P1603" s="385" t="s">
        <v>1091</v>
      </c>
      <c r="Q1603" s="24">
        <v>46022</v>
      </c>
      <c r="R1603" s="81" t="s">
        <v>48</v>
      </c>
      <c r="S1603" s="22" t="s">
        <v>1140</v>
      </c>
      <c r="T1603" s="22">
        <v>1</v>
      </c>
      <c r="U1603" s="24" t="s">
        <v>48</v>
      </c>
      <c r="V1603" s="24">
        <v>46022</v>
      </c>
      <c r="W1603" s="100" t="s">
        <v>30</v>
      </c>
      <c r="X1603" s="100" t="s">
        <v>30</v>
      </c>
      <c r="Y1603" s="100" t="s">
        <v>30</v>
      </c>
      <c r="Z1603" s="100" t="s">
        <v>30</v>
      </c>
      <c r="AA1603" s="100" t="s">
        <v>30</v>
      </c>
      <c r="AB1603" s="100" t="s">
        <v>30</v>
      </c>
      <c r="AC1603" s="100" t="s">
        <v>30</v>
      </c>
      <c r="AD1603" s="100" t="s">
        <v>30</v>
      </c>
      <c r="AE1603" s="100" t="s">
        <v>30</v>
      </c>
      <c r="AF1603" s="100" t="s">
        <v>30</v>
      </c>
      <c r="AG1603" s="100" t="s">
        <v>30</v>
      </c>
      <c r="AH1603" s="100" t="s">
        <v>30</v>
      </c>
      <c r="AI1603" s="100" t="s">
        <v>30</v>
      </c>
      <c r="AJ1603" s="100" t="s">
        <v>30</v>
      </c>
      <c r="AK1603" s="100" t="s">
        <v>30</v>
      </c>
      <c r="AL1603" s="114" t="s">
        <v>32</v>
      </c>
      <c r="AM1603" s="360" t="s">
        <v>2080</v>
      </c>
      <c r="AS1603" s="72"/>
      <c r="AT1603" s="96"/>
      <c r="AU1603" s="96"/>
      <c r="AV1603" s="109"/>
    </row>
    <row r="1604" spans="1:48">
      <c r="A1604" s="358" t="s">
        <v>24</v>
      </c>
      <c r="B1604" s="369">
        <v>1601</v>
      </c>
      <c r="C1604" s="372" t="s">
        <v>2339</v>
      </c>
      <c r="D1604" s="372" t="s">
        <v>64</v>
      </c>
      <c r="E1604" s="373">
        <v>45990</v>
      </c>
      <c r="F1604" s="372" t="s">
        <v>2184</v>
      </c>
      <c r="G1604" s="372">
        <v>20</v>
      </c>
      <c r="H1604" s="372" t="s">
        <v>1721</v>
      </c>
      <c r="I1604" s="372" t="s">
        <v>1638</v>
      </c>
      <c r="J1604" s="372"/>
      <c r="K1604" s="360" t="s">
        <v>2102</v>
      </c>
      <c r="L1604" s="358" t="s">
        <v>2292</v>
      </c>
      <c r="M1604" s="358" t="s">
        <v>2309</v>
      </c>
      <c r="N1604" s="358" t="s">
        <v>2340</v>
      </c>
      <c r="O1604" s="117" t="s">
        <v>30</v>
      </c>
      <c r="P1604" s="385" t="s">
        <v>1091</v>
      </c>
      <c r="Q1604" s="24">
        <v>46022</v>
      </c>
      <c r="R1604" s="81" t="s">
        <v>1638</v>
      </c>
      <c r="S1604" s="22" t="s">
        <v>1140</v>
      </c>
      <c r="T1604" s="22">
        <v>20</v>
      </c>
      <c r="U1604" s="24" t="s">
        <v>1638</v>
      </c>
      <c r="V1604" s="24">
        <v>46022</v>
      </c>
      <c r="W1604" s="100" t="s">
        <v>30</v>
      </c>
      <c r="X1604" s="100" t="s">
        <v>30</v>
      </c>
      <c r="Y1604" s="100" t="s">
        <v>30</v>
      </c>
      <c r="Z1604" s="100" t="s">
        <v>30</v>
      </c>
      <c r="AA1604" s="100" t="s">
        <v>30</v>
      </c>
      <c r="AB1604" s="100" t="s">
        <v>30</v>
      </c>
      <c r="AC1604" s="100" t="s">
        <v>30</v>
      </c>
      <c r="AD1604" s="100" t="s">
        <v>30</v>
      </c>
      <c r="AE1604" s="100" t="s">
        <v>30</v>
      </c>
      <c r="AF1604" s="100" t="s">
        <v>30</v>
      </c>
      <c r="AG1604" s="100" t="s">
        <v>30</v>
      </c>
      <c r="AH1604" s="100" t="s">
        <v>30</v>
      </c>
      <c r="AI1604" s="100" t="s">
        <v>30</v>
      </c>
      <c r="AJ1604" s="100" t="s">
        <v>30</v>
      </c>
      <c r="AK1604" s="100" t="s">
        <v>30</v>
      </c>
      <c r="AL1604" s="114" t="s">
        <v>32</v>
      </c>
      <c r="AM1604" s="360" t="s">
        <v>2080</v>
      </c>
      <c r="AS1604" s="96"/>
      <c r="AT1604" s="96"/>
      <c r="AU1604" s="96"/>
      <c r="AV1604" s="109"/>
    </row>
    <row r="1605" spans="1:48">
      <c r="A1605" s="358" t="s">
        <v>24</v>
      </c>
      <c r="B1605" s="369">
        <v>1602</v>
      </c>
      <c r="C1605" s="372" t="s">
        <v>2341</v>
      </c>
      <c r="D1605" s="372" t="s">
        <v>102</v>
      </c>
      <c r="E1605" s="373">
        <v>45991</v>
      </c>
      <c r="F1605" s="372" t="s">
        <v>506</v>
      </c>
      <c r="G1605" s="372">
        <v>10</v>
      </c>
      <c r="H1605" s="372" t="s">
        <v>1721</v>
      </c>
      <c r="I1605" s="372" t="s">
        <v>1638</v>
      </c>
      <c r="J1605" s="372"/>
      <c r="K1605" s="360" t="s">
        <v>2061</v>
      </c>
      <c r="L1605" s="358" t="s">
        <v>2299</v>
      </c>
      <c r="M1605" s="358" t="s">
        <v>2299</v>
      </c>
      <c r="N1605" s="358" t="s">
        <v>2058</v>
      </c>
      <c r="O1605" s="380" t="s">
        <v>32</v>
      </c>
      <c r="P1605" s="385" t="s">
        <v>1091</v>
      </c>
      <c r="Q1605" s="24">
        <v>46022</v>
      </c>
      <c r="R1605" s="81" t="s">
        <v>48</v>
      </c>
      <c r="S1605" s="22" t="s">
        <v>1140</v>
      </c>
      <c r="T1605" s="22">
        <v>10</v>
      </c>
      <c r="U1605" s="24" t="s">
        <v>48</v>
      </c>
      <c r="V1605" s="24">
        <v>46022</v>
      </c>
      <c r="W1605" s="100" t="s">
        <v>30</v>
      </c>
      <c r="X1605" s="100" t="s">
        <v>30</v>
      </c>
      <c r="Y1605" s="100" t="s">
        <v>30</v>
      </c>
      <c r="Z1605" s="100" t="s">
        <v>30</v>
      </c>
      <c r="AA1605" s="100" t="s">
        <v>30</v>
      </c>
      <c r="AB1605" s="100" t="s">
        <v>30</v>
      </c>
      <c r="AC1605" s="100" t="s">
        <v>30</v>
      </c>
      <c r="AD1605" s="100" t="s">
        <v>30</v>
      </c>
      <c r="AE1605" s="100" t="s">
        <v>30</v>
      </c>
      <c r="AF1605" s="100" t="s">
        <v>30</v>
      </c>
      <c r="AG1605" s="100" t="s">
        <v>30</v>
      </c>
      <c r="AH1605" s="100" t="s">
        <v>30</v>
      </c>
      <c r="AI1605" s="100" t="s">
        <v>30</v>
      </c>
      <c r="AJ1605" s="100" t="s">
        <v>30</v>
      </c>
      <c r="AK1605" s="100" t="s">
        <v>30</v>
      </c>
      <c r="AL1605" s="114" t="s">
        <v>32</v>
      </c>
      <c r="AM1605" s="360"/>
      <c r="AS1605" s="96"/>
      <c r="AT1605" s="96"/>
      <c r="AU1605" s="96"/>
      <c r="AV1605" s="109"/>
    </row>
    <row r="1606" spans="1:48">
      <c r="A1606" s="358" t="s">
        <v>2342</v>
      </c>
      <c r="B1606" s="369">
        <v>1603</v>
      </c>
      <c r="C1606" s="358" t="s">
        <v>2343</v>
      </c>
      <c r="D1606" s="358" t="s">
        <v>1198</v>
      </c>
      <c r="E1606" s="373">
        <v>45964.208333333336</v>
      </c>
      <c r="F1606" s="372" t="s">
        <v>140</v>
      </c>
      <c r="G1606" s="372">
        <v>27</v>
      </c>
      <c r="H1606" s="372" t="s">
        <v>1790</v>
      </c>
      <c r="I1606" s="372"/>
      <c r="J1606" s="372"/>
      <c r="K1606" s="358" t="s">
        <v>113</v>
      </c>
      <c r="L1606" s="358" t="s">
        <v>113</v>
      </c>
      <c r="M1606" s="358" t="s">
        <v>113</v>
      </c>
      <c r="N1606" s="358" t="s">
        <v>113</v>
      </c>
      <c r="O1606" s="117" t="s">
        <v>30</v>
      </c>
      <c r="P1606" s="380" t="s">
        <v>1091</v>
      </c>
      <c r="Q1606" s="24">
        <v>45998</v>
      </c>
      <c r="R1606" s="384" t="s">
        <v>67</v>
      </c>
      <c r="S1606" s="358" t="s">
        <v>32</v>
      </c>
      <c r="T1606" s="358">
        <v>26</v>
      </c>
      <c r="U1606" s="24" t="s">
        <v>67</v>
      </c>
      <c r="V1606" s="24">
        <v>45998</v>
      </c>
      <c r="W1606" s="100" t="s">
        <v>113</v>
      </c>
      <c r="X1606" s="100"/>
      <c r="Y1606" s="95"/>
      <c r="Z1606" s="100"/>
      <c r="AA1606" s="100"/>
      <c r="AB1606" s="100"/>
      <c r="AC1606" s="100"/>
      <c r="AD1606" s="100"/>
      <c r="AE1606" s="100"/>
      <c r="AF1606" s="100"/>
      <c r="AG1606" s="100"/>
      <c r="AH1606" s="114"/>
      <c r="AI1606" s="111"/>
      <c r="AJ1606" s="111"/>
      <c r="AK1606" s="111"/>
      <c r="AL1606" s="95" t="s">
        <v>32</v>
      </c>
      <c r="AM1606" s="360"/>
      <c r="AN1606" s="6">
        <v>18</v>
      </c>
      <c r="AO1606" s="6">
        <v>0</v>
      </c>
      <c r="AP1606" s="6">
        <v>0</v>
      </c>
      <c r="AQ1606" s="6">
        <v>9</v>
      </c>
      <c r="AR1606" s="6">
        <f>SUM(AN1606:AQ1606)</f>
        <v>27</v>
      </c>
      <c r="AS1606" s="108">
        <f>+AN1606/AR1606*AS$1</f>
        <v>0</v>
      </c>
      <c r="AT1606" s="109">
        <f>+AO1606/AR1606*AT$1</f>
        <v>0</v>
      </c>
      <c r="AU1606" s="109">
        <f>+AP1606/AR1606*AU$1</f>
        <v>0</v>
      </c>
      <c r="AV1606" s="109">
        <f>+AQ1606/AR1606*AV$1</f>
        <v>0</v>
      </c>
    </row>
    <row r="1607" spans="1:48">
      <c r="A1607" s="358" t="s">
        <v>2342</v>
      </c>
      <c r="B1607" s="369">
        <v>1604</v>
      </c>
      <c r="C1607" s="358" t="s">
        <v>2344</v>
      </c>
      <c r="D1607" s="358" t="s">
        <v>1184</v>
      </c>
      <c r="E1607" s="373">
        <v>45964</v>
      </c>
      <c r="F1607" s="372" t="s">
        <v>140</v>
      </c>
      <c r="G1607" s="372">
        <v>11</v>
      </c>
      <c r="H1607" s="372" t="s">
        <v>2345</v>
      </c>
      <c r="I1607" s="372"/>
      <c r="J1607" s="372"/>
      <c r="K1607" s="358" t="s">
        <v>113</v>
      </c>
      <c r="L1607" s="358" t="s">
        <v>113</v>
      </c>
      <c r="M1607" s="358" t="s">
        <v>113</v>
      </c>
      <c r="N1607" s="358" t="s">
        <v>113</v>
      </c>
      <c r="O1607" s="380"/>
      <c r="P1607" s="380" t="s">
        <v>1091</v>
      </c>
      <c r="Q1607" s="24">
        <v>45998</v>
      </c>
      <c r="R1607" s="384" t="s">
        <v>67</v>
      </c>
      <c r="S1607" s="358" t="s">
        <v>32</v>
      </c>
      <c r="T1607" s="358">
        <v>18</v>
      </c>
      <c r="U1607" s="24" t="s">
        <v>67</v>
      </c>
      <c r="V1607" s="24">
        <v>45998</v>
      </c>
      <c r="W1607" s="100" t="s">
        <v>113</v>
      </c>
      <c r="X1607" s="100"/>
      <c r="Y1607" s="95"/>
      <c r="Z1607" s="100"/>
      <c r="AA1607" s="100"/>
      <c r="AB1607" s="100"/>
      <c r="AC1607" s="95"/>
      <c r="AD1607" s="100"/>
      <c r="AE1607" s="100"/>
      <c r="AF1607" s="100"/>
      <c r="AG1607" s="100"/>
      <c r="AH1607" s="114"/>
      <c r="AI1607" s="111"/>
      <c r="AJ1607" s="111"/>
      <c r="AK1607" s="112"/>
      <c r="AL1607" s="95" t="s">
        <v>32</v>
      </c>
      <c r="AM1607" s="360"/>
      <c r="AO1607" s="412"/>
      <c r="AP1607" s="412"/>
      <c r="AQ1607" s="412"/>
      <c r="AR1607" s="412"/>
    </row>
    <row r="1608" spans="1:48">
      <c r="A1608" s="358" t="s">
        <v>2342</v>
      </c>
      <c r="B1608" s="369">
        <v>1605</v>
      </c>
      <c r="C1608" s="358" t="s">
        <v>2346</v>
      </c>
      <c r="D1608" s="358" t="s">
        <v>937</v>
      </c>
      <c r="E1608" s="373">
        <v>45964.166666666664</v>
      </c>
      <c r="F1608" s="372" t="s">
        <v>140</v>
      </c>
      <c r="G1608" s="372">
        <v>3</v>
      </c>
      <c r="H1608" s="372" t="s">
        <v>1790</v>
      </c>
      <c r="I1608" s="372"/>
      <c r="J1608" s="372"/>
      <c r="K1608" s="358" t="s">
        <v>113</v>
      </c>
      <c r="L1608" s="358" t="s">
        <v>113</v>
      </c>
      <c r="M1608" s="358" t="s">
        <v>113</v>
      </c>
      <c r="N1608" s="358" t="s">
        <v>113</v>
      </c>
      <c r="O1608" s="117"/>
      <c r="P1608" s="380" t="s">
        <v>1091</v>
      </c>
      <c r="Q1608" s="24">
        <v>45998</v>
      </c>
      <c r="R1608" s="384" t="s">
        <v>67</v>
      </c>
      <c r="S1608" s="358" t="s">
        <v>32</v>
      </c>
      <c r="T1608" s="358">
        <v>10</v>
      </c>
      <c r="U1608" s="24" t="s">
        <v>67</v>
      </c>
      <c r="V1608" s="24">
        <v>45998</v>
      </c>
      <c r="W1608" s="100" t="s">
        <v>113</v>
      </c>
      <c r="X1608" s="100"/>
      <c r="Y1608" s="95"/>
      <c r="Z1608" s="100"/>
      <c r="AA1608" s="100"/>
      <c r="AB1608" s="100"/>
      <c r="AC1608" s="100"/>
      <c r="AD1608" s="100"/>
      <c r="AE1608" s="100"/>
      <c r="AF1608" s="100"/>
      <c r="AG1608" s="100"/>
      <c r="AH1608" s="114"/>
      <c r="AI1608" s="114"/>
      <c r="AJ1608" s="114"/>
      <c r="AK1608" s="100"/>
      <c r="AL1608" s="95" t="s">
        <v>32</v>
      </c>
      <c r="AM1608" s="360" t="s">
        <v>2059</v>
      </c>
      <c r="AO1608" s="412"/>
      <c r="AP1608" s="412"/>
      <c r="AQ1608" s="412"/>
      <c r="AR1608" s="412"/>
    </row>
    <row r="1609" spans="1:48">
      <c r="A1609" s="358" t="s">
        <v>2342</v>
      </c>
      <c r="B1609" s="369">
        <v>1606</v>
      </c>
      <c r="C1609" s="358" t="s">
        <v>2347</v>
      </c>
      <c r="D1609" s="358" t="s">
        <v>1250</v>
      </c>
      <c r="E1609" s="373">
        <v>45964</v>
      </c>
      <c r="F1609" s="372" t="s">
        <v>140</v>
      </c>
      <c r="G1609" s="372">
        <v>2</v>
      </c>
      <c r="H1609" s="372" t="s">
        <v>127</v>
      </c>
      <c r="I1609" s="372"/>
      <c r="J1609" s="372"/>
      <c r="K1609" s="358" t="s">
        <v>113</v>
      </c>
      <c r="L1609" s="358" t="s">
        <v>113</v>
      </c>
      <c r="M1609" s="358" t="s">
        <v>113</v>
      </c>
      <c r="N1609" s="358" t="s">
        <v>113</v>
      </c>
      <c r="O1609" s="117"/>
      <c r="P1609" s="380" t="s">
        <v>1091</v>
      </c>
      <c r="Q1609" s="24">
        <v>45998</v>
      </c>
      <c r="R1609" s="384" t="s">
        <v>67</v>
      </c>
      <c r="S1609" s="358" t="s">
        <v>32</v>
      </c>
      <c r="T1609" s="358">
        <v>2</v>
      </c>
      <c r="U1609" s="24" t="s">
        <v>67</v>
      </c>
      <c r="V1609" s="24">
        <v>45998</v>
      </c>
      <c r="W1609" s="100" t="s">
        <v>113</v>
      </c>
      <c r="X1609" s="94"/>
      <c r="Y1609" s="95"/>
      <c r="Z1609" s="100"/>
      <c r="AA1609" s="100"/>
      <c r="AB1609" s="100"/>
      <c r="AC1609" s="100"/>
      <c r="AD1609" s="100"/>
      <c r="AE1609" s="100"/>
      <c r="AF1609" s="100"/>
      <c r="AG1609" s="100"/>
      <c r="AH1609" s="114"/>
      <c r="AI1609" s="94"/>
      <c r="AJ1609" s="94"/>
      <c r="AK1609" s="94"/>
      <c r="AL1609" s="95" t="s">
        <v>32</v>
      </c>
      <c r="AM1609" s="360"/>
      <c r="AO1609" s="412"/>
      <c r="AP1609" s="412"/>
      <c r="AQ1609" s="412"/>
      <c r="AR1609" s="412"/>
    </row>
    <row r="1610" spans="1:48">
      <c r="A1610" s="358" t="s">
        <v>2342</v>
      </c>
      <c r="B1610" s="369">
        <v>1607</v>
      </c>
      <c r="C1610" s="358" t="s">
        <v>2348</v>
      </c>
      <c r="D1610" s="358" t="s">
        <v>829</v>
      </c>
      <c r="E1610" s="373">
        <v>45964.041666666664</v>
      </c>
      <c r="F1610" s="372" t="s">
        <v>140</v>
      </c>
      <c r="G1610" s="372">
        <v>25</v>
      </c>
      <c r="H1610" s="372" t="s">
        <v>1843</v>
      </c>
      <c r="I1610" s="372"/>
      <c r="J1610" s="372"/>
      <c r="K1610" s="358" t="s">
        <v>113</v>
      </c>
      <c r="L1610" s="358" t="s">
        <v>113</v>
      </c>
      <c r="M1610" s="358" t="s">
        <v>113</v>
      </c>
      <c r="N1610" s="358" t="s">
        <v>113</v>
      </c>
      <c r="O1610" s="117" t="s">
        <v>30</v>
      </c>
      <c r="P1610" s="380" t="s">
        <v>1091</v>
      </c>
      <c r="Q1610" s="24">
        <v>46024</v>
      </c>
      <c r="R1610" s="384" t="s">
        <v>67</v>
      </c>
      <c r="S1610" s="358" t="s">
        <v>32</v>
      </c>
      <c r="T1610" s="358">
        <v>26</v>
      </c>
      <c r="U1610" s="24" t="s">
        <v>67</v>
      </c>
      <c r="V1610" s="24">
        <v>46024</v>
      </c>
      <c r="W1610" s="100" t="s">
        <v>113</v>
      </c>
      <c r="X1610" s="94"/>
      <c r="Y1610" s="95"/>
      <c r="Z1610" s="100"/>
      <c r="AA1610" s="100"/>
      <c r="AB1610" s="100"/>
      <c r="AC1610" s="100"/>
      <c r="AD1610" s="100"/>
      <c r="AE1610" s="100"/>
      <c r="AF1610" s="100"/>
      <c r="AG1610" s="100"/>
      <c r="AH1610" s="114"/>
      <c r="AI1610" s="111"/>
      <c r="AJ1610" s="111"/>
      <c r="AK1610" s="111"/>
      <c r="AL1610" s="95" t="s">
        <v>32</v>
      </c>
      <c r="AM1610" s="360"/>
      <c r="AN1610" s="6">
        <v>15</v>
      </c>
      <c r="AO1610" s="6">
        <v>0</v>
      </c>
      <c r="AP1610" s="6">
        <v>2</v>
      </c>
      <c r="AQ1610" s="6">
        <v>8</v>
      </c>
      <c r="AR1610" s="6">
        <f>SUM(AN1610:AQ1610)</f>
        <v>25</v>
      </c>
      <c r="AS1610" s="108">
        <f>+AN1610/AR1610*AS$1</f>
        <v>0</v>
      </c>
      <c r="AT1610" s="109">
        <f>+AO1610/AR1610*AT$1</f>
        <v>0</v>
      </c>
      <c r="AU1610" s="109">
        <f>+AP1610/AR1610*AU$1</f>
        <v>0</v>
      </c>
      <c r="AV1610" s="109">
        <f>+AQ1610/AR1610*AV$1</f>
        <v>0</v>
      </c>
    </row>
    <row r="1611" spans="1:48">
      <c r="A1611" s="358" t="s">
        <v>2342</v>
      </c>
      <c r="B1611" s="369">
        <v>1608</v>
      </c>
      <c r="C1611" s="358" t="s">
        <v>2349</v>
      </c>
      <c r="D1611" s="358" t="s">
        <v>2350</v>
      </c>
      <c r="E1611" s="373">
        <v>45964.041666666664</v>
      </c>
      <c r="F1611" s="372" t="s">
        <v>140</v>
      </c>
      <c r="G1611" s="372">
        <v>2</v>
      </c>
      <c r="H1611" s="372" t="s">
        <v>127</v>
      </c>
      <c r="I1611" s="372"/>
      <c r="J1611" s="372"/>
      <c r="K1611" s="358" t="s">
        <v>113</v>
      </c>
      <c r="L1611" s="358" t="s">
        <v>113</v>
      </c>
      <c r="M1611" s="358" t="s">
        <v>113</v>
      </c>
      <c r="N1611" s="358" t="s">
        <v>113</v>
      </c>
      <c r="O1611" s="380"/>
      <c r="P1611" s="380" t="s">
        <v>1091</v>
      </c>
      <c r="Q1611" s="24">
        <v>46024</v>
      </c>
      <c r="R1611" s="384" t="s">
        <v>67</v>
      </c>
      <c r="S1611" s="358" t="s">
        <v>32</v>
      </c>
      <c r="T1611" s="358">
        <v>2</v>
      </c>
      <c r="U1611" s="24" t="s">
        <v>67</v>
      </c>
      <c r="V1611" s="24">
        <v>46024</v>
      </c>
      <c r="W1611" s="100" t="s">
        <v>113</v>
      </c>
      <c r="X1611" s="95"/>
      <c r="Y1611" s="95"/>
      <c r="Z1611" s="100"/>
      <c r="AA1611" s="95"/>
      <c r="AB1611" s="100"/>
      <c r="AC1611" s="100"/>
      <c r="AD1611" s="100"/>
      <c r="AE1611" s="100"/>
      <c r="AF1611" s="100"/>
      <c r="AG1611" s="100"/>
      <c r="AH1611" s="114"/>
      <c r="AI1611" s="114"/>
      <c r="AJ1611" s="114"/>
      <c r="AK1611" s="114"/>
      <c r="AL1611" s="95" t="s">
        <v>32</v>
      </c>
      <c r="AM1611" s="360" t="s">
        <v>2068</v>
      </c>
      <c r="AO1611" s="412"/>
      <c r="AP1611" s="412"/>
      <c r="AQ1611" s="412"/>
      <c r="AR1611" s="412"/>
    </row>
    <row r="1612" spans="1:48">
      <c r="A1612" s="358" t="s">
        <v>2342</v>
      </c>
      <c r="B1612" s="369">
        <v>1609</v>
      </c>
      <c r="C1612" s="358" t="s">
        <v>2351</v>
      </c>
      <c r="D1612" s="358" t="s">
        <v>1208</v>
      </c>
      <c r="E1612" s="373">
        <v>45964</v>
      </c>
      <c r="F1612" s="372" t="s">
        <v>140</v>
      </c>
      <c r="G1612" s="372">
        <v>5</v>
      </c>
      <c r="H1612" s="372" t="s">
        <v>1790</v>
      </c>
      <c r="I1612" s="372"/>
      <c r="J1612" s="372"/>
      <c r="K1612" s="358" t="s">
        <v>113</v>
      </c>
      <c r="L1612" s="358" t="s">
        <v>113</v>
      </c>
      <c r="M1612" s="358" t="s">
        <v>113</v>
      </c>
      <c r="N1612" s="358" t="s">
        <v>113</v>
      </c>
      <c r="O1612" s="380"/>
      <c r="P1612" s="380" t="s">
        <v>1091</v>
      </c>
      <c r="Q1612" s="24">
        <v>45999</v>
      </c>
      <c r="R1612" s="384" t="s">
        <v>67</v>
      </c>
      <c r="S1612" s="358" t="s">
        <v>32</v>
      </c>
      <c r="T1612" s="358">
        <v>10</v>
      </c>
      <c r="U1612" s="24" t="s">
        <v>67</v>
      </c>
      <c r="V1612" s="24">
        <v>45999</v>
      </c>
      <c r="W1612" s="100" t="s">
        <v>113</v>
      </c>
      <c r="X1612" s="100"/>
      <c r="Y1612" s="95"/>
      <c r="Z1612" s="100"/>
      <c r="AA1612" s="100"/>
      <c r="AB1612" s="100"/>
      <c r="AC1612" s="100"/>
      <c r="AD1612" s="100"/>
      <c r="AE1612" s="100"/>
      <c r="AF1612" s="100"/>
      <c r="AG1612" s="100"/>
      <c r="AH1612" s="114"/>
      <c r="AI1612" s="114"/>
      <c r="AJ1612" s="114"/>
      <c r="AK1612" s="100"/>
      <c r="AL1612" s="95" t="s">
        <v>32</v>
      </c>
      <c r="AM1612" s="360" t="s">
        <v>2059</v>
      </c>
      <c r="AO1612" s="412"/>
      <c r="AP1612" s="412"/>
      <c r="AQ1612" s="412"/>
      <c r="AR1612" s="412"/>
    </row>
    <row r="1613" spans="1:48">
      <c r="A1613" s="358" t="s">
        <v>2342</v>
      </c>
      <c r="B1613" s="369">
        <v>1610</v>
      </c>
      <c r="C1613" s="358" t="s">
        <v>2352</v>
      </c>
      <c r="D1613" s="358" t="s">
        <v>2353</v>
      </c>
      <c r="E1613" s="373">
        <v>45964.083333333336</v>
      </c>
      <c r="F1613" s="372" t="s">
        <v>140</v>
      </c>
      <c r="G1613" s="372">
        <v>1</v>
      </c>
      <c r="H1613" s="372" t="s">
        <v>1721</v>
      </c>
      <c r="I1613" s="372"/>
      <c r="J1613" s="372"/>
      <c r="K1613" s="358" t="s">
        <v>113</v>
      </c>
      <c r="L1613" s="358" t="s">
        <v>113</v>
      </c>
      <c r="M1613" s="358" t="s">
        <v>113</v>
      </c>
      <c r="N1613" s="358" t="s">
        <v>113</v>
      </c>
      <c r="O1613" s="380"/>
      <c r="P1613" s="380" t="s">
        <v>1091</v>
      </c>
      <c r="Q1613" s="24">
        <v>45999</v>
      </c>
      <c r="R1613" s="384" t="s">
        <v>67</v>
      </c>
      <c r="S1613" s="358" t="s">
        <v>32</v>
      </c>
      <c r="T1613" s="358">
        <v>1</v>
      </c>
      <c r="U1613" s="24" t="s">
        <v>67</v>
      </c>
      <c r="V1613" s="24">
        <v>45999</v>
      </c>
      <c r="W1613" s="100" t="s">
        <v>113</v>
      </c>
      <c r="X1613" s="100"/>
      <c r="Y1613" s="95"/>
      <c r="Z1613" s="100"/>
      <c r="AA1613" s="100"/>
      <c r="AB1613" s="100"/>
      <c r="AC1613" s="100"/>
      <c r="AD1613" s="100"/>
      <c r="AE1613" s="100"/>
      <c r="AF1613" s="100"/>
      <c r="AG1613" s="100"/>
      <c r="AH1613" s="114"/>
      <c r="AI1613" s="114"/>
      <c r="AJ1613" s="114"/>
      <c r="AK1613" s="100"/>
      <c r="AL1613" s="95" t="s">
        <v>32</v>
      </c>
      <c r="AM1613" s="360" t="s">
        <v>2059</v>
      </c>
      <c r="AO1613" s="412"/>
      <c r="AP1613" s="412"/>
      <c r="AQ1613" s="412"/>
      <c r="AR1613" s="412"/>
    </row>
    <row r="1614" spans="1:48">
      <c r="A1614" s="358" t="s">
        <v>2342</v>
      </c>
      <c r="B1614" s="369">
        <v>1611</v>
      </c>
      <c r="C1614" s="358" t="s">
        <v>2354</v>
      </c>
      <c r="D1614" s="358" t="s">
        <v>1245</v>
      </c>
      <c r="E1614" s="373">
        <v>45964</v>
      </c>
      <c r="F1614" s="372" t="s">
        <v>140</v>
      </c>
      <c r="G1614" s="372">
        <v>2</v>
      </c>
      <c r="H1614" s="372" t="s">
        <v>127</v>
      </c>
      <c r="I1614" s="372"/>
      <c r="J1614" s="372"/>
      <c r="K1614" s="358" t="s">
        <v>113</v>
      </c>
      <c r="L1614" s="358" t="s">
        <v>113</v>
      </c>
      <c r="M1614" s="358" t="s">
        <v>113</v>
      </c>
      <c r="N1614" s="358" t="s">
        <v>113</v>
      </c>
      <c r="O1614" s="117"/>
      <c r="P1614" s="380" t="s">
        <v>1091</v>
      </c>
      <c r="Q1614" s="24">
        <v>45999</v>
      </c>
      <c r="R1614" s="384" t="s">
        <v>67</v>
      </c>
      <c r="S1614" s="358" t="s">
        <v>32</v>
      </c>
      <c r="T1614" s="358">
        <v>2</v>
      </c>
      <c r="U1614" s="24" t="s">
        <v>67</v>
      </c>
      <c r="V1614" s="24">
        <v>45999</v>
      </c>
      <c r="W1614" s="100" t="s">
        <v>113</v>
      </c>
      <c r="X1614" s="100"/>
      <c r="Y1614" s="95"/>
      <c r="Z1614" s="100"/>
      <c r="AA1614" s="100"/>
      <c r="AB1614" s="100"/>
      <c r="AC1614" s="100"/>
      <c r="AD1614" s="100"/>
      <c r="AE1614" s="100"/>
      <c r="AF1614" s="100"/>
      <c r="AG1614" s="100"/>
      <c r="AH1614" s="114"/>
      <c r="AI1614" s="100"/>
      <c r="AJ1614" s="100"/>
      <c r="AK1614" s="100"/>
      <c r="AL1614" s="95" t="s">
        <v>32</v>
      </c>
      <c r="AM1614" s="360"/>
    </row>
    <row r="1615" spans="1:48">
      <c r="A1615" s="358" t="s">
        <v>2342</v>
      </c>
      <c r="B1615" s="369">
        <v>1612</v>
      </c>
      <c r="C1615" s="358" t="s">
        <v>2355</v>
      </c>
      <c r="D1615" s="358" t="s">
        <v>1424</v>
      </c>
      <c r="E1615" s="373">
        <v>45964.166666666664</v>
      </c>
      <c r="F1615" s="372" t="s">
        <v>140</v>
      </c>
      <c r="G1615" s="372">
        <v>1</v>
      </c>
      <c r="H1615" s="372" t="s">
        <v>1077</v>
      </c>
      <c r="I1615" s="372"/>
      <c r="J1615" s="372"/>
      <c r="K1615" s="358" t="s">
        <v>113</v>
      </c>
      <c r="L1615" s="358" t="s">
        <v>113</v>
      </c>
      <c r="M1615" s="358" t="s">
        <v>113</v>
      </c>
      <c r="N1615" s="358" t="s">
        <v>113</v>
      </c>
      <c r="O1615" s="380"/>
      <c r="P1615" s="380" t="s">
        <v>1091</v>
      </c>
      <c r="Q1615" s="24">
        <v>45999</v>
      </c>
      <c r="R1615" s="384" t="s">
        <v>67</v>
      </c>
      <c r="S1615" s="358" t="s">
        <v>32</v>
      </c>
      <c r="T1615" s="358">
        <v>1</v>
      </c>
      <c r="U1615" s="24" t="s">
        <v>67</v>
      </c>
      <c r="V1615" s="24">
        <v>45999</v>
      </c>
      <c r="W1615" s="100" t="s">
        <v>113</v>
      </c>
      <c r="X1615" s="100"/>
      <c r="Y1615" s="95"/>
      <c r="Z1615" s="100"/>
      <c r="AA1615" s="95"/>
      <c r="AB1615" s="100"/>
      <c r="AC1615" s="100"/>
      <c r="AD1615" s="100"/>
      <c r="AE1615" s="100"/>
      <c r="AF1615" s="100"/>
      <c r="AG1615" s="100"/>
      <c r="AH1615" s="114"/>
      <c r="AI1615" s="114"/>
      <c r="AJ1615" s="114"/>
      <c r="AK1615" s="114"/>
      <c r="AL1615" s="95" t="s">
        <v>32</v>
      </c>
      <c r="AM1615" s="360" t="s">
        <v>2068</v>
      </c>
    </row>
    <row r="1616" spans="1:48">
      <c r="A1616" s="358" t="s">
        <v>2342</v>
      </c>
      <c r="B1616" s="369">
        <v>1613</v>
      </c>
      <c r="C1616" s="358" t="s">
        <v>2356</v>
      </c>
      <c r="D1616" s="358" t="s">
        <v>989</v>
      </c>
      <c r="E1616" s="373">
        <v>45964</v>
      </c>
      <c r="F1616" s="372" t="s">
        <v>140</v>
      </c>
      <c r="G1616" s="372">
        <v>3</v>
      </c>
      <c r="H1616" s="372" t="s">
        <v>1795</v>
      </c>
      <c r="I1616" s="372"/>
      <c r="J1616" s="372"/>
      <c r="K1616" s="358" t="s">
        <v>113</v>
      </c>
      <c r="L1616" s="358" t="s">
        <v>113</v>
      </c>
      <c r="M1616" s="358" t="s">
        <v>113</v>
      </c>
      <c r="N1616" s="358" t="s">
        <v>113</v>
      </c>
      <c r="O1616" s="380"/>
      <c r="P1616" s="380" t="s">
        <v>1091</v>
      </c>
      <c r="Q1616" s="24">
        <v>45999</v>
      </c>
      <c r="R1616" s="384" t="s">
        <v>67</v>
      </c>
      <c r="S1616" s="358" t="s">
        <v>32</v>
      </c>
      <c r="T1616" s="358">
        <v>3</v>
      </c>
      <c r="U1616" s="24" t="s">
        <v>67</v>
      </c>
      <c r="V1616" s="24">
        <v>45999</v>
      </c>
      <c r="W1616" s="100" t="s">
        <v>113</v>
      </c>
      <c r="X1616" s="100"/>
      <c r="Y1616" s="95"/>
      <c r="Z1616" s="100"/>
      <c r="AA1616" s="95"/>
      <c r="AB1616" s="100"/>
      <c r="AC1616" s="95"/>
      <c r="AD1616" s="100"/>
      <c r="AE1616" s="100"/>
      <c r="AF1616" s="100"/>
      <c r="AG1616" s="100"/>
      <c r="AH1616" s="114"/>
      <c r="AI1616" s="114"/>
      <c r="AJ1616" s="114"/>
      <c r="AK1616" s="114"/>
      <c r="AL1616" s="95" t="s">
        <v>32</v>
      </c>
      <c r="AM1616" s="360"/>
    </row>
    <row r="1617" spans="1:48">
      <c r="A1617" s="358" t="s">
        <v>2342</v>
      </c>
      <c r="B1617" s="369">
        <v>1614</v>
      </c>
      <c r="C1617" s="358" t="s">
        <v>2357</v>
      </c>
      <c r="D1617" s="358" t="s">
        <v>2358</v>
      </c>
      <c r="E1617" s="373">
        <v>45964</v>
      </c>
      <c r="F1617" s="372" t="s">
        <v>140</v>
      </c>
      <c r="G1617" s="372">
        <v>2</v>
      </c>
      <c r="H1617" s="372" t="s">
        <v>1076</v>
      </c>
      <c r="I1617" s="372"/>
      <c r="J1617" s="372"/>
      <c r="K1617" s="358" t="s">
        <v>113</v>
      </c>
      <c r="L1617" s="358" t="s">
        <v>113</v>
      </c>
      <c r="M1617" s="358" t="s">
        <v>113</v>
      </c>
      <c r="N1617" s="358" t="s">
        <v>113</v>
      </c>
      <c r="O1617" s="380"/>
      <c r="P1617" s="380" t="s">
        <v>1091</v>
      </c>
      <c r="Q1617" s="24">
        <v>45999</v>
      </c>
      <c r="R1617" s="384" t="s">
        <v>67</v>
      </c>
      <c r="S1617" s="358" t="s">
        <v>32</v>
      </c>
      <c r="T1617" s="358">
        <v>2</v>
      </c>
      <c r="U1617" s="24" t="s">
        <v>67</v>
      </c>
      <c r="V1617" s="24">
        <v>45999</v>
      </c>
      <c r="W1617" s="100" t="s">
        <v>113</v>
      </c>
      <c r="X1617" s="100"/>
      <c r="Y1617" s="95"/>
      <c r="Z1617" s="100"/>
      <c r="AA1617" s="100"/>
      <c r="AB1617" s="100"/>
      <c r="AC1617" s="100"/>
      <c r="AD1617" s="100"/>
      <c r="AE1617" s="100"/>
      <c r="AF1617" s="95"/>
      <c r="AG1617" s="95"/>
      <c r="AH1617" s="114"/>
      <c r="AI1617" s="114"/>
      <c r="AJ1617" s="114"/>
      <c r="AK1617" s="114"/>
      <c r="AL1617" s="95" t="s">
        <v>32</v>
      </c>
      <c r="AM1617" s="360"/>
      <c r="AN1617" s="6"/>
    </row>
    <row r="1618" spans="1:48">
      <c r="A1618" s="358" t="s">
        <v>2342</v>
      </c>
      <c r="B1618" s="369">
        <v>1615</v>
      </c>
      <c r="C1618" s="358" t="s">
        <v>2359</v>
      </c>
      <c r="D1618" s="358" t="s">
        <v>2360</v>
      </c>
      <c r="E1618" s="373">
        <v>45964.375</v>
      </c>
      <c r="F1618" s="372" t="s">
        <v>140</v>
      </c>
      <c r="G1618" s="372">
        <v>7</v>
      </c>
      <c r="H1618" s="372" t="s">
        <v>127</v>
      </c>
      <c r="I1618" s="372"/>
      <c r="J1618" s="372"/>
      <c r="K1618" s="358" t="s">
        <v>113</v>
      </c>
      <c r="L1618" s="358" t="s">
        <v>113</v>
      </c>
      <c r="M1618" s="358" t="s">
        <v>113</v>
      </c>
      <c r="N1618" s="358" t="s">
        <v>113</v>
      </c>
      <c r="O1618" s="117"/>
      <c r="P1618" s="380" t="s">
        <v>1091</v>
      </c>
      <c r="Q1618" s="24">
        <v>45999</v>
      </c>
      <c r="R1618" s="384" t="s">
        <v>67</v>
      </c>
      <c r="S1618" s="358" t="s">
        <v>32</v>
      </c>
      <c r="T1618" s="358">
        <v>9</v>
      </c>
      <c r="U1618" s="24" t="s">
        <v>67</v>
      </c>
      <c r="V1618" s="24">
        <v>45999</v>
      </c>
      <c r="W1618" s="100" t="s">
        <v>113</v>
      </c>
      <c r="X1618" s="100"/>
      <c r="Y1618" s="95"/>
      <c r="Z1618" s="100"/>
      <c r="AA1618" s="100"/>
      <c r="AB1618" s="100"/>
      <c r="AC1618" s="100"/>
      <c r="AD1618" s="100"/>
      <c r="AE1618" s="100"/>
      <c r="AF1618" s="100"/>
      <c r="AG1618" s="100"/>
      <c r="AH1618" s="114"/>
      <c r="AI1618" s="100"/>
      <c r="AJ1618" s="100"/>
      <c r="AK1618" s="100"/>
      <c r="AL1618" s="95" t="s">
        <v>32</v>
      </c>
      <c r="AM1618" s="360"/>
    </row>
    <row r="1619" spans="1:48">
      <c r="A1619" s="358" t="s">
        <v>2342</v>
      </c>
      <c r="B1619" s="369">
        <v>1616</v>
      </c>
      <c r="C1619" s="358" t="s">
        <v>2361</v>
      </c>
      <c r="D1619" s="358" t="s">
        <v>846</v>
      </c>
      <c r="E1619" s="373">
        <v>45964</v>
      </c>
      <c r="F1619" s="372" t="s">
        <v>140</v>
      </c>
      <c r="G1619" s="372">
        <v>1</v>
      </c>
      <c r="H1619" s="372" t="s">
        <v>127</v>
      </c>
      <c r="I1619" s="372"/>
      <c r="J1619" s="360"/>
      <c r="K1619" s="358" t="s">
        <v>113</v>
      </c>
      <c r="L1619" s="358" t="s">
        <v>113</v>
      </c>
      <c r="M1619" s="358" t="s">
        <v>113</v>
      </c>
      <c r="N1619" s="358" t="s">
        <v>113</v>
      </c>
      <c r="O1619" s="117"/>
      <c r="P1619" s="380" t="s">
        <v>1091</v>
      </c>
      <c r="Q1619" s="24">
        <v>45999</v>
      </c>
      <c r="R1619" s="384" t="s">
        <v>67</v>
      </c>
      <c r="S1619" s="358" t="s">
        <v>32</v>
      </c>
      <c r="T1619" s="358">
        <v>1</v>
      </c>
      <c r="U1619" s="24" t="s">
        <v>67</v>
      </c>
      <c r="V1619" s="24">
        <v>45999</v>
      </c>
      <c r="W1619" s="100" t="s">
        <v>113</v>
      </c>
      <c r="X1619" s="100"/>
      <c r="Y1619" s="95"/>
      <c r="Z1619" s="95"/>
      <c r="AA1619" s="95"/>
      <c r="AB1619" s="95"/>
      <c r="AC1619" s="100"/>
      <c r="AD1619" s="100"/>
      <c r="AE1619" s="100"/>
      <c r="AF1619" s="100"/>
      <c r="AG1619" s="100"/>
      <c r="AH1619" s="114"/>
      <c r="AI1619" s="100"/>
      <c r="AJ1619" s="100"/>
      <c r="AK1619" s="100"/>
      <c r="AL1619" s="95" t="s">
        <v>32</v>
      </c>
      <c r="AM1619" s="360"/>
    </row>
    <row r="1620" spans="1:48">
      <c r="A1620" s="358" t="s">
        <v>2342</v>
      </c>
      <c r="B1620" s="369">
        <v>1617</v>
      </c>
      <c r="C1620" s="358" t="s">
        <v>2362</v>
      </c>
      <c r="D1620" s="358" t="s">
        <v>1565</v>
      </c>
      <c r="E1620" s="373">
        <v>45964</v>
      </c>
      <c r="F1620" s="372" t="s">
        <v>140</v>
      </c>
      <c r="G1620" s="372">
        <v>1</v>
      </c>
      <c r="H1620" s="372" t="s">
        <v>127</v>
      </c>
      <c r="I1620" s="372"/>
      <c r="J1620" s="372"/>
      <c r="K1620" s="358" t="s">
        <v>113</v>
      </c>
      <c r="L1620" s="358" t="s">
        <v>113</v>
      </c>
      <c r="M1620" s="358" t="s">
        <v>113</v>
      </c>
      <c r="N1620" s="358" t="s">
        <v>113</v>
      </c>
      <c r="O1620" s="380"/>
      <c r="P1620" s="380" t="s">
        <v>1091</v>
      </c>
      <c r="Q1620" s="24">
        <v>45999</v>
      </c>
      <c r="R1620" s="384" t="s">
        <v>67</v>
      </c>
      <c r="S1620" s="358" t="s">
        <v>32</v>
      </c>
      <c r="T1620" s="358">
        <v>1</v>
      </c>
      <c r="U1620" s="24" t="s">
        <v>67</v>
      </c>
      <c r="V1620" s="24">
        <v>45999</v>
      </c>
      <c r="W1620" s="100" t="s">
        <v>113</v>
      </c>
      <c r="X1620" s="100"/>
      <c r="Y1620" s="95"/>
      <c r="Z1620" s="95"/>
      <c r="AA1620" s="95"/>
      <c r="AB1620" s="95"/>
      <c r="AC1620" s="100"/>
      <c r="AD1620" s="100"/>
      <c r="AE1620" s="100"/>
      <c r="AF1620" s="100"/>
      <c r="AG1620" s="100"/>
      <c r="AH1620" s="114"/>
      <c r="AI1620" s="100"/>
      <c r="AJ1620" s="100"/>
      <c r="AK1620" s="100"/>
      <c r="AL1620" s="95" t="s">
        <v>32</v>
      </c>
      <c r="AM1620" s="360"/>
    </row>
    <row r="1621" spans="1:48">
      <c r="A1621" s="358" t="s">
        <v>2342</v>
      </c>
      <c r="B1621" s="369">
        <v>1618</v>
      </c>
      <c r="C1621" s="358" t="s">
        <v>2363</v>
      </c>
      <c r="D1621" s="358" t="s">
        <v>2364</v>
      </c>
      <c r="E1621" s="373">
        <v>45964</v>
      </c>
      <c r="F1621" s="372" t="s">
        <v>140</v>
      </c>
      <c r="G1621" s="372">
        <v>3</v>
      </c>
      <c r="H1621" s="372" t="s">
        <v>1076</v>
      </c>
      <c r="I1621" s="372"/>
      <c r="J1621" s="372"/>
      <c r="K1621" s="358" t="s">
        <v>113</v>
      </c>
      <c r="L1621" s="358" t="s">
        <v>113</v>
      </c>
      <c r="M1621" s="358" t="s">
        <v>113</v>
      </c>
      <c r="N1621" s="358" t="s">
        <v>113</v>
      </c>
      <c r="O1621" s="380"/>
      <c r="P1621" s="380" t="s">
        <v>1091</v>
      </c>
      <c r="Q1621" s="24">
        <v>45999</v>
      </c>
      <c r="R1621" s="384" t="s">
        <v>67</v>
      </c>
      <c r="S1621" s="358" t="s">
        <v>32</v>
      </c>
      <c r="T1621" s="358">
        <v>3</v>
      </c>
      <c r="U1621" s="24" t="s">
        <v>67</v>
      </c>
      <c r="V1621" s="24">
        <v>45999</v>
      </c>
      <c r="W1621" s="100" t="s">
        <v>113</v>
      </c>
      <c r="X1621" s="100"/>
      <c r="Y1621" s="95"/>
      <c r="Z1621" s="95"/>
      <c r="AA1621" s="95"/>
      <c r="AB1621" s="95"/>
      <c r="AC1621" s="100"/>
      <c r="AD1621" s="100"/>
      <c r="AE1621" s="100"/>
      <c r="AF1621" s="100"/>
      <c r="AG1621" s="100"/>
      <c r="AH1621" s="114"/>
      <c r="AI1621" s="114"/>
      <c r="AJ1621" s="114"/>
      <c r="AK1621" s="111"/>
      <c r="AL1621" s="95" t="s">
        <v>32</v>
      </c>
      <c r="AM1621" s="360"/>
    </row>
    <row r="1622" spans="1:48">
      <c r="A1622" s="358" t="s">
        <v>2342</v>
      </c>
      <c r="B1622" s="369">
        <v>1619</v>
      </c>
      <c r="C1622" s="358" t="s">
        <v>2365</v>
      </c>
      <c r="D1622" s="358" t="s">
        <v>937</v>
      </c>
      <c r="E1622" s="373">
        <v>45971.041666666664</v>
      </c>
      <c r="F1622" s="372" t="s">
        <v>140</v>
      </c>
      <c r="G1622" s="372">
        <v>76</v>
      </c>
      <c r="H1622" s="372" t="s">
        <v>1843</v>
      </c>
      <c r="I1622" s="372"/>
      <c r="J1622" s="372"/>
      <c r="K1622" s="358" t="s">
        <v>113</v>
      </c>
      <c r="L1622" s="358" t="s">
        <v>113</v>
      </c>
      <c r="M1622" s="358" t="s">
        <v>113</v>
      </c>
      <c r="N1622" s="358" t="s">
        <v>113</v>
      </c>
      <c r="O1622" s="117" t="s">
        <v>30</v>
      </c>
      <c r="P1622" s="380" t="s">
        <v>1091</v>
      </c>
      <c r="Q1622" s="24">
        <v>46024</v>
      </c>
      <c r="R1622" s="384" t="s">
        <v>67</v>
      </c>
      <c r="S1622" s="358" t="s">
        <v>32</v>
      </c>
      <c r="T1622" s="358">
        <v>76</v>
      </c>
      <c r="U1622" s="24" t="s">
        <v>67</v>
      </c>
      <c r="V1622" s="24">
        <v>46024</v>
      </c>
      <c r="W1622" s="100" t="s">
        <v>113</v>
      </c>
      <c r="X1622" s="100"/>
      <c r="Y1622" s="95"/>
      <c r="Z1622" s="95"/>
      <c r="AA1622" s="95"/>
      <c r="AB1622" s="95"/>
      <c r="AC1622" s="100"/>
      <c r="AD1622" s="100"/>
      <c r="AE1622" s="100"/>
      <c r="AF1622" s="100"/>
      <c r="AG1622" s="100"/>
      <c r="AH1622" s="114"/>
      <c r="AI1622" s="114"/>
      <c r="AJ1622" s="114"/>
      <c r="AK1622" s="111"/>
      <c r="AL1622" s="95" t="s">
        <v>32</v>
      </c>
      <c r="AM1622" s="360"/>
      <c r="AN1622" s="6">
        <v>20</v>
      </c>
      <c r="AO1622" s="6">
        <v>0</v>
      </c>
      <c r="AP1622" s="6">
        <v>11</v>
      </c>
      <c r="AQ1622" s="6">
        <v>45</v>
      </c>
      <c r="AR1622" s="6">
        <f>SUM(AN1622:AQ1622)</f>
        <v>76</v>
      </c>
      <c r="AS1622" s="108">
        <f>+AN1622/AR1622*AS$1</f>
        <v>0</v>
      </c>
      <c r="AT1622" s="109">
        <f>+AO1622/AR1622*AT$1</f>
        <v>0</v>
      </c>
      <c r="AU1622" s="109">
        <f>+AP1622/AR1622*AU$1</f>
        <v>0</v>
      </c>
      <c r="AV1622" s="109">
        <f>+AQ1622/AR1622*AV$1</f>
        <v>0</v>
      </c>
    </row>
    <row r="1623" spans="1:48">
      <c r="A1623" s="358" t="s">
        <v>2342</v>
      </c>
      <c r="B1623" s="369">
        <v>1620</v>
      </c>
      <c r="C1623" s="358" t="s">
        <v>2366</v>
      </c>
      <c r="D1623" s="358" t="s">
        <v>1198</v>
      </c>
      <c r="E1623" s="373">
        <v>45971.083333333336</v>
      </c>
      <c r="F1623" s="372" t="s">
        <v>140</v>
      </c>
      <c r="G1623" s="372">
        <v>29</v>
      </c>
      <c r="H1623" s="372" t="s">
        <v>1843</v>
      </c>
      <c r="I1623" s="372"/>
      <c r="J1623" s="372"/>
      <c r="K1623" s="358" t="s">
        <v>113</v>
      </c>
      <c r="L1623" s="358" t="s">
        <v>113</v>
      </c>
      <c r="M1623" s="358" t="s">
        <v>113</v>
      </c>
      <c r="N1623" s="358" t="s">
        <v>113</v>
      </c>
      <c r="O1623" s="117" t="s">
        <v>30</v>
      </c>
      <c r="P1623" s="380" t="s">
        <v>1091</v>
      </c>
      <c r="Q1623" s="24">
        <v>46014</v>
      </c>
      <c r="R1623" s="384" t="s">
        <v>67</v>
      </c>
      <c r="S1623" s="358" t="s">
        <v>32</v>
      </c>
      <c r="T1623" s="358">
        <v>28</v>
      </c>
      <c r="U1623" s="24" t="s">
        <v>67</v>
      </c>
      <c r="V1623" s="24">
        <v>46014</v>
      </c>
      <c r="W1623" s="100" t="s">
        <v>113</v>
      </c>
      <c r="X1623" s="95"/>
      <c r="Y1623" s="95"/>
      <c r="Z1623" s="100"/>
      <c r="AA1623" s="100"/>
      <c r="AB1623" s="100"/>
      <c r="AC1623" s="100"/>
      <c r="AD1623" s="100"/>
      <c r="AE1623" s="100"/>
      <c r="AF1623" s="82"/>
      <c r="AG1623" s="100"/>
      <c r="AH1623" s="114"/>
      <c r="AI1623" s="100"/>
      <c r="AJ1623" s="100"/>
      <c r="AK1623" s="100"/>
      <c r="AL1623" s="95" t="s">
        <v>32</v>
      </c>
      <c r="AM1623" s="360"/>
      <c r="AN1623" s="6">
        <v>6</v>
      </c>
      <c r="AO1623" s="6">
        <v>0</v>
      </c>
      <c r="AP1623" s="6">
        <v>7</v>
      </c>
      <c r="AQ1623" s="6">
        <v>16</v>
      </c>
      <c r="AR1623" s="6">
        <f>SUM(AN1623:AQ1623)</f>
        <v>29</v>
      </c>
      <c r="AS1623" s="108">
        <f>+AN1623/AR1623*AS$1</f>
        <v>0</v>
      </c>
      <c r="AT1623" s="109">
        <f>+AO1623/AR1623*AT$1</f>
        <v>0</v>
      </c>
      <c r="AU1623" s="109">
        <f>+AP1623/AR1623*AU$1</f>
        <v>0</v>
      </c>
      <c r="AV1623" s="109">
        <f>+AQ1623/AR1623*AV$1</f>
        <v>0</v>
      </c>
    </row>
    <row r="1624" spans="1:48">
      <c r="A1624" s="358" t="s">
        <v>2342</v>
      </c>
      <c r="B1624" s="369">
        <v>1621</v>
      </c>
      <c r="C1624" s="358" t="s">
        <v>2367</v>
      </c>
      <c r="D1624" s="358" t="s">
        <v>829</v>
      </c>
      <c r="E1624" s="373">
        <v>45971.166666666664</v>
      </c>
      <c r="F1624" s="372" t="s">
        <v>140</v>
      </c>
      <c r="G1624" s="372">
        <v>77</v>
      </c>
      <c r="H1624" s="372" t="s">
        <v>1843</v>
      </c>
      <c r="I1624" s="372"/>
      <c r="J1624" s="372"/>
      <c r="K1624" s="358" t="s">
        <v>113</v>
      </c>
      <c r="L1624" s="358" t="s">
        <v>113</v>
      </c>
      <c r="M1624" s="358" t="s">
        <v>113</v>
      </c>
      <c r="N1624" s="358" t="s">
        <v>113</v>
      </c>
      <c r="O1624" s="117" t="s">
        <v>30</v>
      </c>
      <c r="P1624" s="380" t="s">
        <v>1091</v>
      </c>
      <c r="Q1624" s="24">
        <v>46024</v>
      </c>
      <c r="R1624" s="384" t="s">
        <v>67</v>
      </c>
      <c r="S1624" s="358" t="s">
        <v>32</v>
      </c>
      <c r="T1624" s="358">
        <v>77</v>
      </c>
      <c r="U1624" s="24" t="s">
        <v>67</v>
      </c>
      <c r="V1624" s="24">
        <v>46024</v>
      </c>
      <c r="W1624" s="100" t="s">
        <v>113</v>
      </c>
      <c r="X1624" s="100"/>
      <c r="Y1624" s="95"/>
      <c r="Z1624" s="100"/>
      <c r="AA1624" s="100"/>
      <c r="AB1624" s="100"/>
      <c r="AC1624" s="100"/>
      <c r="AD1624" s="100"/>
      <c r="AE1624" s="100"/>
      <c r="AF1624" s="95"/>
      <c r="AG1624" s="100"/>
      <c r="AH1624" s="114"/>
      <c r="AI1624" s="100"/>
      <c r="AJ1624" s="100"/>
      <c r="AK1624" s="100"/>
      <c r="AL1624" s="95" t="s">
        <v>32</v>
      </c>
      <c r="AM1624" s="360"/>
      <c r="AN1624" s="6">
        <v>3</v>
      </c>
      <c r="AO1624" s="6">
        <v>0</v>
      </c>
      <c r="AP1624" s="6">
        <v>63</v>
      </c>
      <c r="AQ1624" s="6">
        <v>11</v>
      </c>
      <c r="AR1624" s="6">
        <f>SUM(AN1624:AQ1624)</f>
        <v>77</v>
      </c>
      <c r="AS1624" s="108">
        <f>+AN1624/AR1624*AS$1</f>
        <v>0</v>
      </c>
      <c r="AT1624" s="109">
        <f>+AO1624/AR1624*AT$1</f>
        <v>0</v>
      </c>
      <c r="AU1624" s="109">
        <f>+AP1624/AR1624*AU$1</f>
        <v>0</v>
      </c>
      <c r="AV1624" s="109">
        <f>+AQ1624/AR1624*AV$1</f>
        <v>0</v>
      </c>
    </row>
    <row r="1625" spans="1:48">
      <c r="A1625" s="358" t="s">
        <v>2342</v>
      </c>
      <c r="B1625" s="369">
        <v>1622</v>
      </c>
      <c r="C1625" s="358" t="s">
        <v>2368</v>
      </c>
      <c r="D1625" s="358" t="s">
        <v>1863</v>
      </c>
      <c r="E1625" s="373">
        <v>45971.375</v>
      </c>
      <c r="F1625" s="372" t="s">
        <v>140</v>
      </c>
      <c r="G1625" s="372">
        <v>1</v>
      </c>
      <c r="H1625" s="372" t="s">
        <v>127</v>
      </c>
      <c r="I1625" s="372"/>
      <c r="J1625" s="372"/>
      <c r="K1625" s="358" t="s">
        <v>113</v>
      </c>
      <c r="L1625" s="358" t="s">
        <v>113</v>
      </c>
      <c r="M1625" s="358" t="s">
        <v>113</v>
      </c>
      <c r="N1625" s="358" t="s">
        <v>113</v>
      </c>
      <c r="O1625" s="117"/>
      <c r="P1625" s="380" t="s">
        <v>1091</v>
      </c>
      <c r="Q1625" s="24">
        <v>46014</v>
      </c>
      <c r="R1625" s="384" t="s">
        <v>67</v>
      </c>
      <c r="S1625" s="358" t="s">
        <v>32</v>
      </c>
      <c r="T1625" s="358">
        <v>1</v>
      </c>
      <c r="U1625" s="24" t="s">
        <v>67</v>
      </c>
      <c r="V1625" s="24">
        <v>46014</v>
      </c>
      <c r="W1625" s="100" t="s">
        <v>113</v>
      </c>
      <c r="X1625" s="100"/>
      <c r="Y1625" s="95"/>
      <c r="Z1625" s="100"/>
      <c r="AA1625" s="100"/>
      <c r="AB1625" s="100"/>
      <c r="AC1625" s="100"/>
      <c r="AD1625" s="100"/>
      <c r="AE1625" s="100"/>
      <c r="AF1625" s="100"/>
      <c r="AG1625" s="100"/>
      <c r="AH1625" s="114"/>
      <c r="AI1625" s="114"/>
      <c r="AJ1625" s="114"/>
      <c r="AK1625" s="114"/>
      <c r="AL1625" s="95" t="s">
        <v>32</v>
      </c>
      <c r="AM1625" s="360"/>
    </row>
    <row r="1626" spans="1:48">
      <c r="A1626" s="358" t="s">
        <v>2342</v>
      </c>
      <c r="B1626" s="369">
        <v>1623</v>
      </c>
      <c r="C1626" s="358" t="s">
        <v>2369</v>
      </c>
      <c r="D1626" s="358" t="s">
        <v>1544</v>
      </c>
      <c r="E1626" s="373">
        <v>45971.041666666664</v>
      </c>
      <c r="F1626" s="372" t="s">
        <v>140</v>
      </c>
      <c r="G1626" s="372">
        <v>1</v>
      </c>
      <c r="H1626" s="372" t="s">
        <v>127</v>
      </c>
      <c r="I1626" s="372"/>
      <c r="J1626" s="372"/>
      <c r="K1626" s="358" t="s">
        <v>113</v>
      </c>
      <c r="L1626" s="358" t="s">
        <v>113</v>
      </c>
      <c r="M1626" s="358" t="s">
        <v>113</v>
      </c>
      <c r="N1626" s="358" t="s">
        <v>113</v>
      </c>
      <c r="O1626" s="117"/>
      <c r="P1626" s="380" t="s">
        <v>1091</v>
      </c>
      <c r="Q1626" s="24">
        <v>46014</v>
      </c>
      <c r="R1626" s="384" t="s">
        <v>67</v>
      </c>
      <c r="S1626" s="358" t="s">
        <v>32</v>
      </c>
      <c r="T1626" s="358">
        <v>1</v>
      </c>
      <c r="U1626" s="24" t="s">
        <v>67</v>
      </c>
      <c r="V1626" s="24">
        <v>46014</v>
      </c>
      <c r="W1626" s="100" t="s">
        <v>113</v>
      </c>
      <c r="X1626" s="100"/>
      <c r="Y1626" s="95"/>
      <c r="Z1626" s="100"/>
      <c r="AA1626" s="100"/>
      <c r="AB1626" s="100"/>
      <c r="AC1626" s="100"/>
      <c r="AD1626" s="100"/>
      <c r="AE1626" s="100"/>
      <c r="AF1626" s="100"/>
      <c r="AG1626" s="100"/>
      <c r="AH1626" s="114"/>
      <c r="AI1626" s="114"/>
      <c r="AJ1626" s="114"/>
      <c r="AK1626" s="111"/>
      <c r="AL1626" s="95" t="s">
        <v>32</v>
      </c>
      <c r="AM1626" s="360"/>
    </row>
    <row r="1627" spans="1:48">
      <c r="A1627" s="358" t="s">
        <v>2342</v>
      </c>
      <c r="B1627" s="369">
        <v>1624</v>
      </c>
      <c r="C1627" s="358" t="s">
        <v>2370</v>
      </c>
      <c r="D1627" s="358" t="s">
        <v>1574</v>
      </c>
      <c r="E1627" s="373">
        <v>45971</v>
      </c>
      <c r="F1627" s="372" t="s">
        <v>140</v>
      </c>
      <c r="G1627" s="372">
        <v>1</v>
      </c>
      <c r="H1627" s="372" t="s">
        <v>1076</v>
      </c>
      <c r="I1627" s="372"/>
      <c r="J1627" s="372"/>
      <c r="K1627" s="358" t="s">
        <v>113</v>
      </c>
      <c r="L1627" s="358" t="s">
        <v>113</v>
      </c>
      <c r="M1627" s="358" t="s">
        <v>113</v>
      </c>
      <c r="N1627" s="358" t="s">
        <v>113</v>
      </c>
      <c r="O1627" s="117"/>
      <c r="P1627" s="380" t="s">
        <v>1091</v>
      </c>
      <c r="Q1627" s="24">
        <v>46014</v>
      </c>
      <c r="R1627" s="384" t="s">
        <v>67</v>
      </c>
      <c r="S1627" s="358" t="s">
        <v>32</v>
      </c>
      <c r="T1627" s="358">
        <v>1</v>
      </c>
      <c r="U1627" s="24" t="s">
        <v>67</v>
      </c>
      <c r="V1627" s="24">
        <v>46014</v>
      </c>
      <c r="W1627" s="100" t="s">
        <v>113</v>
      </c>
      <c r="X1627" s="100"/>
      <c r="Y1627" s="95"/>
      <c r="Z1627" s="100"/>
      <c r="AA1627" s="100"/>
      <c r="AB1627" s="100"/>
      <c r="AC1627" s="100"/>
      <c r="AD1627" s="100"/>
      <c r="AE1627" s="100"/>
      <c r="AF1627" s="100"/>
      <c r="AG1627" s="100"/>
      <c r="AH1627" s="114"/>
      <c r="AI1627" s="114"/>
      <c r="AJ1627" s="114"/>
      <c r="AK1627" s="111"/>
      <c r="AL1627" s="95" t="s">
        <v>32</v>
      </c>
      <c r="AM1627" s="360"/>
    </row>
    <row r="1628" spans="1:48">
      <c r="A1628" s="358" t="s">
        <v>2342</v>
      </c>
      <c r="B1628" s="369">
        <v>1625</v>
      </c>
      <c r="C1628" s="358" t="s">
        <v>2371</v>
      </c>
      <c r="D1628" s="358" t="s">
        <v>2372</v>
      </c>
      <c r="E1628" s="373">
        <v>45971</v>
      </c>
      <c r="F1628" s="372" t="s">
        <v>140</v>
      </c>
      <c r="G1628" s="372">
        <v>26</v>
      </c>
      <c r="H1628" s="372" t="s">
        <v>1077</v>
      </c>
      <c r="I1628" s="372"/>
      <c r="J1628" s="372"/>
      <c r="K1628" s="358" t="s">
        <v>113</v>
      </c>
      <c r="L1628" s="358" t="s">
        <v>113</v>
      </c>
      <c r="M1628" s="358" t="s">
        <v>113</v>
      </c>
      <c r="N1628" s="358" t="s">
        <v>113</v>
      </c>
      <c r="O1628" s="117" t="s">
        <v>30</v>
      </c>
      <c r="P1628" s="380" t="s">
        <v>1091</v>
      </c>
      <c r="Q1628" s="24">
        <v>46020</v>
      </c>
      <c r="R1628" s="384" t="s">
        <v>67</v>
      </c>
      <c r="S1628" s="358" t="s">
        <v>32</v>
      </c>
      <c r="T1628" s="358">
        <v>26</v>
      </c>
      <c r="U1628" s="24" t="s">
        <v>67</v>
      </c>
      <c r="V1628" s="24">
        <v>46020</v>
      </c>
      <c r="W1628" s="100" t="s">
        <v>113</v>
      </c>
      <c r="X1628" s="94"/>
      <c r="Y1628" s="95"/>
      <c r="Z1628" s="100"/>
      <c r="AA1628" s="100"/>
      <c r="AB1628" s="100"/>
      <c r="AC1628" s="100"/>
      <c r="AD1628" s="100"/>
      <c r="AE1628" s="100"/>
      <c r="AF1628" s="100"/>
      <c r="AG1628" s="100"/>
      <c r="AH1628" s="114"/>
      <c r="AI1628" s="111"/>
      <c r="AJ1628" s="111"/>
      <c r="AK1628" s="111"/>
      <c r="AL1628" s="95" t="s">
        <v>32</v>
      </c>
      <c r="AM1628" s="360"/>
      <c r="AN1628" s="6">
        <v>0</v>
      </c>
      <c r="AO1628" s="6">
        <v>0</v>
      </c>
      <c r="AP1628" s="6">
        <v>26</v>
      </c>
      <c r="AQ1628" s="6">
        <v>0</v>
      </c>
      <c r="AR1628" s="6">
        <f>SUM(AN1628:AQ1628)</f>
        <v>26</v>
      </c>
      <c r="AS1628" s="108">
        <f>+AN1628/AR1628*AS$1</f>
        <v>0</v>
      </c>
      <c r="AT1628" s="109">
        <f>+AO1628/AR1628*AT$1</f>
        <v>0</v>
      </c>
      <c r="AU1628" s="109">
        <f>+AP1628/AR1628*AU$1</f>
        <v>0</v>
      </c>
      <c r="AV1628" s="109">
        <f>+AQ1628/AR1628*AV$1</f>
        <v>0</v>
      </c>
    </row>
    <row r="1629" spans="1:48">
      <c r="A1629" s="358" t="s">
        <v>2342</v>
      </c>
      <c r="B1629" s="369">
        <v>1626</v>
      </c>
      <c r="C1629" s="358" t="s">
        <v>2373</v>
      </c>
      <c r="D1629" s="358" t="s">
        <v>2374</v>
      </c>
      <c r="E1629" s="373">
        <v>45971</v>
      </c>
      <c r="F1629" s="372" t="s">
        <v>140</v>
      </c>
      <c r="G1629" s="372">
        <v>5</v>
      </c>
      <c r="H1629" s="372" t="s">
        <v>1077</v>
      </c>
      <c r="I1629" s="372"/>
      <c r="J1629" s="372"/>
      <c r="K1629" s="358" t="s">
        <v>113</v>
      </c>
      <c r="L1629" s="358" t="s">
        <v>113</v>
      </c>
      <c r="M1629" s="358" t="s">
        <v>113</v>
      </c>
      <c r="N1629" s="358" t="s">
        <v>113</v>
      </c>
      <c r="O1629" s="117"/>
      <c r="P1629" s="380" t="s">
        <v>1091</v>
      </c>
      <c r="Q1629" s="24">
        <v>45989</v>
      </c>
      <c r="R1629" s="384" t="s">
        <v>67</v>
      </c>
      <c r="S1629" s="358" t="s">
        <v>32</v>
      </c>
      <c r="T1629" s="358">
        <v>5</v>
      </c>
      <c r="U1629" s="24" t="s">
        <v>67</v>
      </c>
      <c r="V1629" s="24">
        <v>45989</v>
      </c>
      <c r="W1629" s="100" t="s">
        <v>113</v>
      </c>
      <c r="X1629" s="100"/>
      <c r="Y1629" s="95"/>
      <c r="Z1629" s="100"/>
      <c r="AA1629" s="95"/>
      <c r="AB1629" s="100"/>
      <c r="AC1629" s="100"/>
      <c r="AD1629" s="100"/>
      <c r="AE1629" s="100"/>
      <c r="AF1629" s="100"/>
      <c r="AG1629" s="100"/>
      <c r="AH1629" s="114"/>
      <c r="AI1629" s="114"/>
      <c r="AJ1629" s="114"/>
      <c r="AK1629" s="114"/>
      <c r="AL1629" s="95" t="s">
        <v>32</v>
      </c>
      <c r="AM1629" s="360" t="s">
        <v>2068</v>
      </c>
    </row>
    <row r="1630" spans="1:48">
      <c r="A1630" s="358" t="s">
        <v>2342</v>
      </c>
      <c r="B1630" s="369">
        <v>1627</v>
      </c>
      <c r="C1630" s="358" t="s">
        <v>2375</v>
      </c>
      <c r="D1630" s="358" t="s">
        <v>2376</v>
      </c>
      <c r="E1630" s="373">
        <v>45971.375</v>
      </c>
      <c r="F1630" s="372" t="s">
        <v>140</v>
      </c>
      <c r="G1630" s="372">
        <v>9</v>
      </c>
      <c r="H1630" s="372" t="s">
        <v>1077</v>
      </c>
      <c r="I1630" s="372"/>
      <c r="J1630" s="372"/>
      <c r="K1630" s="358" t="s">
        <v>113</v>
      </c>
      <c r="L1630" s="358" t="s">
        <v>113</v>
      </c>
      <c r="M1630" s="358" t="s">
        <v>113</v>
      </c>
      <c r="N1630" s="358" t="s">
        <v>113</v>
      </c>
      <c r="O1630" s="380"/>
      <c r="P1630" s="380" t="s">
        <v>1091</v>
      </c>
      <c r="Q1630" s="24">
        <v>46014</v>
      </c>
      <c r="R1630" s="384" t="s">
        <v>67</v>
      </c>
      <c r="S1630" s="358" t="s">
        <v>32</v>
      </c>
      <c r="T1630" s="358">
        <v>9</v>
      </c>
      <c r="U1630" s="24" t="s">
        <v>67</v>
      </c>
      <c r="V1630" s="24">
        <v>46014</v>
      </c>
      <c r="W1630" s="100" t="s">
        <v>113</v>
      </c>
      <c r="X1630" s="82"/>
      <c r="Y1630" s="95"/>
      <c r="Z1630" s="100"/>
      <c r="AA1630" s="100"/>
      <c r="AB1630" s="100"/>
      <c r="AC1630" s="100"/>
      <c r="AD1630" s="100"/>
      <c r="AE1630" s="100"/>
      <c r="AF1630" s="100"/>
      <c r="AG1630" s="100"/>
      <c r="AH1630" s="114"/>
      <c r="AI1630" s="100"/>
      <c r="AJ1630" s="100"/>
      <c r="AK1630" s="100"/>
      <c r="AL1630" s="95" t="s">
        <v>32</v>
      </c>
      <c r="AM1630" s="360"/>
    </row>
    <row r="1631" spans="1:48">
      <c r="A1631" s="358" t="s">
        <v>2342</v>
      </c>
      <c r="B1631" s="369">
        <v>1628</v>
      </c>
      <c r="C1631" s="358" t="s">
        <v>2377</v>
      </c>
      <c r="D1631" s="358" t="s">
        <v>2378</v>
      </c>
      <c r="E1631" s="373">
        <v>45971.083333333336</v>
      </c>
      <c r="F1631" s="372" t="s">
        <v>140</v>
      </c>
      <c r="G1631" s="372">
        <v>4</v>
      </c>
      <c r="H1631" s="372" t="s">
        <v>2379</v>
      </c>
      <c r="I1631" s="372"/>
      <c r="J1631" s="372"/>
      <c r="K1631" s="358" t="s">
        <v>113</v>
      </c>
      <c r="L1631" s="358" t="s">
        <v>113</v>
      </c>
      <c r="M1631" s="358" t="s">
        <v>113</v>
      </c>
      <c r="N1631" s="358" t="s">
        <v>113</v>
      </c>
      <c r="O1631" s="117"/>
      <c r="P1631" s="380" t="s">
        <v>1091</v>
      </c>
      <c r="Q1631" s="24">
        <v>46014</v>
      </c>
      <c r="R1631" s="384" t="s">
        <v>67</v>
      </c>
      <c r="S1631" s="358" t="s">
        <v>32</v>
      </c>
      <c r="T1631" s="358">
        <v>2</v>
      </c>
      <c r="U1631" s="24" t="s">
        <v>67</v>
      </c>
      <c r="V1631" s="24">
        <v>46014</v>
      </c>
      <c r="W1631" s="100" t="s">
        <v>113</v>
      </c>
      <c r="X1631" s="100"/>
      <c r="Y1631" s="95"/>
      <c r="Z1631" s="95"/>
      <c r="AA1631" s="95"/>
      <c r="AB1631" s="95"/>
      <c r="AC1631" s="100"/>
      <c r="AD1631" s="100"/>
      <c r="AE1631" s="100"/>
      <c r="AF1631" s="100"/>
      <c r="AG1631" s="100"/>
      <c r="AH1631" s="114"/>
      <c r="AI1631" s="111"/>
      <c r="AJ1631" s="111"/>
      <c r="AK1631" s="111"/>
      <c r="AL1631" s="95" t="s">
        <v>32</v>
      </c>
      <c r="AM1631" s="360"/>
    </row>
    <row r="1632" spans="1:48">
      <c r="A1632" s="358" t="s">
        <v>2342</v>
      </c>
      <c r="B1632" s="369">
        <v>1629</v>
      </c>
      <c r="C1632" s="358" t="s">
        <v>2380</v>
      </c>
      <c r="D1632" s="358" t="s">
        <v>2381</v>
      </c>
      <c r="E1632" s="373">
        <v>45971.041666666664</v>
      </c>
      <c r="F1632" s="372" t="s">
        <v>140</v>
      </c>
      <c r="G1632" s="372">
        <v>11</v>
      </c>
      <c r="H1632" s="372" t="s">
        <v>1853</v>
      </c>
      <c r="I1632" s="372"/>
      <c r="J1632" s="372"/>
      <c r="K1632" s="358" t="s">
        <v>113</v>
      </c>
      <c r="L1632" s="358" t="s">
        <v>113</v>
      </c>
      <c r="M1632" s="358" t="s">
        <v>113</v>
      </c>
      <c r="N1632" s="358" t="s">
        <v>113</v>
      </c>
      <c r="O1632" s="380"/>
      <c r="P1632" s="380" t="s">
        <v>1091</v>
      </c>
      <c r="Q1632" s="24">
        <v>46015</v>
      </c>
      <c r="R1632" s="384" t="s">
        <v>67</v>
      </c>
      <c r="S1632" s="358" t="s">
        <v>32</v>
      </c>
      <c r="T1632" s="358">
        <v>11</v>
      </c>
      <c r="U1632" s="24" t="s">
        <v>67</v>
      </c>
      <c r="V1632" s="24">
        <v>46015</v>
      </c>
      <c r="W1632" s="100" t="s">
        <v>113</v>
      </c>
      <c r="X1632" s="100"/>
      <c r="Y1632" s="95"/>
      <c r="Z1632" s="95"/>
      <c r="AA1632" s="95"/>
      <c r="AB1632" s="95"/>
      <c r="AC1632" s="100"/>
      <c r="AD1632" s="100"/>
      <c r="AE1632" s="100"/>
      <c r="AF1632" s="100"/>
      <c r="AG1632" s="100"/>
      <c r="AH1632" s="114"/>
      <c r="AI1632" s="111"/>
      <c r="AJ1632" s="111"/>
      <c r="AK1632" s="111"/>
      <c r="AL1632" s="95" t="s">
        <v>32</v>
      </c>
      <c r="AM1632" s="360"/>
    </row>
    <row r="1633" spans="1:48">
      <c r="A1633" s="358" t="s">
        <v>2342</v>
      </c>
      <c r="B1633" s="369">
        <v>1630</v>
      </c>
      <c r="C1633" s="358" t="s">
        <v>2382</v>
      </c>
      <c r="D1633" s="358" t="s">
        <v>846</v>
      </c>
      <c r="E1633" s="373">
        <v>45971</v>
      </c>
      <c r="F1633" s="372" t="s">
        <v>140</v>
      </c>
      <c r="G1633" s="372">
        <v>1</v>
      </c>
      <c r="H1633" s="372" t="s">
        <v>1076</v>
      </c>
      <c r="I1633" s="372"/>
      <c r="J1633" s="372"/>
      <c r="K1633" s="358" t="s">
        <v>113</v>
      </c>
      <c r="L1633" s="358" t="s">
        <v>113</v>
      </c>
      <c r="M1633" s="358" t="s">
        <v>113</v>
      </c>
      <c r="N1633" s="358" t="s">
        <v>113</v>
      </c>
      <c r="O1633" s="380"/>
      <c r="P1633" s="380" t="s">
        <v>1091</v>
      </c>
      <c r="Q1633" s="24">
        <v>46015</v>
      </c>
      <c r="R1633" s="384" t="s">
        <v>67</v>
      </c>
      <c r="S1633" s="358" t="s">
        <v>32</v>
      </c>
      <c r="T1633" s="358">
        <v>1</v>
      </c>
      <c r="U1633" s="24" t="s">
        <v>67</v>
      </c>
      <c r="V1633" s="24">
        <v>46015</v>
      </c>
      <c r="W1633" s="100" t="s">
        <v>113</v>
      </c>
      <c r="X1633" s="100"/>
      <c r="Y1633" s="95"/>
      <c r="Z1633" s="95"/>
      <c r="AA1633" s="95"/>
      <c r="AB1633" s="95"/>
      <c r="AC1633" s="100"/>
      <c r="AD1633" s="100"/>
      <c r="AE1633" s="100"/>
      <c r="AF1633" s="100"/>
      <c r="AG1633" s="100"/>
      <c r="AH1633" s="114"/>
      <c r="AI1633" s="111"/>
      <c r="AJ1633" s="111"/>
      <c r="AK1633" s="111"/>
      <c r="AL1633" s="95" t="s">
        <v>32</v>
      </c>
      <c r="AM1633" s="360"/>
      <c r="AO1633" s="412"/>
      <c r="AP1633" s="412"/>
      <c r="AQ1633" s="412"/>
      <c r="AR1633" s="412"/>
    </row>
    <row r="1634" spans="1:48">
      <c r="A1634" s="358" t="s">
        <v>2342</v>
      </c>
      <c r="B1634" s="369">
        <v>1631</v>
      </c>
      <c r="C1634" s="358" t="s">
        <v>2383</v>
      </c>
      <c r="D1634" s="358" t="s">
        <v>1025</v>
      </c>
      <c r="E1634" s="373">
        <v>45974</v>
      </c>
      <c r="F1634" s="372" t="s">
        <v>140</v>
      </c>
      <c r="G1634" s="372">
        <v>1</v>
      </c>
      <c r="H1634" s="372" t="s">
        <v>1076</v>
      </c>
      <c r="I1634" s="372"/>
      <c r="J1634" s="372"/>
      <c r="K1634" s="358" t="s">
        <v>113</v>
      </c>
      <c r="L1634" s="358" t="s">
        <v>113</v>
      </c>
      <c r="M1634" s="358" t="s">
        <v>113</v>
      </c>
      <c r="N1634" s="358" t="s">
        <v>113</v>
      </c>
      <c r="O1634" s="380"/>
      <c r="P1634" s="380" t="s">
        <v>1091</v>
      </c>
      <c r="Q1634" s="24">
        <v>46006</v>
      </c>
      <c r="R1634" s="384" t="s">
        <v>67</v>
      </c>
      <c r="S1634" s="358" t="s">
        <v>32</v>
      </c>
      <c r="T1634" s="358">
        <v>1</v>
      </c>
      <c r="U1634" s="24" t="s">
        <v>67</v>
      </c>
      <c r="V1634" s="24">
        <v>46006</v>
      </c>
      <c r="W1634" s="100" t="s">
        <v>113</v>
      </c>
      <c r="X1634" s="100"/>
      <c r="Y1634" s="95"/>
      <c r="Z1634" s="100"/>
      <c r="AA1634" s="100"/>
      <c r="AB1634" s="100"/>
      <c r="AC1634" s="100"/>
      <c r="AD1634" s="100"/>
      <c r="AE1634" s="100"/>
      <c r="AF1634" s="100"/>
      <c r="AG1634" s="100"/>
      <c r="AH1634" s="114"/>
      <c r="AI1634" s="100"/>
      <c r="AJ1634" s="100"/>
      <c r="AK1634" s="100"/>
      <c r="AL1634" s="95" t="s">
        <v>32</v>
      </c>
      <c r="AM1634" s="360"/>
      <c r="AS1634" s="72"/>
      <c r="AT1634" s="96"/>
      <c r="AU1634" s="96"/>
    </row>
    <row r="1635" spans="1:48">
      <c r="A1635" s="358" t="s">
        <v>2342</v>
      </c>
      <c r="B1635" s="369">
        <v>1632</v>
      </c>
      <c r="C1635" s="358" t="s">
        <v>2384</v>
      </c>
      <c r="D1635" s="358" t="s">
        <v>1250</v>
      </c>
      <c r="E1635" s="373">
        <v>45971.375</v>
      </c>
      <c r="F1635" s="372" t="s">
        <v>140</v>
      </c>
      <c r="G1635" s="372">
        <v>1</v>
      </c>
      <c r="H1635" s="372" t="s">
        <v>1076</v>
      </c>
      <c r="I1635" s="372"/>
      <c r="J1635" s="372"/>
      <c r="K1635" s="358" t="s">
        <v>113</v>
      </c>
      <c r="L1635" s="358" t="s">
        <v>113</v>
      </c>
      <c r="M1635" s="358" t="s">
        <v>113</v>
      </c>
      <c r="N1635" s="358" t="s">
        <v>113</v>
      </c>
      <c r="O1635" s="117"/>
      <c r="P1635" s="380" t="s">
        <v>1091</v>
      </c>
      <c r="Q1635" s="24">
        <v>46015</v>
      </c>
      <c r="R1635" s="384" t="s">
        <v>67</v>
      </c>
      <c r="S1635" s="358" t="s">
        <v>32</v>
      </c>
      <c r="T1635" s="358">
        <v>1</v>
      </c>
      <c r="U1635" s="24" t="s">
        <v>67</v>
      </c>
      <c r="V1635" s="24">
        <v>46015</v>
      </c>
      <c r="W1635" s="100" t="s">
        <v>113</v>
      </c>
      <c r="X1635" s="100"/>
      <c r="Y1635" s="95"/>
      <c r="Z1635" s="94"/>
      <c r="AA1635" s="94"/>
      <c r="AB1635" s="100"/>
      <c r="AC1635" s="100"/>
      <c r="AD1635" s="100"/>
      <c r="AE1635" s="100"/>
      <c r="AF1635" s="100"/>
      <c r="AG1635" s="100"/>
      <c r="AH1635" s="114"/>
      <c r="AI1635" s="100"/>
      <c r="AJ1635" s="100"/>
      <c r="AK1635" s="100"/>
      <c r="AL1635" s="95" t="s">
        <v>32</v>
      </c>
      <c r="AM1635" s="360"/>
      <c r="AO1635" s="412"/>
      <c r="AP1635" s="412"/>
      <c r="AQ1635" s="412"/>
      <c r="AR1635" s="412"/>
    </row>
    <row r="1636" spans="1:48">
      <c r="A1636" s="358" t="s">
        <v>2342</v>
      </c>
      <c r="B1636" s="369">
        <v>1633</v>
      </c>
      <c r="C1636" s="358" t="s">
        <v>2385</v>
      </c>
      <c r="D1636" s="358" t="s">
        <v>798</v>
      </c>
      <c r="E1636" s="373">
        <v>45971</v>
      </c>
      <c r="F1636" s="372" t="s">
        <v>140</v>
      </c>
      <c r="G1636" s="372">
        <v>9</v>
      </c>
      <c r="H1636" s="372" t="s">
        <v>127</v>
      </c>
      <c r="I1636" s="372"/>
      <c r="J1636" s="372"/>
      <c r="K1636" s="358" t="s">
        <v>113</v>
      </c>
      <c r="L1636" s="358" t="s">
        <v>113</v>
      </c>
      <c r="M1636" s="358" t="s">
        <v>113</v>
      </c>
      <c r="N1636" s="358" t="s">
        <v>113</v>
      </c>
      <c r="O1636" s="380"/>
      <c r="P1636" s="380" t="s">
        <v>1091</v>
      </c>
      <c r="Q1636" s="24">
        <v>46015</v>
      </c>
      <c r="R1636" s="384" t="s">
        <v>67</v>
      </c>
      <c r="S1636" s="358" t="s">
        <v>32</v>
      </c>
      <c r="T1636" s="358">
        <v>9</v>
      </c>
      <c r="U1636" s="24" t="s">
        <v>67</v>
      </c>
      <c r="V1636" s="24">
        <v>46015</v>
      </c>
      <c r="W1636" s="100" t="s">
        <v>113</v>
      </c>
      <c r="X1636" s="100"/>
      <c r="Y1636" s="95"/>
      <c r="Z1636" s="94"/>
      <c r="AA1636" s="94"/>
      <c r="AB1636" s="100"/>
      <c r="AC1636" s="100"/>
      <c r="AD1636" s="100"/>
      <c r="AE1636" s="100"/>
      <c r="AF1636" s="100"/>
      <c r="AG1636" s="100"/>
      <c r="AH1636" s="114"/>
      <c r="AI1636" s="111"/>
      <c r="AJ1636" s="111"/>
      <c r="AK1636" s="111"/>
      <c r="AL1636" s="95" t="s">
        <v>32</v>
      </c>
      <c r="AM1636" s="360"/>
      <c r="AO1636" s="412"/>
      <c r="AP1636" s="412"/>
      <c r="AQ1636" s="412"/>
      <c r="AR1636" s="412"/>
    </row>
    <row r="1637" spans="1:48">
      <c r="A1637" s="358" t="s">
        <v>2342</v>
      </c>
      <c r="B1637" s="369">
        <v>1634</v>
      </c>
      <c r="C1637" s="358" t="s">
        <v>2386</v>
      </c>
      <c r="D1637" s="358" t="s">
        <v>1230</v>
      </c>
      <c r="E1637" s="373">
        <v>45971.083333333336</v>
      </c>
      <c r="F1637" s="372" t="s">
        <v>140</v>
      </c>
      <c r="G1637" s="372">
        <v>7</v>
      </c>
      <c r="H1637" s="372" t="s">
        <v>1077</v>
      </c>
      <c r="I1637" s="372"/>
      <c r="J1637" s="372"/>
      <c r="K1637" s="358" t="s">
        <v>113</v>
      </c>
      <c r="L1637" s="358" t="s">
        <v>113</v>
      </c>
      <c r="M1637" s="358" t="s">
        <v>113</v>
      </c>
      <c r="N1637" s="358" t="s">
        <v>113</v>
      </c>
      <c r="O1637" s="117"/>
      <c r="P1637" s="380" t="s">
        <v>1091</v>
      </c>
      <c r="Q1637" s="24">
        <v>46015</v>
      </c>
      <c r="R1637" s="384" t="s">
        <v>67</v>
      </c>
      <c r="S1637" s="358" t="s">
        <v>32</v>
      </c>
      <c r="T1637" s="358">
        <v>7</v>
      </c>
      <c r="U1637" s="24" t="s">
        <v>67</v>
      </c>
      <c r="V1637" s="24">
        <v>46015</v>
      </c>
      <c r="W1637" s="100" t="s">
        <v>113</v>
      </c>
      <c r="X1637" s="94"/>
      <c r="Y1637" s="95"/>
      <c r="Z1637" s="95"/>
      <c r="AA1637" s="95"/>
      <c r="AB1637" s="100"/>
      <c r="AC1637" s="100"/>
      <c r="AD1637" s="100"/>
      <c r="AE1637" s="100"/>
      <c r="AF1637" s="100"/>
      <c r="AG1637" s="100"/>
      <c r="AH1637" s="114"/>
      <c r="AI1637" s="114"/>
      <c r="AJ1637" s="114"/>
      <c r="AK1637" s="100"/>
      <c r="AL1637" s="95" t="s">
        <v>32</v>
      </c>
      <c r="AM1637" s="360"/>
    </row>
    <row r="1638" spans="1:48">
      <c r="A1638" s="358" t="s">
        <v>2342</v>
      </c>
      <c r="B1638" s="369">
        <v>1635</v>
      </c>
      <c r="C1638" s="358" t="s">
        <v>2387</v>
      </c>
      <c r="D1638" s="358" t="s">
        <v>358</v>
      </c>
      <c r="E1638" s="373">
        <v>45971.041666666664</v>
      </c>
      <c r="F1638" s="372" t="s">
        <v>140</v>
      </c>
      <c r="G1638" s="372">
        <v>6</v>
      </c>
      <c r="H1638" s="372" t="s">
        <v>127</v>
      </c>
      <c r="I1638" s="372"/>
      <c r="J1638" s="372"/>
      <c r="K1638" s="358" t="s">
        <v>113</v>
      </c>
      <c r="L1638" s="358" t="s">
        <v>113</v>
      </c>
      <c r="M1638" s="358" t="s">
        <v>113</v>
      </c>
      <c r="N1638" s="358" t="s">
        <v>113</v>
      </c>
      <c r="O1638" s="117"/>
      <c r="P1638" s="380" t="s">
        <v>1091</v>
      </c>
      <c r="Q1638" s="24">
        <v>46015</v>
      </c>
      <c r="R1638" s="384" t="s">
        <v>67</v>
      </c>
      <c r="S1638" s="358" t="s">
        <v>32</v>
      </c>
      <c r="T1638" s="358">
        <v>6</v>
      </c>
      <c r="U1638" s="24" t="s">
        <v>67</v>
      </c>
      <c r="V1638" s="24">
        <v>46015</v>
      </c>
      <c r="W1638" s="100" t="s">
        <v>113</v>
      </c>
      <c r="X1638" s="100"/>
      <c r="Y1638" s="100"/>
      <c r="Z1638" s="100"/>
      <c r="AA1638" s="100"/>
      <c r="AB1638" s="100"/>
      <c r="AC1638" s="100"/>
      <c r="AD1638" s="100"/>
      <c r="AE1638" s="100"/>
      <c r="AF1638" s="100"/>
      <c r="AG1638" s="100"/>
      <c r="AH1638" s="114"/>
      <c r="AI1638" s="114"/>
      <c r="AJ1638" s="114"/>
      <c r="AK1638" s="114"/>
      <c r="AL1638" s="95" t="s">
        <v>32</v>
      </c>
      <c r="AM1638" s="360"/>
    </row>
    <row r="1639" spans="1:48">
      <c r="A1639" s="358" t="s">
        <v>2342</v>
      </c>
      <c r="B1639" s="369">
        <v>1636</v>
      </c>
      <c r="C1639" s="358" t="s">
        <v>2388</v>
      </c>
      <c r="D1639" s="358" t="s">
        <v>1025</v>
      </c>
      <c r="E1639" s="373">
        <v>45978</v>
      </c>
      <c r="F1639" s="372" t="s">
        <v>140</v>
      </c>
      <c r="G1639" s="372">
        <v>1</v>
      </c>
      <c r="H1639" s="372" t="s">
        <v>127</v>
      </c>
      <c r="I1639" s="372"/>
      <c r="J1639" s="372"/>
      <c r="K1639" s="358" t="s">
        <v>113</v>
      </c>
      <c r="L1639" s="358" t="s">
        <v>113</v>
      </c>
      <c r="M1639" s="358" t="s">
        <v>113</v>
      </c>
      <c r="N1639" s="358" t="s">
        <v>113</v>
      </c>
      <c r="O1639" s="380"/>
      <c r="P1639" s="380" t="s">
        <v>1091</v>
      </c>
      <c r="Q1639" s="24">
        <v>46024</v>
      </c>
      <c r="R1639" s="384" t="s">
        <v>67</v>
      </c>
      <c r="S1639" s="358" t="s">
        <v>32</v>
      </c>
      <c r="T1639" s="358">
        <v>1</v>
      </c>
      <c r="U1639" s="24" t="s">
        <v>67</v>
      </c>
      <c r="V1639" s="24">
        <v>46024</v>
      </c>
      <c r="W1639" s="100" t="s">
        <v>113</v>
      </c>
      <c r="X1639" s="100"/>
      <c r="Y1639" s="100"/>
      <c r="Z1639" s="100"/>
      <c r="AA1639" s="100"/>
      <c r="AB1639" s="100"/>
      <c r="AC1639" s="100"/>
      <c r="AD1639" s="100"/>
      <c r="AE1639" s="100"/>
      <c r="AF1639" s="100"/>
      <c r="AG1639" s="100"/>
      <c r="AH1639" s="114"/>
      <c r="AI1639" s="114"/>
      <c r="AJ1639" s="114"/>
      <c r="AK1639" s="114"/>
      <c r="AL1639" s="95" t="s">
        <v>32</v>
      </c>
      <c r="AM1639" s="360"/>
    </row>
    <row r="1640" spans="1:48">
      <c r="A1640" s="358" t="s">
        <v>2342</v>
      </c>
      <c r="B1640" s="369">
        <v>1637</v>
      </c>
      <c r="C1640" s="358" t="s">
        <v>2389</v>
      </c>
      <c r="D1640" s="358" t="s">
        <v>2390</v>
      </c>
      <c r="E1640" s="373">
        <v>45978</v>
      </c>
      <c r="F1640" s="372" t="s">
        <v>140</v>
      </c>
      <c r="G1640" s="372">
        <v>16</v>
      </c>
      <c r="H1640" s="372" t="s">
        <v>2391</v>
      </c>
      <c r="I1640" s="372"/>
      <c r="J1640" s="372"/>
      <c r="K1640" s="358" t="s">
        <v>113</v>
      </c>
      <c r="L1640" s="358" t="s">
        <v>113</v>
      </c>
      <c r="M1640" s="358" t="s">
        <v>113</v>
      </c>
      <c r="N1640" s="358" t="s">
        <v>113</v>
      </c>
      <c r="O1640" s="117" t="s">
        <v>30</v>
      </c>
      <c r="P1640" s="380" t="s">
        <v>1091</v>
      </c>
      <c r="Q1640" s="24">
        <v>46017</v>
      </c>
      <c r="R1640" s="384" t="s">
        <v>67</v>
      </c>
      <c r="S1640" s="358" t="s">
        <v>32</v>
      </c>
      <c r="T1640" s="358">
        <v>16</v>
      </c>
      <c r="U1640" s="24" t="s">
        <v>67</v>
      </c>
      <c r="V1640" s="24">
        <v>46017</v>
      </c>
      <c r="W1640" s="100" t="s">
        <v>113</v>
      </c>
      <c r="X1640" s="100"/>
      <c r="Y1640" s="95"/>
      <c r="Z1640" s="95"/>
      <c r="AA1640" s="95"/>
      <c r="AB1640" s="95"/>
      <c r="AC1640" s="100"/>
      <c r="AD1640" s="100"/>
      <c r="AE1640" s="100"/>
      <c r="AF1640" s="100"/>
      <c r="AG1640" s="100"/>
      <c r="AH1640" s="114"/>
      <c r="AI1640" s="114"/>
      <c r="AJ1640" s="114"/>
      <c r="AK1640" s="114"/>
      <c r="AL1640" s="95" t="s">
        <v>32</v>
      </c>
      <c r="AM1640" s="360"/>
      <c r="AN1640" s="6">
        <v>0</v>
      </c>
      <c r="AO1640" s="6">
        <v>3</v>
      </c>
      <c r="AP1640" s="6">
        <v>0</v>
      </c>
      <c r="AQ1640" s="6">
        <v>13</v>
      </c>
      <c r="AR1640" s="6">
        <f>SUM(AN1640:AQ1640)</f>
        <v>16</v>
      </c>
      <c r="AS1640" s="108">
        <f>+AN1640/AR1640*AS$1</f>
        <v>0</v>
      </c>
      <c r="AT1640" s="109">
        <f>+AO1640/AR1640*AT$1</f>
        <v>0</v>
      </c>
      <c r="AU1640" s="109">
        <f>+AP1640/AR1640*AU$1</f>
        <v>0</v>
      </c>
      <c r="AV1640" s="109">
        <f>+AQ1640/AR1640*AV$1</f>
        <v>0</v>
      </c>
    </row>
    <row r="1641" spans="1:48">
      <c r="A1641" s="358" t="s">
        <v>2342</v>
      </c>
      <c r="B1641" s="369">
        <v>1638</v>
      </c>
      <c r="C1641" s="358" t="s">
        <v>2392</v>
      </c>
      <c r="D1641" s="358" t="s">
        <v>2393</v>
      </c>
      <c r="E1641" s="373">
        <v>45978.166666666664</v>
      </c>
      <c r="F1641" s="372" t="s">
        <v>140</v>
      </c>
      <c r="G1641" s="372">
        <v>1</v>
      </c>
      <c r="H1641" s="372" t="s">
        <v>1077</v>
      </c>
      <c r="I1641" s="372"/>
      <c r="J1641" s="372"/>
      <c r="K1641" s="358" t="s">
        <v>113</v>
      </c>
      <c r="L1641" s="358" t="s">
        <v>113</v>
      </c>
      <c r="M1641" s="358" t="s">
        <v>113</v>
      </c>
      <c r="N1641" s="358" t="s">
        <v>113</v>
      </c>
      <c r="O1641" s="380"/>
      <c r="P1641" s="380" t="s">
        <v>1091</v>
      </c>
      <c r="Q1641" s="24">
        <v>46017</v>
      </c>
      <c r="R1641" s="384" t="s">
        <v>67</v>
      </c>
      <c r="S1641" s="358" t="s">
        <v>32</v>
      </c>
      <c r="T1641" s="358">
        <v>1</v>
      </c>
      <c r="U1641" s="24" t="s">
        <v>67</v>
      </c>
      <c r="V1641" s="24">
        <v>46017</v>
      </c>
      <c r="W1641" s="100" t="s">
        <v>113</v>
      </c>
      <c r="X1641" s="100"/>
      <c r="Y1641" s="95"/>
      <c r="Z1641" s="100"/>
      <c r="AA1641" s="100"/>
      <c r="AB1641" s="100"/>
      <c r="AC1641" s="95"/>
      <c r="AD1641" s="100"/>
      <c r="AE1641" s="100"/>
      <c r="AF1641" s="100"/>
      <c r="AG1641" s="100"/>
      <c r="AH1641" s="114"/>
      <c r="AI1641" s="114"/>
      <c r="AJ1641" s="114"/>
      <c r="AK1641" s="112"/>
      <c r="AL1641" s="95" t="s">
        <v>32</v>
      </c>
      <c r="AM1641" s="360"/>
    </row>
    <row r="1642" spans="1:48">
      <c r="A1642" s="358" t="s">
        <v>2342</v>
      </c>
      <c r="B1642" s="369">
        <v>1639</v>
      </c>
      <c r="C1642" s="358" t="s">
        <v>2394</v>
      </c>
      <c r="D1642" s="358" t="s">
        <v>2395</v>
      </c>
      <c r="E1642" s="373">
        <v>45978.041666666664</v>
      </c>
      <c r="F1642" s="372" t="s">
        <v>140</v>
      </c>
      <c r="G1642" s="372">
        <v>4</v>
      </c>
      <c r="H1642" s="372" t="s">
        <v>1853</v>
      </c>
      <c r="I1642" s="372"/>
      <c r="J1642" s="372"/>
      <c r="K1642" s="358" t="s">
        <v>113</v>
      </c>
      <c r="L1642" s="358" t="s">
        <v>113</v>
      </c>
      <c r="M1642" s="358" t="s">
        <v>113</v>
      </c>
      <c r="N1642" s="358" t="s">
        <v>113</v>
      </c>
      <c r="O1642" s="117"/>
      <c r="P1642" s="380" t="s">
        <v>1091</v>
      </c>
      <c r="Q1642" s="24">
        <v>46024</v>
      </c>
      <c r="R1642" s="384" t="s">
        <v>67</v>
      </c>
      <c r="S1642" s="358" t="s">
        <v>32</v>
      </c>
      <c r="T1642" s="358">
        <v>3</v>
      </c>
      <c r="U1642" s="24" t="s">
        <v>67</v>
      </c>
      <c r="V1642" s="24">
        <v>46024</v>
      </c>
      <c r="W1642" s="100" t="s">
        <v>113</v>
      </c>
      <c r="X1642" s="100"/>
      <c r="Y1642" s="95"/>
      <c r="Z1642" s="100"/>
      <c r="AA1642" s="100"/>
      <c r="AB1642" s="100"/>
      <c r="AC1642" s="100"/>
      <c r="AD1642" s="100"/>
      <c r="AE1642" s="100"/>
      <c r="AF1642" s="100"/>
      <c r="AG1642" s="100"/>
      <c r="AH1642" s="114"/>
      <c r="AI1642" s="114"/>
      <c r="AJ1642" s="114"/>
      <c r="AK1642" s="114"/>
      <c r="AL1642" s="95" t="s">
        <v>32</v>
      </c>
      <c r="AM1642" s="360"/>
    </row>
    <row r="1643" spans="1:48">
      <c r="A1643" s="358" t="s">
        <v>2342</v>
      </c>
      <c r="B1643" s="369">
        <v>1640</v>
      </c>
      <c r="C1643" s="358" t="s">
        <v>2396</v>
      </c>
      <c r="D1643" s="358" t="s">
        <v>2397</v>
      </c>
      <c r="E1643" s="373">
        <v>45978</v>
      </c>
      <c r="F1643" s="372" t="s">
        <v>140</v>
      </c>
      <c r="G1643" s="372">
        <v>3</v>
      </c>
      <c r="H1643" s="372" t="s">
        <v>1818</v>
      </c>
      <c r="I1643" s="372"/>
      <c r="J1643" s="372"/>
      <c r="K1643" s="358" t="s">
        <v>113</v>
      </c>
      <c r="L1643" s="358" t="s">
        <v>113</v>
      </c>
      <c r="M1643" s="358" t="s">
        <v>113</v>
      </c>
      <c r="N1643" s="358" t="s">
        <v>113</v>
      </c>
      <c r="O1643" s="380"/>
      <c r="P1643" s="380" t="s">
        <v>1091</v>
      </c>
      <c r="Q1643" s="24">
        <v>46017</v>
      </c>
      <c r="R1643" s="384" t="s">
        <v>67</v>
      </c>
      <c r="S1643" s="358" t="s">
        <v>32</v>
      </c>
      <c r="T1643" s="22">
        <v>5</v>
      </c>
      <c r="U1643" s="24" t="s">
        <v>67</v>
      </c>
      <c r="V1643" s="24">
        <v>46017</v>
      </c>
      <c r="W1643" s="100" t="s">
        <v>113</v>
      </c>
      <c r="X1643" s="100"/>
      <c r="Y1643" s="95"/>
      <c r="Z1643" s="100"/>
      <c r="AA1643" s="100"/>
      <c r="AB1643" s="100"/>
      <c r="AC1643" s="100"/>
      <c r="AD1643" s="100"/>
      <c r="AE1643" s="100"/>
      <c r="AF1643" s="100"/>
      <c r="AG1643" s="100"/>
      <c r="AH1643" s="114"/>
      <c r="AI1643" s="100"/>
      <c r="AJ1643" s="100"/>
      <c r="AK1643" s="100"/>
      <c r="AL1643" s="95" t="s">
        <v>32</v>
      </c>
      <c r="AM1643" s="360"/>
      <c r="AO1643" s="412"/>
      <c r="AP1643" s="412"/>
      <c r="AQ1643" s="412"/>
      <c r="AR1643" s="412"/>
    </row>
    <row r="1644" spans="1:48">
      <c r="A1644" s="358" t="s">
        <v>2342</v>
      </c>
      <c r="B1644" s="369">
        <v>1641</v>
      </c>
      <c r="C1644" s="358" t="s">
        <v>2398</v>
      </c>
      <c r="D1644" s="358" t="s">
        <v>1198</v>
      </c>
      <c r="E1644" s="373">
        <v>45978</v>
      </c>
      <c r="F1644" s="372" t="s">
        <v>140</v>
      </c>
      <c r="G1644" s="372">
        <v>19</v>
      </c>
      <c r="H1644" s="372" t="s">
        <v>1786</v>
      </c>
      <c r="I1644" s="372"/>
      <c r="J1644" s="372"/>
      <c r="K1644" s="358" t="s">
        <v>113</v>
      </c>
      <c r="L1644" s="358" t="s">
        <v>113</v>
      </c>
      <c r="M1644" s="358" t="s">
        <v>113</v>
      </c>
      <c r="N1644" s="358" t="s">
        <v>113</v>
      </c>
      <c r="O1644" s="117" t="s">
        <v>30</v>
      </c>
      <c r="P1644" s="380" t="s">
        <v>1091</v>
      </c>
      <c r="Q1644" s="24">
        <v>46017</v>
      </c>
      <c r="R1644" s="384" t="s">
        <v>67</v>
      </c>
      <c r="S1644" s="358" t="s">
        <v>32</v>
      </c>
      <c r="T1644" s="22">
        <v>18</v>
      </c>
      <c r="U1644" s="24" t="s">
        <v>67</v>
      </c>
      <c r="V1644" s="24">
        <v>46017</v>
      </c>
      <c r="W1644" s="100" t="s">
        <v>113</v>
      </c>
      <c r="X1644" s="100"/>
      <c r="Y1644" s="95"/>
      <c r="Z1644" s="100"/>
      <c r="AA1644" s="100"/>
      <c r="AB1644" s="100"/>
      <c r="AC1644" s="100"/>
      <c r="AD1644" s="100"/>
      <c r="AE1644" s="100"/>
      <c r="AF1644" s="100"/>
      <c r="AG1644" s="100"/>
      <c r="AH1644" s="114"/>
      <c r="AI1644" s="114"/>
      <c r="AJ1644" s="114"/>
      <c r="AK1644" s="114"/>
      <c r="AL1644" s="95" t="s">
        <v>32</v>
      </c>
      <c r="AM1644" s="360"/>
      <c r="AN1644" s="6">
        <v>7</v>
      </c>
      <c r="AO1644" s="6">
        <v>0</v>
      </c>
      <c r="AP1644" s="6">
        <v>11</v>
      </c>
      <c r="AQ1644" s="6">
        <v>1</v>
      </c>
      <c r="AR1644" s="6">
        <f>SUM(AN1644:AQ1644)</f>
        <v>19</v>
      </c>
      <c r="AS1644" s="108">
        <f>+AN1644/AR1644*AS$1</f>
        <v>0</v>
      </c>
      <c r="AT1644" s="109">
        <f>+AO1644/AR1644*AT$1</f>
        <v>0</v>
      </c>
      <c r="AU1644" s="109">
        <f>+AP1644/AR1644*AU$1</f>
        <v>0</v>
      </c>
      <c r="AV1644" s="109">
        <f>+AQ1644/AR1644*AV$1</f>
        <v>0</v>
      </c>
    </row>
    <row r="1645" spans="1:48">
      <c r="A1645" s="358" t="s">
        <v>2342</v>
      </c>
      <c r="B1645" s="369">
        <v>1642</v>
      </c>
      <c r="C1645" s="358" t="s">
        <v>2399</v>
      </c>
      <c r="D1645" s="358" t="s">
        <v>937</v>
      </c>
      <c r="E1645" s="373">
        <v>45978.041666666664</v>
      </c>
      <c r="F1645" s="372" t="s">
        <v>140</v>
      </c>
      <c r="G1645" s="372">
        <v>9</v>
      </c>
      <c r="H1645" s="372" t="s">
        <v>1786</v>
      </c>
      <c r="I1645" s="372"/>
      <c r="J1645" s="372"/>
      <c r="K1645" s="358" t="s">
        <v>113</v>
      </c>
      <c r="L1645" s="358" t="s">
        <v>113</v>
      </c>
      <c r="M1645" s="358" t="s">
        <v>113</v>
      </c>
      <c r="N1645" s="358" t="s">
        <v>113</v>
      </c>
      <c r="O1645" s="380"/>
      <c r="P1645" s="380" t="s">
        <v>1091</v>
      </c>
      <c r="Q1645" s="24">
        <v>46020</v>
      </c>
      <c r="R1645" s="384" t="s">
        <v>67</v>
      </c>
      <c r="S1645" s="358" t="s">
        <v>32</v>
      </c>
      <c r="T1645" s="22">
        <v>8</v>
      </c>
      <c r="U1645" s="24" t="s">
        <v>67</v>
      </c>
      <c r="V1645" s="24">
        <v>46020</v>
      </c>
      <c r="W1645" s="100" t="s">
        <v>113</v>
      </c>
      <c r="X1645" s="100"/>
      <c r="Y1645" s="95"/>
      <c r="Z1645" s="95"/>
      <c r="AA1645" s="95"/>
      <c r="AB1645" s="100"/>
      <c r="AC1645" s="100"/>
      <c r="AD1645" s="100"/>
      <c r="AE1645" s="100"/>
      <c r="AF1645" s="100"/>
      <c r="AG1645" s="100"/>
      <c r="AH1645" s="114"/>
      <c r="AI1645" s="114"/>
      <c r="AJ1645" s="114"/>
      <c r="AK1645" s="114"/>
      <c r="AL1645" s="95" t="s">
        <v>32</v>
      </c>
      <c r="AM1645" s="360"/>
    </row>
    <row r="1646" spans="1:48">
      <c r="A1646" s="358" t="s">
        <v>2342</v>
      </c>
      <c r="B1646" s="369">
        <v>1643</v>
      </c>
      <c r="C1646" s="358" t="s">
        <v>2400</v>
      </c>
      <c r="D1646" s="358" t="s">
        <v>1245</v>
      </c>
      <c r="E1646" s="373">
        <v>45978.041666666664</v>
      </c>
      <c r="F1646" s="372" t="s">
        <v>140</v>
      </c>
      <c r="G1646" s="372">
        <v>4</v>
      </c>
      <c r="H1646" s="372" t="s">
        <v>127</v>
      </c>
      <c r="I1646" s="372"/>
      <c r="J1646" s="372"/>
      <c r="K1646" s="358" t="s">
        <v>113</v>
      </c>
      <c r="L1646" s="358" t="s">
        <v>113</v>
      </c>
      <c r="M1646" s="358" t="s">
        <v>113</v>
      </c>
      <c r="N1646" s="358" t="s">
        <v>113</v>
      </c>
      <c r="O1646" s="380"/>
      <c r="P1646" s="380" t="s">
        <v>1091</v>
      </c>
      <c r="Q1646" s="24">
        <v>46021</v>
      </c>
      <c r="R1646" s="384" t="s">
        <v>67</v>
      </c>
      <c r="S1646" s="358" t="s">
        <v>32</v>
      </c>
      <c r="T1646" s="22">
        <v>4</v>
      </c>
      <c r="U1646" s="24" t="s">
        <v>67</v>
      </c>
      <c r="V1646" s="24">
        <v>46021</v>
      </c>
      <c r="W1646" s="100" t="s">
        <v>113</v>
      </c>
      <c r="X1646" s="95"/>
      <c r="Y1646" s="95"/>
      <c r="Z1646" s="100"/>
      <c r="AA1646" s="95"/>
      <c r="AB1646" s="100"/>
      <c r="AC1646" s="100"/>
      <c r="AD1646" s="100"/>
      <c r="AE1646" s="100"/>
      <c r="AF1646" s="100"/>
      <c r="AG1646" s="100"/>
      <c r="AH1646" s="114"/>
      <c r="AI1646" s="114"/>
      <c r="AJ1646" s="114"/>
      <c r="AK1646" s="114"/>
      <c r="AL1646" s="95" t="s">
        <v>32</v>
      </c>
      <c r="AM1646" s="360" t="s">
        <v>2068</v>
      </c>
    </row>
    <row r="1647" spans="1:48">
      <c r="A1647" s="358" t="s">
        <v>2342</v>
      </c>
      <c r="B1647" s="369">
        <v>1644</v>
      </c>
      <c r="C1647" s="358" t="s">
        <v>2401</v>
      </c>
      <c r="D1647" s="358" t="s">
        <v>2402</v>
      </c>
      <c r="E1647" s="373">
        <v>45978.041666666664</v>
      </c>
      <c r="F1647" s="372" t="s">
        <v>140</v>
      </c>
      <c r="G1647" s="372">
        <v>2</v>
      </c>
      <c r="H1647" s="372" t="s">
        <v>127</v>
      </c>
      <c r="I1647" s="372"/>
      <c r="J1647" s="372"/>
      <c r="K1647" s="358" t="s">
        <v>113</v>
      </c>
      <c r="L1647" s="358" t="s">
        <v>113</v>
      </c>
      <c r="M1647" s="358" t="s">
        <v>113</v>
      </c>
      <c r="N1647" s="358" t="s">
        <v>113</v>
      </c>
      <c r="O1647" s="380"/>
      <c r="P1647" s="380" t="s">
        <v>1091</v>
      </c>
      <c r="Q1647" s="24">
        <v>46021</v>
      </c>
      <c r="R1647" s="384" t="s">
        <v>67</v>
      </c>
      <c r="S1647" s="358" t="s">
        <v>32</v>
      </c>
      <c r="T1647" s="22">
        <v>1</v>
      </c>
      <c r="U1647" s="24" t="s">
        <v>67</v>
      </c>
      <c r="V1647" s="24">
        <v>46021</v>
      </c>
      <c r="W1647" s="100" t="s">
        <v>113</v>
      </c>
      <c r="X1647" s="95"/>
      <c r="Y1647" s="95"/>
      <c r="Z1647" s="100"/>
      <c r="AA1647" s="95"/>
      <c r="AB1647" s="100"/>
      <c r="AC1647" s="100"/>
      <c r="AD1647" s="100"/>
      <c r="AE1647" s="100"/>
      <c r="AF1647" s="100"/>
      <c r="AG1647" s="100"/>
      <c r="AH1647" s="114"/>
      <c r="AI1647" s="114"/>
      <c r="AJ1647" s="114"/>
      <c r="AK1647" s="114"/>
      <c r="AL1647" s="95"/>
      <c r="AM1647" s="360"/>
    </row>
    <row r="1648" spans="1:48">
      <c r="A1648" s="358" t="s">
        <v>2342</v>
      </c>
      <c r="B1648" s="369">
        <v>1645</v>
      </c>
      <c r="C1648" s="358" t="s">
        <v>2403</v>
      </c>
      <c r="D1648" s="358" t="s">
        <v>1184</v>
      </c>
      <c r="E1648" s="373">
        <v>45978.041666666664</v>
      </c>
      <c r="F1648" s="372" t="s">
        <v>140</v>
      </c>
      <c r="G1648" s="372">
        <v>4</v>
      </c>
      <c r="H1648" s="372" t="s">
        <v>127</v>
      </c>
      <c r="I1648" s="372"/>
      <c r="J1648" s="372"/>
      <c r="K1648" s="358" t="s">
        <v>113</v>
      </c>
      <c r="L1648" s="358" t="s">
        <v>113</v>
      </c>
      <c r="M1648" s="358" t="s">
        <v>113</v>
      </c>
      <c r="N1648" s="358" t="s">
        <v>113</v>
      </c>
      <c r="O1648" s="380"/>
      <c r="P1648" s="380" t="s">
        <v>1091</v>
      </c>
      <c r="Q1648" s="24">
        <v>46021</v>
      </c>
      <c r="R1648" s="384" t="s">
        <v>67</v>
      </c>
      <c r="S1648" s="358" t="s">
        <v>32</v>
      </c>
      <c r="T1648" s="22">
        <v>4</v>
      </c>
      <c r="U1648" s="24" t="s">
        <v>67</v>
      </c>
      <c r="V1648" s="24">
        <v>46021</v>
      </c>
      <c r="W1648" s="100" t="s">
        <v>113</v>
      </c>
      <c r="X1648" s="100"/>
      <c r="Y1648" s="95"/>
      <c r="Z1648" s="100"/>
      <c r="AA1648" s="100"/>
      <c r="AB1648" s="100"/>
      <c r="AC1648" s="100"/>
      <c r="AD1648" s="100"/>
      <c r="AE1648" s="100"/>
      <c r="AF1648" s="100"/>
      <c r="AG1648" s="100"/>
      <c r="AH1648" s="114"/>
      <c r="AI1648" s="114"/>
      <c r="AJ1648" s="114"/>
      <c r="AK1648" s="114"/>
      <c r="AL1648" s="95" t="s">
        <v>32</v>
      </c>
      <c r="AM1648" s="360"/>
      <c r="AS1648" s="72"/>
      <c r="AT1648" s="96"/>
      <c r="AU1648" s="96"/>
    </row>
    <row r="1649" spans="1:48">
      <c r="A1649" s="358" t="s">
        <v>2342</v>
      </c>
      <c r="B1649" s="369">
        <v>1646</v>
      </c>
      <c r="C1649" s="358" t="s">
        <v>2404</v>
      </c>
      <c r="D1649" s="358" t="s">
        <v>1250</v>
      </c>
      <c r="E1649" s="373">
        <v>45978</v>
      </c>
      <c r="F1649" s="372" t="s">
        <v>140</v>
      </c>
      <c r="G1649" s="372">
        <v>4</v>
      </c>
      <c r="H1649" s="372" t="s">
        <v>127</v>
      </c>
      <c r="I1649" s="372"/>
      <c r="J1649" s="372"/>
      <c r="K1649" s="358" t="s">
        <v>113</v>
      </c>
      <c r="L1649" s="358" t="s">
        <v>113</v>
      </c>
      <c r="M1649" s="358" t="s">
        <v>113</v>
      </c>
      <c r="N1649" s="358" t="s">
        <v>113</v>
      </c>
      <c r="O1649" s="380"/>
      <c r="P1649" s="380" t="s">
        <v>1091</v>
      </c>
      <c r="Q1649" s="24">
        <v>46021</v>
      </c>
      <c r="R1649" s="384" t="s">
        <v>67</v>
      </c>
      <c r="S1649" s="358" t="s">
        <v>32</v>
      </c>
      <c r="T1649" s="22">
        <v>4</v>
      </c>
      <c r="U1649" s="24" t="s">
        <v>67</v>
      </c>
      <c r="V1649" s="24">
        <v>46021</v>
      </c>
      <c r="W1649" s="100" t="s">
        <v>113</v>
      </c>
      <c r="X1649" s="100"/>
      <c r="Y1649" s="95"/>
      <c r="Z1649" s="100"/>
      <c r="AA1649" s="100"/>
      <c r="AB1649" s="100"/>
      <c r="AC1649" s="100"/>
      <c r="AD1649" s="100"/>
      <c r="AE1649" s="100"/>
      <c r="AF1649" s="100"/>
      <c r="AG1649" s="100"/>
      <c r="AH1649" s="114"/>
      <c r="AI1649" s="114"/>
      <c r="AJ1649" s="114"/>
      <c r="AK1649" s="114"/>
      <c r="AL1649" s="95" t="s">
        <v>32</v>
      </c>
      <c r="AM1649" s="360"/>
    </row>
    <row r="1650" spans="1:48">
      <c r="A1650" s="358" t="s">
        <v>2342</v>
      </c>
      <c r="B1650" s="369">
        <v>1647</v>
      </c>
      <c r="C1650" s="358" t="s">
        <v>2405</v>
      </c>
      <c r="D1650" s="358" t="s">
        <v>2406</v>
      </c>
      <c r="E1650" s="373">
        <v>45978.041666666664</v>
      </c>
      <c r="F1650" s="372" t="s">
        <v>140</v>
      </c>
      <c r="G1650" s="372">
        <v>12</v>
      </c>
      <c r="H1650" s="372" t="s">
        <v>127</v>
      </c>
      <c r="I1650" s="372"/>
      <c r="J1650" s="372"/>
      <c r="K1650" s="358" t="s">
        <v>113</v>
      </c>
      <c r="L1650" s="358" t="s">
        <v>113</v>
      </c>
      <c r="M1650" s="358" t="s">
        <v>113</v>
      </c>
      <c r="N1650" s="358" t="s">
        <v>113</v>
      </c>
      <c r="O1650" s="380"/>
      <c r="P1650" s="380" t="s">
        <v>1091</v>
      </c>
      <c r="Q1650" s="24">
        <v>46021</v>
      </c>
      <c r="R1650" s="384" t="s">
        <v>67</v>
      </c>
      <c r="S1650" s="358" t="s">
        <v>32</v>
      </c>
      <c r="T1650" s="22">
        <v>12</v>
      </c>
      <c r="U1650" s="24" t="s">
        <v>67</v>
      </c>
      <c r="V1650" s="24">
        <v>46021</v>
      </c>
      <c r="W1650" s="100" t="s">
        <v>113</v>
      </c>
      <c r="X1650" s="100"/>
      <c r="Y1650" s="95"/>
      <c r="Z1650" s="95"/>
      <c r="AA1650" s="95"/>
      <c r="AB1650" s="100"/>
      <c r="AC1650" s="100"/>
      <c r="AD1650" s="100"/>
      <c r="AE1650" s="100"/>
      <c r="AF1650" s="100"/>
      <c r="AG1650" s="100"/>
      <c r="AH1650" s="114"/>
      <c r="AI1650" s="114"/>
      <c r="AJ1650" s="114"/>
      <c r="AK1650" s="114"/>
      <c r="AL1650" s="95" t="s">
        <v>32</v>
      </c>
      <c r="AM1650" s="360"/>
    </row>
    <row r="1651" spans="1:48">
      <c r="A1651" s="358" t="s">
        <v>2342</v>
      </c>
      <c r="B1651" s="369">
        <v>1648</v>
      </c>
      <c r="C1651" s="358" t="s">
        <v>2407</v>
      </c>
      <c r="D1651" s="358" t="s">
        <v>2408</v>
      </c>
      <c r="E1651" s="373">
        <v>45978.041666666664</v>
      </c>
      <c r="F1651" s="372" t="s">
        <v>140</v>
      </c>
      <c r="G1651" s="372">
        <v>20</v>
      </c>
      <c r="H1651" s="372" t="s">
        <v>2409</v>
      </c>
      <c r="I1651" s="372"/>
      <c r="J1651" s="372"/>
      <c r="K1651" s="358" t="s">
        <v>113</v>
      </c>
      <c r="L1651" s="358" t="s">
        <v>113</v>
      </c>
      <c r="M1651" s="358" t="s">
        <v>113</v>
      </c>
      <c r="N1651" s="358" t="s">
        <v>113</v>
      </c>
      <c r="O1651" s="117" t="s">
        <v>30</v>
      </c>
      <c r="P1651" s="380" t="s">
        <v>1091</v>
      </c>
      <c r="Q1651" s="24">
        <v>46014</v>
      </c>
      <c r="R1651" s="384" t="s">
        <v>67</v>
      </c>
      <c r="S1651" s="358" t="s">
        <v>32</v>
      </c>
      <c r="T1651" s="22">
        <v>23</v>
      </c>
      <c r="U1651" s="24" t="s">
        <v>67</v>
      </c>
      <c r="V1651" s="24">
        <v>46014</v>
      </c>
      <c r="W1651" s="100" t="s">
        <v>113</v>
      </c>
      <c r="X1651" s="100"/>
      <c r="Y1651" s="95"/>
      <c r="Z1651" s="100"/>
      <c r="AA1651" s="100"/>
      <c r="AB1651" s="100"/>
      <c r="AC1651" s="100"/>
      <c r="AD1651" s="100"/>
      <c r="AE1651" s="100"/>
      <c r="AF1651" s="100"/>
      <c r="AG1651" s="100"/>
      <c r="AH1651" s="114"/>
      <c r="AI1651" s="100"/>
      <c r="AJ1651" s="100"/>
      <c r="AK1651" s="100"/>
      <c r="AL1651" s="95" t="s">
        <v>32</v>
      </c>
      <c r="AM1651" s="360"/>
      <c r="AN1651" s="6">
        <v>0</v>
      </c>
      <c r="AO1651" s="6">
        <v>0</v>
      </c>
      <c r="AP1651" s="6">
        <v>10</v>
      </c>
      <c r="AQ1651" s="6">
        <v>10</v>
      </c>
      <c r="AR1651" s="6">
        <f>SUM(AN1651:AQ1651)</f>
        <v>20</v>
      </c>
      <c r="AS1651" s="108">
        <f>+AN1651/AR1651*AS$1</f>
        <v>0</v>
      </c>
      <c r="AT1651" s="109">
        <f>+AO1651/AR1651*AT$1</f>
        <v>0</v>
      </c>
      <c r="AU1651" s="109">
        <f>+AP1651/AR1651*AU$1</f>
        <v>0</v>
      </c>
      <c r="AV1651" s="109">
        <f>+AQ1651/AR1651*AV$1</f>
        <v>0</v>
      </c>
    </row>
    <row r="1652" spans="1:48">
      <c r="A1652" s="358" t="s">
        <v>2342</v>
      </c>
      <c r="B1652" s="369">
        <v>1649</v>
      </c>
      <c r="C1652" s="358" t="s">
        <v>2410</v>
      </c>
      <c r="D1652" s="358" t="s">
        <v>1565</v>
      </c>
      <c r="E1652" s="373">
        <v>45978.375</v>
      </c>
      <c r="F1652" s="372" t="s">
        <v>140</v>
      </c>
      <c r="G1652" s="372">
        <v>8</v>
      </c>
      <c r="H1652" s="372" t="s">
        <v>127</v>
      </c>
      <c r="I1652" s="372"/>
      <c r="J1652" s="372"/>
      <c r="K1652" s="358" t="s">
        <v>113</v>
      </c>
      <c r="L1652" s="358" t="s">
        <v>113</v>
      </c>
      <c r="M1652" s="358" t="s">
        <v>113</v>
      </c>
      <c r="N1652" s="358" t="s">
        <v>113</v>
      </c>
      <c r="O1652" s="117"/>
      <c r="P1652" s="380" t="s">
        <v>1091</v>
      </c>
      <c r="Q1652" s="24">
        <v>46024</v>
      </c>
      <c r="R1652" s="384" t="s">
        <v>67</v>
      </c>
      <c r="S1652" s="358" t="s">
        <v>32</v>
      </c>
      <c r="T1652" s="358">
        <v>8</v>
      </c>
      <c r="U1652" s="24" t="s">
        <v>67</v>
      </c>
      <c r="V1652" s="24">
        <v>46024</v>
      </c>
      <c r="W1652" s="100" t="s">
        <v>113</v>
      </c>
      <c r="X1652" s="100"/>
      <c r="Y1652" s="95"/>
      <c r="Z1652" s="100"/>
      <c r="AA1652" s="100"/>
      <c r="AB1652" s="100"/>
      <c r="AC1652" s="100"/>
      <c r="AD1652" s="100"/>
      <c r="AE1652" s="100"/>
      <c r="AF1652" s="100"/>
      <c r="AG1652" s="100"/>
      <c r="AH1652" s="114"/>
      <c r="AI1652" s="100"/>
      <c r="AJ1652" s="100"/>
      <c r="AK1652" s="112"/>
      <c r="AL1652" s="95" t="s">
        <v>32</v>
      </c>
      <c r="AM1652" s="360"/>
    </row>
    <row r="1653" spans="1:48">
      <c r="A1653" s="358" t="s">
        <v>2342</v>
      </c>
      <c r="B1653" s="369">
        <v>1650</v>
      </c>
      <c r="C1653" s="358" t="s">
        <v>2411</v>
      </c>
      <c r="D1653" s="358" t="s">
        <v>2412</v>
      </c>
      <c r="E1653" s="373">
        <v>45978</v>
      </c>
      <c r="F1653" s="372" t="s">
        <v>140</v>
      </c>
      <c r="G1653" s="372">
        <v>2</v>
      </c>
      <c r="H1653" s="372" t="s">
        <v>1076</v>
      </c>
      <c r="I1653" s="372"/>
      <c r="J1653" s="372"/>
      <c r="K1653" s="358" t="s">
        <v>113</v>
      </c>
      <c r="L1653" s="358" t="s">
        <v>113</v>
      </c>
      <c r="M1653" s="358" t="s">
        <v>113</v>
      </c>
      <c r="N1653" s="358" t="s">
        <v>113</v>
      </c>
      <c r="O1653" s="117"/>
      <c r="P1653" s="380" t="s">
        <v>1091</v>
      </c>
      <c r="Q1653" s="24">
        <v>46021</v>
      </c>
      <c r="R1653" s="384" t="s">
        <v>67</v>
      </c>
      <c r="S1653" s="358" t="s">
        <v>32</v>
      </c>
      <c r="T1653" s="358">
        <v>2</v>
      </c>
      <c r="U1653" s="24" t="s">
        <v>67</v>
      </c>
      <c r="V1653" s="24">
        <v>46021</v>
      </c>
      <c r="W1653" s="100" t="s">
        <v>113</v>
      </c>
      <c r="X1653" s="100"/>
      <c r="Y1653" s="95"/>
      <c r="Z1653" s="100"/>
      <c r="AA1653" s="100"/>
      <c r="AB1653" s="100"/>
      <c r="AC1653" s="100"/>
      <c r="AD1653" s="100"/>
      <c r="AE1653" s="100"/>
      <c r="AF1653" s="100"/>
      <c r="AG1653" s="100"/>
      <c r="AH1653" s="114"/>
      <c r="AI1653" s="100"/>
      <c r="AJ1653" s="100"/>
      <c r="AK1653" s="100"/>
      <c r="AL1653" s="95" t="s">
        <v>32</v>
      </c>
      <c r="AM1653" s="360"/>
    </row>
    <row r="1654" spans="1:48">
      <c r="A1654" s="358" t="s">
        <v>2342</v>
      </c>
      <c r="B1654" s="369">
        <v>1651</v>
      </c>
      <c r="C1654" s="358" t="s">
        <v>2413</v>
      </c>
      <c r="D1654" s="358" t="s">
        <v>798</v>
      </c>
      <c r="E1654" s="373">
        <v>45978.041666666664</v>
      </c>
      <c r="F1654" s="372" t="s">
        <v>140</v>
      </c>
      <c r="G1654" s="372">
        <v>8</v>
      </c>
      <c r="H1654" s="372" t="s">
        <v>1077</v>
      </c>
      <c r="I1654" s="372"/>
      <c r="J1654" s="372"/>
      <c r="K1654" s="358" t="s">
        <v>113</v>
      </c>
      <c r="L1654" s="358" t="s">
        <v>113</v>
      </c>
      <c r="M1654" s="358" t="s">
        <v>113</v>
      </c>
      <c r="N1654" s="358" t="s">
        <v>113</v>
      </c>
      <c r="O1654" s="372"/>
      <c r="P1654" s="380" t="s">
        <v>1091</v>
      </c>
      <c r="Q1654" s="24">
        <v>46021</v>
      </c>
      <c r="R1654" s="384" t="s">
        <v>67</v>
      </c>
      <c r="S1654" s="358" t="s">
        <v>32</v>
      </c>
      <c r="T1654" s="358">
        <v>8</v>
      </c>
      <c r="U1654" s="24" t="s">
        <v>67</v>
      </c>
      <c r="V1654" s="24">
        <v>46021</v>
      </c>
      <c r="W1654" s="100" t="s">
        <v>113</v>
      </c>
      <c r="X1654" s="100"/>
      <c r="Y1654" s="95"/>
      <c r="Z1654" s="100"/>
      <c r="AA1654" s="100"/>
      <c r="AB1654" s="100"/>
      <c r="AC1654" s="100"/>
      <c r="AD1654" s="100"/>
      <c r="AE1654" s="100"/>
      <c r="AF1654" s="100"/>
      <c r="AG1654" s="100"/>
      <c r="AH1654" s="114"/>
      <c r="AI1654" s="100"/>
      <c r="AJ1654" s="100"/>
      <c r="AK1654" s="100"/>
      <c r="AL1654" s="95" t="s">
        <v>32</v>
      </c>
      <c r="AM1654" s="360"/>
    </row>
    <row r="1655" spans="1:48">
      <c r="A1655" s="358" t="s">
        <v>2342</v>
      </c>
      <c r="B1655" s="369">
        <v>1652</v>
      </c>
      <c r="C1655" s="358" t="s">
        <v>2414</v>
      </c>
      <c r="D1655" s="358" t="s">
        <v>2415</v>
      </c>
      <c r="E1655" s="373">
        <v>45978.375</v>
      </c>
      <c r="F1655" s="372" t="s">
        <v>140</v>
      </c>
      <c r="G1655" s="372">
        <v>1</v>
      </c>
      <c r="H1655" s="372" t="s">
        <v>1077</v>
      </c>
      <c r="I1655" s="372"/>
      <c r="J1655" s="372"/>
      <c r="K1655" s="358" t="s">
        <v>113</v>
      </c>
      <c r="L1655" s="358" t="s">
        <v>113</v>
      </c>
      <c r="M1655" s="358" t="s">
        <v>113</v>
      </c>
      <c r="N1655" s="358" t="s">
        <v>113</v>
      </c>
      <c r="O1655" s="380"/>
      <c r="P1655" s="380" t="s">
        <v>1091</v>
      </c>
      <c r="Q1655" s="24">
        <v>46021</v>
      </c>
      <c r="R1655" s="384" t="s">
        <v>67</v>
      </c>
      <c r="S1655" s="358" t="s">
        <v>32</v>
      </c>
      <c r="T1655" s="358">
        <v>1</v>
      </c>
      <c r="U1655" s="24" t="s">
        <v>67</v>
      </c>
      <c r="V1655" s="24">
        <v>46021</v>
      </c>
      <c r="W1655" s="100" t="s">
        <v>113</v>
      </c>
      <c r="X1655" s="100"/>
      <c r="Y1655" s="95"/>
      <c r="Z1655" s="100"/>
      <c r="AA1655" s="100"/>
      <c r="AB1655" s="100"/>
      <c r="AC1655" s="100"/>
      <c r="AD1655" s="100"/>
      <c r="AE1655" s="100"/>
      <c r="AF1655" s="100"/>
      <c r="AG1655" s="100"/>
      <c r="AH1655" s="114"/>
      <c r="AI1655" s="114"/>
      <c r="AJ1655" s="114"/>
      <c r="AK1655" s="114"/>
      <c r="AL1655" s="95" t="s">
        <v>32</v>
      </c>
      <c r="AM1655" s="360"/>
    </row>
    <row r="1656" spans="1:48">
      <c r="A1656" s="358" t="s">
        <v>2342</v>
      </c>
      <c r="B1656" s="369">
        <v>1653</v>
      </c>
      <c r="C1656" s="358" t="s">
        <v>2416</v>
      </c>
      <c r="D1656" s="358" t="s">
        <v>989</v>
      </c>
      <c r="E1656" s="373">
        <v>45978</v>
      </c>
      <c r="F1656" s="372" t="s">
        <v>140</v>
      </c>
      <c r="G1656" s="372">
        <v>1</v>
      </c>
      <c r="H1656" s="372" t="s">
        <v>1077</v>
      </c>
      <c r="I1656" s="372"/>
      <c r="J1656" s="372"/>
      <c r="K1656" s="358" t="s">
        <v>113</v>
      </c>
      <c r="L1656" s="358" t="s">
        <v>113</v>
      </c>
      <c r="M1656" s="358" t="s">
        <v>113</v>
      </c>
      <c r="N1656" s="358" t="s">
        <v>113</v>
      </c>
      <c r="O1656" s="117"/>
      <c r="P1656" s="380" t="s">
        <v>1091</v>
      </c>
      <c r="Q1656" s="24">
        <v>46004</v>
      </c>
      <c r="R1656" s="384" t="s">
        <v>67</v>
      </c>
      <c r="S1656" s="358" t="s">
        <v>32</v>
      </c>
      <c r="T1656" s="358">
        <v>1</v>
      </c>
      <c r="U1656" s="24" t="s">
        <v>67</v>
      </c>
      <c r="V1656" s="24">
        <v>46004</v>
      </c>
      <c r="W1656" s="100" t="s">
        <v>113</v>
      </c>
      <c r="X1656" s="100"/>
      <c r="Y1656" s="95"/>
      <c r="Z1656" s="100"/>
      <c r="AA1656" s="100"/>
      <c r="AB1656" s="100"/>
      <c r="AC1656" s="100"/>
      <c r="AD1656" s="100"/>
      <c r="AE1656" s="100"/>
      <c r="AF1656" s="100"/>
      <c r="AG1656" s="100"/>
      <c r="AH1656" s="114"/>
      <c r="AI1656" s="114"/>
      <c r="AJ1656" s="114"/>
      <c r="AK1656" s="114"/>
      <c r="AL1656" s="95" t="s">
        <v>32</v>
      </c>
      <c r="AM1656" s="360"/>
      <c r="AR1656" s="88"/>
      <c r="AS1656" s="72"/>
      <c r="AT1656" s="72"/>
      <c r="AU1656" s="72"/>
    </row>
    <row r="1657" spans="1:48">
      <c r="A1657" s="358" t="s">
        <v>2342</v>
      </c>
      <c r="B1657" s="369">
        <v>1654</v>
      </c>
      <c r="C1657" s="358" t="s">
        <v>2417</v>
      </c>
      <c r="D1657" s="358" t="s">
        <v>1544</v>
      </c>
      <c r="E1657" s="373">
        <v>45978.041666666664</v>
      </c>
      <c r="F1657" s="372" t="s">
        <v>140</v>
      </c>
      <c r="G1657" s="372">
        <v>2</v>
      </c>
      <c r="H1657" s="372" t="s">
        <v>127</v>
      </c>
      <c r="I1657" s="372"/>
      <c r="J1657" s="372"/>
      <c r="K1657" s="358" t="s">
        <v>113</v>
      </c>
      <c r="L1657" s="358" t="s">
        <v>113</v>
      </c>
      <c r="M1657" s="358" t="s">
        <v>113</v>
      </c>
      <c r="N1657" s="358" t="s">
        <v>113</v>
      </c>
      <c r="O1657" s="380"/>
      <c r="P1657" s="380" t="s">
        <v>1091</v>
      </c>
      <c r="Q1657" s="24">
        <v>46021</v>
      </c>
      <c r="R1657" s="384" t="s">
        <v>67</v>
      </c>
      <c r="S1657" s="358" t="s">
        <v>32</v>
      </c>
      <c r="T1657" s="22">
        <v>2</v>
      </c>
      <c r="U1657" s="24" t="s">
        <v>67</v>
      </c>
      <c r="V1657" s="24">
        <v>46021</v>
      </c>
      <c r="W1657" s="100" t="s">
        <v>113</v>
      </c>
      <c r="X1657" s="100"/>
      <c r="Y1657" s="95"/>
      <c r="Z1657" s="95"/>
      <c r="AA1657" s="95"/>
      <c r="AB1657" s="95"/>
      <c r="AC1657" s="100"/>
      <c r="AD1657" s="100"/>
      <c r="AE1657" s="100"/>
      <c r="AF1657" s="100"/>
      <c r="AG1657" s="100"/>
      <c r="AH1657" s="114"/>
      <c r="AI1657" s="100"/>
      <c r="AJ1657" s="100"/>
      <c r="AK1657" s="100"/>
      <c r="AL1657" s="95" t="s">
        <v>32</v>
      </c>
      <c r="AM1657" s="360"/>
    </row>
    <row r="1658" spans="1:48">
      <c r="A1658" s="358" t="s">
        <v>2342</v>
      </c>
      <c r="B1658" s="369">
        <v>1655</v>
      </c>
      <c r="C1658" s="358" t="s">
        <v>2418</v>
      </c>
      <c r="D1658" s="358" t="s">
        <v>2419</v>
      </c>
      <c r="E1658" s="373">
        <v>45978</v>
      </c>
      <c r="F1658" s="372" t="s">
        <v>140</v>
      </c>
      <c r="G1658" s="372">
        <v>2</v>
      </c>
      <c r="H1658" s="372" t="s">
        <v>127</v>
      </c>
      <c r="I1658" s="372"/>
      <c r="J1658" s="372"/>
      <c r="K1658" s="358" t="s">
        <v>113</v>
      </c>
      <c r="L1658" s="358" t="s">
        <v>113</v>
      </c>
      <c r="M1658" s="358" t="s">
        <v>113</v>
      </c>
      <c r="N1658" s="358" t="s">
        <v>113</v>
      </c>
      <c r="O1658" s="380"/>
      <c r="P1658" s="380" t="s">
        <v>1091</v>
      </c>
      <c r="Q1658" s="24">
        <v>46014</v>
      </c>
      <c r="R1658" s="384" t="s">
        <v>67</v>
      </c>
      <c r="S1658" s="358" t="s">
        <v>32</v>
      </c>
      <c r="T1658" s="22">
        <v>2</v>
      </c>
      <c r="U1658" s="24" t="s">
        <v>67</v>
      </c>
      <c r="V1658" s="24">
        <v>46014</v>
      </c>
      <c r="W1658" s="100" t="s">
        <v>113</v>
      </c>
      <c r="X1658" s="100"/>
      <c r="Y1658" s="95"/>
      <c r="Z1658" s="100"/>
      <c r="AA1658" s="100"/>
      <c r="AB1658" s="100"/>
      <c r="AC1658" s="100"/>
      <c r="AD1658" s="100"/>
      <c r="AE1658" s="100"/>
      <c r="AF1658" s="100"/>
      <c r="AG1658" s="100"/>
      <c r="AH1658" s="114"/>
      <c r="AI1658" s="100"/>
      <c r="AJ1658" s="100"/>
      <c r="AK1658" s="100"/>
      <c r="AL1658" s="95" t="s">
        <v>32</v>
      </c>
      <c r="AM1658" s="360"/>
    </row>
    <row r="1659" spans="1:48">
      <c r="A1659" s="358" t="s">
        <v>2342</v>
      </c>
      <c r="B1659" s="369">
        <v>1656</v>
      </c>
      <c r="C1659" s="358" t="s">
        <v>2420</v>
      </c>
      <c r="D1659" s="358" t="s">
        <v>2421</v>
      </c>
      <c r="E1659" s="373">
        <v>45978</v>
      </c>
      <c r="F1659" s="372" t="s">
        <v>140</v>
      </c>
      <c r="G1659" s="372">
        <v>1</v>
      </c>
      <c r="H1659" s="372" t="s">
        <v>1077</v>
      </c>
      <c r="I1659" s="372"/>
      <c r="J1659" s="372"/>
      <c r="K1659" s="358" t="s">
        <v>113</v>
      </c>
      <c r="L1659" s="358" t="s">
        <v>113</v>
      </c>
      <c r="M1659" s="358" t="s">
        <v>113</v>
      </c>
      <c r="N1659" s="358" t="s">
        <v>113</v>
      </c>
      <c r="O1659" s="117"/>
      <c r="P1659" s="380" t="s">
        <v>1091</v>
      </c>
      <c r="Q1659" s="24">
        <v>46021</v>
      </c>
      <c r="R1659" s="384" t="s">
        <v>67</v>
      </c>
      <c r="S1659" s="358" t="s">
        <v>32</v>
      </c>
      <c r="T1659" s="358">
        <v>1</v>
      </c>
      <c r="U1659" s="24" t="s">
        <v>67</v>
      </c>
      <c r="V1659" s="24">
        <v>46021</v>
      </c>
      <c r="W1659" s="100" t="s">
        <v>113</v>
      </c>
      <c r="X1659" s="95"/>
      <c r="Y1659" s="95"/>
      <c r="Z1659" s="100"/>
      <c r="AA1659" s="100"/>
      <c r="AB1659" s="100"/>
      <c r="AC1659" s="100"/>
      <c r="AD1659" s="100"/>
      <c r="AE1659" s="100"/>
      <c r="AF1659" s="100"/>
      <c r="AG1659" s="100"/>
      <c r="AH1659" s="114"/>
      <c r="AI1659" s="100"/>
      <c r="AJ1659" s="100"/>
      <c r="AK1659" s="100"/>
      <c r="AL1659" s="95" t="s">
        <v>32</v>
      </c>
      <c r="AM1659" s="360"/>
      <c r="AR1659" s="88"/>
      <c r="AS1659" s="72"/>
      <c r="AT1659" s="72"/>
      <c r="AU1659" s="72"/>
    </row>
    <row r="1660" spans="1:48">
      <c r="A1660" s="358" t="s">
        <v>2342</v>
      </c>
      <c r="B1660" s="369">
        <v>1657</v>
      </c>
      <c r="C1660" s="358" t="s">
        <v>2422</v>
      </c>
      <c r="D1660" s="358" t="s">
        <v>2423</v>
      </c>
      <c r="E1660" s="373">
        <v>45978</v>
      </c>
      <c r="F1660" s="372" t="s">
        <v>140</v>
      </c>
      <c r="G1660" s="372">
        <v>10</v>
      </c>
      <c r="H1660" s="372" t="s">
        <v>1077</v>
      </c>
      <c r="I1660" s="372"/>
      <c r="J1660" s="372"/>
      <c r="K1660" s="358" t="s">
        <v>113</v>
      </c>
      <c r="L1660" s="358" t="s">
        <v>113</v>
      </c>
      <c r="M1660" s="358" t="s">
        <v>113</v>
      </c>
      <c r="N1660" s="358" t="s">
        <v>113</v>
      </c>
      <c r="O1660" s="117"/>
      <c r="P1660" s="380" t="s">
        <v>1091</v>
      </c>
      <c r="Q1660" s="24">
        <v>46021</v>
      </c>
      <c r="R1660" s="384" t="s">
        <v>67</v>
      </c>
      <c r="S1660" s="358" t="s">
        <v>32</v>
      </c>
      <c r="T1660" s="358">
        <v>10</v>
      </c>
      <c r="U1660" s="24" t="s">
        <v>67</v>
      </c>
      <c r="V1660" s="24">
        <v>46021</v>
      </c>
      <c r="W1660" s="100" t="s">
        <v>113</v>
      </c>
      <c r="X1660" s="95"/>
      <c r="Y1660" s="95"/>
      <c r="Z1660" s="100"/>
      <c r="AA1660" s="100"/>
      <c r="AB1660" s="100"/>
      <c r="AC1660" s="100"/>
      <c r="AD1660" s="100"/>
      <c r="AE1660" s="100"/>
      <c r="AF1660" s="100"/>
      <c r="AG1660" s="100"/>
      <c r="AH1660" s="114"/>
      <c r="AI1660" s="100"/>
      <c r="AJ1660" s="100"/>
      <c r="AK1660" s="100"/>
      <c r="AL1660" s="95"/>
      <c r="AM1660" s="360"/>
      <c r="AR1660" s="88"/>
      <c r="AS1660" s="72"/>
      <c r="AT1660" s="72"/>
      <c r="AU1660" s="72"/>
    </row>
    <row r="1661" spans="1:48">
      <c r="A1661" s="358" t="s">
        <v>2342</v>
      </c>
      <c r="B1661" s="369">
        <v>1658</v>
      </c>
      <c r="C1661" s="358" t="s">
        <v>2424</v>
      </c>
      <c r="D1661" s="358" t="s">
        <v>865</v>
      </c>
      <c r="E1661" s="373">
        <v>45978</v>
      </c>
      <c r="F1661" s="372" t="s">
        <v>140</v>
      </c>
      <c r="G1661" s="372">
        <v>3</v>
      </c>
      <c r="H1661" s="372" t="s">
        <v>1077</v>
      </c>
      <c r="I1661" s="372"/>
      <c r="J1661" s="372"/>
      <c r="K1661" s="358" t="s">
        <v>113</v>
      </c>
      <c r="L1661" s="358" t="s">
        <v>113</v>
      </c>
      <c r="M1661" s="358" t="s">
        <v>113</v>
      </c>
      <c r="N1661" s="358" t="s">
        <v>113</v>
      </c>
      <c r="O1661" s="380"/>
      <c r="P1661" s="380" t="s">
        <v>1091</v>
      </c>
      <c r="Q1661" s="24">
        <v>46021</v>
      </c>
      <c r="R1661" s="384" t="s">
        <v>67</v>
      </c>
      <c r="S1661" s="358" t="s">
        <v>32</v>
      </c>
      <c r="T1661" s="358">
        <v>3</v>
      </c>
      <c r="U1661" s="24" t="s">
        <v>67</v>
      </c>
      <c r="V1661" s="24">
        <v>46021</v>
      </c>
      <c r="W1661" s="100" t="s">
        <v>113</v>
      </c>
      <c r="X1661" s="100"/>
      <c r="Y1661" s="95"/>
      <c r="Z1661" s="95"/>
      <c r="AA1661" s="95"/>
      <c r="AB1661" s="95"/>
      <c r="AC1661" s="100"/>
      <c r="AD1661" s="100"/>
      <c r="AE1661" s="100"/>
      <c r="AF1661" s="100"/>
      <c r="AG1661" s="100"/>
      <c r="AH1661" s="114"/>
      <c r="AI1661" s="112"/>
      <c r="AJ1661" s="112"/>
      <c r="AK1661" s="112"/>
      <c r="AL1661" s="95" t="s">
        <v>32</v>
      </c>
      <c r="AM1661" s="360"/>
      <c r="AO1661" s="412"/>
      <c r="AP1661" s="412"/>
      <c r="AQ1661" s="412"/>
      <c r="AR1661" s="412"/>
    </row>
    <row r="1662" spans="1:48">
      <c r="A1662" s="358" t="s">
        <v>2342</v>
      </c>
      <c r="B1662" s="369">
        <v>1659</v>
      </c>
      <c r="C1662" s="358" t="s">
        <v>2425</v>
      </c>
      <c r="D1662" s="358" t="s">
        <v>347</v>
      </c>
      <c r="E1662" s="373">
        <v>45971.041666666664</v>
      </c>
      <c r="F1662" s="372" t="s">
        <v>140</v>
      </c>
      <c r="G1662" s="372">
        <v>8</v>
      </c>
      <c r="H1662" s="372" t="s">
        <v>127</v>
      </c>
      <c r="I1662" s="372"/>
      <c r="J1662" s="372"/>
      <c r="K1662" s="358" t="s">
        <v>113</v>
      </c>
      <c r="L1662" s="358" t="s">
        <v>113</v>
      </c>
      <c r="M1662" s="358" t="s">
        <v>113</v>
      </c>
      <c r="N1662" s="358" t="s">
        <v>113</v>
      </c>
      <c r="O1662" s="380"/>
      <c r="P1662" s="380" t="s">
        <v>1091</v>
      </c>
      <c r="Q1662" s="24">
        <v>46021</v>
      </c>
      <c r="R1662" s="384" t="s">
        <v>67</v>
      </c>
      <c r="S1662" s="358" t="s">
        <v>32</v>
      </c>
      <c r="T1662" s="358">
        <v>8</v>
      </c>
      <c r="U1662" s="24" t="s">
        <v>67</v>
      </c>
      <c r="V1662" s="24">
        <v>46021</v>
      </c>
      <c r="W1662" s="100" t="s">
        <v>113</v>
      </c>
      <c r="X1662" s="100"/>
      <c r="Y1662" s="95"/>
      <c r="Z1662" s="95"/>
      <c r="AA1662" s="95"/>
      <c r="AB1662" s="100"/>
      <c r="AC1662" s="100"/>
      <c r="AD1662" s="100"/>
      <c r="AE1662" s="100"/>
      <c r="AF1662" s="100"/>
      <c r="AG1662" s="100"/>
      <c r="AH1662" s="114"/>
      <c r="AI1662" s="114"/>
      <c r="AJ1662" s="114"/>
      <c r="AK1662" s="114"/>
      <c r="AL1662" s="95" t="s">
        <v>32</v>
      </c>
      <c r="AM1662" s="360"/>
      <c r="AS1662" s="72"/>
      <c r="AT1662" s="96"/>
      <c r="AU1662" s="96"/>
    </row>
    <row r="1663" spans="1:48">
      <c r="A1663" s="358" t="s">
        <v>2342</v>
      </c>
      <c r="B1663" s="369">
        <v>1660</v>
      </c>
      <c r="C1663" s="358" t="s">
        <v>2426</v>
      </c>
      <c r="D1663" s="358" t="s">
        <v>1198</v>
      </c>
      <c r="E1663" s="373">
        <v>45985.041666666664</v>
      </c>
      <c r="F1663" s="372" t="s">
        <v>140</v>
      </c>
      <c r="G1663" s="372">
        <v>31</v>
      </c>
      <c r="H1663" s="372" t="s">
        <v>1786</v>
      </c>
      <c r="I1663" s="372"/>
      <c r="J1663" s="225"/>
      <c r="K1663" s="358" t="s">
        <v>113</v>
      </c>
      <c r="L1663" s="358" t="s">
        <v>113</v>
      </c>
      <c r="M1663" s="358" t="s">
        <v>113</v>
      </c>
      <c r="N1663" s="358" t="s">
        <v>113</v>
      </c>
      <c r="O1663" s="117" t="s">
        <v>30</v>
      </c>
      <c r="P1663" s="380" t="s">
        <v>1091</v>
      </c>
      <c r="Q1663" s="24">
        <v>46021</v>
      </c>
      <c r="R1663" s="384" t="s">
        <v>67</v>
      </c>
      <c r="S1663" s="358" t="s">
        <v>32</v>
      </c>
      <c r="T1663" s="22">
        <v>31</v>
      </c>
      <c r="U1663" s="24" t="s">
        <v>67</v>
      </c>
      <c r="V1663" s="24">
        <v>46021</v>
      </c>
      <c r="W1663" s="100" t="s">
        <v>113</v>
      </c>
      <c r="X1663" s="95"/>
      <c r="Y1663" s="95"/>
      <c r="Z1663" s="100"/>
      <c r="AA1663" s="100"/>
      <c r="AB1663" s="100"/>
      <c r="AC1663" s="100"/>
      <c r="AD1663" s="100"/>
      <c r="AE1663" s="100"/>
      <c r="AF1663" s="100"/>
      <c r="AG1663" s="100"/>
      <c r="AH1663" s="114"/>
      <c r="AI1663" s="100"/>
      <c r="AJ1663" s="100"/>
      <c r="AK1663" s="100"/>
      <c r="AL1663" s="95" t="s">
        <v>32</v>
      </c>
      <c r="AM1663" s="360"/>
      <c r="AN1663" s="6">
        <v>4</v>
      </c>
      <c r="AO1663" s="6">
        <v>0</v>
      </c>
      <c r="AP1663" s="6">
        <v>26</v>
      </c>
      <c r="AQ1663" s="6">
        <v>1</v>
      </c>
      <c r="AR1663" s="6">
        <f>SUM(AN1663:AQ1663)</f>
        <v>31</v>
      </c>
      <c r="AS1663" s="108">
        <f>+AN1663/AR1663*AS$1</f>
        <v>0</v>
      </c>
      <c r="AT1663" s="109">
        <f>+AO1663/AR1663*AT$1</f>
        <v>0</v>
      </c>
      <c r="AU1663" s="109">
        <f>+AP1663/AR1663*AU$1</f>
        <v>0</v>
      </c>
      <c r="AV1663" s="109">
        <f>+AQ1663/AR1663*AV$1</f>
        <v>0</v>
      </c>
    </row>
    <row r="1664" spans="1:48">
      <c r="A1664" s="358" t="s">
        <v>2342</v>
      </c>
      <c r="B1664" s="369">
        <v>1661</v>
      </c>
      <c r="C1664" s="358" t="s">
        <v>2427</v>
      </c>
      <c r="D1664" s="358" t="s">
        <v>2428</v>
      </c>
      <c r="E1664" s="373">
        <v>45985.083333333336</v>
      </c>
      <c r="F1664" s="372" t="s">
        <v>140</v>
      </c>
      <c r="G1664" s="372">
        <v>27</v>
      </c>
      <c r="H1664" s="372" t="s">
        <v>1077</v>
      </c>
      <c r="I1664" s="372"/>
      <c r="J1664" s="225"/>
      <c r="K1664" s="358" t="s">
        <v>113</v>
      </c>
      <c r="L1664" s="358" t="s">
        <v>113</v>
      </c>
      <c r="M1664" s="358" t="s">
        <v>113</v>
      </c>
      <c r="N1664" s="358" t="s">
        <v>113</v>
      </c>
      <c r="O1664" s="117" t="s">
        <v>30</v>
      </c>
      <c r="P1664" s="380" t="s">
        <v>1091</v>
      </c>
      <c r="Q1664" s="24">
        <v>46021</v>
      </c>
      <c r="R1664" s="384" t="s">
        <v>67</v>
      </c>
      <c r="S1664" s="358" t="s">
        <v>32</v>
      </c>
      <c r="T1664" s="358">
        <v>27</v>
      </c>
      <c r="U1664" s="24" t="s">
        <v>67</v>
      </c>
      <c r="V1664" s="24">
        <v>46021</v>
      </c>
      <c r="W1664" s="100" t="s">
        <v>113</v>
      </c>
      <c r="X1664" s="100"/>
      <c r="Y1664" s="95"/>
      <c r="Z1664" s="100"/>
      <c r="AA1664" s="100"/>
      <c r="AB1664" s="100"/>
      <c r="AC1664" s="100"/>
      <c r="AD1664" s="100"/>
      <c r="AE1664" s="100"/>
      <c r="AF1664" s="100"/>
      <c r="AG1664" s="100"/>
      <c r="AH1664" s="114"/>
      <c r="AI1664" s="100"/>
      <c r="AJ1664" s="100"/>
      <c r="AK1664" s="100"/>
      <c r="AL1664" s="95" t="s">
        <v>32</v>
      </c>
      <c r="AM1664" s="360"/>
      <c r="AN1664" s="6">
        <v>0</v>
      </c>
      <c r="AO1664" s="6">
        <v>0</v>
      </c>
      <c r="AP1664" s="6">
        <v>0</v>
      </c>
      <c r="AQ1664" s="6">
        <v>27</v>
      </c>
      <c r="AR1664" s="6">
        <f>SUM(AN1664:AQ1664)</f>
        <v>27</v>
      </c>
      <c r="AS1664" s="108">
        <f>+AN1664/AR1664*AS$1</f>
        <v>0</v>
      </c>
      <c r="AT1664" s="109">
        <f>+AO1664/AR1664*AT$1</f>
        <v>0</v>
      </c>
      <c r="AU1664" s="109">
        <f>+AP1664/AR1664*AU$1</f>
        <v>0</v>
      </c>
      <c r="AV1664" s="109">
        <f>+AQ1664/AR1664*AV$1</f>
        <v>0</v>
      </c>
    </row>
    <row r="1665" spans="1:48">
      <c r="A1665" s="358" t="s">
        <v>2342</v>
      </c>
      <c r="B1665" s="369">
        <v>1662</v>
      </c>
      <c r="C1665" s="358" t="s">
        <v>2429</v>
      </c>
      <c r="D1665" s="358" t="s">
        <v>2430</v>
      </c>
      <c r="E1665" s="373">
        <v>45985.041666666664</v>
      </c>
      <c r="F1665" s="372" t="s">
        <v>140</v>
      </c>
      <c r="G1665" s="372">
        <v>1</v>
      </c>
      <c r="H1665" s="372" t="s">
        <v>127</v>
      </c>
      <c r="I1665" s="372"/>
      <c r="J1665" s="225"/>
      <c r="K1665" s="358" t="s">
        <v>113</v>
      </c>
      <c r="L1665" s="358" t="s">
        <v>113</v>
      </c>
      <c r="M1665" s="358" t="s">
        <v>113</v>
      </c>
      <c r="N1665" s="358" t="s">
        <v>113</v>
      </c>
      <c r="O1665" s="117"/>
      <c r="P1665" s="380" t="s">
        <v>1091</v>
      </c>
      <c r="Q1665" s="24">
        <v>46024</v>
      </c>
      <c r="R1665" s="384" t="s">
        <v>67</v>
      </c>
      <c r="S1665" s="358" t="s">
        <v>32</v>
      </c>
      <c r="T1665" s="358">
        <v>8</v>
      </c>
      <c r="U1665" s="24" t="s">
        <v>67</v>
      </c>
      <c r="V1665" s="24">
        <v>46024</v>
      </c>
      <c r="W1665" s="100" t="s">
        <v>113</v>
      </c>
      <c r="X1665" s="100"/>
      <c r="Y1665" s="95"/>
      <c r="Z1665" s="95"/>
      <c r="AA1665" s="95"/>
      <c r="AB1665" s="95"/>
      <c r="AC1665" s="100"/>
      <c r="AD1665" s="100"/>
      <c r="AE1665" s="100"/>
      <c r="AF1665" s="100"/>
      <c r="AG1665" s="100"/>
      <c r="AH1665" s="114"/>
      <c r="AI1665" s="100"/>
      <c r="AJ1665" s="100"/>
      <c r="AK1665" s="100"/>
      <c r="AL1665" s="95" t="s">
        <v>32</v>
      </c>
      <c r="AM1665" s="360"/>
    </row>
    <row r="1666" spans="1:48">
      <c r="A1666" s="358" t="s">
        <v>2342</v>
      </c>
      <c r="B1666" s="369">
        <v>1663</v>
      </c>
      <c r="C1666" s="358" t="s">
        <v>2431</v>
      </c>
      <c r="D1666" s="358" t="s">
        <v>1406</v>
      </c>
      <c r="E1666" s="373">
        <v>45985</v>
      </c>
      <c r="F1666" s="372" t="s">
        <v>140</v>
      </c>
      <c r="G1666" s="372">
        <v>4</v>
      </c>
      <c r="H1666" s="372" t="s">
        <v>1818</v>
      </c>
      <c r="I1666" s="372"/>
      <c r="J1666" s="372"/>
      <c r="K1666" s="358" t="s">
        <v>113</v>
      </c>
      <c r="L1666" s="358" t="s">
        <v>113</v>
      </c>
      <c r="M1666" s="358" t="s">
        <v>113</v>
      </c>
      <c r="N1666" s="358" t="s">
        <v>113</v>
      </c>
      <c r="O1666" s="380"/>
      <c r="P1666" s="380" t="s">
        <v>1091</v>
      </c>
      <c r="Q1666" s="24">
        <v>46021</v>
      </c>
      <c r="R1666" s="384" t="s">
        <v>67</v>
      </c>
      <c r="S1666" s="358" t="s">
        <v>32</v>
      </c>
      <c r="T1666" s="22">
        <v>4</v>
      </c>
      <c r="U1666" s="24" t="s">
        <v>67</v>
      </c>
      <c r="V1666" s="24">
        <v>46021</v>
      </c>
      <c r="W1666" s="100" t="s">
        <v>113</v>
      </c>
      <c r="X1666" s="100"/>
      <c r="Y1666" s="95"/>
      <c r="Z1666" s="95"/>
      <c r="AA1666" s="95"/>
      <c r="AB1666" s="95"/>
      <c r="AC1666" s="100"/>
      <c r="AD1666" s="100"/>
      <c r="AE1666" s="100"/>
      <c r="AF1666" s="100"/>
      <c r="AG1666" s="100"/>
      <c r="AH1666" s="114"/>
      <c r="AI1666" s="100"/>
      <c r="AJ1666" s="100"/>
      <c r="AK1666" s="100"/>
      <c r="AL1666" s="95" t="s">
        <v>32</v>
      </c>
      <c r="AM1666" s="360"/>
    </row>
    <row r="1667" spans="1:48">
      <c r="A1667" s="358" t="s">
        <v>2342</v>
      </c>
      <c r="B1667" s="369">
        <v>1664</v>
      </c>
      <c r="C1667" s="358" t="s">
        <v>2432</v>
      </c>
      <c r="D1667" s="358" t="s">
        <v>2415</v>
      </c>
      <c r="E1667" s="373">
        <v>45985.041666666664</v>
      </c>
      <c r="F1667" s="372" t="s">
        <v>140</v>
      </c>
      <c r="G1667" s="372">
        <v>1</v>
      </c>
      <c r="H1667" s="372" t="s">
        <v>127</v>
      </c>
      <c r="I1667" s="372"/>
      <c r="J1667" s="372"/>
      <c r="K1667" s="358" t="s">
        <v>113</v>
      </c>
      <c r="L1667" s="358" t="s">
        <v>113</v>
      </c>
      <c r="M1667" s="358" t="s">
        <v>113</v>
      </c>
      <c r="N1667" s="358" t="s">
        <v>113</v>
      </c>
      <c r="O1667" s="117"/>
      <c r="P1667" s="380" t="s">
        <v>1091</v>
      </c>
      <c r="Q1667" s="24">
        <v>46021</v>
      </c>
      <c r="R1667" s="384" t="s">
        <v>67</v>
      </c>
      <c r="S1667" s="358" t="s">
        <v>32</v>
      </c>
      <c r="T1667" s="22">
        <v>1</v>
      </c>
      <c r="U1667" s="24" t="s">
        <v>67</v>
      </c>
      <c r="V1667" s="24">
        <v>46021</v>
      </c>
      <c r="W1667" s="100" t="s">
        <v>113</v>
      </c>
      <c r="X1667" s="100"/>
      <c r="Y1667" s="95"/>
      <c r="Z1667" s="95"/>
      <c r="AA1667" s="95"/>
      <c r="AB1667" s="95"/>
      <c r="AC1667" s="100"/>
      <c r="AD1667" s="100"/>
      <c r="AE1667" s="100"/>
      <c r="AF1667" s="100"/>
      <c r="AG1667" s="100"/>
      <c r="AH1667" s="114"/>
      <c r="AI1667" s="114"/>
      <c r="AJ1667" s="114"/>
      <c r="AK1667" s="100"/>
      <c r="AL1667" s="95" t="s">
        <v>32</v>
      </c>
      <c r="AM1667" s="360"/>
    </row>
    <row r="1668" spans="1:48">
      <c r="A1668" s="358" t="s">
        <v>2342</v>
      </c>
      <c r="B1668" s="369">
        <v>1665</v>
      </c>
      <c r="C1668" s="358" t="s">
        <v>2433</v>
      </c>
      <c r="D1668" s="358" t="s">
        <v>2358</v>
      </c>
      <c r="E1668" s="373">
        <v>45985</v>
      </c>
      <c r="F1668" s="372" t="s">
        <v>140</v>
      </c>
      <c r="G1668" s="372">
        <v>3</v>
      </c>
      <c r="H1668" s="372" t="s">
        <v>1076</v>
      </c>
      <c r="I1668" s="372"/>
      <c r="J1668" s="372"/>
      <c r="K1668" s="358" t="s">
        <v>113</v>
      </c>
      <c r="L1668" s="358" t="s">
        <v>113</v>
      </c>
      <c r="M1668" s="358" t="s">
        <v>113</v>
      </c>
      <c r="N1668" s="358" t="s">
        <v>113</v>
      </c>
      <c r="O1668" s="117"/>
      <c r="P1668" s="380" t="s">
        <v>1091</v>
      </c>
      <c r="Q1668" s="24">
        <v>46021</v>
      </c>
      <c r="R1668" s="384" t="s">
        <v>67</v>
      </c>
      <c r="S1668" s="358" t="s">
        <v>32</v>
      </c>
      <c r="T1668" s="358">
        <v>3</v>
      </c>
      <c r="U1668" s="24" t="s">
        <v>67</v>
      </c>
      <c r="V1668" s="24">
        <v>46021</v>
      </c>
      <c r="W1668" s="100" t="s">
        <v>113</v>
      </c>
      <c r="X1668" s="100"/>
      <c r="Y1668" s="95"/>
      <c r="Z1668" s="100"/>
      <c r="AA1668" s="100"/>
      <c r="AB1668" s="100"/>
      <c r="AC1668" s="100"/>
      <c r="AD1668" s="100"/>
      <c r="AE1668" s="100"/>
      <c r="AF1668" s="100"/>
      <c r="AG1668" s="100"/>
      <c r="AH1668" s="114"/>
      <c r="AI1668" s="114"/>
      <c r="AJ1668" s="114"/>
      <c r="AK1668" s="114"/>
      <c r="AL1668" s="95" t="s">
        <v>32</v>
      </c>
      <c r="AM1668" s="360"/>
    </row>
    <row r="1669" spans="1:48">
      <c r="A1669" s="358" t="s">
        <v>2342</v>
      </c>
      <c r="B1669" s="369">
        <v>1666</v>
      </c>
      <c r="C1669" s="358" t="s">
        <v>2434</v>
      </c>
      <c r="D1669" s="358" t="s">
        <v>1230</v>
      </c>
      <c r="E1669" s="373">
        <v>45985.083333333336</v>
      </c>
      <c r="F1669" s="372" t="s">
        <v>140</v>
      </c>
      <c r="G1669" s="372">
        <v>7</v>
      </c>
      <c r="H1669" s="372" t="s">
        <v>1077</v>
      </c>
      <c r="I1669" s="372"/>
      <c r="J1669" s="372"/>
      <c r="K1669" s="358" t="s">
        <v>113</v>
      </c>
      <c r="L1669" s="358" t="s">
        <v>113</v>
      </c>
      <c r="M1669" s="358" t="s">
        <v>113</v>
      </c>
      <c r="N1669" s="358" t="s">
        <v>113</v>
      </c>
      <c r="O1669" s="117"/>
      <c r="P1669" s="380" t="s">
        <v>1091</v>
      </c>
      <c r="Q1669" s="24">
        <v>46022</v>
      </c>
      <c r="R1669" s="384" t="s">
        <v>67</v>
      </c>
      <c r="S1669" s="358" t="s">
        <v>32</v>
      </c>
      <c r="T1669" s="358">
        <v>7</v>
      </c>
      <c r="U1669" s="24" t="s">
        <v>67</v>
      </c>
      <c r="V1669" s="24">
        <v>46022</v>
      </c>
      <c r="W1669" s="100" t="s">
        <v>113</v>
      </c>
      <c r="X1669" s="100"/>
      <c r="Y1669" s="95"/>
      <c r="Z1669" s="100"/>
      <c r="AA1669" s="100"/>
      <c r="AB1669" s="100"/>
      <c r="AC1669" s="100"/>
      <c r="AD1669" s="100"/>
      <c r="AE1669" s="100"/>
      <c r="AF1669" s="100"/>
      <c r="AG1669" s="100"/>
      <c r="AH1669" s="114"/>
      <c r="AI1669" s="114"/>
      <c r="AJ1669" s="114"/>
      <c r="AK1669" s="111"/>
      <c r="AL1669" s="95" t="s">
        <v>32</v>
      </c>
      <c r="AM1669" s="360"/>
      <c r="AN1669" s="91"/>
      <c r="AO1669" s="91"/>
      <c r="AS1669" s="72"/>
      <c r="AT1669" s="96"/>
      <c r="AU1669" s="96"/>
    </row>
    <row r="1670" spans="1:48">
      <c r="A1670" s="358" t="s">
        <v>2342</v>
      </c>
      <c r="B1670" s="369">
        <v>1667</v>
      </c>
      <c r="C1670" s="358" t="s">
        <v>2435</v>
      </c>
      <c r="D1670" s="358" t="s">
        <v>1567</v>
      </c>
      <c r="E1670" s="373">
        <v>45985.125</v>
      </c>
      <c r="F1670" s="372" t="s">
        <v>140</v>
      </c>
      <c r="G1670" s="372">
        <v>2</v>
      </c>
      <c r="H1670" s="372" t="s">
        <v>1790</v>
      </c>
      <c r="I1670" s="372"/>
      <c r="J1670" s="372"/>
      <c r="K1670" s="358" t="s">
        <v>113</v>
      </c>
      <c r="L1670" s="358" t="s">
        <v>113</v>
      </c>
      <c r="M1670" s="358" t="s">
        <v>113</v>
      </c>
      <c r="N1670" s="358" t="s">
        <v>113</v>
      </c>
      <c r="O1670" s="380"/>
      <c r="P1670" s="380" t="s">
        <v>1091</v>
      </c>
      <c r="Q1670" s="24">
        <v>46022</v>
      </c>
      <c r="R1670" s="384" t="s">
        <v>67</v>
      </c>
      <c r="S1670" s="358" t="s">
        <v>32</v>
      </c>
      <c r="T1670" s="7">
        <v>2</v>
      </c>
      <c r="U1670" s="24" t="s">
        <v>67</v>
      </c>
      <c r="V1670" s="24">
        <v>46022</v>
      </c>
      <c r="W1670" s="100" t="s">
        <v>113</v>
      </c>
      <c r="X1670" s="100"/>
      <c r="Y1670" s="95"/>
      <c r="Z1670" s="100"/>
      <c r="AA1670" s="100"/>
      <c r="AB1670" s="100"/>
      <c r="AC1670" s="100"/>
      <c r="AD1670" s="100"/>
      <c r="AE1670" s="100"/>
      <c r="AF1670" s="100"/>
      <c r="AG1670" s="100"/>
      <c r="AH1670" s="114"/>
      <c r="AI1670" s="100"/>
      <c r="AJ1670" s="100"/>
      <c r="AK1670" s="100"/>
      <c r="AL1670" s="95" t="s">
        <v>32</v>
      </c>
      <c r="AM1670" s="360"/>
      <c r="AS1670" s="72"/>
      <c r="AT1670" s="96"/>
      <c r="AU1670" s="96"/>
    </row>
    <row r="1671" spans="1:48">
      <c r="A1671" s="358" t="s">
        <v>2342</v>
      </c>
      <c r="B1671" s="369">
        <v>1668</v>
      </c>
      <c r="C1671" s="358" t="s">
        <v>2436</v>
      </c>
      <c r="D1671" s="358" t="s">
        <v>2364</v>
      </c>
      <c r="E1671" s="373">
        <v>45985.041666666664</v>
      </c>
      <c r="F1671" s="372" t="s">
        <v>140</v>
      </c>
      <c r="G1671" s="372">
        <v>24</v>
      </c>
      <c r="H1671" s="372" t="s">
        <v>127</v>
      </c>
      <c r="I1671" s="372"/>
      <c r="J1671" s="102" t="s">
        <v>2437</v>
      </c>
      <c r="K1671" s="358" t="s">
        <v>113</v>
      </c>
      <c r="L1671" s="358" t="s">
        <v>113</v>
      </c>
      <c r="M1671" s="358" t="s">
        <v>113</v>
      </c>
      <c r="N1671" s="358" t="s">
        <v>113</v>
      </c>
      <c r="O1671" s="117" t="s">
        <v>30</v>
      </c>
      <c r="P1671" s="380"/>
      <c r="Q1671" s="24"/>
      <c r="R1671" s="384"/>
      <c r="S1671" s="358"/>
      <c r="T1671" s="22"/>
      <c r="U1671" s="24"/>
      <c r="V1671" s="24"/>
      <c r="W1671" s="100" t="s">
        <v>113</v>
      </c>
      <c r="X1671" s="100"/>
      <c r="Y1671" s="95"/>
      <c r="Z1671" s="100"/>
      <c r="AA1671" s="100"/>
      <c r="AB1671" s="100"/>
      <c r="AC1671" s="100"/>
      <c r="AD1671" s="100"/>
      <c r="AE1671" s="100"/>
      <c r="AF1671" s="100"/>
      <c r="AG1671" s="100"/>
      <c r="AH1671" s="114"/>
      <c r="AI1671" s="114"/>
      <c r="AJ1671" s="114"/>
      <c r="AK1671" s="100"/>
      <c r="AL1671" s="95" t="s">
        <v>32</v>
      </c>
      <c r="AM1671" s="360"/>
      <c r="AN1671" s="6">
        <v>24</v>
      </c>
      <c r="AO1671" s="6">
        <v>0</v>
      </c>
      <c r="AP1671" s="6">
        <v>0</v>
      </c>
      <c r="AQ1671" s="6">
        <v>0</v>
      </c>
      <c r="AR1671" s="6">
        <f>SUM(AN1671:AQ1671)</f>
        <v>24</v>
      </c>
      <c r="AS1671" s="108">
        <f>+AN1671/AR1671*AS$1</f>
        <v>0</v>
      </c>
      <c r="AT1671" s="109">
        <f>+AO1671/AR1671*AT$1</f>
        <v>0</v>
      </c>
      <c r="AU1671" s="109">
        <f>+AP1671/AR1671*AU$1</f>
        <v>0</v>
      </c>
      <c r="AV1671" s="109">
        <f>+AQ1671/AR1671*AV$1</f>
        <v>0</v>
      </c>
    </row>
    <row r="1672" spans="1:48">
      <c r="A1672" s="358" t="s">
        <v>2342</v>
      </c>
      <c r="B1672" s="369">
        <v>1669</v>
      </c>
      <c r="C1672" s="358" t="s">
        <v>2438</v>
      </c>
      <c r="D1672" s="358" t="s">
        <v>1544</v>
      </c>
      <c r="E1672" s="373">
        <v>45985.041666666664</v>
      </c>
      <c r="F1672" s="372" t="s">
        <v>140</v>
      </c>
      <c r="G1672" s="372">
        <v>1</v>
      </c>
      <c r="H1672" s="372" t="s">
        <v>127</v>
      </c>
      <c r="I1672" s="372"/>
      <c r="J1672" s="372"/>
      <c r="K1672" s="358" t="s">
        <v>113</v>
      </c>
      <c r="L1672" s="358" t="s">
        <v>113</v>
      </c>
      <c r="M1672" s="358" t="s">
        <v>113</v>
      </c>
      <c r="N1672" s="358" t="s">
        <v>113</v>
      </c>
      <c r="O1672" s="380"/>
      <c r="P1672" s="380" t="s">
        <v>1091</v>
      </c>
      <c r="Q1672" s="24">
        <v>46022</v>
      </c>
      <c r="R1672" s="384" t="s">
        <v>67</v>
      </c>
      <c r="S1672" s="358" t="s">
        <v>32</v>
      </c>
      <c r="T1672" s="22">
        <v>1</v>
      </c>
      <c r="U1672" s="24" t="s">
        <v>67</v>
      </c>
      <c r="V1672" s="24">
        <v>46022</v>
      </c>
      <c r="W1672" s="100" t="s">
        <v>113</v>
      </c>
      <c r="X1672" s="100"/>
      <c r="Y1672" s="95"/>
      <c r="Z1672" s="100"/>
      <c r="AA1672" s="100"/>
      <c r="AB1672" s="100"/>
      <c r="AC1672" s="100"/>
      <c r="AD1672" s="100"/>
      <c r="AE1672" s="100"/>
      <c r="AF1672" s="100"/>
      <c r="AG1672" s="100"/>
      <c r="AH1672" s="114"/>
      <c r="AI1672" s="100"/>
      <c r="AJ1672" s="100"/>
      <c r="AK1672" s="100"/>
      <c r="AL1672" s="95" t="s">
        <v>32</v>
      </c>
      <c r="AM1672" s="360"/>
      <c r="AS1672" s="72"/>
      <c r="AT1672" s="96"/>
      <c r="AU1672" s="96"/>
    </row>
    <row r="1673" spans="1:48">
      <c r="A1673" s="358" t="s">
        <v>2342</v>
      </c>
      <c r="B1673" s="369">
        <v>1670</v>
      </c>
      <c r="C1673" s="358" t="s">
        <v>2439</v>
      </c>
      <c r="D1673" s="358" t="s">
        <v>2440</v>
      </c>
      <c r="E1673" s="373">
        <v>45985</v>
      </c>
      <c r="F1673" s="372" t="s">
        <v>140</v>
      </c>
      <c r="G1673" s="372">
        <v>7</v>
      </c>
      <c r="H1673" s="372" t="s">
        <v>1721</v>
      </c>
      <c r="I1673" s="372"/>
      <c r="J1673" s="372"/>
      <c r="K1673" s="358" t="s">
        <v>113</v>
      </c>
      <c r="L1673" s="358" t="s">
        <v>113</v>
      </c>
      <c r="M1673" s="358" t="s">
        <v>113</v>
      </c>
      <c r="N1673" s="358" t="s">
        <v>113</v>
      </c>
      <c r="O1673" s="117"/>
      <c r="P1673" s="254" t="s">
        <v>1091</v>
      </c>
      <c r="Q1673" s="24">
        <v>46024</v>
      </c>
      <c r="R1673" s="24" t="s">
        <v>67</v>
      </c>
      <c r="S1673" s="22" t="s">
        <v>32</v>
      </c>
      <c r="T1673" s="22">
        <v>2</v>
      </c>
      <c r="U1673" s="24" t="s">
        <v>67</v>
      </c>
      <c r="V1673" s="24">
        <v>46024</v>
      </c>
      <c r="W1673" s="100" t="s">
        <v>113</v>
      </c>
      <c r="X1673" s="100"/>
      <c r="Y1673" s="95"/>
      <c r="Z1673" s="100"/>
      <c r="AA1673" s="100"/>
      <c r="AB1673" s="100"/>
      <c r="AC1673" s="100"/>
      <c r="AD1673" s="100"/>
      <c r="AE1673" s="100"/>
      <c r="AF1673" s="100"/>
      <c r="AG1673" s="100"/>
      <c r="AH1673" s="114"/>
      <c r="AI1673" s="100"/>
      <c r="AJ1673" s="100"/>
      <c r="AK1673" s="100"/>
      <c r="AL1673" s="95" t="s">
        <v>32</v>
      </c>
      <c r="AM1673" s="360"/>
    </row>
    <row r="1674" spans="1:48">
      <c r="A1674" s="358" t="s">
        <v>2342</v>
      </c>
      <c r="B1674" s="369">
        <v>1671</v>
      </c>
      <c r="C1674" s="358" t="s">
        <v>2441</v>
      </c>
      <c r="D1674" s="358" t="s">
        <v>2442</v>
      </c>
      <c r="E1674" s="373">
        <v>45985.375</v>
      </c>
      <c r="F1674" s="372" t="s">
        <v>140</v>
      </c>
      <c r="G1674" s="372">
        <v>12</v>
      </c>
      <c r="H1674" s="372" t="s">
        <v>2443</v>
      </c>
      <c r="I1674" s="372"/>
      <c r="J1674" s="372"/>
      <c r="K1674" s="358" t="s">
        <v>113</v>
      </c>
      <c r="L1674" s="358" t="s">
        <v>113</v>
      </c>
      <c r="M1674" s="358" t="s">
        <v>113</v>
      </c>
      <c r="N1674" s="358" t="s">
        <v>113</v>
      </c>
      <c r="O1674" s="380"/>
      <c r="P1674" s="380" t="s">
        <v>1091</v>
      </c>
      <c r="Q1674" s="24">
        <v>46022</v>
      </c>
      <c r="R1674" s="384" t="s">
        <v>67</v>
      </c>
      <c r="S1674" s="358" t="s">
        <v>32</v>
      </c>
      <c r="T1674" s="358">
        <v>12</v>
      </c>
      <c r="U1674" s="24" t="s">
        <v>67</v>
      </c>
      <c r="V1674" s="24">
        <v>46022</v>
      </c>
      <c r="W1674" s="100" t="s">
        <v>113</v>
      </c>
      <c r="X1674" s="100"/>
      <c r="Y1674" s="95"/>
      <c r="Z1674" s="100"/>
      <c r="AA1674" s="100"/>
      <c r="AB1674" s="100"/>
      <c r="AC1674" s="100"/>
      <c r="AD1674" s="100"/>
      <c r="AE1674" s="100"/>
      <c r="AF1674" s="100"/>
      <c r="AG1674" s="100"/>
      <c r="AH1674" s="114"/>
      <c r="AI1674" s="100"/>
      <c r="AJ1674" s="100"/>
      <c r="AK1674" s="100"/>
      <c r="AL1674" s="95" t="s">
        <v>32</v>
      </c>
      <c r="AM1674" s="360"/>
      <c r="AS1674" s="72"/>
      <c r="AT1674" s="96"/>
      <c r="AU1674" s="96"/>
    </row>
    <row r="1675" spans="1:48">
      <c r="A1675" s="358" t="s">
        <v>2342</v>
      </c>
      <c r="B1675" s="369">
        <v>1672</v>
      </c>
      <c r="C1675" s="358" t="s">
        <v>2444</v>
      </c>
      <c r="D1675" s="358" t="s">
        <v>1208</v>
      </c>
      <c r="E1675" s="373">
        <v>45985</v>
      </c>
      <c r="F1675" s="372" t="s">
        <v>140</v>
      </c>
      <c r="G1675" s="372">
        <v>1</v>
      </c>
      <c r="H1675" s="372" t="s">
        <v>1077</v>
      </c>
      <c r="I1675" s="372"/>
      <c r="J1675" s="372"/>
      <c r="K1675" s="358" t="s">
        <v>113</v>
      </c>
      <c r="L1675" s="358" t="s">
        <v>113</v>
      </c>
      <c r="M1675" s="358" t="s">
        <v>113</v>
      </c>
      <c r="N1675" s="358" t="s">
        <v>113</v>
      </c>
      <c r="O1675" s="380"/>
      <c r="P1675" s="380" t="s">
        <v>1091</v>
      </c>
      <c r="Q1675" s="24">
        <v>46022</v>
      </c>
      <c r="R1675" s="384" t="s">
        <v>67</v>
      </c>
      <c r="S1675" s="358" t="s">
        <v>32</v>
      </c>
      <c r="T1675" s="358">
        <v>1</v>
      </c>
      <c r="U1675" s="24" t="s">
        <v>67</v>
      </c>
      <c r="V1675" s="24">
        <v>46022</v>
      </c>
      <c r="W1675" s="100" t="s">
        <v>113</v>
      </c>
      <c r="X1675" s="100"/>
      <c r="Y1675" s="95"/>
      <c r="Z1675" s="100"/>
      <c r="AA1675" s="100"/>
      <c r="AB1675" s="100"/>
      <c r="AC1675" s="100"/>
      <c r="AD1675" s="100"/>
      <c r="AE1675" s="100"/>
      <c r="AF1675" s="100"/>
      <c r="AG1675" s="100"/>
      <c r="AH1675" s="114"/>
      <c r="AI1675" s="114"/>
      <c r="AJ1675" s="114"/>
      <c r="AK1675" s="114"/>
      <c r="AL1675" s="95" t="s">
        <v>32</v>
      </c>
      <c r="AM1675" s="360"/>
      <c r="AS1675" s="72"/>
      <c r="AT1675" s="96"/>
      <c r="AU1675" s="96"/>
    </row>
    <row r="1676" spans="1:48">
      <c r="A1676" s="358" t="s">
        <v>2342</v>
      </c>
      <c r="B1676" s="369">
        <v>1673</v>
      </c>
      <c r="C1676" s="358" t="s">
        <v>2445</v>
      </c>
      <c r="D1676" s="358" t="s">
        <v>937</v>
      </c>
      <c r="E1676" s="373">
        <v>45985.041666666664</v>
      </c>
      <c r="F1676" s="372" t="s">
        <v>140</v>
      </c>
      <c r="G1676" s="372">
        <v>28</v>
      </c>
      <c r="H1676" s="372" t="s">
        <v>2446</v>
      </c>
      <c r="I1676" s="372"/>
      <c r="J1676" s="372"/>
      <c r="K1676" s="358" t="s">
        <v>113</v>
      </c>
      <c r="L1676" s="358" t="s">
        <v>113</v>
      </c>
      <c r="M1676" s="358" t="s">
        <v>113</v>
      </c>
      <c r="N1676" s="358" t="s">
        <v>113</v>
      </c>
      <c r="O1676" s="117" t="s">
        <v>30</v>
      </c>
      <c r="P1676" s="380" t="s">
        <v>1091</v>
      </c>
      <c r="Q1676" s="24">
        <v>46022</v>
      </c>
      <c r="R1676" s="384" t="s">
        <v>67</v>
      </c>
      <c r="S1676" s="358" t="s">
        <v>32</v>
      </c>
      <c r="T1676" s="22">
        <v>28</v>
      </c>
      <c r="U1676" s="24" t="s">
        <v>67</v>
      </c>
      <c r="V1676" s="24">
        <v>46022</v>
      </c>
      <c r="W1676" s="100" t="s">
        <v>113</v>
      </c>
      <c r="X1676" s="100"/>
      <c r="Y1676" s="95"/>
      <c r="Z1676" s="100"/>
      <c r="AA1676" s="95"/>
      <c r="AB1676" s="100"/>
      <c r="AC1676" s="100"/>
      <c r="AD1676" s="100"/>
      <c r="AE1676" s="100"/>
      <c r="AF1676" s="100"/>
      <c r="AG1676" s="100"/>
      <c r="AH1676" s="114"/>
      <c r="AI1676" s="100"/>
      <c r="AJ1676" s="100"/>
      <c r="AK1676" s="100"/>
      <c r="AL1676" s="95" t="s">
        <v>32</v>
      </c>
      <c r="AM1676" s="360" t="s">
        <v>2068</v>
      </c>
      <c r="AN1676" s="6">
        <v>1</v>
      </c>
      <c r="AO1676" s="6">
        <v>2</v>
      </c>
      <c r="AP1676" s="6">
        <v>9</v>
      </c>
      <c r="AQ1676" s="6">
        <v>16</v>
      </c>
      <c r="AR1676" s="6">
        <f>SUM(AN1676:AQ1676)</f>
        <v>28</v>
      </c>
      <c r="AS1676" s="108">
        <f>+AN1676/AR1676*AS$1</f>
        <v>0</v>
      </c>
      <c r="AT1676" s="109">
        <f>+AO1676/AR1676*AT$1</f>
        <v>0</v>
      </c>
      <c r="AU1676" s="109">
        <f>+AP1676/AR1676*AU$1</f>
        <v>0</v>
      </c>
      <c r="AV1676" s="109">
        <f>+AQ1676/AR1676*AV$1</f>
        <v>0</v>
      </c>
    </row>
    <row r="1677" spans="1:48">
      <c r="A1677" s="358" t="s">
        <v>2342</v>
      </c>
      <c r="B1677" s="369">
        <v>1674</v>
      </c>
      <c r="C1677" s="358" t="s">
        <v>2447</v>
      </c>
      <c r="D1677" s="358" t="s">
        <v>2353</v>
      </c>
      <c r="E1677" s="373">
        <v>45985</v>
      </c>
      <c r="F1677" s="372" t="s">
        <v>140</v>
      </c>
      <c r="G1677" s="372">
        <v>2</v>
      </c>
      <c r="H1677" s="372" t="s">
        <v>1076</v>
      </c>
      <c r="I1677" s="372"/>
      <c r="J1677" s="372"/>
      <c r="K1677" s="358" t="s">
        <v>113</v>
      </c>
      <c r="L1677" s="358" t="s">
        <v>113</v>
      </c>
      <c r="M1677" s="358" t="s">
        <v>113</v>
      </c>
      <c r="N1677" s="358" t="s">
        <v>113</v>
      </c>
      <c r="O1677" s="380"/>
      <c r="P1677" s="380" t="s">
        <v>1091</v>
      </c>
      <c r="Q1677" s="24">
        <v>46022</v>
      </c>
      <c r="R1677" s="384" t="s">
        <v>67</v>
      </c>
      <c r="S1677" s="358" t="s">
        <v>32</v>
      </c>
      <c r="T1677" s="358">
        <v>2</v>
      </c>
      <c r="U1677" s="24" t="s">
        <v>67</v>
      </c>
      <c r="V1677" s="24">
        <v>46022</v>
      </c>
      <c r="W1677" s="100" t="s">
        <v>113</v>
      </c>
      <c r="X1677" s="100"/>
      <c r="Y1677" s="95"/>
      <c r="Z1677" s="95"/>
      <c r="AA1677" s="95"/>
      <c r="AB1677" s="100"/>
      <c r="AC1677" s="100"/>
      <c r="AD1677" s="100"/>
      <c r="AE1677" s="100"/>
      <c r="AF1677" s="100"/>
      <c r="AG1677" s="100"/>
      <c r="AH1677" s="114"/>
      <c r="AI1677" s="114"/>
      <c r="AJ1677" s="114"/>
      <c r="AK1677" s="100"/>
      <c r="AL1677" s="95" t="s">
        <v>32</v>
      </c>
      <c r="AM1677" s="360"/>
    </row>
    <row r="1678" spans="1:48">
      <c r="A1678" s="358" t="s">
        <v>2342</v>
      </c>
      <c r="B1678" s="369">
        <v>1675</v>
      </c>
      <c r="C1678" s="358" t="s">
        <v>2448</v>
      </c>
      <c r="D1678" s="358" t="s">
        <v>2449</v>
      </c>
      <c r="E1678" s="373">
        <v>45985.041666666664</v>
      </c>
      <c r="F1678" s="372" t="s">
        <v>140</v>
      </c>
      <c r="G1678" s="372">
        <v>2</v>
      </c>
      <c r="H1678" s="372" t="s">
        <v>127</v>
      </c>
      <c r="I1678" s="372"/>
      <c r="J1678" s="372"/>
      <c r="K1678" s="358" t="s">
        <v>113</v>
      </c>
      <c r="L1678" s="358" t="s">
        <v>113</v>
      </c>
      <c r="M1678" s="358" t="s">
        <v>113</v>
      </c>
      <c r="N1678" s="358" t="s">
        <v>113</v>
      </c>
      <c r="O1678" s="117"/>
      <c r="P1678" s="380" t="s">
        <v>1091</v>
      </c>
      <c r="Q1678" s="24">
        <v>46022</v>
      </c>
      <c r="R1678" s="384" t="s">
        <v>67</v>
      </c>
      <c r="S1678" s="358" t="s">
        <v>32</v>
      </c>
      <c r="T1678" s="22">
        <v>2</v>
      </c>
      <c r="U1678" s="24" t="s">
        <v>67</v>
      </c>
      <c r="V1678" s="24">
        <v>46022</v>
      </c>
      <c r="W1678" s="100" t="s">
        <v>113</v>
      </c>
      <c r="X1678" s="100"/>
      <c r="Y1678" s="107"/>
      <c r="Z1678" s="100"/>
      <c r="AA1678" s="95"/>
      <c r="AB1678" s="100"/>
      <c r="AC1678" s="100"/>
      <c r="AD1678" s="100"/>
      <c r="AE1678" s="100"/>
      <c r="AF1678" s="100"/>
      <c r="AG1678" s="100"/>
      <c r="AH1678" s="114"/>
      <c r="AI1678" s="114"/>
      <c r="AJ1678" s="114"/>
      <c r="AK1678" s="114"/>
      <c r="AL1678" s="114" t="s">
        <v>32</v>
      </c>
      <c r="AM1678" s="360"/>
      <c r="AR1678" s="88"/>
      <c r="AS1678" s="72"/>
      <c r="AT1678" s="72"/>
      <c r="AU1678" s="72"/>
    </row>
    <row r="1679" spans="1:48">
      <c r="A1679" s="358" t="s">
        <v>2342</v>
      </c>
      <c r="B1679" s="369">
        <v>1676</v>
      </c>
      <c r="C1679" s="358" t="s">
        <v>2450</v>
      </c>
      <c r="D1679" s="358" t="s">
        <v>2451</v>
      </c>
      <c r="E1679" s="373">
        <v>45985.125</v>
      </c>
      <c r="F1679" s="372" t="s">
        <v>140</v>
      </c>
      <c r="G1679" s="372">
        <v>1</v>
      </c>
      <c r="H1679" s="372" t="s">
        <v>1077</v>
      </c>
      <c r="I1679" s="372"/>
      <c r="J1679" s="372"/>
      <c r="K1679" s="358" t="s">
        <v>113</v>
      </c>
      <c r="L1679" s="358" t="s">
        <v>113</v>
      </c>
      <c r="M1679" s="358" t="s">
        <v>113</v>
      </c>
      <c r="N1679" s="358" t="s">
        <v>113</v>
      </c>
      <c r="O1679" s="117"/>
      <c r="P1679" s="380" t="s">
        <v>1091</v>
      </c>
      <c r="Q1679" s="24">
        <v>46022</v>
      </c>
      <c r="R1679" s="384" t="s">
        <v>67</v>
      </c>
      <c r="S1679" s="358" t="s">
        <v>32</v>
      </c>
      <c r="T1679" s="358">
        <v>1</v>
      </c>
      <c r="U1679" s="24" t="s">
        <v>67</v>
      </c>
      <c r="V1679" s="24">
        <v>46022</v>
      </c>
      <c r="W1679" s="100" t="s">
        <v>113</v>
      </c>
      <c r="X1679" s="107"/>
      <c r="Y1679" s="107"/>
      <c r="Z1679" s="100"/>
      <c r="AA1679" s="107"/>
      <c r="AB1679" s="100"/>
      <c r="AC1679" s="100"/>
      <c r="AD1679" s="100"/>
      <c r="AE1679" s="100"/>
      <c r="AF1679" s="100"/>
      <c r="AG1679" s="100"/>
      <c r="AH1679" s="114"/>
      <c r="AI1679" s="114"/>
      <c r="AJ1679" s="114"/>
      <c r="AK1679" s="114"/>
      <c r="AL1679" s="114" t="s">
        <v>32</v>
      </c>
      <c r="AM1679" s="360"/>
      <c r="AS1679" s="72"/>
      <c r="AT1679" s="96"/>
      <c r="AU1679" s="96"/>
    </row>
    <row r="1680" spans="1:48">
      <c r="A1680" s="358" t="s">
        <v>2342</v>
      </c>
      <c r="B1680" s="369">
        <v>1677</v>
      </c>
      <c r="C1680" s="358" t="s">
        <v>2452</v>
      </c>
      <c r="D1680" s="358" t="s">
        <v>2453</v>
      </c>
      <c r="E1680" s="373">
        <v>45985.375</v>
      </c>
      <c r="F1680" s="372" t="s">
        <v>140</v>
      </c>
      <c r="G1680" s="372">
        <v>1</v>
      </c>
      <c r="H1680" s="372" t="s">
        <v>1721</v>
      </c>
      <c r="I1680" s="372"/>
      <c r="J1680" s="372"/>
      <c r="K1680" s="358" t="s">
        <v>113</v>
      </c>
      <c r="L1680" s="358" t="s">
        <v>113</v>
      </c>
      <c r="M1680" s="358" t="s">
        <v>113</v>
      </c>
      <c r="N1680" s="358" t="s">
        <v>113</v>
      </c>
      <c r="O1680" s="117"/>
      <c r="P1680" s="380" t="s">
        <v>1091</v>
      </c>
      <c r="Q1680" s="24">
        <v>46022</v>
      </c>
      <c r="R1680" s="384" t="s">
        <v>67</v>
      </c>
      <c r="S1680" s="358" t="s">
        <v>32</v>
      </c>
      <c r="T1680" s="358">
        <v>1</v>
      </c>
      <c r="U1680" s="24" t="s">
        <v>67</v>
      </c>
      <c r="V1680" s="24">
        <v>46022</v>
      </c>
      <c r="W1680" s="100" t="s">
        <v>113</v>
      </c>
      <c r="X1680" s="100"/>
      <c r="Y1680" s="107"/>
      <c r="Z1680" s="100"/>
      <c r="AA1680" s="100"/>
      <c r="AB1680" s="100"/>
      <c r="AC1680" s="100"/>
      <c r="AD1680" s="100"/>
      <c r="AE1680" s="100"/>
      <c r="AF1680" s="100"/>
      <c r="AG1680" s="100"/>
      <c r="AH1680" s="114"/>
      <c r="AI1680" s="114"/>
      <c r="AJ1680" s="114"/>
      <c r="AK1680" s="114"/>
      <c r="AL1680" s="114" t="s">
        <v>32</v>
      </c>
      <c r="AM1680" s="360"/>
    </row>
    <row r="1681" spans="1:48">
      <c r="A1681" s="358" t="s">
        <v>2342</v>
      </c>
      <c r="B1681" s="369">
        <v>1678</v>
      </c>
      <c r="C1681" s="358" t="s">
        <v>2454</v>
      </c>
      <c r="D1681" s="358" t="s">
        <v>1366</v>
      </c>
      <c r="E1681" s="373">
        <v>45978</v>
      </c>
      <c r="F1681" s="372" t="s">
        <v>140</v>
      </c>
      <c r="G1681" s="372">
        <v>5</v>
      </c>
      <c r="H1681" s="372" t="s">
        <v>1076</v>
      </c>
      <c r="I1681" s="372"/>
      <c r="J1681" s="102" t="s">
        <v>2455</v>
      </c>
      <c r="K1681" s="358" t="s">
        <v>113</v>
      </c>
      <c r="L1681" s="358" t="s">
        <v>113</v>
      </c>
      <c r="M1681" s="358" t="s">
        <v>113</v>
      </c>
      <c r="N1681" s="358" t="s">
        <v>113</v>
      </c>
      <c r="O1681" s="380"/>
      <c r="P1681" s="380"/>
      <c r="Q1681" s="24"/>
      <c r="R1681" s="384" t="s">
        <v>67</v>
      </c>
      <c r="S1681" s="358" t="s">
        <v>1063</v>
      </c>
      <c r="T1681" s="22">
        <v>5</v>
      </c>
      <c r="U1681" s="24" t="s">
        <v>67</v>
      </c>
      <c r="V1681" s="24"/>
      <c r="W1681" s="100" t="s">
        <v>113</v>
      </c>
      <c r="X1681" s="107"/>
      <c r="Y1681" s="95"/>
      <c r="Z1681" s="100"/>
      <c r="AA1681" s="100"/>
      <c r="AB1681" s="100"/>
      <c r="AC1681" s="100"/>
      <c r="AD1681" s="100"/>
      <c r="AE1681" s="100"/>
      <c r="AF1681" s="100"/>
      <c r="AG1681" s="100"/>
      <c r="AH1681" s="114"/>
      <c r="AI1681" s="114"/>
      <c r="AJ1681" s="114"/>
      <c r="AK1681" s="114"/>
      <c r="AL1681" s="114" t="s">
        <v>32</v>
      </c>
      <c r="AM1681" s="360"/>
    </row>
    <row r="1682" spans="1:48">
      <c r="A1682" s="358" t="s">
        <v>2342</v>
      </c>
      <c r="B1682" s="369">
        <v>1679</v>
      </c>
      <c r="C1682" s="358" t="s">
        <v>2456</v>
      </c>
      <c r="D1682" s="358" t="s">
        <v>2415</v>
      </c>
      <c r="E1682" s="373">
        <v>45978</v>
      </c>
      <c r="F1682" s="372" t="s">
        <v>140</v>
      </c>
      <c r="G1682" s="372">
        <v>7</v>
      </c>
      <c r="H1682" s="372" t="s">
        <v>1076</v>
      </c>
      <c r="I1682" s="372"/>
      <c r="J1682" s="102" t="s">
        <v>2455</v>
      </c>
      <c r="K1682" s="358" t="s">
        <v>113</v>
      </c>
      <c r="L1682" s="358" t="s">
        <v>113</v>
      </c>
      <c r="M1682" s="358" t="s">
        <v>113</v>
      </c>
      <c r="N1682" s="358" t="s">
        <v>113</v>
      </c>
      <c r="O1682" s="380"/>
      <c r="P1682" s="380"/>
      <c r="Q1682" s="24"/>
      <c r="R1682" s="384" t="s">
        <v>67</v>
      </c>
      <c r="S1682" s="358" t="s">
        <v>2457</v>
      </c>
      <c r="T1682" s="22">
        <v>7</v>
      </c>
      <c r="U1682" s="24" t="s">
        <v>67</v>
      </c>
      <c r="V1682" s="24"/>
      <c r="W1682" s="100" t="s">
        <v>113</v>
      </c>
      <c r="X1682" s="100"/>
      <c r="Y1682" s="95"/>
      <c r="Z1682" s="100"/>
      <c r="AA1682" s="100"/>
      <c r="AB1682" s="100"/>
      <c r="AC1682" s="100"/>
      <c r="AD1682" s="100"/>
      <c r="AE1682" s="100"/>
      <c r="AF1682" s="100"/>
      <c r="AG1682" s="100"/>
      <c r="AH1682" s="114"/>
      <c r="AI1682" s="114"/>
      <c r="AJ1682" s="114"/>
      <c r="AK1682" s="114"/>
      <c r="AL1682" s="114" t="s">
        <v>32</v>
      </c>
      <c r="AM1682" s="360"/>
      <c r="AO1682" s="412"/>
      <c r="AP1682" s="412"/>
      <c r="AQ1682" s="412"/>
      <c r="AR1682" s="412"/>
      <c r="AV1682" s="109"/>
    </row>
    <row r="1683" spans="1:48">
      <c r="A1683" s="358" t="s">
        <v>2342</v>
      </c>
      <c r="B1683" s="369">
        <v>1680</v>
      </c>
      <c r="C1683" s="358" t="s">
        <v>2458</v>
      </c>
      <c r="D1683" s="358" t="s">
        <v>2459</v>
      </c>
      <c r="E1683" s="373">
        <v>45978</v>
      </c>
      <c r="F1683" s="372" t="s">
        <v>140</v>
      </c>
      <c r="G1683" s="372">
        <v>2</v>
      </c>
      <c r="H1683" s="372" t="s">
        <v>1076</v>
      </c>
      <c r="I1683" s="372"/>
      <c r="J1683" s="372"/>
      <c r="K1683" s="358" t="s">
        <v>113</v>
      </c>
      <c r="L1683" s="358" t="s">
        <v>113</v>
      </c>
      <c r="M1683" s="358" t="s">
        <v>113</v>
      </c>
      <c r="N1683" s="358" t="s">
        <v>113</v>
      </c>
      <c r="O1683" s="380"/>
      <c r="P1683" s="380" t="s">
        <v>1091</v>
      </c>
      <c r="Q1683" s="24">
        <v>46022</v>
      </c>
      <c r="R1683" s="384" t="s">
        <v>67</v>
      </c>
      <c r="S1683" s="358" t="s">
        <v>32</v>
      </c>
      <c r="T1683" s="358">
        <v>2</v>
      </c>
      <c r="U1683" s="24" t="s">
        <v>67</v>
      </c>
      <c r="V1683" s="24">
        <v>46022</v>
      </c>
      <c r="W1683" s="100" t="s">
        <v>113</v>
      </c>
      <c r="X1683" s="100"/>
      <c r="Y1683" s="95"/>
      <c r="Z1683" s="100"/>
      <c r="AA1683" s="100"/>
      <c r="AB1683" s="100"/>
      <c r="AC1683" s="100"/>
      <c r="AD1683" s="100"/>
      <c r="AE1683" s="100"/>
      <c r="AF1683" s="100"/>
      <c r="AG1683" s="100"/>
      <c r="AH1683" s="114"/>
      <c r="AI1683" s="114"/>
      <c r="AJ1683" s="114"/>
      <c r="AK1683" s="111"/>
      <c r="AL1683" s="114" t="s">
        <v>32</v>
      </c>
      <c r="AM1683" s="360"/>
      <c r="AS1683" s="72"/>
      <c r="AT1683" s="96"/>
      <c r="AU1683" s="96"/>
      <c r="AV1683" s="109"/>
    </row>
    <row r="1684" spans="1:48">
      <c r="A1684" s="358" t="s">
        <v>2342</v>
      </c>
      <c r="B1684" s="369">
        <v>1681</v>
      </c>
      <c r="C1684" s="358" t="s">
        <v>2460</v>
      </c>
      <c r="D1684" s="358" t="s">
        <v>992</v>
      </c>
      <c r="E1684" s="373">
        <v>45978</v>
      </c>
      <c r="F1684" s="372" t="s">
        <v>140</v>
      </c>
      <c r="G1684" s="372">
        <v>5</v>
      </c>
      <c r="H1684" s="372" t="s">
        <v>1076</v>
      </c>
      <c r="I1684" s="372"/>
      <c r="J1684" s="102" t="s">
        <v>2455</v>
      </c>
      <c r="K1684" s="358" t="s">
        <v>113</v>
      </c>
      <c r="L1684" s="358" t="s">
        <v>113</v>
      </c>
      <c r="M1684" s="358" t="s">
        <v>113</v>
      </c>
      <c r="N1684" s="358" t="s">
        <v>113</v>
      </c>
      <c r="O1684" s="380"/>
      <c r="P1684" s="380"/>
      <c r="Q1684" s="24"/>
      <c r="R1684" s="384" t="s">
        <v>67</v>
      </c>
      <c r="S1684" s="358" t="s">
        <v>1063</v>
      </c>
      <c r="T1684" s="22">
        <v>5</v>
      </c>
      <c r="U1684" s="24" t="s">
        <v>67</v>
      </c>
      <c r="V1684" s="24"/>
      <c r="W1684" s="100" t="s">
        <v>113</v>
      </c>
      <c r="X1684" s="100"/>
      <c r="Y1684" s="95"/>
      <c r="Z1684" s="100"/>
      <c r="AA1684" s="100"/>
      <c r="AB1684" s="100"/>
      <c r="AC1684" s="100"/>
      <c r="AD1684" s="100"/>
      <c r="AE1684" s="100"/>
      <c r="AF1684" s="100"/>
      <c r="AG1684" s="100"/>
      <c r="AH1684" s="114"/>
      <c r="AI1684" s="114"/>
      <c r="AJ1684" s="114"/>
      <c r="AK1684" s="114"/>
      <c r="AL1684" s="114" t="s">
        <v>32</v>
      </c>
      <c r="AM1684" s="360"/>
      <c r="AO1684" s="412"/>
      <c r="AP1684" s="412"/>
      <c r="AQ1684" s="412"/>
      <c r="AR1684" s="412"/>
      <c r="AV1684" s="109"/>
    </row>
    <row r="1685" spans="1:48">
      <c r="A1685" s="358" t="s">
        <v>2342</v>
      </c>
      <c r="B1685" s="369">
        <v>1682</v>
      </c>
      <c r="C1685" s="358" t="s">
        <v>2461</v>
      </c>
      <c r="D1685" s="358" t="s">
        <v>2462</v>
      </c>
      <c r="E1685" s="373">
        <v>45978</v>
      </c>
      <c r="F1685" s="372" t="s">
        <v>140</v>
      </c>
      <c r="G1685" s="372">
        <v>1</v>
      </c>
      <c r="H1685" s="372" t="s">
        <v>1076</v>
      </c>
      <c r="I1685" s="372"/>
      <c r="J1685" s="102" t="s">
        <v>2455</v>
      </c>
      <c r="K1685" s="358" t="s">
        <v>113</v>
      </c>
      <c r="L1685" s="358" t="s">
        <v>113</v>
      </c>
      <c r="M1685" s="358" t="s">
        <v>113</v>
      </c>
      <c r="N1685" s="358" t="s">
        <v>113</v>
      </c>
      <c r="O1685" s="380"/>
      <c r="P1685" s="380"/>
      <c r="Q1685" s="24"/>
      <c r="R1685" s="384" t="s">
        <v>67</v>
      </c>
      <c r="S1685" s="358" t="s">
        <v>32</v>
      </c>
      <c r="T1685" s="22">
        <v>1</v>
      </c>
      <c r="U1685" s="24" t="s">
        <v>67</v>
      </c>
      <c r="V1685" s="24"/>
      <c r="W1685" s="100" t="s">
        <v>113</v>
      </c>
      <c r="X1685" s="107"/>
      <c r="Y1685" s="107"/>
      <c r="Z1685" s="100"/>
      <c r="AA1685" s="107"/>
      <c r="AB1685" s="100"/>
      <c r="AC1685" s="100"/>
      <c r="AD1685" s="100"/>
      <c r="AE1685" s="100"/>
      <c r="AF1685" s="100"/>
      <c r="AG1685" s="100"/>
      <c r="AH1685" s="114"/>
      <c r="AI1685" s="114"/>
      <c r="AJ1685" s="114"/>
      <c r="AK1685" s="114"/>
      <c r="AL1685" s="114" t="s">
        <v>32</v>
      </c>
      <c r="AM1685" s="360"/>
      <c r="AO1685" s="412"/>
      <c r="AP1685" s="412"/>
      <c r="AQ1685" s="412"/>
      <c r="AR1685" s="412"/>
      <c r="AV1685" s="109"/>
    </row>
    <row r="1686" spans="1:48">
      <c r="A1686" s="358" t="s">
        <v>2342</v>
      </c>
      <c r="B1686" s="369">
        <v>1683</v>
      </c>
      <c r="C1686" s="358" t="s">
        <v>2463</v>
      </c>
      <c r="D1686" s="358" t="s">
        <v>779</v>
      </c>
      <c r="E1686" s="373">
        <v>45978</v>
      </c>
      <c r="F1686" s="372" t="s">
        <v>140</v>
      </c>
      <c r="G1686" s="372">
        <v>117</v>
      </c>
      <c r="H1686" s="372" t="s">
        <v>1076</v>
      </c>
      <c r="I1686" s="372"/>
      <c r="J1686" s="102" t="s">
        <v>2455</v>
      </c>
      <c r="K1686" s="358" t="s">
        <v>113</v>
      </c>
      <c r="L1686" s="358" t="s">
        <v>113</v>
      </c>
      <c r="M1686" s="358" t="s">
        <v>113</v>
      </c>
      <c r="N1686" s="358" t="s">
        <v>113</v>
      </c>
      <c r="O1686" s="117" t="s">
        <v>30</v>
      </c>
      <c r="P1686" s="380"/>
      <c r="Q1686" s="24"/>
      <c r="R1686" s="384" t="s">
        <v>67</v>
      </c>
      <c r="S1686" s="358" t="s">
        <v>1063</v>
      </c>
      <c r="T1686" s="22">
        <v>117</v>
      </c>
      <c r="U1686" s="24" t="s">
        <v>67</v>
      </c>
      <c r="V1686" s="24"/>
      <c r="W1686" s="100" t="s">
        <v>113</v>
      </c>
      <c r="X1686" s="100"/>
      <c r="Y1686" s="100"/>
      <c r="Z1686" s="100"/>
      <c r="AA1686" s="107"/>
      <c r="AB1686" s="100"/>
      <c r="AC1686" s="100"/>
      <c r="AD1686" s="100"/>
      <c r="AE1686" s="100"/>
      <c r="AF1686" s="100"/>
      <c r="AG1686" s="100"/>
      <c r="AH1686" s="114"/>
      <c r="AI1686" s="114"/>
      <c r="AJ1686" s="114"/>
      <c r="AK1686" s="111"/>
      <c r="AL1686" s="114" t="s">
        <v>32</v>
      </c>
      <c r="AM1686" s="360"/>
      <c r="AN1686" s="6">
        <v>0</v>
      </c>
      <c r="AO1686" s="6">
        <v>0</v>
      </c>
      <c r="AP1686" s="6">
        <v>0</v>
      </c>
      <c r="AQ1686" s="6">
        <v>117</v>
      </c>
      <c r="AR1686" s="6">
        <f>SUM(AN1686:AQ1686)</f>
        <v>117</v>
      </c>
      <c r="AS1686" s="108">
        <f>+AN1686/AR1686*AS$1</f>
        <v>0</v>
      </c>
      <c r="AT1686" s="109">
        <f>+AO1686/AR1686*AT$1</f>
        <v>0</v>
      </c>
      <c r="AU1686" s="109">
        <f>+AP1686/AR1686*AU$1</f>
        <v>0</v>
      </c>
      <c r="AV1686" s="109">
        <f>+AQ1686/AR1686*AV$1</f>
        <v>0</v>
      </c>
    </row>
    <row r="1687" spans="1:48">
      <c r="A1687" s="358" t="s">
        <v>2342</v>
      </c>
      <c r="B1687" s="369">
        <v>1684</v>
      </c>
      <c r="C1687" s="358" t="s">
        <v>2464</v>
      </c>
      <c r="D1687" s="358" t="s">
        <v>1245</v>
      </c>
      <c r="E1687" s="373">
        <v>45978</v>
      </c>
      <c r="F1687" s="372" t="s">
        <v>140</v>
      </c>
      <c r="G1687" s="372">
        <v>7</v>
      </c>
      <c r="H1687" s="372" t="s">
        <v>1076</v>
      </c>
      <c r="I1687" s="372"/>
      <c r="J1687" s="102" t="s">
        <v>2455</v>
      </c>
      <c r="K1687" s="358" t="s">
        <v>113</v>
      </c>
      <c r="L1687" s="358" t="s">
        <v>113</v>
      </c>
      <c r="M1687" s="358" t="s">
        <v>113</v>
      </c>
      <c r="N1687" s="358" t="s">
        <v>113</v>
      </c>
      <c r="O1687" s="380"/>
      <c r="P1687" s="380"/>
      <c r="Q1687" s="24"/>
      <c r="R1687" s="384" t="s">
        <v>67</v>
      </c>
      <c r="S1687" s="358" t="s">
        <v>32</v>
      </c>
      <c r="T1687" s="22">
        <v>7</v>
      </c>
      <c r="U1687" s="24" t="s">
        <v>67</v>
      </c>
      <c r="V1687" s="24"/>
      <c r="W1687" s="100" t="s">
        <v>113</v>
      </c>
      <c r="X1687" s="107"/>
      <c r="Y1687" s="107"/>
      <c r="Z1687" s="100"/>
      <c r="AA1687" s="100"/>
      <c r="AB1687" s="100"/>
      <c r="AC1687" s="100"/>
      <c r="AD1687" s="100"/>
      <c r="AE1687" s="100"/>
      <c r="AF1687" s="100"/>
      <c r="AG1687" s="100"/>
      <c r="AH1687" s="114"/>
      <c r="AI1687" s="114"/>
      <c r="AJ1687" s="114"/>
      <c r="AK1687" s="114"/>
      <c r="AL1687" s="114" t="s">
        <v>32</v>
      </c>
      <c r="AM1687" s="360"/>
      <c r="AV1687" s="109"/>
    </row>
    <row r="1688" spans="1:48">
      <c r="A1688" s="358" t="s">
        <v>2342</v>
      </c>
      <c r="B1688" s="369">
        <v>1685</v>
      </c>
      <c r="C1688" s="358" t="s">
        <v>2465</v>
      </c>
      <c r="D1688" s="358" t="s">
        <v>1516</v>
      </c>
      <c r="E1688" s="373">
        <v>45978</v>
      </c>
      <c r="F1688" s="372" t="s">
        <v>140</v>
      </c>
      <c r="G1688" s="372">
        <v>350</v>
      </c>
      <c r="H1688" s="372" t="s">
        <v>1076</v>
      </c>
      <c r="I1688" s="372"/>
      <c r="J1688" s="102" t="s">
        <v>2455</v>
      </c>
      <c r="K1688" s="358" t="s">
        <v>113</v>
      </c>
      <c r="L1688" s="358" t="s">
        <v>113</v>
      </c>
      <c r="M1688" s="358" t="s">
        <v>113</v>
      </c>
      <c r="N1688" s="358" t="s">
        <v>113</v>
      </c>
      <c r="O1688" s="117" t="s">
        <v>30</v>
      </c>
      <c r="P1688" s="380"/>
      <c r="Q1688" s="24"/>
      <c r="R1688" s="384" t="s">
        <v>67</v>
      </c>
      <c r="S1688" s="358" t="s">
        <v>1063</v>
      </c>
      <c r="T1688" s="22">
        <v>353</v>
      </c>
      <c r="U1688" s="24" t="s">
        <v>67</v>
      </c>
      <c r="V1688" s="24"/>
      <c r="W1688" s="100" t="s">
        <v>113</v>
      </c>
      <c r="X1688" s="100"/>
      <c r="Y1688" s="95"/>
      <c r="Z1688" s="95"/>
      <c r="AA1688" s="95"/>
      <c r="AB1688" s="95"/>
      <c r="AC1688" s="100"/>
      <c r="AD1688" s="100"/>
      <c r="AE1688" s="100"/>
      <c r="AF1688" s="100"/>
      <c r="AG1688" s="100"/>
      <c r="AH1688" s="114"/>
      <c r="AI1688" s="111"/>
      <c r="AJ1688" s="111"/>
      <c r="AK1688" s="111"/>
      <c r="AL1688" s="114" t="s">
        <v>32</v>
      </c>
      <c r="AM1688" s="360"/>
      <c r="AN1688" s="6">
        <v>0</v>
      </c>
      <c r="AO1688" s="6">
        <v>350</v>
      </c>
      <c r="AP1688" s="6">
        <v>0</v>
      </c>
      <c r="AQ1688" s="6">
        <v>0</v>
      </c>
      <c r="AR1688" s="6">
        <f>SUM(AN1688:AQ1688)</f>
        <v>350</v>
      </c>
      <c r="AS1688" s="108">
        <f>+AN1688/AR1688*AS$1</f>
        <v>0</v>
      </c>
      <c r="AT1688" s="109">
        <f>+AO1688/AR1688*AT$1</f>
        <v>0</v>
      </c>
      <c r="AU1688" s="109">
        <f>+AP1688/AR1688*AU$1</f>
        <v>0</v>
      </c>
      <c r="AV1688" s="109">
        <f>+AQ1688/AR1688*AV$1</f>
        <v>0</v>
      </c>
    </row>
    <row r="1689" spans="1:48">
      <c r="A1689" s="358" t="s">
        <v>2342</v>
      </c>
      <c r="B1689" s="369">
        <v>1686</v>
      </c>
      <c r="C1689" s="358" t="s">
        <v>2466</v>
      </c>
      <c r="D1689" s="358" t="s">
        <v>2467</v>
      </c>
      <c r="E1689" s="373">
        <v>45985</v>
      </c>
      <c r="F1689" s="372" t="s">
        <v>140</v>
      </c>
      <c r="G1689" s="372">
        <v>6</v>
      </c>
      <c r="H1689" s="372" t="s">
        <v>2468</v>
      </c>
      <c r="I1689" s="372"/>
      <c r="J1689" s="372"/>
      <c r="K1689" s="358" t="s">
        <v>113</v>
      </c>
      <c r="L1689" s="358" t="s">
        <v>113</v>
      </c>
      <c r="M1689" s="358" t="s">
        <v>113</v>
      </c>
      <c r="N1689" s="358" t="s">
        <v>113</v>
      </c>
      <c r="O1689" s="117"/>
      <c r="P1689" s="380" t="s">
        <v>1091</v>
      </c>
      <c r="Q1689" s="24">
        <v>46022</v>
      </c>
      <c r="R1689" s="384" t="s">
        <v>67</v>
      </c>
      <c r="S1689" s="358" t="s">
        <v>32</v>
      </c>
      <c r="T1689" s="22">
        <v>6</v>
      </c>
      <c r="U1689" s="24" t="s">
        <v>67</v>
      </c>
      <c r="V1689" s="24">
        <v>46022</v>
      </c>
      <c r="W1689" s="100" t="s">
        <v>113</v>
      </c>
      <c r="X1689" s="100"/>
      <c r="Y1689" s="95"/>
      <c r="Z1689" s="100"/>
      <c r="AA1689" s="100"/>
      <c r="AB1689" s="100"/>
      <c r="AC1689" s="100"/>
      <c r="AD1689" s="100"/>
      <c r="AE1689" s="100"/>
      <c r="AF1689" s="100"/>
      <c r="AG1689" s="100"/>
      <c r="AH1689" s="114"/>
      <c r="AI1689" s="114"/>
      <c r="AJ1689" s="114"/>
      <c r="AK1689" s="114"/>
      <c r="AL1689" s="114" t="s">
        <v>32</v>
      </c>
      <c r="AM1689" s="360"/>
      <c r="AV1689" s="109"/>
    </row>
    <row r="1690" spans="1:48">
      <c r="A1690" s="358" t="s">
        <v>2342</v>
      </c>
      <c r="B1690" s="369">
        <v>1687</v>
      </c>
      <c r="C1690" s="358" t="s">
        <v>2469</v>
      </c>
      <c r="D1690" s="358" t="s">
        <v>1029</v>
      </c>
      <c r="E1690" s="373">
        <v>45985.041666666664</v>
      </c>
      <c r="F1690" s="372" t="s">
        <v>140</v>
      </c>
      <c r="G1690" s="372">
        <v>1</v>
      </c>
      <c r="H1690" s="372" t="s">
        <v>127</v>
      </c>
      <c r="I1690" s="372"/>
      <c r="J1690" s="372"/>
      <c r="K1690" s="358" t="s">
        <v>113</v>
      </c>
      <c r="L1690" s="358" t="s">
        <v>113</v>
      </c>
      <c r="M1690" s="358" t="s">
        <v>113</v>
      </c>
      <c r="N1690" s="358" t="s">
        <v>113</v>
      </c>
      <c r="O1690" s="380"/>
      <c r="P1690" s="380" t="s">
        <v>1091</v>
      </c>
      <c r="Q1690" s="24">
        <v>46022</v>
      </c>
      <c r="R1690" s="384" t="s">
        <v>67</v>
      </c>
      <c r="S1690" s="358" t="s">
        <v>32</v>
      </c>
      <c r="T1690" s="22">
        <v>1</v>
      </c>
      <c r="U1690" s="24" t="s">
        <v>67</v>
      </c>
      <c r="V1690" s="24">
        <v>46022</v>
      </c>
      <c r="W1690" s="100" t="s">
        <v>113</v>
      </c>
      <c r="X1690" s="100"/>
      <c r="Y1690" s="95"/>
      <c r="Z1690" s="100"/>
      <c r="AA1690" s="100"/>
      <c r="AB1690" s="100"/>
      <c r="AC1690" s="100"/>
      <c r="AD1690" s="100"/>
      <c r="AE1690" s="100"/>
      <c r="AF1690" s="100"/>
      <c r="AG1690" s="100"/>
      <c r="AH1690" s="114"/>
      <c r="AI1690" s="114"/>
      <c r="AJ1690" s="114"/>
      <c r="AK1690" s="114"/>
      <c r="AL1690" s="114" t="s">
        <v>32</v>
      </c>
      <c r="AM1690" s="360"/>
      <c r="AN1690" s="91"/>
      <c r="AO1690" s="91"/>
      <c r="AS1690" s="72"/>
      <c r="AT1690" s="96"/>
      <c r="AU1690" s="96"/>
      <c r="AV1690" s="109"/>
    </row>
    <row r="1691" spans="1:48">
      <c r="A1691" s="358" t="s">
        <v>2342</v>
      </c>
      <c r="B1691" s="369">
        <v>1688</v>
      </c>
      <c r="C1691" s="358" t="s">
        <v>2470</v>
      </c>
      <c r="D1691" s="358" t="s">
        <v>2471</v>
      </c>
      <c r="E1691" s="373">
        <v>45985.041666666664</v>
      </c>
      <c r="F1691" s="372" t="s">
        <v>140</v>
      </c>
      <c r="G1691" s="372">
        <v>4</v>
      </c>
      <c r="H1691" s="372" t="s">
        <v>127</v>
      </c>
      <c r="I1691" s="372"/>
      <c r="J1691" s="102"/>
      <c r="K1691" s="358" t="s">
        <v>113</v>
      </c>
      <c r="L1691" s="358" t="s">
        <v>113</v>
      </c>
      <c r="M1691" s="358" t="s">
        <v>113</v>
      </c>
      <c r="N1691" s="358" t="s">
        <v>113</v>
      </c>
      <c r="O1691" s="117"/>
      <c r="P1691" s="380" t="s">
        <v>1091</v>
      </c>
      <c r="Q1691" s="24" t="s">
        <v>2472</v>
      </c>
      <c r="R1691" s="384" t="s">
        <v>67</v>
      </c>
      <c r="S1691" s="358" t="s">
        <v>32</v>
      </c>
      <c r="T1691" s="22">
        <v>4</v>
      </c>
      <c r="U1691" s="24" t="s">
        <v>67</v>
      </c>
      <c r="V1691" s="24">
        <v>46024</v>
      </c>
      <c r="W1691" s="100" t="s">
        <v>113</v>
      </c>
      <c r="X1691" s="100"/>
      <c r="Y1691" s="95"/>
      <c r="Z1691" s="94"/>
      <c r="AA1691" s="94"/>
      <c r="AB1691" s="94"/>
      <c r="AC1691" s="100"/>
      <c r="AD1691" s="100"/>
      <c r="AE1691" s="100"/>
      <c r="AF1691" s="100"/>
      <c r="AG1691" s="100"/>
      <c r="AH1691" s="114"/>
      <c r="AI1691" s="114"/>
      <c r="AJ1691" s="114"/>
      <c r="AK1691" s="111"/>
      <c r="AL1691" s="114" t="s">
        <v>32</v>
      </c>
      <c r="AM1691" s="360"/>
      <c r="AN1691" s="91"/>
      <c r="AO1691" s="91"/>
      <c r="AS1691" s="72"/>
      <c r="AT1691" s="96"/>
      <c r="AU1691" s="96"/>
      <c r="AV1691" s="109"/>
    </row>
    <row r="1692" spans="1:48">
      <c r="A1692" s="358" t="s">
        <v>2342</v>
      </c>
      <c r="B1692" s="369">
        <v>1689</v>
      </c>
      <c r="C1692" s="358" t="s">
        <v>2473</v>
      </c>
      <c r="D1692" s="358" t="s">
        <v>1042</v>
      </c>
      <c r="E1692" s="373">
        <v>45978</v>
      </c>
      <c r="F1692" s="372" t="s">
        <v>140</v>
      </c>
      <c r="G1692" s="372">
        <v>2</v>
      </c>
      <c r="H1692" s="372" t="s">
        <v>1077</v>
      </c>
      <c r="I1692" s="372"/>
      <c r="J1692" s="372"/>
      <c r="K1692" s="358" t="s">
        <v>113</v>
      </c>
      <c r="L1692" s="358" t="s">
        <v>113</v>
      </c>
      <c r="M1692" s="358" t="s">
        <v>113</v>
      </c>
      <c r="N1692" s="358" t="s">
        <v>113</v>
      </c>
      <c r="O1692" s="358"/>
      <c r="P1692" s="254" t="s">
        <v>1091</v>
      </c>
      <c r="Q1692" s="24">
        <v>46024</v>
      </c>
      <c r="R1692" s="24" t="s">
        <v>67</v>
      </c>
      <c r="S1692" s="22" t="s">
        <v>32</v>
      </c>
      <c r="T1692" s="22">
        <v>4</v>
      </c>
      <c r="U1692" s="24" t="s">
        <v>67</v>
      </c>
      <c r="V1692" s="24">
        <v>46024</v>
      </c>
      <c r="W1692" s="100" t="s">
        <v>113</v>
      </c>
      <c r="X1692" s="100"/>
      <c r="Y1692" s="95"/>
      <c r="Z1692" s="94"/>
      <c r="AA1692" s="94"/>
      <c r="AB1692" s="94"/>
      <c r="AC1692" s="100"/>
      <c r="AD1692" s="100"/>
      <c r="AE1692" s="100"/>
      <c r="AF1692" s="100"/>
      <c r="AG1692" s="100"/>
      <c r="AH1692" s="114"/>
      <c r="AI1692" s="114"/>
      <c r="AJ1692" s="114"/>
      <c r="AK1692" s="114"/>
      <c r="AL1692" s="114" t="s">
        <v>32</v>
      </c>
      <c r="AM1692" s="360"/>
      <c r="AV1692" s="109"/>
    </row>
    <row r="1693" spans="1:48">
      <c r="A1693" s="358" t="s">
        <v>2342</v>
      </c>
      <c r="B1693" s="369">
        <v>1690</v>
      </c>
      <c r="C1693" s="358" t="s">
        <v>2474</v>
      </c>
      <c r="D1693" s="358" t="s">
        <v>1042</v>
      </c>
      <c r="E1693" s="373">
        <v>45978.166666666664</v>
      </c>
      <c r="F1693" s="372" t="s">
        <v>140</v>
      </c>
      <c r="G1693" s="372">
        <v>3</v>
      </c>
      <c r="H1693" s="372" t="s">
        <v>1076</v>
      </c>
      <c r="I1693" s="372"/>
      <c r="J1693" s="372"/>
      <c r="K1693" s="358" t="s">
        <v>113</v>
      </c>
      <c r="L1693" s="358" t="s">
        <v>113</v>
      </c>
      <c r="M1693" s="358" t="s">
        <v>113</v>
      </c>
      <c r="N1693" s="358" t="s">
        <v>113</v>
      </c>
      <c r="O1693" s="380"/>
      <c r="P1693" s="380"/>
      <c r="Q1693" s="24"/>
      <c r="R1693" s="81"/>
      <c r="S1693" s="22"/>
      <c r="T1693" s="22"/>
      <c r="U1693" s="24"/>
      <c r="V1693" s="24"/>
      <c r="W1693" s="100" t="s">
        <v>113</v>
      </c>
      <c r="X1693" s="107"/>
      <c r="Y1693" s="107"/>
      <c r="Z1693" s="100"/>
      <c r="AA1693" s="100"/>
      <c r="AB1693" s="100"/>
      <c r="AC1693" s="100"/>
      <c r="AD1693" s="100"/>
      <c r="AE1693" s="100"/>
      <c r="AF1693" s="100"/>
      <c r="AG1693" s="100"/>
      <c r="AH1693" s="114"/>
      <c r="AI1693" s="114"/>
      <c r="AJ1693" s="114"/>
      <c r="AK1693" s="114"/>
      <c r="AL1693" s="114" t="s">
        <v>32</v>
      </c>
      <c r="AM1693" s="360"/>
      <c r="AR1693" s="88"/>
      <c r="AS1693" s="72"/>
      <c r="AT1693" s="72"/>
      <c r="AU1693" s="72"/>
      <c r="AV1693" s="109"/>
    </row>
    <row r="1694" spans="1:48">
      <c r="A1694" s="358" t="s">
        <v>2342</v>
      </c>
      <c r="B1694" s="369">
        <v>1691</v>
      </c>
      <c r="C1694" s="358" t="s">
        <v>2475</v>
      </c>
      <c r="D1694" s="358" t="s">
        <v>1198</v>
      </c>
      <c r="E1694" s="373">
        <v>45964</v>
      </c>
      <c r="F1694" s="372" t="s">
        <v>140</v>
      </c>
      <c r="G1694" s="372">
        <v>7</v>
      </c>
      <c r="H1694" s="372" t="s">
        <v>127</v>
      </c>
      <c r="I1694" s="372"/>
      <c r="J1694" s="372"/>
      <c r="K1694" s="358" t="s">
        <v>113</v>
      </c>
      <c r="L1694" s="358" t="s">
        <v>113</v>
      </c>
      <c r="M1694" s="358" t="s">
        <v>113</v>
      </c>
      <c r="N1694" s="358" t="s">
        <v>113</v>
      </c>
      <c r="O1694" s="380"/>
      <c r="P1694" s="380" t="s">
        <v>1091</v>
      </c>
      <c r="Q1694" s="24">
        <v>46026</v>
      </c>
      <c r="R1694" s="384" t="s">
        <v>67</v>
      </c>
      <c r="S1694" s="358" t="s">
        <v>32</v>
      </c>
      <c r="T1694" s="22">
        <v>7</v>
      </c>
      <c r="U1694" s="24" t="s">
        <v>67</v>
      </c>
      <c r="V1694" s="24">
        <v>46026</v>
      </c>
      <c r="W1694" s="100" t="s">
        <v>113</v>
      </c>
      <c r="X1694" s="100"/>
      <c r="Y1694" s="95"/>
      <c r="Z1694" s="100"/>
      <c r="AA1694" s="100"/>
      <c r="AB1694" s="100"/>
      <c r="AC1694" s="100"/>
      <c r="AD1694" s="100"/>
      <c r="AE1694" s="100"/>
      <c r="AF1694" s="100"/>
      <c r="AG1694" s="100"/>
      <c r="AH1694" s="114"/>
      <c r="AI1694" s="114"/>
      <c r="AJ1694" s="114"/>
      <c r="AK1694" s="114"/>
      <c r="AL1694" s="114" t="s">
        <v>32</v>
      </c>
      <c r="AM1694" s="360"/>
      <c r="AV1694" s="109"/>
    </row>
    <row r="1695" spans="1:48">
      <c r="A1695" s="358" t="s">
        <v>2342</v>
      </c>
      <c r="B1695" s="369">
        <v>1692</v>
      </c>
      <c r="C1695" s="358" t="s">
        <v>2476</v>
      </c>
      <c r="D1695" s="358" t="s">
        <v>2477</v>
      </c>
      <c r="E1695" s="373">
        <v>45964.083333333336</v>
      </c>
      <c r="F1695" s="372" t="s">
        <v>140</v>
      </c>
      <c r="G1695" s="372">
        <v>59</v>
      </c>
      <c r="H1695" s="372" t="s">
        <v>1811</v>
      </c>
      <c r="I1695" s="372"/>
      <c r="J1695" s="372"/>
      <c r="K1695" s="358" t="s">
        <v>113</v>
      </c>
      <c r="L1695" s="358" t="s">
        <v>113</v>
      </c>
      <c r="M1695" s="358" t="s">
        <v>113</v>
      </c>
      <c r="N1695" s="358" t="s">
        <v>113</v>
      </c>
      <c r="O1695" s="117" t="s">
        <v>30</v>
      </c>
      <c r="P1695" s="380" t="s">
        <v>1091</v>
      </c>
      <c r="Q1695" s="24">
        <v>46026</v>
      </c>
      <c r="R1695" s="384" t="s">
        <v>67</v>
      </c>
      <c r="S1695" s="358" t="s">
        <v>32</v>
      </c>
      <c r="T1695" s="22">
        <v>59</v>
      </c>
      <c r="U1695" s="24" t="s">
        <v>67</v>
      </c>
      <c r="V1695" s="24">
        <v>46026</v>
      </c>
      <c r="W1695" s="100" t="s">
        <v>113</v>
      </c>
      <c r="X1695" s="107"/>
      <c r="Y1695" s="107"/>
      <c r="Z1695" s="100"/>
      <c r="AA1695" s="100"/>
      <c r="AB1695" s="100"/>
      <c r="AC1695" s="100"/>
      <c r="AD1695" s="100"/>
      <c r="AE1695" s="100"/>
      <c r="AF1695" s="100"/>
      <c r="AG1695" s="100"/>
      <c r="AH1695" s="114"/>
      <c r="AI1695" s="114"/>
      <c r="AJ1695" s="114"/>
      <c r="AK1695" s="114"/>
      <c r="AL1695" s="114" t="s">
        <v>32</v>
      </c>
      <c r="AM1695" s="360"/>
      <c r="AN1695" s="6">
        <v>16</v>
      </c>
      <c r="AO1695" s="6">
        <v>0</v>
      </c>
      <c r="AP1695" s="6">
        <v>16</v>
      </c>
      <c r="AQ1695" s="6">
        <v>27</v>
      </c>
      <c r="AR1695" s="6">
        <f>SUM(AN1695:AQ1695)</f>
        <v>59</v>
      </c>
      <c r="AS1695" s="108">
        <f>+AN1695/AR1695*AS$1</f>
        <v>0</v>
      </c>
      <c r="AT1695" s="109">
        <f>+AO1695/AR1695*AT$1</f>
        <v>0</v>
      </c>
      <c r="AU1695" s="109">
        <f>+AP1695/AR1695*AU$1</f>
        <v>0</v>
      </c>
      <c r="AV1695" s="109">
        <f>+AQ1695/AR1695*AV$1</f>
        <v>0</v>
      </c>
    </row>
    <row r="1696" spans="1:48">
      <c r="A1696" s="358" t="s">
        <v>2342</v>
      </c>
      <c r="B1696" s="369">
        <v>1693</v>
      </c>
      <c r="C1696" s="358" t="s">
        <v>2478</v>
      </c>
      <c r="D1696" s="358" t="s">
        <v>347</v>
      </c>
      <c r="E1696" s="373">
        <v>45964.041666666664</v>
      </c>
      <c r="F1696" s="372" t="s">
        <v>140</v>
      </c>
      <c r="G1696" s="372">
        <v>18</v>
      </c>
      <c r="H1696" s="372" t="s">
        <v>1799</v>
      </c>
      <c r="I1696" s="372"/>
      <c r="J1696" s="102" t="s">
        <v>2479</v>
      </c>
      <c r="K1696" s="358" t="s">
        <v>113</v>
      </c>
      <c r="L1696" s="358" t="s">
        <v>113</v>
      </c>
      <c r="M1696" s="358" t="s">
        <v>113</v>
      </c>
      <c r="N1696" s="358" t="s">
        <v>113</v>
      </c>
      <c r="O1696" s="117" t="s">
        <v>30</v>
      </c>
      <c r="P1696" s="380"/>
      <c r="Q1696" s="24"/>
      <c r="R1696" s="81"/>
      <c r="S1696" s="22"/>
      <c r="T1696" s="22"/>
      <c r="U1696" s="24"/>
      <c r="V1696" s="24"/>
      <c r="W1696" s="100" t="s">
        <v>113</v>
      </c>
      <c r="X1696" s="100"/>
      <c r="Y1696" s="95"/>
      <c r="Z1696" s="100"/>
      <c r="AA1696" s="100"/>
      <c r="AB1696" s="100"/>
      <c r="AC1696" s="100"/>
      <c r="AD1696" s="100"/>
      <c r="AE1696" s="100"/>
      <c r="AF1696" s="100"/>
      <c r="AG1696" s="100"/>
      <c r="AH1696" s="114"/>
      <c r="AI1696" s="114"/>
      <c r="AJ1696" s="114"/>
      <c r="AK1696" s="114"/>
      <c r="AL1696" s="114" t="s">
        <v>32</v>
      </c>
      <c r="AM1696" s="360"/>
      <c r="AN1696" s="6">
        <v>16</v>
      </c>
      <c r="AO1696" s="6">
        <v>0</v>
      </c>
      <c r="AP1696" s="6">
        <v>0</v>
      </c>
      <c r="AQ1696" s="6">
        <v>2</v>
      </c>
      <c r="AR1696" s="6">
        <f>SUM(AN1696:AQ1696)</f>
        <v>18</v>
      </c>
      <c r="AS1696" s="108">
        <f>+AN1696/AR1696*AS$1</f>
        <v>0</v>
      </c>
      <c r="AT1696" s="109">
        <f>+AO1696/AR1696*AT$1</f>
        <v>0</v>
      </c>
      <c r="AU1696" s="109">
        <f>+AP1696/AR1696*AU$1</f>
        <v>0</v>
      </c>
      <c r="AV1696" s="109">
        <f>+AQ1696/AR1696*AV$1</f>
        <v>0</v>
      </c>
    </row>
    <row r="1697" spans="1:48">
      <c r="A1697" s="358" t="s">
        <v>2342</v>
      </c>
      <c r="B1697" s="369">
        <v>1694</v>
      </c>
      <c r="C1697" s="358" t="s">
        <v>2480</v>
      </c>
      <c r="D1697" s="358" t="s">
        <v>941</v>
      </c>
      <c r="E1697" s="373">
        <v>45964.041666666664</v>
      </c>
      <c r="F1697" s="372" t="s">
        <v>140</v>
      </c>
      <c r="G1697" s="372">
        <v>10</v>
      </c>
      <c r="H1697" s="372" t="s">
        <v>1811</v>
      </c>
      <c r="I1697" s="372"/>
      <c r="J1697" s="372"/>
      <c r="K1697" s="358" t="s">
        <v>113</v>
      </c>
      <c r="L1697" s="358" t="s">
        <v>113</v>
      </c>
      <c r="M1697" s="358" t="s">
        <v>113</v>
      </c>
      <c r="N1697" s="358" t="s">
        <v>113</v>
      </c>
      <c r="O1697" s="117"/>
      <c r="P1697" s="380" t="s">
        <v>1091</v>
      </c>
      <c r="Q1697" s="24">
        <v>46026</v>
      </c>
      <c r="R1697" s="384" t="s">
        <v>67</v>
      </c>
      <c r="S1697" s="358" t="s">
        <v>32</v>
      </c>
      <c r="T1697" s="22">
        <v>3</v>
      </c>
      <c r="U1697" s="24" t="s">
        <v>67</v>
      </c>
      <c r="V1697" s="24">
        <v>46026</v>
      </c>
      <c r="W1697" s="100" t="s">
        <v>113</v>
      </c>
      <c r="X1697" s="100"/>
      <c r="Y1697" s="95"/>
      <c r="Z1697" s="95"/>
      <c r="AA1697" s="95"/>
      <c r="AB1697" s="100"/>
      <c r="AC1697" s="100"/>
      <c r="AD1697" s="100"/>
      <c r="AE1697" s="100"/>
      <c r="AF1697" s="100"/>
      <c r="AG1697" s="100"/>
      <c r="AH1697" s="114"/>
      <c r="AI1697" s="114"/>
      <c r="AJ1697" s="114"/>
      <c r="AK1697" s="100"/>
      <c r="AL1697" s="114" t="s">
        <v>32</v>
      </c>
      <c r="AM1697" s="360"/>
      <c r="AO1697" s="412"/>
      <c r="AP1697" s="412"/>
      <c r="AQ1697" s="412"/>
      <c r="AR1697" s="412"/>
      <c r="AV1697" s="109"/>
    </row>
    <row r="1698" spans="1:48">
      <c r="A1698" s="358" t="s">
        <v>2342</v>
      </c>
      <c r="B1698" s="369">
        <v>1695</v>
      </c>
      <c r="C1698" s="358" t="s">
        <v>2481</v>
      </c>
      <c r="D1698" s="358" t="s">
        <v>1250</v>
      </c>
      <c r="E1698" s="373">
        <v>45964</v>
      </c>
      <c r="F1698" s="372" t="s">
        <v>140</v>
      </c>
      <c r="G1698" s="372">
        <v>43</v>
      </c>
      <c r="H1698" s="372" t="s">
        <v>1721</v>
      </c>
      <c r="I1698" s="372"/>
      <c r="J1698" s="372"/>
      <c r="K1698" s="358" t="s">
        <v>113</v>
      </c>
      <c r="L1698" s="358" t="s">
        <v>113</v>
      </c>
      <c r="M1698" s="358" t="s">
        <v>113</v>
      </c>
      <c r="N1698" s="358" t="s">
        <v>113</v>
      </c>
      <c r="O1698" s="117" t="s">
        <v>30</v>
      </c>
      <c r="P1698" s="380" t="s">
        <v>1091</v>
      </c>
      <c r="Q1698" s="24">
        <v>46026</v>
      </c>
      <c r="R1698" s="384" t="s">
        <v>67</v>
      </c>
      <c r="S1698" s="358" t="s">
        <v>32</v>
      </c>
      <c r="T1698" s="22">
        <v>43</v>
      </c>
      <c r="U1698" s="24" t="s">
        <v>67</v>
      </c>
      <c r="V1698" s="24">
        <v>46026</v>
      </c>
      <c r="W1698" s="100" t="s">
        <v>113</v>
      </c>
      <c r="X1698" s="100"/>
      <c r="Y1698" s="95"/>
      <c r="Z1698" s="95"/>
      <c r="AA1698" s="95"/>
      <c r="AB1698" s="95"/>
      <c r="AC1698" s="100"/>
      <c r="AD1698" s="100"/>
      <c r="AE1698" s="100"/>
      <c r="AF1698" s="100"/>
      <c r="AG1698" s="100"/>
      <c r="AH1698" s="114"/>
      <c r="AI1698" s="100"/>
      <c r="AJ1698" s="100"/>
      <c r="AK1698" s="100"/>
      <c r="AL1698" s="114" t="s">
        <v>32</v>
      </c>
      <c r="AM1698" s="360"/>
      <c r="AN1698" s="6">
        <v>0</v>
      </c>
      <c r="AO1698" s="6">
        <v>0</v>
      </c>
      <c r="AP1698" s="6">
        <v>43</v>
      </c>
      <c r="AQ1698" s="6">
        <v>0</v>
      </c>
      <c r="AR1698" s="6">
        <f>SUM(AN1698:AQ1698)</f>
        <v>43</v>
      </c>
      <c r="AS1698" s="108">
        <f>+AN1698/AR1698*AS$1</f>
        <v>0</v>
      </c>
      <c r="AT1698" s="109">
        <f>+AO1698/AR1698*AT$1</f>
        <v>0</v>
      </c>
      <c r="AU1698" s="109">
        <f>+AP1698/AR1698*AU$1</f>
        <v>0</v>
      </c>
      <c r="AV1698" s="109">
        <f>+AQ1698/AR1698*AV$1</f>
        <v>0</v>
      </c>
    </row>
    <row r="1699" spans="1:48">
      <c r="A1699" s="358" t="s">
        <v>2342</v>
      </c>
      <c r="B1699" s="369">
        <v>1696</v>
      </c>
      <c r="C1699" s="358" t="s">
        <v>2482</v>
      </c>
      <c r="D1699" s="358" t="s">
        <v>1403</v>
      </c>
      <c r="E1699" s="373">
        <v>45964.375</v>
      </c>
      <c r="F1699" s="372" t="s">
        <v>140</v>
      </c>
      <c r="G1699" s="372">
        <v>6</v>
      </c>
      <c r="H1699" s="372" t="s">
        <v>1721</v>
      </c>
      <c r="I1699" s="372"/>
      <c r="J1699" s="372"/>
      <c r="K1699" s="358" t="s">
        <v>113</v>
      </c>
      <c r="L1699" s="358" t="s">
        <v>113</v>
      </c>
      <c r="M1699" s="358" t="s">
        <v>113</v>
      </c>
      <c r="N1699" s="358" t="s">
        <v>113</v>
      </c>
      <c r="O1699" s="117"/>
      <c r="P1699" s="380" t="s">
        <v>1091</v>
      </c>
      <c r="Q1699" s="24">
        <v>46026</v>
      </c>
      <c r="R1699" s="384" t="s">
        <v>67</v>
      </c>
      <c r="S1699" s="358" t="s">
        <v>32</v>
      </c>
      <c r="T1699" s="22">
        <v>6</v>
      </c>
      <c r="U1699" s="24" t="s">
        <v>67</v>
      </c>
      <c r="V1699" s="24">
        <v>46026</v>
      </c>
      <c r="W1699" s="100" t="s">
        <v>113</v>
      </c>
      <c r="X1699" s="100"/>
      <c r="Y1699" s="95"/>
      <c r="Z1699" s="100"/>
      <c r="AA1699" s="100"/>
      <c r="AB1699" s="100"/>
      <c r="AC1699" s="100"/>
      <c r="AD1699" s="100"/>
      <c r="AE1699" s="100"/>
      <c r="AF1699" s="100"/>
      <c r="AG1699" s="100"/>
      <c r="AH1699" s="114"/>
      <c r="AI1699" s="100"/>
      <c r="AJ1699" s="100"/>
      <c r="AK1699" s="100"/>
      <c r="AL1699" s="114" t="s">
        <v>32</v>
      </c>
      <c r="AM1699" s="360"/>
      <c r="AO1699" s="412"/>
      <c r="AP1699" s="412"/>
      <c r="AQ1699" s="412"/>
      <c r="AR1699" s="412"/>
      <c r="AV1699" s="109"/>
    </row>
    <row r="1700" spans="1:48">
      <c r="A1700" s="358" t="s">
        <v>2342</v>
      </c>
      <c r="B1700" s="369">
        <v>1697</v>
      </c>
      <c r="C1700" s="358" t="s">
        <v>2483</v>
      </c>
      <c r="D1700" s="358" t="s">
        <v>1230</v>
      </c>
      <c r="E1700" s="373">
        <v>45964.375</v>
      </c>
      <c r="F1700" s="372" t="s">
        <v>140</v>
      </c>
      <c r="G1700" s="372">
        <v>16</v>
      </c>
      <c r="H1700" s="372" t="s">
        <v>2409</v>
      </c>
      <c r="I1700" s="372"/>
      <c r="J1700" s="372"/>
      <c r="K1700" s="358" t="s">
        <v>113</v>
      </c>
      <c r="L1700" s="358" t="s">
        <v>113</v>
      </c>
      <c r="M1700" s="358" t="s">
        <v>113</v>
      </c>
      <c r="N1700" s="358" t="s">
        <v>113</v>
      </c>
      <c r="O1700" s="117" t="s">
        <v>30</v>
      </c>
      <c r="P1700" s="380" t="s">
        <v>1091</v>
      </c>
      <c r="Q1700" s="24">
        <v>46026</v>
      </c>
      <c r="R1700" s="384" t="s">
        <v>67</v>
      </c>
      <c r="S1700" s="358" t="s">
        <v>32</v>
      </c>
      <c r="T1700" s="22">
        <v>16</v>
      </c>
      <c r="U1700" s="24" t="s">
        <v>67</v>
      </c>
      <c r="V1700" s="24">
        <v>46026</v>
      </c>
      <c r="W1700" s="100" t="s">
        <v>113</v>
      </c>
      <c r="X1700" s="100"/>
      <c r="Y1700" s="95"/>
      <c r="Z1700" s="100"/>
      <c r="AA1700" s="100"/>
      <c r="AB1700" s="100"/>
      <c r="AC1700" s="100"/>
      <c r="AD1700" s="100"/>
      <c r="AE1700" s="100"/>
      <c r="AF1700" s="100"/>
      <c r="AG1700" s="100"/>
      <c r="AH1700" s="114"/>
      <c r="AI1700" s="111"/>
      <c r="AJ1700" s="111"/>
      <c r="AK1700" s="111"/>
      <c r="AL1700" s="114" t="s">
        <v>32</v>
      </c>
      <c r="AM1700" s="360"/>
      <c r="AN1700" s="6">
        <v>0</v>
      </c>
      <c r="AO1700" s="6">
        <v>0</v>
      </c>
      <c r="AP1700" s="6">
        <v>15</v>
      </c>
      <c r="AQ1700" s="6">
        <v>1</v>
      </c>
      <c r="AR1700" s="6">
        <f>SUM(AN1700:AQ1700)</f>
        <v>16</v>
      </c>
      <c r="AS1700" s="108">
        <f>+AN1700/AR1700*AS$1</f>
        <v>0</v>
      </c>
      <c r="AT1700" s="109">
        <f>+AO1700/AR1700*AT$1</f>
        <v>0</v>
      </c>
      <c r="AU1700" s="109">
        <f>+AP1700/AR1700*AU$1</f>
        <v>0</v>
      </c>
      <c r="AV1700" s="109">
        <f>+AQ1700/AR1700*AV$1</f>
        <v>0</v>
      </c>
    </row>
    <row r="1701" spans="1:48">
      <c r="A1701" s="358" t="s">
        <v>2342</v>
      </c>
      <c r="B1701" s="369">
        <v>1698</v>
      </c>
      <c r="C1701" s="358" t="s">
        <v>2484</v>
      </c>
      <c r="D1701" s="358" t="s">
        <v>2485</v>
      </c>
      <c r="E1701" s="373">
        <v>45964.458333333336</v>
      </c>
      <c r="F1701" s="372" t="s">
        <v>140</v>
      </c>
      <c r="G1701" s="372">
        <v>8</v>
      </c>
      <c r="H1701" s="372" t="s">
        <v>2468</v>
      </c>
      <c r="I1701" s="372"/>
      <c r="J1701" s="372"/>
      <c r="K1701" s="358" t="s">
        <v>113</v>
      </c>
      <c r="L1701" s="358" t="s">
        <v>113</v>
      </c>
      <c r="M1701" s="358" t="s">
        <v>113</v>
      </c>
      <c r="N1701" s="358" t="s">
        <v>113</v>
      </c>
      <c r="O1701" s="380"/>
      <c r="P1701" s="380" t="s">
        <v>1091</v>
      </c>
      <c r="Q1701" s="24">
        <v>46026</v>
      </c>
      <c r="R1701" s="384" t="s">
        <v>67</v>
      </c>
      <c r="S1701" s="358" t="s">
        <v>32</v>
      </c>
      <c r="T1701" s="22">
        <v>1</v>
      </c>
      <c r="U1701" s="24" t="s">
        <v>67</v>
      </c>
      <c r="V1701" s="24">
        <v>46026</v>
      </c>
      <c r="W1701" s="100" t="s">
        <v>113</v>
      </c>
      <c r="X1701" s="100"/>
      <c r="Y1701" s="95"/>
      <c r="Z1701" s="95"/>
      <c r="AA1701" s="95"/>
      <c r="AB1701" s="95"/>
      <c r="AC1701" s="100"/>
      <c r="AD1701" s="100"/>
      <c r="AE1701" s="100"/>
      <c r="AF1701" s="100"/>
      <c r="AG1701" s="100"/>
      <c r="AH1701" s="114"/>
      <c r="AI1701" s="114"/>
      <c r="AJ1701" s="114"/>
      <c r="AK1701" s="111"/>
      <c r="AL1701" s="114" t="s">
        <v>32</v>
      </c>
      <c r="AM1701" s="360"/>
      <c r="AN1701" s="6"/>
      <c r="AO1701" s="6"/>
      <c r="AP1701" s="6"/>
      <c r="AQ1701" s="6"/>
      <c r="AR1701" s="6"/>
      <c r="AS1701" s="108"/>
      <c r="AT1701" s="109"/>
      <c r="AU1701" s="109"/>
      <c r="AV1701" s="109"/>
    </row>
    <row r="1702" spans="1:48">
      <c r="A1702" s="358" t="s">
        <v>2342</v>
      </c>
      <c r="B1702" s="369">
        <v>1699</v>
      </c>
      <c r="C1702" s="358" t="s">
        <v>2486</v>
      </c>
      <c r="D1702" s="358" t="s">
        <v>2487</v>
      </c>
      <c r="E1702" s="373">
        <v>45971.375</v>
      </c>
      <c r="F1702" s="372" t="s">
        <v>140</v>
      </c>
      <c r="G1702" s="372">
        <v>3</v>
      </c>
      <c r="H1702" s="372" t="s">
        <v>2409</v>
      </c>
      <c r="I1702" s="372"/>
      <c r="J1702" s="372"/>
      <c r="K1702" s="358" t="s">
        <v>113</v>
      </c>
      <c r="L1702" s="358" t="s">
        <v>113</v>
      </c>
      <c r="M1702" s="358" t="s">
        <v>113</v>
      </c>
      <c r="N1702" s="358" t="s">
        <v>113</v>
      </c>
      <c r="O1702" s="380"/>
      <c r="P1702" s="380" t="s">
        <v>1091</v>
      </c>
      <c r="Q1702" s="24">
        <v>46026</v>
      </c>
      <c r="R1702" s="384" t="s">
        <v>67</v>
      </c>
      <c r="S1702" s="358" t="s">
        <v>32</v>
      </c>
      <c r="T1702" s="22">
        <v>2</v>
      </c>
      <c r="U1702" s="24" t="s">
        <v>67</v>
      </c>
      <c r="V1702" s="24">
        <v>46026</v>
      </c>
      <c r="W1702" s="100" t="s">
        <v>113</v>
      </c>
      <c r="X1702" s="100"/>
      <c r="Y1702" s="95"/>
      <c r="Z1702" s="100"/>
      <c r="AA1702" s="100"/>
      <c r="AB1702" s="100"/>
      <c r="AC1702" s="100"/>
      <c r="AD1702" s="100"/>
      <c r="AE1702" s="100"/>
      <c r="AF1702" s="100"/>
      <c r="AG1702" s="100"/>
      <c r="AH1702" s="114"/>
      <c r="AI1702" s="114"/>
      <c r="AJ1702" s="114"/>
      <c r="AK1702" s="114"/>
      <c r="AL1702" s="114" t="s">
        <v>32</v>
      </c>
      <c r="AM1702" s="360"/>
      <c r="AN1702" s="6"/>
      <c r="AO1702" s="6"/>
      <c r="AP1702" s="6"/>
      <c r="AQ1702" s="6"/>
      <c r="AR1702" s="6"/>
      <c r="AS1702" s="108"/>
      <c r="AT1702" s="109"/>
      <c r="AU1702" s="109"/>
      <c r="AV1702" s="109"/>
    </row>
    <row r="1703" spans="1:48">
      <c r="A1703" s="358" t="s">
        <v>2342</v>
      </c>
      <c r="B1703" s="369">
        <v>1700</v>
      </c>
      <c r="C1703" s="358" t="s">
        <v>2488</v>
      </c>
      <c r="D1703" s="358" t="s">
        <v>829</v>
      </c>
      <c r="E1703" s="373">
        <v>45971</v>
      </c>
      <c r="F1703" s="372" t="s">
        <v>140</v>
      </c>
      <c r="G1703" s="372">
        <v>20</v>
      </c>
      <c r="H1703" s="372" t="s">
        <v>1077</v>
      </c>
      <c r="I1703" s="372"/>
      <c r="J1703" s="372"/>
      <c r="K1703" s="358" t="s">
        <v>113</v>
      </c>
      <c r="L1703" s="358" t="s">
        <v>113</v>
      </c>
      <c r="M1703" s="358" t="s">
        <v>113</v>
      </c>
      <c r="N1703" s="358" t="s">
        <v>113</v>
      </c>
      <c r="O1703" s="117" t="s">
        <v>30</v>
      </c>
      <c r="P1703" s="380"/>
      <c r="Q1703" s="24"/>
      <c r="R1703" s="81"/>
      <c r="S1703" s="22"/>
      <c r="T1703" s="22"/>
      <c r="U1703" s="24"/>
      <c r="V1703" s="24"/>
      <c r="W1703" s="100" t="s">
        <v>113</v>
      </c>
      <c r="X1703" s="100"/>
      <c r="Y1703" s="95"/>
      <c r="Z1703" s="100"/>
      <c r="AA1703" s="100"/>
      <c r="AB1703" s="100"/>
      <c r="AC1703" s="100"/>
      <c r="AD1703" s="100"/>
      <c r="AE1703" s="100"/>
      <c r="AF1703" s="100"/>
      <c r="AG1703" s="100"/>
      <c r="AH1703" s="114"/>
      <c r="AI1703" s="111"/>
      <c r="AJ1703" s="111"/>
      <c r="AK1703" s="111"/>
      <c r="AL1703" s="114" t="s">
        <v>32</v>
      </c>
      <c r="AM1703" s="360"/>
      <c r="AN1703" s="6">
        <v>0</v>
      </c>
      <c r="AO1703" s="6">
        <v>20</v>
      </c>
      <c r="AP1703" s="6">
        <v>0</v>
      </c>
      <c r="AQ1703" s="6">
        <v>0</v>
      </c>
      <c r="AR1703" s="6">
        <f>SUM(AN1703:AQ1703)</f>
        <v>20</v>
      </c>
      <c r="AS1703" s="108">
        <f>+AN1703/AR1703*AS$1</f>
        <v>0</v>
      </c>
      <c r="AT1703" s="109">
        <f>+AO1703/AR1703*AT$1</f>
        <v>0</v>
      </c>
      <c r="AU1703" s="109">
        <f>+AP1703/AR1703*AU$1</f>
        <v>0</v>
      </c>
      <c r="AV1703" s="109">
        <f>+AQ1703/AR1703*AV$1</f>
        <v>0</v>
      </c>
    </row>
    <row r="1704" spans="1:48">
      <c r="A1704" s="358" t="s">
        <v>2342</v>
      </c>
      <c r="B1704" s="369">
        <v>1701</v>
      </c>
      <c r="C1704" s="358" t="s">
        <v>2489</v>
      </c>
      <c r="D1704" s="358" t="s">
        <v>2490</v>
      </c>
      <c r="E1704" s="373">
        <v>45964.375</v>
      </c>
      <c r="F1704" s="372" t="s">
        <v>140</v>
      </c>
      <c r="G1704" s="372">
        <v>10</v>
      </c>
      <c r="H1704" s="372" t="s">
        <v>2379</v>
      </c>
      <c r="I1704" s="372"/>
      <c r="J1704" s="372"/>
      <c r="K1704" s="358" t="s">
        <v>113</v>
      </c>
      <c r="L1704" s="358" t="s">
        <v>113</v>
      </c>
      <c r="M1704" s="358" t="s">
        <v>113</v>
      </c>
      <c r="N1704" s="358" t="s">
        <v>113</v>
      </c>
      <c r="O1704" s="380"/>
      <c r="P1704" s="380" t="s">
        <v>1091</v>
      </c>
      <c r="Q1704" s="24">
        <v>46022</v>
      </c>
      <c r="R1704" s="24" t="s">
        <v>28</v>
      </c>
      <c r="S1704" s="22" t="s">
        <v>32</v>
      </c>
      <c r="T1704" s="22">
        <v>10</v>
      </c>
      <c r="U1704" s="24" t="s">
        <v>28</v>
      </c>
      <c r="V1704" s="24">
        <v>46022</v>
      </c>
      <c r="W1704" s="100" t="s">
        <v>113</v>
      </c>
      <c r="X1704" s="100"/>
      <c r="Y1704" s="95"/>
      <c r="Z1704" s="100"/>
      <c r="AA1704" s="100"/>
      <c r="AB1704" s="100"/>
      <c r="AC1704" s="100"/>
      <c r="AD1704" s="100"/>
      <c r="AE1704" s="100"/>
      <c r="AF1704" s="100"/>
      <c r="AG1704" s="100"/>
      <c r="AH1704" s="114"/>
      <c r="AI1704" s="111"/>
      <c r="AJ1704" s="111"/>
      <c r="AK1704" s="111"/>
      <c r="AL1704" s="114" t="s">
        <v>32</v>
      </c>
      <c r="AM1704" s="360"/>
      <c r="AN1704" s="91"/>
      <c r="AO1704" s="91"/>
      <c r="AS1704" s="72"/>
      <c r="AT1704" s="96"/>
      <c r="AU1704" s="96"/>
      <c r="AV1704" s="109"/>
    </row>
    <row r="1705" spans="1:48">
      <c r="A1705" s="358" t="s">
        <v>2342</v>
      </c>
      <c r="B1705" s="369">
        <v>1702</v>
      </c>
      <c r="C1705" s="358" t="s">
        <v>2491</v>
      </c>
      <c r="D1705" s="358" t="s">
        <v>829</v>
      </c>
      <c r="E1705" s="373">
        <v>45964</v>
      </c>
      <c r="F1705" s="372" t="s">
        <v>140</v>
      </c>
      <c r="G1705" s="372">
        <v>61</v>
      </c>
      <c r="H1705" s="372" t="s">
        <v>1076</v>
      </c>
      <c r="I1705" s="372"/>
      <c r="J1705" s="372"/>
      <c r="K1705" s="358" t="s">
        <v>113</v>
      </c>
      <c r="L1705" s="358" t="s">
        <v>113</v>
      </c>
      <c r="M1705" s="358" t="s">
        <v>113</v>
      </c>
      <c r="N1705" s="358" t="s">
        <v>113</v>
      </c>
      <c r="O1705" s="117" t="s">
        <v>30</v>
      </c>
      <c r="P1705" s="23" t="s">
        <v>1091</v>
      </c>
      <c r="Q1705" s="24">
        <v>46022</v>
      </c>
      <c r="R1705" s="384" t="s">
        <v>67</v>
      </c>
      <c r="S1705" s="358" t="s">
        <v>32</v>
      </c>
      <c r="T1705" s="22">
        <v>60</v>
      </c>
      <c r="U1705" s="24" t="s">
        <v>67</v>
      </c>
      <c r="V1705" s="24">
        <v>46022</v>
      </c>
      <c r="W1705" s="100" t="s">
        <v>113</v>
      </c>
      <c r="X1705" s="100"/>
      <c r="Y1705" s="95"/>
      <c r="Z1705" s="100"/>
      <c r="AA1705" s="100"/>
      <c r="AB1705" s="100"/>
      <c r="AC1705" s="100"/>
      <c r="AD1705" s="100"/>
      <c r="AE1705" s="100"/>
      <c r="AF1705" s="100"/>
      <c r="AG1705" s="100"/>
      <c r="AH1705" s="114"/>
      <c r="AI1705" s="100"/>
      <c r="AJ1705" s="100"/>
      <c r="AK1705" s="100"/>
      <c r="AL1705" s="114" t="s">
        <v>32</v>
      </c>
      <c r="AM1705" s="360"/>
      <c r="AN1705" s="6">
        <v>0</v>
      </c>
      <c r="AO1705" s="6">
        <v>61</v>
      </c>
      <c r="AP1705" s="6">
        <v>0</v>
      </c>
      <c r="AQ1705" s="6">
        <v>0</v>
      </c>
      <c r="AR1705" s="6">
        <f>SUM(AN1705:AQ1705)</f>
        <v>61</v>
      </c>
      <c r="AS1705" s="108">
        <f>+AN1705/AR1705*AS$1</f>
        <v>0</v>
      </c>
      <c r="AT1705" s="109">
        <f>+AO1705/AR1705*AT$1</f>
        <v>0</v>
      </c>
      <c r="AU1705" s="109">
        <f>+AP1705/AR1705*AU$1</f>
        <v>0</v>
      </c>
      <c r="AV1705" s="109">
        <f>+AQ1705/AR1705*AV$1</f>
        <v>0</v>
      </c>
    </row>
    <row r="1706" spans="1:48">
      <c r="A1706" s="358" t="s">
        <v>2342</v>
      </c>
      <c r="B1706" s="369">
        <v>1703</v>
      </c>
      <c r="C1706" s="358" t="s">
        <v>2492</v>
      </c>
      <c r="D1706" s="358" t="s">
        <v>2493</v>
      </c>
      <c r="E1706" s="373">
        <v>45964.375</v>
      </c>
      <c r="F1706" s="372" t="s">
        <v>140</v>
      </c>
      <c r="G1706" s="372">
        <v>16</v>
      </c>
      <c r="H1706" s="372" t="s">
        <v>2494</v>
      </c>
      <c r="I1706" s="372"/>
      <c r="J1706" s="372"/>
      <c r="K1706" s="358" t="s">
        <v>113</v>
      </c>
      <c r="L1706" s="358" t="s">
        <v>113</v>
      </c>
      <c r="M1706" s="358" t="s">
        <v>113</v>
      </c>
      <c r="N1706" s="358" t="s">
        <v>113</v>
      </c>
      <c r="O1706" s="117" t="s">
        <v>30</v>
      </c>
      <c r="P1706" s="23" t="s">
        <v>1091</v>
      </c>
      <c r="Q1706" s="24">
        <v>46022</v>
      </c>
      <c r="R1706" s="24" t="s">
        <v>28</v>
      </c>
      <c r="S1706" s="358" t="s">
        <v>32</v>
      </c>
      <c r="T1706" s="22">
        <v>16</v>
      </c>
      <c r="U1706" s="24" t="s">
        <v>28</v>
      </c>
      <c r="V1706" s="24">
        <v>46022</v>
      </c>
      <c r="W1706" s="100" t="s">
        <v>113</v>
      </c>
      <c r="X1706" s="100"/>
      <c r="Y1706" s="95"/>
      <c r="Z1706" s="100"/>
      <c r="AA1706" s="100"/>
      <c r="AB1706" s="100"/>
      <c r="AC1706" s="100"/>
      <c r="AD1706" s="100"/>
      <c r="AE1706" s="100"/>
      <c r="AF1706" s="100"/>
      <c r="AG1706" s="100"/>
      <c r="AH1706" s="114"/>
      <c r="AI1706" s="114"/>
      <c r="AJ1706" s="114"/>
      <c r="AK1706" s="114"/>
      <c r="AL1706" s="114" t="s">
        <v>32</v>
      </c>
      <c r="AM1706" s="360"/>
      <c r="AN1706" s="6">
        <v>0</v>
      </c>
      <c r="AO1706" s="6">
        <v>13</v>
      </c>
      <c r="AP1706" s="6">
        <v>2</v>
      </c>
      <c r="AQ1706" s="6">
        <v>1</v>
      </c>
      <c r="AR1706" s="6">
        <f>SUM(AN1706:AQ1706)</f>
        <v>16</v>
      </c>
      <c r="AS1706" s="108">
        <f>+AN1706/AR1706*AS$1</f>
        <v>0</v>
      </c>
      <c r="AT1706" s="109">
        <f>+AO1706/AR1706*AT$1</f>
        <v>0</v>
      </c>
      <c r="AU1706" s="109">
        <f>+AP1706/AR1706*AU$1</f>
        <v>0</v>
      </c>
      <c r="AV1706" s="109">
        <f>+AQ1706/AR1706*AV$1</f>
        <v>0</v>
      </c>
    </row>
    <row r="1707" spans="1:48">
      <c r="A1707" s="358" t="s">
        <v>2342</v>
      </c>
      <c r="B1707" s="369">
        <v>1704</v>
      </c>
      <c r="C1707" s="358" t="s">
        <v>2495</v>
      </c>
      <c r="D1707" s="358" t="s">
        <v>937</v>
      </c>
      <c r="E1707" s="373">
        <v>45964.375</v>
      </c>
      <c r="F1707" s="372" t="s">
        <v>140</v>
      </c>
      <c r="G1707" s="372">
        <v>14</v>
      </c>
      <c r="H1707" s="372" t="s">
        <v>1077</v>
      </c>
      <c r="I1707" s="372"/>
      <c r="J1707" s="372"/>
      <c r="K1707" s="358" t="s">
        <v>113</v>
      </c>
      <c r="L1707" s="358" t="s">
        <v>113</v>
      </c>
      <c r="M1707" s="358" t="s">
        <v>113</v>
      </c>
      <c r="N1707" s="358" t="s">
        <v>113</v>
      </c>
      <c r="O1707" s="380"/>
      <c r="P1707" s="23" t="s">
        <v>1091</v>
      </c>
      <c r="Q1707" s="24">
        <v>46022</v>
      </c>
      <c r="R1707" s="384" t="s">
        <v>67</v>
      </c>
      <c r="S1707" s="358" t="s">
        <v>32</v>
      </c>
      <c r="T1707" s="22">
        <v>14</v>
      </c>
      <c r="U1707" s="24" t="s">
        <v>67</v>
      </c>
      <c r="V1707" s="24">
        <v>46022</v>
      </c>
      <c r="W1707" s="100" t="s">
        <v>113</v>
      </c>
      <c r="X1707" s="100"/>
      <c r="Y1707" s="95"/>
      <c r="Z1707" s="100"/>
      <c r="AA1707" s="100"/>
      <c r="AB1707" s="100"/>
      <c r="AC1707" s="100"/>
      <c r="AD1707" s="100"/>
      <c r="AE1707" s="100"/>
      <c r="AF1707" s="100"/>
      <c r="AG1707" s="100"/>
      <c r="AH1707" s="114"/>
      <c r="AI1707" s="114"/>
      <c r="AJ1707" s="114"/>
      <c r="AK1707" s="114"/>
      <c r="AL1707" s="114" t="s">
        <v>32</v>
      </c>
      <c r="AM1707" s="360"/>
      <c r="AN1707" s="91"/>
      <c r="AO1707" s="91"/>
      <c r="AS1707" s="72"/>
      <c r="AT1707" s="96"/>
      <c r="AU1707" s="96"/>
      <c r="AV1707" s="109"/>
    </row>
    <row r="1708" spans="1:48">
      <c r="A1708" s="358" t="s">
        <v>2342</v>
      </c>
      <c r="B1708" s="369">
        <v>1705</v>
      </c>
      <c r="C1708" s="358" t="s">
        <v>2496</v>
      </c>
      <c r="D1708" s="358" t="s">
        <v>2497</v>
      </c>
      <c r="E1708" s="373">
        <v>45964.375</v>
      </c>
      <c r="F1708" s="372" t="s">
        <v>140</v>
      </c>
      <c r="G1708" s="372">
        <v>8</v>
      </c>
      <c r="H1708" s="372" t="s">
        <v>1076</v>
      </c>
      <c r="I1708" s="372"/>
      <c r="J1708" s="372"/>
      <c r="K1708" s="358" t="s">
        <v>113</v>
      </c>
      <c r="L1708" s="358" t="s">
        <v>113</v>
      </c>
      <c r="M1708" s="358" t="s">
        <v>113</v>
      </c>
      <c r="N1708" s="358" t="s">
        <v>113</v>
      </c>
      <c r="O1708" s="380"/>
      <c r="P1708" s="380" t="s">
        <v>1091</v>
      </c>
      <c r="Q1708" s="24">
        <v>46022</v>
      </c>
      <c r="R1708" s="384" t="s">
        <v>67</v>
      </c>
      <c r="S1708" s="358" t="s">
        <v>32</v>
      </c>
      <c r="T1708" s="358">
        <v>8</v>
      </c>
      <c r="U1708" s="24" t="s">
        <v>67</v>
      </c>
      <c r="V1708" s="24">
        <v>46022</v>
      </c>
      <c r="W1708" s="100" t="s">
        <v>113</v>
      </c>
      <c r="X1708" s="100"/>
      <c r="Y1708" s="107"/>
      <c r="Z1708" s="100"/>
      <c r="AA1708" s="95"/>
      <c r="AB1708" s="100"/>
      <c r="AC1708" s="100"/>
      <c r="AD1708" s="100"/>
      <c r="AE1708" s="100"/>
      <c r="AF1708" s="100"/>
      <c r="AG1708" s="100"/>
      <c r="AH1708" s="114"/>
      <c r="AI1708" s="114"/>
      <c r="AJ1708" s="114"/>
      <c r="AK1708" s="114"/>
      <c r="AL1708" s="114" t="s">
        <v>32</v>
      </c>
      <c r="AM1708" s="360"/>
      <c r="AS1708" s="72"/>
      <c r="AT1708" s="96"/>
      <c r="AU1708" s="96"/>
      <c r="AV1708" s="109"/>
    </row>
    <row r="1709" spans="1:48">
      <c r="A1709" s="358" t="s">
        <v>2342</v>
      </c>
      <c r="B1709" s="369">
        <v>1706</v>
      </c>
      <c r="C1709" s="358" t="s">
        <v>2498</v>
      </c>
      <c r="D1709" s="358" t="s">
        <v>818</v>
      </c>
      <c r="E1709" s="373">
        <v>45964</v>
      </c>
      <c r="F1709" s="372" t="s">
        <v>140</v>
      </c>
      <c r="G1709" s="372">
        <v>3</v>
      </c>
      <c r="H1709" s="372" t="s">
        <v>1076</v>
      </c>
      <c r="I1709" s="372"/>
      <c r="J1709" s="372"/>
      <c r="K1709" s="358" t="s">
        <v>113</v>
      </c>
      <c r="L1709" s="358" t="s">
        <v>113</v>
      </c>
      <c r="M1709" s="358" t="s">
        <v>113</v>
      </c>
      <c r="N1709" s="358" t="s">
        <v>113</v>
      </c>
      <c r="O1709" s="380"/>
      <c r="P1709" s="23" t="s">
        <v>1091</v>
      </c>
      <c r="Q1709" s="24">
        <v>46022</v>
      </c>
      <c r="R1709" s="384" t="s">
        <v>67</v>
      </c>
      <c r="S1709" s="358" t="s">
        <v>32</v>
      </c>
      <c r="T1709" s="22">
        <v>3</v>
      </c>
      <c r="U1709" s="24" t="s">
        <v>67</v>
      </c>
      <c r="V1709" s="24">
        <v>46022</v>
      </c>
      <c r="W1709" s="100" t="s">
        <v>113</v>
      </c>
      <c r="X1709" s="100"/>
      <c r="Y1709" s="95"/>
      <c r="Z1709" s="100"/>
      <c r="AA1709" s="100"/>
      <c r="AB1709" s="100"/>
      <c r="AC1709" s="100"/>
      <c r="AD1709" s="100"/>
      <c r="AE1709" s="100"/>
      <c r="AF1709" s="100"/>
      <c r="AG1709" s="100"/>
      <c r="AH1709" s="114"/>
      <c r="AI1709" s="114"/>
      <c r="AJ1709" s="111"/>
      <c r="AK1709" s="111"/>
      <c r="AL1709" s="114" t="s">
        <v>32</v>
      </c>
      <c r="AM1709" s="360"/>
      <c r="AV1709" s="109"/>
    </row>
    <row r="1710" spans="1:48">
      <c r="A1710" s="358" t="s">
        <v>2342</v>
      </c>
      <c r="B1710" s="369">
        <v>1707</v>
      </c>
      <c r="C1710" s="358" t="s">
        <v>2499</v>
      </c>
      <c r="D1710" s="358" t="s">
        <v>2500</v>
      </c>
      <c r="E1710" s="373">
        <v>45978.375</v>
      </c>
      <c r="F1710" s="372" t="s">
        <v>140</v>
      </c>
      <c r="G1710" s="372">
        <v>11</v>
      </c>
      <c r="H1710" s="372" t="s">
        <v>2501</v>
      </c>
      <c r="I1710" s="372"/>
      <c r="J1710" s="372"/>
      <c r="K1710" s="358" t="s">
        <v>113</v>
      </c>
      <c r="L1710" s="358" t="s">
        <v>113</v>
      </c>
      <c r="M1710" s="358" t="s">
        <v>113</v>
      </c>
      <c r="N1710" s="358" t="s">
        <v>113</v>
      </c>
      <c r="O1710" s="117"/>
      <c r="P1710" s="23" t="s">
        <v>1091</v>
      </c>
      <c r="Q1710" s="24">
        <v>46022</v>
      </c>
      <c r="R1710" s="384" t="s">
        <v>67</v>
      </c>
      <c r="S1710" s="358" t="s">
        <v>32</v>
      </c>
      <c r="T1710" s="22">
        <v>11</v>
      </c>
      <c r="U1710" s="24" t="s">
        <v>67</v>
      </c>
      <c r="V1710" s="24">
        <v>46022</v>
      </c>
      <c r="W1710" s="100" t="s">
        <v>113</v>
      </c>
      <c r="X1710" s="100"/>
      <c r="Y1710" s="95"/>
      <c r="Z1710" s="100"/>
      <c r="AA1710" s="95"/>
      <c r="AB1710" s="100"/>
      <c r="AC1710" s="100"/>
      <c r="AD1710" s="100"/>
      <c r="AE1710" s="100"/>
      <c r="AF1710" s="100"/>
      <c r="AG1710" s="100"/>
      <c r="AH1710" s="114"/>
      <c r="AI1710" s="114"/>
      <c r="AJ1710" s="114"/>
      <c r="AK1710" s="114"/>
      <c r="AL1710" s="114" t="s">
        <v>32</v>
      </c>
      <c r="AM1710" s="360"/>
      <c r="AS1710" s="72"/>
      <c r="AT1710" s="96"/>
      <c r="AU1710" s="96"/>
      <c r="AV1710" s="109"/>
    </row>
    <row r="1711" spans="1:48">
      <c r="A1711" s="358" t="s">
        <v>2342</v>
      </c>
      <c r="B1711" s="369">
        <v>1708</v>
      </c>
      <c r="C1711" s="358" t="s">
        <v>2502</v>
      </c>
      <c r="D1711" s="358" t="s">
        <v>1198</v>
      </c>
      <c r="E1711" s="373">
        <v>45978</v>
      </c>
      <c r="F1711" s="372" t="s">
        <v>140</v>
      </c>
      <c r="G1711" s="372">
        <v>5</v>
      </c>
      <c r="H1711" s="372" t="s">
        <v>1076</v>
      </c>
      <c r="I1711" s="372"/>
      <c r="J1711" s="372"/>
      <c r="K1711" s="358" t="s">
        <v>113</v>
      </c>
      <c r="L1711" s="358" t="s">
        <v>113</v>
      </c>
      <c r="M1711" s="358" t="s">
        <v>113</v>
      </c>
      <c r="N1711" s="358" t="s">
        <v>113</v>
      </c>
      <c r="O1711" s="380"/>
      <c r="P1711" s="380" t="s">
        <v>1091</v>
      </c>
      <c r="Q1711" s="24">
        <v>46007</v>
      </c>
      <c r="R1711" s="384" t="s">
        <v>67</v>
      </c>
      <c r="S1711" s="358" t="s">
        <v>32</v>
      </c>
      <c r="T1711" s="358">
        <v>5</v>
      </c>
      <c r="U1711" s="24" t="s">
        <v>67</v>
      </c>
      <c r="V1711" s="24">
        <v>46007</v>
      </c>
      <c r="W1711" s="100" t="s">
        <v>113</v>
      </c>
      <c r="X1711" s="100"/>
      <c r="Y1711" s="95"/>
      <c r="Z1711" s="100"/>
      <c r="AA1711" s="100"/>
      <c r="AB1711" s="100"/>
      <c r="AC1711" s="100"/>
      <c r="AD1711" s="100"/>
      <c r="AE1711" s="100"/>
      <c r="AF1711" s="100"/>
      <c r="AG1711" s="100"/>
      <c r="AH1711" s="114"/>
      <c r="AI1711" s="114"/>
      <c r="AJ1711" s="114"/>
      <c r="AK1711" s="111"/>
      <c r="AL1711" s="114" t="s">
        <v>32</v>
      </c>
      <c r="AM1711" s="360"/>
      <c r="AS1711" s="72"/>
      <c r="AT1711" s="96"/>
      <c r="AU1711" s="96"/>
      <c r="AV1711" s="109"/>
    </row>
    <row r="1712" spans="1:48">
      <c r="A1712" s="358" t="s">
        <v>2342</v>
      </c>
      <c r="B1712" s="369">
        <v>1709</v>
      </c>
      <c r="C1712" s="358" t="s">
        <v>2503</v>
      </c>
      <c r="D1712" s="358" t="s">
        <v>2462</v>
      </c>
      <c r="E1712" s="373">
        <v>45978.041666666664</v>
      </c>
      <c r="F1712" s="372" t="s">
        <v>140</v>
      </c>
      <c r="G1712" s="372">
        <v>1</v>
      </c>
      <c r="H1712" s="372" t="s">
        <v>127</v>
      </c>
      <c r="I1712" s="372"/>
      <c r="J1712" s="372"/>
      <c r="K1712" s="358" t="s">
        <v>113</v>
      </c>
      <c r="L1712" s="358" t="s">
        <v>113</v>
      </c>
      <c r="M1712" s="358" t="s">
        <v>113</v>
      </c>
      <c r="N1712" s="358" t="s">
        <v>113</v>
      </c>
      <c r="O1712" s="380"/>
      <c r="P1712" s="23" t="s">
        <v>1091</v>
      </c>
      <c r="Q1712" s="24">
        <v>46022</v>
      </c>
      <c r="R1712" s="24" t="s">
        <v>28</v>
      </c>
      <c r="S1712" s="358" t="s">
        <v>32</v>
      </c>
      <c r="T1712" s="22">
        <v>1</v>
      </c>
      <c r="U1712" s="24" t="s">
        <v>28</v>
      </c>
      <c r="V1712" s="24">
        <v>46022</v>
      </c>
      <c r="W1712" s="100" t="s">
        <v>113</v>
      </c>
      <c r="X1712" s="107"/>
      <c r="Y1712" s="107"/>
      <c r="Z1712" s="100"/>
      <c r="AA1712" s="100"/>
      <c r="AB1712" s="100"/>
      <c r="AC1712" s="100"/>
      <c r="AD1712" s="100"/>
      <c r="AE1712" s="100"/>
      <c r="AF1712" s="100"/>
      <c r="AG1712" s="100"/>
      <c r="AH1712" s="114"/>
      <c r="AI1712" s="114"/>
      <c r="AJ1712" s="114"/>
      <c r="AK1712" s="114"/>
      <c r="AL1712" s="114" t="s">
        <v>32</v>
      </c>
      <c r="AM1712" s="360"/>
      <c r="AV1712" s="109"/>
    </row>
    <row r="1713" spans="1:48">
      <c r="A1713" s="358" t="s">
        <v>2342</v>
      </c>
      <c r="B1713" s="369">
        <v>1710</v>
      </c>
      <c r="C1713" s="358" t="s">
        <v>2504</v>
      </c>
      <c r="D1713" s="358" t="s">
        <v>1184</v>
      </c>
      <c r="E1713" s="373">
        <v>45978.375</v>
      </c>
      <c r="F1713" s="372" t="s">
        <v>140</v>
      </c>
      <c r="G1713" s="372">
        <v>20</v>
      </c>
      <c r="H1713" s="372" t="s">
        <v>1076</v>
      </c>
      <c r="I1713" s="372"/>
      <c r="J1713" s="372"/>
      <c r="K1713" s="358" t="s">
        <v>113</v>
      </c>
      <c r="L1713" s="358" t="s">
        <v>113</v>
      </c>
      <c r="M1713" s="358" t="s">
        <v>113</v>
      </c>
      <c r="N1713" s="358" t="s">
        <v>113</v>
      </c>
      <c r="O1713" s="117" t="s">
        <v>30</v>
      </c>
      <c r="P1713" s="23" t="s">
        <v>1091</v>
      </c>
      <c r="Q1713" s="24">
        <v>46022</v>
      </c>
      <c r="R1713" s="24" t="s">
        <v>28</v>
      </c>
      <c r="S1713" s="358" t="s">
        <v>32</v>
      </c>
      <c r="T1713" s="22">
        <v>20</v>
      </c>
      <c r="U1713" s="24" t="s">
        <v>28</v>
      </c>
      <c r="V1713" s="24">
        <v>46022</v>
      </c>
      <c r="W1713" s="100" t="s">
        <v>113</v>
      </c>
      <c r="X1713" s="100"/>
      <c r="Y1713" s="95"/>
      <c r="Z1713" s="95"/>
      <c r="AA1713" s="95"/>
      <c r="AB1713" s="95"/>
      <c r="AC1713" s="100"/>
      <c r="AD1713" s="100"/>
      <c r="AE1713" s="100"/>
      <c r="AF1713" s="100"/>
      <c r="AG1713" s="100"/>
      <c r="AH1713" s="114"/>
      <c r="AI1713" s="100"/>
      <c r="AJ1713" s="100"/>
      <c r="AK1713" s="100"/>
      <c r="AL1713" s="114" t="s">
        <v>32</v>
      </c>
      <c r="AM1713" s="360"/>
      <c r="AN1713" s="6">
        <v>0</v>
      </c>
      <c r="AO1713" s="6">
        <v>20</v>
      </c>
      <c r="AP1713" s="6">
        <v>0</v>
      </c>
      <c r="AQ1713" s="6">
        <v>0</v>
      </c>
      <c r="AR1713" s="6">
        <f>SUM(AN1713:AQ1713)</f>
        <v>20</v>
      </c>
      <c r="AS1713" s="108">
        <f>+AN1713/AR1713*AS$1</f>
        <v>0</v>
      </c>
      <c r="AT1713" s="109">
        <f>+AO1713/AR1713*AT$1</f>
        <v>0</v>
      </c>
      <c r="AU1713" s="109">
        <f>+AP1713/AR1713*AU$1</f>
        <v>0</v>
      </c>
      <c r="AV1713" s="109">
        <f>+AQ1713/AR1713*AV$1</f>
        <v>0</v>
      </c>
    </row>
    <row r="1714" spans="1:48">
      <c r="A1714" s="358" t="s">
        <v>2342</v>
      </c>
      <c r="B1714" s="369">
        <v>1711</v>
      </c>
      <c r="C1714" s="358" t="s">
        <v>2505</v>
      </c>
      <c r="D1714" s="358" t="s">
        <v>2506</v>
      </c>
      <c r="E1714" s="373">
        <v>45978.375</v>
      </c>
      <c r="F1714" s="372" t="s">
        <v>140</v>
      </c>
      <c r="G1714" s="372">
        <v>8</v>
      </c>
      <c r="H1714" s="372" t="s">
        <v>1721</v>
      </c>
      <c r="I1714" s="372"/>
      <c r="J1714" s="372"/>
      <c r="K1714" s="358" t="s">
        <v>113</v>
      </c>
      <c r="L1714" s="358" t="s">
        <v>113</v>
      </c>
      <c r="M1714" s="358" t="s">
        <v>113</v>
      </c>
      <c r="N1714" s="358" t="s">
        <v>113</v>
      </c>
      <c r="O1714" s="117"/>
      <c r="P1714" s="380" t="s">
        <v>1091</v>
      </c>
      <c r="Q1714" s="24">
        <v>46022</v>
      </c>
      <c r="R1714" s="384" t="s">
        <v>67</v>
      </c>
      <c r="S1714" s="358" t="s">
        <v>32</v>
      </c>
      <c r="T1714" s="358">
        <v>7</v>
      </c>
      <c r="U1714" s="24" t="s">
        <v>67</v>
      </c>
      <c r="V1714" s="24">
        <v>46022</v>
      </c>
      <c r="W1714" s="100" t="s">
        <v>113</v>
      </c>
      <c r="X1714" s="100"/>
      <c r="Y1714" s="95"/>
      <c r="Z1714" s="100"/>
      <c r="AA1714" s="100"/>
      <c r="AB1714" s="100"/>
      <c r="AC1714" s="100"/>
      <c r="AD1714" s="100"/>
      <c r="AE1714" s="100"/>
      <c r="AF1714" s="100"/>
      <c r="AG1714" s="100"/>
      <c r="AH1714" s="114"/>
      <c r="AI1714" s="111"/>
      <c r="AJ1714" s="111"/>
      <c r="AK1714" s="111"/>
      <c r="AL1714" s="114" t="s">
        <v>32</v>
      </c>
      <c r="AM1714" s="360"/>
      <c r="AR1714" s="88"/>
      <c r="AS1714" s="72"/>
      <c r="AT1714" s="72"/>
      <c r="AU1714" s="72"/>
      <c r="AV1714" s="109"/>
    </row>
    <row r="1715" spans="1:48">
      <c r="A1715" s="358" t="s">
        <v>2342</v>
      </c>
      <c r="B1715" s="369">
        <v>1712</v>
      </c>
      <c r="C1715" s="358" t="s">
        <v>2507</v>
      </c>
      <c r="D1715" s="358" t="s">
        <v>2508</v>
      </c>
      <c r="E1715" s="373">
        <v>45978.375</v>
      </c>
      <c r="F1715" s="372" t="s">
        <v>140</v>
      </c>
      <c r="G1715" s="372">
        <v>8</v>
      </c>
      <c r="H1715" s="372" t="s">
        <v>1721</v>
      </c>
      <c r="I1715" s="372"/>
      <c r="J1715" s="372"/>
      <c r="K1715" s="358" t="s">
        <v>113</v>
      </c>
      <c r="L1715" s="358" t="s">
        <v>113</v>
      </c>
      <c r="M1715" s="358" t="s">
        <v>113</v>
      </c>
      <c r="N1715" s="358" t="s">
        <v>113</v>
      </c>
      <c r="O1715" s="380"/>
      <c r="P1715" s="23" t="s">
        <v>1091</v>
      </c>
      <c r="Q1715" s="24">
        <v>46022</v>
      </c>
      <c r="R1715" s="384" t="s">
        <v>67</v>
      </c>
      <c r="S1715" s="358" t="s">
        <v>32</v>
      </c>
      <c r="T1715" s="22">
        <v>8</v>
      </c>
      <c r="U1715" s="24" t="s">
        <v>67</v>
      </c>
      <c r="V1715" s="24">
        <v>46022</v>
      </c>
      <c r="W1715" s="100" t="s">
        <v>113</v>
      </c>
      <c r="X1715" s="100"/>
      <c r="Y1715" s="95"/>
      <c r="Z1715" s="100"/>
      <c r="AA1715" s="100"/>
      <c r="AB1715" s="100"/>
      <c r="AC1715" s="100"/>
      <c r="AD1715" s="100"/>
      <c r="AE1715" s="100"/>
      <c r="AF1715" s="100"/>
      <c r="AG1715" s="100"/>
      <c r="AH1715" s="114"/>
      <c r="AI1715" s="114"/>
      <c r="AJ1715" s="114"/>
      <c r="AK1715" s="114"/>
      <c r="AL1715" s="114" t="s">
        <v>32</v>
      </c>
      <c r="AM1715" s="360"/>
      <c r="AS1715" s="72"/>
      <c r="AT1715" s="96"/>
      <c r="AU1715" s="96"/>
      <c r="AV1715" s="109"/>
    </row>
    <row r="1716" spans="1:48">
      <c r="A1716" s="358" t="s">
        <v>2342</v>
      </c>
      <c r="B1716" s="369">
        <v>1713</v>
      </c>
      <c r="C1716" s="358" t="s">
        <v>2509</v>
      </c>
      <c r="D1716" s="358" t="s">
        <v>1250</v>
      </c>
      <c r="E1716" s="373">
        <v>45971</v>
      </c>
      <c r="F1716" s="372" t="s">
        <v>140</v>
      </c>
      <c r="G1716" s="372">
        <v>5</v>
      </c>
      <c r="H1716" s="372" t="s">
        <v>2379</v>
      </c>
      <c r="I1716" s="372"/>
      <c r="J1716" s="372"/>
      <c r="K1716" s="358" t="s">
        <v>113</v>
      </c>
      <c r="L1716" s="358" t="s">
        <v>113</v>
      </c>
      <c r="M1716" s="358" t="s">
        <v>113</v>
      </c>
      <c r="N1716" s="358" t="s">
        <v>113</v>
      </c>
      <c r="O1716" s="117"/>
      <c r="P1716" s="23" t="s">
        <v>1091</v>
      </c>
      <c r="Q1716" s="24">
        <v>46022</v>
      </c>
      <c r="R1716" s="384" t="s">
        <v>67</v>
      </c>
      <c r="S1716" s="358" t="s">
        <v>32</v>
      </c>
      <c r="T1716" s="22">
        <v>5</v>
      </c>
      <c r="U1716" s="24" t="s">
        <v>67</v>
      </c>
      <c r="V1716" s="24">
        <v>46022</v>
      </c>
      <c r="W1716" s="100" t="s">
        <v>113</v>
      </c>
      <c r="X1716" s="107"/>
      <c r="Y1716" s="107"/>
      <c r="Z1716" s="100"/>
      <c r="AA1716" s="100"/>
      <c r="AB1716" s="100"/>
      <c r="AC1716" s="100"/>
      <c r="AD1716" s="100"/>
      <c r="AE1716" s="100"/>
      <c r="AF1716" s="100"/>
      <c r="AG1716" s="100"/>
      <c r="AH1716" s="114"/>
      <c r="AI1716" s="114"/>
      <c r="AJ1716" s="114"/>
      <c r="AK1716" s="114"/>
      <c r="AL1716" s="114" t="s">
        <v>32</v>
      </c>
      <c r="AM1716" s="360"/>
      <c r="AV1716" s="109"/>
    </row>
    <row r="1717" spans="1:48">
      <c r="A1717" s="358" t="s">
        <v>2342</v>
      </c>
      <c r="B1717" s="369">
        <v>1714</v>
      </c>
      <c r="C1717" s="358" t="s">
        <v>2510</v>
      </c>
      <c r="D1717" s="358" t="s">
        <v>779</v>
      </c>
      <c r="E1717" s="373">
        <v>45971.375</v>
      </c>
      <c r="F1717" s="372" t="s">
        <v>140</v>
      </c>
      <c r="G1717" s="372">
        <v>12</v>
      </c>
      <c r="H1717" s="372" t="s">
        <v>2379</v>
      </c>
      <c r="I1717" s="372"/>
      <c r="J1717" s="372"/>
      <c r="K1717" s="358" t="s">
        <v>113</v>
      </c>
      <c r="L1717" s="358" t="s">
        <v>113</v>
      </c>
      <c r="M1717" s="358" t="s">
        <v>113</v>
      </c>
      <c r="N1717" s="358" t="s">
        <v>113</v>
      </c>
      <c r="O1717" s="380"/>
      <c r="P1717" s="23" t="s">
        <v>1091</v>
      </c>
      <c r="Q1717" s="24">
        <v>46022</v>
      </c>
      <c r="R1717" s="384" t="s">
        <v>67</v>
      </c>
      <c r="S1717" s="358" t="s">
        <v>32</v>
      </c>
      <c r="T1717" s="22">
        <v>12</v>
      </c>
      <c r="U1717" s="24" t="s">
        <v>67</v>
      </c>
      <c r="V1717" s="24">
        <v>46022</v>
      </c>
      <c r="W1717" s="100" t="s">
        <v>113</v>
      </c>
      <c r="X1717" s="100"/>
      <c r="Y1717" s="95"/>
      <c r="Z1717" s="100"/>
      <c r="AA1717" s="100"/>
      <c r="AB1717" s="100"/>
      <c r="AC1717" s="100"/>
      <c r="AD1717" s="100"/>
      <c r="AE1717" s="100"/>
      <c r="AF1717" s="100"/>
      <c r="AG1717" s="100"/>
      <c r="AH1717" s="114"/>
      <c r="AI1717" s="111"/>
      <c r="AJ1717" s="111"/>
      <c r="AK1717" s="111"/>
      <c r="AL1717" s="114" t="s">
        <v>32</v>
      </c>
      <c r="AM1717" s="360"/>
      <c r="AV1717" s="109"/>
    </row>
    <row r="1718" spans="1:48">
      <c r="A1718" s="358" t="s">
        <v>2342</v>
      </c>
      <c r="B1718" s="369">
        <v>1715</v>
      </c>
      <c r="C1718" s="358" t="s">
        <v>2511</v>
      </c>
      <c r="D1718" s="358" t="s">
        <v>2512</v>
      </c>
      <c r="E1718" s="373">
        <v>45971.375</v>
      </c>
      <c r="F1718" s="372" t="s">
        <v>140</v>
      </c>
      <c r="G1718" s="372">
        <v>2</v>
      </c>
      <c r="H1718" s="372" t="s">
        <v>1721</v>
      </c>
      <c r="I1718" s="372"/>
      <c r="J1718" s="372"/>
      <c r="K1718" s="358" t="s">
        <v>113</v>
      </c>
      <c r="L1718" s="358" t="s">
        <v>113</v>
      </c>
      <c r="M1718" s="358" t="s">
        <v>113</v>
      </c>
      <c r="N1718" s="358" t="s">
        <v>113</v>
      </c>
      <c r="O1718" s="380"/>
      <c r="P1718" s="252" t="s">
        <v>1091</v>
      </c>
      <c r="Q1718" s="24">
        <v>46007</v>
      </c>
      <c r="R1718" s="24" t="s">
        <v>28</v>
      </c>
      <c r="S1718" s="22" t="s">
        <v>32</v>
      </c>
      <c r="T1718" s="22">
        <v>2</v>
      </c>
      <c r="U1718" s="24" t="s">
        <v>28</v>
      </c>
      <c r="V1718" s="24">
        <v>46007</v>
      </c>
      <c r="W1718" s="100" t="s">
        <v>113</v>
      </c>
      <c r="X1718" s="100"/>
      <c r="Y1718" s="95"/>
      <c r="Z1718" s="100"/>
      <c r="AA1718" s="100"/>
      <c r="AB1718" s="100"/>
      <c r="AC1718" s="100"/>
      <c r="AD1718" s="100"/>
      <c r="AE1718" s="100"/>
      <c r="AF1718" s="100"/>
      <c r="AG1718" s="100"/>
      <c r="AH1718" s="114"/>
      <c r="AI1718" s="114"/>
      <c r="AJ1718" s="114"/>
      <c r="AK1718" s="114"/>
      <c r="AL1718" s="114" t="s">
        <v>32</v>
      </c>
      <c r="AM1718" s="360"/>
      <c r="AO1718" s="412"/>
      <c r="AP1718" s="412"/>
      <c r="AQ1718" s="412"/>
      <c r="AR1718" s="412"/>
      <c r="AV1718" s="109"/>
    </row>
    <row r="1719" spans="1:48">
      <c r="A1719" s="358" t="s">
        <v>2342</v>
      </c>
      <c r="B1719" s="369">
        <v>1716</v>
      </c>
      <c r="C1719" s="358" t="s">
        <v>2513</v>
      </c>
      <c r="D1719" s="358" t="s">
        <v>1236</v>
      </c>
      <c r="E1719" s="373">
        <v>45971</v>
      </c>
      <c r="F1719" s="372" t="s">
        <v>140</v>
      </c>
      <c r="G1719" s="372">
        <v>1</v>
      </c>
      <c r="H1719" s="372" t="s">
        <v>127</v>
      </c>
      <c r="I1719" s="372"/>
      <c r="J1719" s="372"/>
      <c r="K1719" s="358" t="s">
        <v>113</v>
      </c>
      <c r="L1719" s="358" t="s">
        <v>113</v>
      </c>
      <c r="M1719" s="358" t="s">
        <v>113</v>
      </c>
      <c r="N1719" s="358" t="s">
        <v>113</v>
      </c>
      <c r="O1719" s="380"/>
      <c r="P1719" s="380" t="s">
        <v>1091</v>
      </c>
      <c r="Q1719" s="24">
        <v>46006</v>
      </c>
      <c r="R1719" s="384" t="s">
        <v>67</v>
      </c>
      <c r="S1719" s="358" t="s">
        <v>32</v>
      </c>
      <c r="T1719" s="358">
        <v>2</v>
      </c>
      <c r="U1719" s="24" t="s">
        <v>67</v>
      </c>
      <c r="V1719" s="24">
        <v>46006</v>
      </c>
      <c r="W1719" s="100" t="s">
        <v>113</v>
      </c>
      <c r="X1719" s="94"/>
      <c r="Y1719" s="95"/>
      <c r="Z1719" s="100"/>
      <c r="AA1719" s="100"/>
      <c r="AB1719" s="100"/>
      <c r="AC1719" s="100"/>
      <c r="AD1719" s="100"/>
      <c r="AE1719" s="100"/>
      <c r="AF1719" s="100"/>
      <c r="AG1719" s="100"/>
      <c r="AH1719" s="114"/>
      <c r="AI1719" s="114"/>
      <c r="AJ1719" s="114"/>
      <c r="AK1719" s="114"/>
      <c r="AL1719" s="114" t="s">
        <v>32</v>
      </c>
      <c r="AM1719" s="360"/>
      <c r="AS1719" s="72"/>
      <c r="AT1719" s="96"/>
      <c r="AU1719" s="96"/>
      <c r="AV1719" s="109"/>
    </row>
    <row r="1720" spans="1:48">
      <c r="A1720" s="358" t="s">
        <v>2342</v>
      </c>
      <c r="B1720" s="369">
        <v>1717</v>
      </c>
      <c r="C1720" s="358" t="s">
        <v>2514</v>
      </c>
      <c r="D1720" s="358" t="s">
        <v>846</v>
      </c>
      <c r="E1720" s="373">
        <v>45971.375</v>
      </c>
      <c r="F1720" s="372" t="s">
        <v>140</v>
      </c>
      <c r="G1720" s="372">
        <v>1</v>
      </c>
      <c r="H1720" s="372" t="s">
        <v>1076</v>
      </c>
      <c r="I1720" s="372"/>
      <c r="J1720" s="372"/>
      <c r="K1720" s="358" t="s">
        <v>113</v>
      </c>
      <c r="L1720" s="358" t="s">
        <v>113</v>
      </c>
      <c r="M1720" s="358" t="s">
        <v>113</v>
      </c>
      <c r="N1720" s="358" t="s">
        <v>113</v>
      </c>
      <c r="O1720" s="380"/>
      <c r="P1720" s="380" t="s">
        <v>1091</v>
      </c>
      <c r="Q1720" s="24">
        <v>46022</v>
      </c>
      <c r="R1720" s="384" t="s">
        <v>67</v>
      </c>
      <c r="S1720" s="358" t="s">
        <v>32</v>
      </c>
      <c r="T1720" s="358">
        <v>1</v>
      </c>
      <c r="U1720" s="24" t="s">
        <v>67</v>
      </c>
      <c r="V1720" s="24">
        <v>46022</v>
      </c>
      <c r="W1720" s="100" t="s">
        <v>113</v>
      </c>
      <c r="X1720" s="100"/>
      <c r="Y1720" s="95"/>
      <c r="Z1720" s="100"/>
      <c r="AA1720" s="100"/>
      <c r="AB1720" s="100"/>
      <c r="AC1720" s="100"/>
      <c r="AD1720" s="100"/>
      <c r="AE1720" s="100"/>
      <c r="AF1720" s="100"/>
      <c r="AG1720" s="100"/>
      <c r="AH1720" s="114"/>
      <c r="AI1720" s="100"/>
      <c r="AJ1720" s="100"/>
      <c r="AK1720" s="100"/>
      <c r="AL1720" s="114" t="s">
        <v>32</v>
      </c>
      <c r="AM1720" s="360"/>
      <c r="AO1720" s="412"/>
      <c r="AP1720" s="412"/>
      <c r="AQ1720" s="412"/>
      <c r="AR1720" s="412"/>
      <c r="AV1720" s="109"/>
    </row>
    <row r="1721" spans="1:48">
      <c r="A1721" s="358" t="s">
        <v>2342</v>
      </c>
      <c r="B1721" s="369">
        <v>1718</v>
      </c>
      <c r="C1721" s="358" t="s">
        <v>2515</v>
      </c>
      <c r="D1721" s="358" t="s">
        <v>2516</v>
      </c>
      <c r="E1721" s="373">
        <v>45978.375</v>
      </c>
      <c r="F1721" s="372" t="s">
        <v>140</v>
      </c>
      <c r="G1721" s="372">
        <v>15</v>
      </c>
      <c r="H1721" s="372" t="s">
        <v>1721</v>
      </c>
      <c r="I1721" s="372"/>
      <c r="J1721" s="372"/>
      <c r="K1721" s="358" t="s">
        <v>113</v>
      </c>
      <c r="L1721" s="358" t="s">
        <v>113</v>
      </c>
      <c r="M1721" s="358" t="s">
        <v>113</v>
      </c>
      <c r="N1721" s="358" t="s">
        <v>113</v>
      </c>
      <c r="O1721" s="117" t="s">
        <v>30</v>
      </c>
      <c r="P1721" s="254" t="s">
        <v>1091</v>
      </c>
      <c r="Q1721" s="24">
        <v>46024</v>
      </c>
      <c r="R1721" s="24" t="s">
        <v>67</v>
      </c>
      <c r="S1721" s="22" t="s">
        <v>32</v>
      </c>
      <c r="T1721" s="22">
        <v>15</v>
      </c>
      <c r="U1721" s="24" t="s">
        <v>67</v>
      </c>
      <c r="V1721" s="24">
        <v>46024</v>
      </c>
      <c r="W1721" s="100" t="s">
        <v>113</v>
      </c>
      <c r="X1721" s="94"/>
      <c r="Y1721" s="107"/>
      <c r="Z1721" s="100"/>
      <c r="AA1721" s="100"/>
      <c r="AB1721" s="100"/>
      <c r="AC1721" s="100"/>
      <c r="AD1721" s="100"/>
      <c r="AE1721" s="100"/>
      <c r="AF1721" s="100"/>
      <c r="AG1721" s="100"/>
      <c r="AH1721" s="114"/>
      <c r="AI1721" s="114"/>
      <c r="AJ1721" s="114"/>
      <c r="AK1721" s="114"/>
      <c r="AL1721" s="114" t="s">
        <v>32</v>
      </c>
      <c r="AM1721" s="360"/>
      <c r="AN1721" s="6">
        <v>0</v>
      </c>
      <c r="AO1721" s="6">
        <v>0</v>
      </c>
      <c r="AP1721" s="6">
        <v>15</v>
      </c>
      <c r="AQ1721" s="6">
        <v>0</v>
      </c>
      <c r="AR1721" s="6">
        <f>SUM(AN1721:AQ1721)</f>
        <v>15</v>
      </c>
      <c r="AS1721" s="108">
        <f>+AN1721/AR1721*AS$1</f>
        <v>0</v>
      </c>
      <c r="AT1721" s="109">
        <f>+AO1721/AR1721*AT$1</f>
        <v>0</v>
      </c>
      <c r="AU1721" s="109">
        <f>+AP1721/AR1721*AU$1</f>
        <v>0</v>
      </c>
      <c r="AV1721" s="109">
        <f>+AQ1721/AR1721*AV$1</f>
        <v>0</v>
      </c>
    </row>
    <row r="1722" spans="1:48">
      <c r="A1722" s="358" t="s">
        <v>2342</v>
      </c>
      <c r="B1722" s="369">
        <v>1719</v>
      </c>
      <c r="C1722" s="358" t="s">
        <v>2517</v>
      </c>
      <c r="D1722" s="358" t="s">
        <v>2518</v>
      </c>
      <c r="E1722" s="373">
        <v>45978.375</v>
      </c>
      <c r="F1722" s="372" t="s">
        <v>140</v>
      </c>
      <c r="G1722" s="372">
        <v>8</v>
      </c>
      <c r="H1722" s="372" t="s">
        <v>1721</v>
      </c>
      <c r="I1722" s="372"/>
      <c r="J1722" s="372"/>
      <c r="K1722" s="358" t="s">
        <v>113</v>
      </c>
      <c r="L1722" s="358" t="s">
        <v>113</v>
      </c>
      <c r="M1722" s="358" t="s">
        <v>113</v>
      </c>
      <c r="N1722" s="358" t="s">
        <v>113</v>
      </c>
      <c r="O1722" s="380"/>
      <c r="P1722" s="254" t="s">
        <v>1091</v>
      </c>
      <c r="Q1722" s="24">
        <v>46024</v>
      </c>
      <c r="R1722" s="24" t="s">
        <v>28</v>
      </c>
      <c r="S1722" s="22" t="s">
        <v>32</v>
      </c>
      <c r="T1722" s="22">
        <v>8</v>
      </c>
      <c r="U1722" s="24" t="s">
        <v>28</v>
      </c>
      <c r="V1722" s="24">
        <v>46024</v>
      </c>
      <c r="W1722" s="100" t="s">
        <v>113</v>
      </c>
      <c r="X1722" s="107"/>
      <c r="Y1722" s="107"/>
      <c r="Z1722" s="100"/>
      <c r="AA1722" s="100"/>
      <c r="AB1722" s="100"/>
      <c r="AC1722" s="100"/>
      <c r="AD1722" s="100"/>
      <c r="AE1722" s="100"/>
      <c r="AF1722" s="100"/>
      <c r="AG1722" s="100"/>
      <c r="AH1722" s="114"/>
      <c r="AI1722" s="114"/>
      <c r="AJ1722" s="114"/>
      <c r="AK1722" s="114"/>
      <c r="AL1722" s="114" t="s">
        <v>32</v>
      </c>
      <c r="AM1722" s="360"/>
      <c r="AV1722" s="109"/>
    </row>
    <row r="1723" spans="1:48">
      <c r="A1723" s="358" t="s">
        <v>2342</v>
      </c>
      <c r="B1723" s="369">
        <v>1720</v>
      </c>
      <c r="C1723" s="358" t="s">
        <v>2519</v>
      </c>
      <c r="D1723" s="358" t="s">
        <v>1008</v>
      </c>
      <c r="E1723" s="373">
        <v>45978.375</v>
      </c>
      <c r="F1723" s="372" t="s">
        <v>140</v>
      </c>
      <c r="G1723" s="372">
        <v>15</v>
      </c>
      <c r="H1723" s="372" t="s">
        <v>1721</v>
      </c>
      <c r="I1723" s="372"/>
      <c r="J1723" s="372"/>
      <c r="K1723" s="358" t="s">
        <v>113</v>
      </c>
      <c r="L1723" s="358" t="s">
        <v>113</v>
      </c>
      <c r="M1723" s="358" t="s">
        <v>113</v>
      </c>
      <c r="N1723" s="358" t="s">
        <v>113</v>
      </c>
      <c r="O1723" s="117" t="s">
        <v>30</v>
      </c>
      <c r="P1723" s="254" t="s">
        <v>1091</v>
      </c>
      <c r="Q1723" s="24">
        <v>46024</v>
      </c>
      <c r="R1723" s="24" t="s">
        <v>67</v>
      </c>
      <c r="S1723" s="22" t="s">
        <v>32</v>
      </c>
      <c r="T1723" s="22">
        <v>15</v>
      </c>
      <c r="U1723" s="24" t="s">
        <v>67</v>
      </c>
      <c r="V1723" s="24">
        <v>46024</v>
      </c>
      <c r="W1723" s="100" t="s">
        <v>113</v>
      </c>
      <c r="X1723" s="107"/>
      <c r="Y1723" s="107"/>
      <c r="Z1723" s="100"/>
      <c r="AA1723" s="100"/>
      <c r="AB1723" s="100"/>
      <c r="AC1723" s="100"/>
      <c r="AD1723" s="100"/>
      <c r="AE1723" s="100"/>
      <c r="AF1723" s="100"/>
      <c r="AG1723" s="100"/>
      <c r="AH1723" s="114"/>
      <c r="AI1723" s="114"/>
      <c r="AJ1723" s="114"/>
      <c r="AK1723" s="114"/>
      <c r="AL1723" s="114" t="s">
        <v>32</v>
      </c>
      <c r="AM1723" s="360"/>
      <c r="AN1723" s="6">
        <v>0</v>
      </c>
      <c r="AO1723" s="6">
        <v>0</v>
      </c>
      <c r="AP1723" s="6">
        <v>15</v>
      </c>
      <c r="AQ1723" s="6">
        <v>0</v>
      </c>
      <c r="AR1723" s="6">
        <f>SUM(AN1723:AQ1723)</f>
        <v>15</v>
      </c>
      <c r="AS1723" s="108">
        <f>+AN1723/AR1723*AS$1</f>
        <v>0</v>
      </c>
      <c r="AT1723" s="109">
        <f>+AO1723/AR1723*AT$1</f>
        <v>0</v>
      </c>
      <c r="AU1723" s="109">
        <f>+AP1723/AR1723*AU$1</f>
        <v>0</v>
      </c>
      <c r="AV1723" s="109">
        <f>+AQ1723/AR1723*AV$1</f>
        <v>0</v>
      </c>
    </row>
    <row r="1724" spans="1:48">
      <c r="A1724" s="358" t="s">
        <v>2342</v>
      </c>
      <c r="B1724" s="369">
        <v>1721</v>
      </c>
      <c r="C1724" s="358" t="s">
        <v>2520</v>
      </c>
      <c r="D1724" s="358" t="s">
        <v>1042</v>
      </c>
      <c r="E1724" s="373">
        <v>45978</v>
      </c>
      <c r="F1724" s="372" t="s">
        <v>140</v>
      </c>
      <c r="G1724" s="372">
        <v>1</v>
      </c>
      <c r="H1724" s="372" t="s">
        <v>1076</v>
      </c>
      <c r="I1724" s="372"/>
      <c r="J1724" s="372"/>
      <c r="K1724" s="358" t="s">
        <v>113</v>
      </c>
      <c r="L1724" s="358" t="s">
        <v>113</v>
      </c>
      <c r="M1724" s="358" t="s">
        <v>113</v>
      </c>
      <c r="N1724" s="358" t="s">
        <v>113</v>
      </c>
      <c r="O1724" s="380"/>
      <c r="P1724" s="254" t="s">
        <v>1091</v>
      </c>
      <c r="Q1724" s="24">
        <v>46024</v>
      </c>
      <c r="R1724" s="24" t="s">
        <v>28</v>
      </c>
      <c r="S1724" s="22" t="s">
        <v>32</v>
      </c>
      <c r="T1724" s="22">
        <v>1</v>
      </c>
      <c r="U1724" s="24" t="s">
        <v>28</v>
      </c>
      <c r="V1724" s="24">
        <v>46024</v>
      </c>
      <c r="W1724" s="100" t="s">
        <v>113</v>
      </c>
      <c r="X1724" s="107"/>
      <c r="Y1724" s="107"/>
      <c r="Z1724" s="100"/>
      <c r="AA1724" s="100"/>
      <c r="AB1724" s="100"/>
      <c r="AC1724" s="100"/>
      <c r="AD1724" s="100"/>
      <c r="AE1724" s="100"/>
      <c r="AF1724" s="100"/>
      <c r="AG1724" s="100"/>
      <c r="AH1724" s="114"/>
      <c r="AI1724" s="114"/>
      <c r="AJ1724" s="114"/>
      <c r="AK1724" s="114"/>
      <c r="AL1724" s="114" t="s">
        <v>32</v>
      </c>
      <c r="AM1724" s="360"/>
      <c r="AN1724" s="6"/>
      <c r="AO1724" s="6"/>
      <c r="AP1724" s="6"/>
      <c r="AQ1724" s="6"/>
      <c r="AR1724" s="6"/>
      <c r="AS1724" s="108"/>
      <c r="AT1724" s="109"/>
      <c r="AU1724" s="109"/>
      <c r="AV1724" s="109"/>
    </row>
    <row r="1725" spans="1:48">
      <c r="A1725" s="358" t="s">
        <v>2342</v>
      </c>
      <c r="B1725" s="369">
        <v>1722</v>
      </c>
      <c r="C1725" s="358" t="s">
        <v>2521</v>
      </c>
      <c r="D1725" s="358" t="s">
        <v>779</v>
      </c>
      <c r="E1725" s="373">
        <v>45978</v>
      </c>
      <c r="F1725" s="372" t="s">
        <v>140</v>
      </c>
      <c r="G1725" s="372">
        <v>1</v>
      </c>
      <c r="H1725" s="372" t="s">
        <v>1076</v>
      </c>
      <c r="I1725" s="372"/>
      <c r="J1725" s="372"/>
      <c r="K1725" s="358" t="s">
        <v>113</v>
      </c>
      <c r="L1725" s="358" t="s">
        <v>113</v>
      </c>
      <c r="M1725" s="358" t="s">
        <v>113</v>
      </c>
      <c r="N1725" s="358" t="s">
        <v>113</v>
      </c>
      <c r="O1725" s="380"/>
      <c r="P1725" s="380" t="s">
        <v>1091</v>
      </c>
      <c r="Q1725" s="24">
        <v>46022</v>
      </c>
      <c r="R1725" s="384" t="s">
        <v>67</v>
      </c>
      <c r="S1725" s="358" t="s">
        <v>32</v>
      </c>
      <c r="T1725" s="358">
        <v>2</v>
      </c>
      <c r="U1725" s="24" t="s">
        <v>67</v>
      </c>
      <c r="V1725" s="24">
        <v>46022</v>
      </c>
      <c r="W1725" s="100" t="s">
        <v>113</v>
      </c>
      <c r="X1725" s="107"/>
      <c r="Y1725" s="107"/>
      <c r="Z1725" s="100"/>
      <c r="AA1725" s="95"/>
      <c r="AB1725" s="100"/>
      <c r="AC1725" s="100"/>
      <c r="AD1725" s="100"/>
      <c r="AE1725" s="100"/>
      <c r="AF1725" s="100"/>
      <c r="AG1725" s="100"/>
      <c r="AH1725" s="114"/>
      <c r="AI1725" s="114"/>
      <c r="AJ1725" s="114"/>
      <c r="AK1725" s="114"/>
      <c r="AL1725" s="114" t="s">
        <v>32</v>
      </c>
      <c r="AM1725" s="360"/>
      <c r="AV1725" s="109"/>
    </row>
    <row r="1726" spans="1:48">
      <c r="A1726" s="358" t="s">
        <v>2342</v>
      </c>
      <c r="B1726" s="369">
        <v>1723</v>
      </c>
      <c r="C1726" s="358" t="s">
        <v>2522</v>
      </c>
      <c r="D1726" s="358" t="s">
        <v>2523</v>
      </c>
      <c r="E1726" s="373">
        <v>45985.375</v>
      </c>
      <c r="F1726" s="372" t="s">
        <v>140</v>
      </c>
      <c r="G1726" s="372">
        <v>4</v>
      </c>
      <c r="H1726" s="372" t="s">
        <v>2501</v>
      </c>
      <c r="I1726" s="372"/>
      <c r="J1726" s="372"/>
      <c r="K1726" s="358" t="s">
        <v>113</v>
      </c>
      <c r="L1726" s="358" t="s">
        <v>113</v>
      </c>
      <c r="M1726" s="358" t="s">
        <v>113</v>
      </c>
      <c r="N1726" s="358" t="s">
        <v>113</v>
      </c>
      <c r="O1726" s="117"/>
      <c r="P1726" s="23" t="s">
        <v>1091</v>
      </c>
      <c r="Q1726" s="24">
        <v>46022</v>
      </c>
      <c r="R1726" s="384" t="s">
        <v>67</v>
      </c>
      <c r="S1726" s="358" t="s">
        <v>32</v>
      </c>
      <c r="T1726" s="22">
        <v>11</v>
      </c>
      <c r="U1726" s="24" t="s">
        <v>67</v>
      </c>
      <c r="V1726" s="24">
        <v>46022</v>
      </c>
      <c r="W1726" s="100" t="s">
        <v>113</v>
      </c>
      <c r="X1726" s="100"/>
      <c r="Y1726" s="95"/>
      <c r="Z1726" s="100"/>
      <c r="AA1726" s="100"/>
      <c r="AB1726" s="100"/>
      <c r="AC1726" s="100"/>
      <c r="AD1726" s="100"/>
      <c r="AE1726" s="100"/>
      <c r="AF1726" s="100"/>
      <c r="AG1726" s="100"/>
      <c r="AH1726" s="114"/>
      <c r="AI1726" s="100"/>
      <c r="AJ1726" s="100"/>
      <c r="AK1726" s="100"/>
      <c r="AL1726" s="114" t="s">
        <v>32</v>
      </c>
      <c r="AM1726" s="360"/>
      <c r="AN1726" s="91"/>
      <c r="AO1726" s="91"/>
      <c r="AS1726" s="72"/>
      <c r="AT1726" s="96"/>
      <c r="AU1726" s="96"/>
      <c r="AV1726" s="109"/>
    </row>
    <row r="1727" spans="1:48">
      <c r="A1727" s="358" t="s">
        <v>2342</v>
      </c>
      <c r="B1727" s="369">
        <v>1724</v>
      </c>
      <c r="C1727" s="358" t="s">
        <v>2524</v>
      </c>
      <c r="D1727" s="358" t="s">
        <v>2525</v>
      </c>
      <c r="E1727" s="373">
        <v>45985.375</v>
      </c>
      <c r="F1727" s="372" t="s">
        <v>140</v>
      </c>
      <c r="G1727" s="372">
        <v>1</v>
      </c>
      <c r="H1727" s="372" t="s">
        <v>127</v>
      </c>
      <c r="I1727" s="372"/>
      <c r="J1727" s="372"/>
      <c r="K1727" s="358" t="s">
        <v>113</v>
      </c>
      <c r="L1727" s="358" t="s">
        <v>113</v>
      </c>
      <c r="M1727" s="358" t="s">
        <v>113</v>
      </c>
      <c r="N1727" s="358" t="s">
        <v>113</v>
      </c>
      <c r="O1727" s="380"/>
      <c r="P1727" s="254" t="s">
        <v>1091</v>
      </c>
      <c r="Q1727" s="24">
        <v>46024</v>
      </c>
      <c r="R1727" s="24" t="s">
        <v>28</v>
      </c>
      <c r="S1727" s="22" t="s">
        <v>32</v>
      </c>
      <c r="T1727" s="22">
        <v>1</v>
      </c>
      <c r="U1727" s="24" t="s">
        <v>28</v>
      </c>
      <c r="V1727" s="24">
        <v>46024</v>
      </c>
      <c r="W1727" s="100" t="s">
        <v>113</v>
      </c>
      <c r="X1727" s="107"/>
      <c r="Y1727" s="95"/>
      <c r="Z1727" s="100"/>
      <c r="AA1727" s="100"/>
      <c r="AB1727" s="100"/>
      <c r="AC1727" s="100"/>
      <c r="AD1727" s="100"/>
      <c r="AE1727" s="100"/>
      <c r="AF1727" s="100"/>
      <c r="AG1727" s="100"/>
      <c r="AH1727" s="114"/>
      <c r="AI1727" s="114"/>
      <c r="AJ1727" s="114"/>
      <c r="AK1727" s="114"/>
      <c r="AL1727" s="114" t="s">
        <v>32</v>
      </c>
      <c r="AM1727" s="360"/>
      <c r="AS1727" s="72"/>
      <c r="AT1727" s="96"/>
      <c r="AU1727" s="96"/>
      <c r="AV1727" s="109"/>
    </row>
    <row r="1728" spans="1:48">
      <c r="A1728" s="358" t="s">
        <v>2342</v>
      </c>
      <c r="B1728" s="369">
        <v>1725</v>
      </c>
      <c r="C1728" s="358" t="s">
        <v>2526</v>
      </c>
      <c r="D1728" s="358" t="s">
        <v>2527</v>
      </c>
      <c r="E1728" s="373">
        <v>45985.041666666664</v>
      </c>
      <c r="F1728" s="372" t="s">
        <v>140</v>
      </c>
      <c r="G1728" s="372">
        <v>2</v>
      </c>
      <c r="H1728" s="372" t="s">
        <v>127</v>
      </c>
      <c r="I1728" s="372"/>
      <c r="J1728" s="372"/>
      <c r="K1728" s="358" t="s">
        <v>113</v>
      </c>
      <c r="L1728" s="358" t="s">
        <v>113</v>
      </c>
      <c r="M1728" s="358" t="s">
        <v>113</v>
      </c>
      <c r="N1728" s="358" t="s">
        <v>113</v>
      </c>
      <c r="O1728" s="380"/>
      <c r="P1728" s="254" t="s">
        <v>1091</v>
      </c>
      <c r="Q1728" s="24">
        <v>46024</v>
      </c>
      <c r="R1728" s="24" t="s">
        <v>28</v>
      </c>
      <c r="S1728" s="22" t="s">
        <v>32</v>
      </c>
      <c r="T1728" s="22">
        <v>2</v>
      </c>
      <c r="U1728" s="24" t="s">
        <v>28</v>
      </c>
      <c r="V1728" s="24">
        <v>46024</v>
      </c>
      <c r="W1728" s="100" t="s">
        <v>113</v>
      </c>
      <c r="X1728" s="107"/>
      <c r="Y1728" s="107"/>
      <c r="Z1728" s="100"/>
      <c r="AA1728" s="95"/>
      <c r="AB1728" s="100"/>
      <c r="AC1728" s="100"/>
      <c r="AD1728" s="100"/>
      <c r="AE1728" s="100"/>
      <c r="AF1728" s="100"/>
      <c r="AG1728" s="100"/>
      <c r="AH1728" s="114"/>
      <c r="AI1728" s="114"/>
      <c r="AJ1728" s="114"/>
      <c r="AK1728" s="114"/>
      <c r="AL1728" s="114" t="s">
        <v>32</v>
      </c>
      <c r="AM1728" s="360"/>
      <c r="AN1728" s="91"/>
      <c r="AO1728" s="91"/>
      <c r="AS1728" s="72"/>
      <c r="AT1728" s="96"/>
      <c r="AU1728" s="96"/>
      <c r="AV1728" s="109"/>
    </row>
    <row r="1729" spans="1:48">
      <c r="A1729" s="358" t="s">
        <v>2342</v>
      </c>
      <c r="B1729" s="369">
        <v>1726</v>
      </c>
      <c r="C1729" s="358" t="s">
        <v>2528</v>
      </c>
      <c r="D1729" s="358" t="s">
        <v>2529</v>
      </c>
      <c r="E1729" s="373">
        <v>45985.375</v>
      </c>
      <c r="F1729" s="372" t="s">
        <v>140</v>
      </c>
      <c r="G1729" s="372">
        <v>2</v>
      </c>
      <c r="H1729" s="372" t="s">
        <v>1076</v>
      </c>
      <c r="I1729" s="372"/>
      <c r="J1729" s="372"/>
      <c r="K1729" s="358" t="s">
        <v>113</v>
      </c>
      <c r="L1729" s="358" t="s">
        <v>113</v>
      </c>
      <c r="M1729" s="358" t="s">
        <v>113</v>
      </c>
      <c r="N1729" s="358" t="s">
        <v>113</v>
      </c>
      <c r="O1729" s="380"/>
      <c r="P1729" s="254" t="s">
        <v>1091</v>
      </c>
      <c r="Q1729" s="24">
        <v>46024</v>
      </c>
      <c r="R1729" s="24" t="s">
        <v>28</v>
      </c>
      <c r="S1729" s="22" t="s">
        <v>32</v>
      </c>
      <c r="T1729" s="22">
        <v>2</v>
      </c>
      <c r="U1729" s="24" t="s">
        <v>28</v>
      </c>
      <c r="V1729" s="24">
        <v>46024</v>
      </c>
      <c r="W1729" s="100" t="s">
        <v>113</v>
      </c>
      <c r="X1729" s="107"/>
      <c r="Y1729" s="107"/>
      <c r="Z1729" s="100"/>
      <c r="AA1729" s="100"/>
      <c r="AB1729" s="100"/>
      <c r="AC1729" s="100"/>
      <c r="AD1729" s="100"/>
      <c r="AE1729" s="100"/>
      <c r="AF1729" s="100"/>
      <c r="AG1729" s="100"/>
      <c r="AH1729" s="114"/>
      <c r="AI1729" s="114"/>
      <c r="AJ1729" s="114"/>
      <c r="AK1729" s="114"/>
      <c r="AL1729" s="114" t="s">
        <v>32</v>
      </c>
      <c r="AM1729" s="360"/>
      <c r="AS1729" s="72"/>
      <c r="AT1729" s="96"/>
      <c r="AU1729" s="96"/>
      <c r="AV1729" s="109"/>
    </row>
    <row r="1730" spans="1:48">
      <c r="A1730" s="358" t="s">
        <v>2342</v>
      </c>
      <c r="B1730" s="369">
        <v>1727</v>
      </c>
      <c r="C1730" s="358" t="s">
        <v>2530</v>
      </c>
      <c r="D1730" s="358" t="s">
        <v>1184</v>
      </c>
      <c r="E1730" s="373">
        <v>45985</v>
      </c>
      <c r="F1730" s="372" t="s">
        <v>140</v>
      </c>
      <c r="G1730" s="372">
        <v>8</v>
      </c>
      <c r="H1730" s="372" t="s">
        <v>1076</v>
      </c>
      <c r="I1730" s="372"/>
      <c r="J1730" s="372"/>
      <c r="K1730" s="358" t="s">
        <v>113</v>
      </c>
      <c r="L1730" s="358" t="s">
        <v>113</v>
      </c>
      <c r="M1730" s="358" t="s">
        <v>113</v>
      </c>
      <c r="N1730" s="358" t="s">
        <v>113</v>
      </c>
      <c r="O1730" s="117"/>
      <c r="P1730" s="254" t="s">
        <v>1091</v>
      </c>
      <c r="Q1730" s="24">
        <v>46024</v>
      </c>
      <c r="R1730" s="24" t="s">
        <v>28</v>
      </c>
      <c r="S1730" s="22" t="s">
        <v>32</v>
      </c>
      <c r="T1730" s="22">
        <v>8</v>
      </c>
      <c r="U1730" s="24" t="s">
        <v>28</v>
      </c>
      <c r="V1730" s="24">
        <v>46024</v>
      </c>
      <c r="W1730" s="100" t="s">
        <v>113</v>
      </c>
      <c r="X1730" s="107"/>
      <c r="Y1730" s="107"/>
      <c r="Z1730" s="100"/>
      <c r="AA1730" s="100"/>
      <c r="AB1730" s="100"/>
      <c r="AC1730" s="100"/>
      <c r="AD1730" s="100"/>
      <c r="AE1730" s="100"/>
      <c r="AF1730" s="100"/>
      <c r="AG1730" s="100"/>
      <c r="AH1730" s="114"/>
      <c r="AI1730" s="114"/>
      <c r="AJ1730" s="114"/>
      <c r="AK1730" s="114"/>
      <c r="AL1730" s="114" t="s">
        <v>32</v>
      </c>
      <c r="AM1730" s="360"/>
      <c r="AV1730" s="109"/>
    </row>
    <row r="1731" spans="1:48">
      <c r="A1731" s="358" t="s">
        <v>2342</v>
      </c>
      <c r="B1731" s="369">
        <v>1728</v>
      </c>
      <c r="C1731" s="358" t="s">
        <v>2531</v>
      </c>
      <c r="D1731" s="358" t="s">
        <v>1178</v>
      </c>
      <c r="E1731" s="373">
        <v>45985.041666666664</v>
      </c>
      <c r="F1731" s="372" t="s">
        <v>140</v>
      </c>
      <c r="G1731" s="372">
        <v>6</v>
      </c>
      <c r="H1731" s="372" t="s">
        <v>2501</v>
      </c>
      <c r="I1731" s="372"/>
      <c r="J1731" s="372"/>
      <c r="K1731" s="358" t="s">
        <v>113</v>
      </c>
      <c r="L1731" s="358" t="s">
        <v>113</v>
      </c>
      <c r="M1731" s="358" t="s">
        <v>113</v>
      </c>
      <c r="N1731" s="358" t="s">
        <v>113</v>
      </c>
      <c r="O1731" s="380"/>
      <c r="P1731" s="254" t="s">
        <v>1091</v>
      </c>
      <c r="Q1731" s="24">
        <v>46024</v>
      </c>
      <c r="R1731" s="24" t="s">
        <v>28</v>
      </c>
      <c r="S1731" s="22" t="s">
        <v>32</v>
      </c>
      <c r="T1731" s="22">
        <v>6</v>
      </c>
      <c r="U1731" s="24" t="s">
        <v>28</v>
      </c>
      <c r="V1731" s="24">
        <v>46024</v>
      </c>
      <c r="W1731" s="100" t="s">
        <v>113</v>
      </c>
      <c r="X1731" s="107"/>
      <c r="Y1731" s="107"/>
      <c r="Z1731" s="100"/>
      <c r="AA1731" s="95"/>
      <c r="AB1731" s="100"/>
      <c r="AC1731" s="100"/>
      <c r="AD1731" s="100"/>
      <c r="AE1731" s="100"/>
      <c r="AF1731" s="100"/>
      <c r="AG1731" s="100"/>
      <c r="AH1731" s="114"/>
      <c r="AI1731" s="114"/>
      <c r="AJ1731" s="114"/>
      <c r="AK1731" s="114"/>
      <c r="AL1731" s="114" t="s">
        <v>32</v>
      </c>
      <c r="AM1731" s="360"/>
      <c r="AS1731" s="72"/>
      <c r="AT1731" s="96"/>
      <c r="AU1731" s="96"/>
      <c r="AV1731" s="109"/>
    </row>
    <row r="1732" spans="1:48">
      <c r="A1732" s="358" t="s">
        <v>2342</v>
      </c>
      <c r="B1732" s="369">
        <v>1729</v>
      </c>
      <c r="C1732" s="358" t="s">
        <v>2532</v>
      </c>
      <c r="D1732" s="358" t="s">
        <v>2533</v>
      </c>
      <c r="E1732" s="373">
        <v>45985.375</v>
      </c>
      <c r="F1732" s="372" t="s">
        <v>140</v>
      </c>
      <c r="G1732" s="372">
        <v>5</v>
      </c>
      <c r="H1732" s="372" t="s">
        <v>1721</v>
      </c>
      <c r="I1732" s="372"/>
      <c r="J1732" s="372"/>
      <c r="K1732" s="358" t="s">
        <v>113</v>
      </c>
      <c r="L1732" s="358" t="s">
        <v>113</v>
      </c>
      <c r="M1732" s="358" t="s">
        <v>113</v>
      </c>
      <c r="N1732" s="358" t="s">
        <v>113</v>
      </c>
      <c r="O1732" s="380"/>
      <c r="P1732" s="254" t="s">
        <v>1091</v>
      </c>
      <c r="Q1732" s="24">
        <v>46024</v>
      </c>
      <c r="R1732" s="24" t="s">
        <v>28</v>
      </c>
      <c r="S1732" s="22" t="s">
        <v>32</v>
      </c>
      <c r="T1732" s="22">
        <v>5</v>
      </c>
      <c r="U1732" s="24" t="s">
        <v>28</v>
      </c>
      <c r="V1732" s="24">
        <v>46024</v>
      </c>
      <c r="W1732" s="100" t="s">
        <v>113</v>
      </c>
      <c r="X1732" s="107"/>
      <c r="Y1732" s="107"/>
      <c r="Z1732" s="107"/>
      <c r="AA1732" s="107"/>
      <c r="AB1732" s="107"/>
      <c r="AC1732" s="100"/>
      <c r="AD1732" s="100"/>
      <c r="AE1732" s="100"/>
      <c r="AF1732" s="100"/>
      <c r="AG1732" s="100"/>
      <c r="AH1732" s="114"/>
      <c r="AI1732" s="114"/>
      <c r="AJ1732" s="114"/>
      <c r="AK1732" s="114"/>
      <c r="AL1732" s="114" t="s">
        <v>32</v>
      </c>
      <c r="AM1732" s="360" t="s">
        <v>2300</v>
      </c>
      <c r="AS1732" s="72"/>
      <c r="AT1732" s="96"/>
      <c r="AU1732" s="96"/>
      <c r="AV1732" s="109"/>
    </row>
    <row r="1733" spans="1:48">
      <c r="A1733" s="358" t="s">
        <v>2342</v>
      </c>
      <c r="B1733" s="369">
        <v>1730</v>
      </c>
      <c r="C1733" s="358" t="s">
        <v>2534</v>
      </c>
      <c r="D1733" s="358" t="s">
        <v>989</v>
      </c>
      <c r="E1733" s="373">
        <v>45985</v>
      </c>
      <c r="F1733" s="372" t="s">
        <v>140</v>
      </c>
      <c r="G1733" s="372">
        <v>6</v>
      </c>
      <c r="H1733" s="372" t="s">
        <v>1076</v>
      </c>
      <c r="I1733" s="372"/>
      <c r="J1733" s="372"/>
      <c r="K1733" s="358" t="s">
        <v>113</v>
      </c>
      <c r="L1733" s="358" t="s">
        <v>113</v>
      </c>
      <c r="M1733" s="358" t="s">
        <v>113</v>
      </c>
      <c r="N1733" s="358" t="s">
        <v>113</v>
      </c>
      <c r="O1733" s="380"/>
      <c r="P1733" s="254" t="s">
        <v>1091</v>
      </c>
      <c r="Q1733" s="24">
        <v>46024</v>
      </c>
      <c r="R1733" s="24" t="s">
        <v>28</v>
      </c>
      <c r="S1733" s="22" t="s">
        <v>32</v>
      </c>
      <c r="T1733" s="22">
        <v>6</v>
      </c>
      <c r="U1733" s="24" t="s">
        <v>28</v>
      </c>
      <c r="V1733" s="24">
        <v>46024</v>
      </c>
      <c r="W1733" s="100" t="s">
        <v>113</v>
      </c>
      <c r="X1733" s="107"/>
      <c r="Y1733" s="107"/>
      <c r="Z1733" s="100"/>
      <c r="AA1733" s="100"/>
      <c r="AB1733" s="100"/>
      <c r="AC1733" s="100"/>
      <c r="AD1733" s="100"/>
      <c r="AE1733" s="100"/>
      <c r="AF1733" s="100"/>
      <c r="AG1733" s="100"/>
      <c r="AH1733" s="114"/>
      <c r="AI1733" s="114"/>
      <c r="AJ1733" s="114"/>
      <c r="AK1733" s="114"/>
      <c r="AL1733" s="114" t="s">
        <v>32</v>
      </c>
      <c r="AM1733" s="360"/>
      <c r="AS1733" s="72"/>
      <c r="AT1733" s="96"/>
      <c r="AU1733" s="96"/>
      <c r="AV1733" s="109"/>
    </row>
    <row r="1734" spans="1:48">
      <c r="A1734" s="358" t="s">
        <v>2342</v>
      </c>
      <c r="B1734" s="369">
        <v>1731</v>
      </c>
      <c r="C1734" s="358" t="s">
        <v>2535</v>
      </c>
      <c r="D1734" s="358" t="s">
        <v>1406</v>
      </c>
      <c r="E1734" s="373">
        <v>45985</v>
      </c>
      <c r="F1734" s="372" t="s">
        <v>140</v>
      </c>
      <c r="G1734" s="372">
        <v>7</v>
      </c>
      <c r="H1734" s="372" t="s">
        <v>1076</v>
      </c>
      <c r="I1734" s="372"/>
      <c r="J1734" s="372"/>
      <c r="K1734" s="358" t="s">
        <v>113</v>
      </c>
      <c r="L1734" s="358" t="s">
        <v>113</v>
      </c>
      <c r="M1734" s="358" t="s">
        <v>113</v>
      </c>
      <c r="N1734" s="358" t="s">
        <v>113</v>
      </c>
      <c r="O1734" s="380"/>
      <c r="P1734" s="254" t="s">
        <v>1091</v>
      </c>
      <c r="Q1734" s="24">
        <v>46024</v>
      </c>
      <c r="R1734" s="24" t="s">
        <v>28</v>
      </c>
      <c r="S1734" s="22" t="s">
        <v>32</v>
      </c>
      <c r="T1734" s="22">
        <v>7</v>
      </c>
      <c r="U1734" s="24" t="s">
        <v>28</v>
      </c>
      <c r="V1734" s="24">
        <v>46024</v>
      </c>
      <c r="W1734" s="100" t="s">
        <v>113</v>
      </c>
      <c r="X1734" s="100"/>
      <c r="Y1734" s="107"/>
      <c r="Z1734" s="100"/>
      <c r="AA1734" s="100"/>
      <c r="AB1734" s="100"/>
      <c r="AC1734" s="100"/>
      <c r="AD1734" s="100"/>
      <c r="AE1734" s="100"/>
      <c r="AF1734" s="100"/>
      <c r="AG1734" s="100"/>
      <c r="AH1734" s="114"/>
      <c r="AI1734" s="114"/>
      <c r="AJ1734" s="114"/>
      <c r="AK1734" s="114"/>
      <c r="AL1734" s="114" t="s">
        <v>32</v>
      </c>
      <c r="AM1734" s="360"/>
      <c r="AS1734" s="96"/>
      <c r="AT1734" s="96"/>
      <c r="AU1734" s="96"/>
      <c r="AV1734" s="109"/>
    </row>
    <row r="1735" spans="1:48">
      <c r="A1735" s="358" t="s">
        <v>2342</v>
      </c>
      <c r="B1735" s="369">
        <v>1732</v>
      </c>
      <c r="C1735" s="358" t="s">
        <v>2536</v>
      </c>
      <c r="D1735" s="358" t="s">
        <v>865</v>
      </c>
      <c r="E1735" s="373">
        <v>45985</v>
      </c>
      <c r="F1735" s="372" t="s">
        <v>140</v>
      </c>
      <c r="G1735" s="372">
        <v>3</v>
      </c>
      <c r="H1735" s="372" t="s">
        <v>1076</v>
      </c>
      <c r="I1735" s="372"/>
      <c r="J1735" s="372"/>
      <c r="K1735" s="358" t="s">
        <v>113</v>
      </c>
      <c r="L1735" s="358" t="s">
        <v>113</v>
      </c>
      <c r="M1735" s="358" t="s">
        <v>113</v>
      </c>
      <c r="N1735" s="358" t="s">
        <v>113</v>
      </c>
      <c r="O1735" s="380"/>
      <c r="P1735" s="254" t="s">
        <v>1091</v>
      </c>
      <c r="Q1735" s="24">
        <v>46024</v>
      </c>
      <c r="R1735" s="24" t="s">
        <v>28</v>
      </c>
      <c r="S1735" s="22" t="s">
        <v>32</v>
      </c>
      <c r="T1735" s="22">
        <v>3</v>
      </c>
      <c r="U1735" s="24" t="s">
        <v>28</v>
      </c>
      <c r="V1735" s="24">
        <v>46024</v>
      </c>
      <c r="W1735" s="100" t="s">
        <v>113</v>
      </c>
      <c r="X1735" s="107"/>
      <c r="Y1735" s="107"/>
      <c r="Z1735" s="100"/>
      <c r="AA1735" s="107"/>
      <c r="AB1735" s="100"/>
      <c r="AC1735" s="100"/>
      <c r="AD1735" s="100"/>
      <c r="AE1735" s="100"/>
      <c r="AF1735" s="100"/>
      <c r="AG1735" s="100"/>
      <c r="AH1735" s="114"/>
      <c r="AI1735" s="114"/>
      <c r="AJ1735" s="114"/>
      <c r="AK1735" s="114"/>
      <c r="AL1735" s="114" t="s">
        <v>32</v>
      </c>
      <c r="AM1735" s="360"/>
      <c r="AS1735" s="96"/>
      <c r="AT1735" s="96"/>
      <c r="AU1735" s="96"/>
      <c r="AV1735" s="109"/>
    </row>
    <row r="1736" spans="1:48">
      <c r="A1736" s="358" t="s">
        <v>2342</v>
      </c>
      <c r="B1736" s="369">
        <v>1733</v>
      </c>
      <c r="C1736" s="358" t="s">
        <v>2537</v>
      </c>
      <c r="D1736" s="358" t="s">
        <v>1393</v>
      </c>
      <c r="E1736" s="373">
        <v>45985.375</v>
      </c>
      <c r="F1736" s="372" t="s">
        <v>140</v>
      </c>
      <c r="G1736" s="372">
        <v>4</v>
      </c>
      <c r="H1736" s="372" t="s">
        <v>1076</v>
      </c>
      <c r="I1736" s="372"/>
      <c r="J1736" s="372"/>
      <c r="K1736" s="358" t="s">
        <v>113</v>
      </c>
      <c r="L1736" s="358" t="s">
        <v>113</v>
      </c>
      <c r="M1736" s="358" t="s">
        <v>113</v>
      </c>
      <c r="N1736" s="358" t="s">
        <v>113</v>
      </c>
      <c r="O1736" s="380"/>
      <c r="P1736" s="254" t="s">
        <v>1091</v>
      </c>
      <c r="Q1736" s="24">
        <v>46024</v>
      </c>
      <c r="R1736" s="24" t="s">
        <v>28</v>
      </c>
      <c r="S1736" s="22" t="s">
        <v>32</v>
      </c>
      <c r="T1736" s="22">
        <v>4</v>
      </c>
      <c r="U1736" s="24" t="s">
        <v>28</v>
      </c>
      <c r="V1736" s="24">
        <v>46024</v>
      </c>
      <c r="W1736" s="100" t="s">
        <v>113</v>
      </c>
      <c r="X1736" s="107"/>
      <c r="Y1736" s="107"/>
      <c r="Z1736" s="100"/>
      <c r="AA1736" s="100"/>
      <c r="AB1736" s="100"/>
      <c r="AC1736" s="100"/>
      <c r="AD1736" s="100"/>
      <c r="AE1736" s="100"/>
      <c r="AF1736" s="100"/>
      <c r="AG1736" s="100"/>
      <c r="AH1736" s="114"/>
      <c r="AI1736" s="114"/>
      <c r="AJ1736" s="114"/>
      <c r="AK1736" s="114"/>
      <c r="AL1736" s="114" t="s">
        <v>32</v>
      </c>
      <c r="AM1736" s="360"/>
      <c r="AO1736" s="89"/>
      <c r="AP1736" s="89"/>
      <c r="AQ1736" s="89"/>
      <c r="AR1736" s="88"/>
      <c r="AS1736" s="96"/>
      <c r="AT1736" s="96"/>
      <c r="AU1736" s="96"/>
      <c r="AV1736" s="109"/>
    </row>
    <row r="1737" spans="1:48">
      <c r="A1737" s="358" t="s">
        <v>24</v>
      </c>
      <c r="B1737" s="369">
        <v>1734</v>
      </c>
      <c r="C1737" s="372" t="s">
        <v>2538</v>
      </c>
      <c r="D1737" s="372" t="s">
        <v>403</v>
      </c>
      <c r="E1737" s="373">
        <v>45993</v>
      </c>
      <c r="F1737" s="372" t="s">
        <v>106</v>
      </c>
      <c r="G1737" s="372">
        <v>6</v>
      </c>
      <c r="H1737" s="372" t="s">
        <v>1721</v>
      </c>
      <c r="I1737" s="372" t="s">
        <v>1638</v>
      </c>
      <c r="J1737" s="372"/>
      <c r="K1737" s="358" t="s">
        <v>2056</v>
      </c>
      <c r="L1737" s="358" t="s">
        <v>2093</v>
      </c>
      <c r="M1737" s="358" t="s">
        <v>2200</v>
      </c>
      <c r="N1737" s="141" t="s">
        <v>2050</v>
      </c>
      <c r="O1737" s="380"/>
      <c r="P1737" s="380" t="s">
        <v>30</v>
      </c>
      <c r="Q1737" s="380">
        <v>46049</v>
      </c>
      <c r="R1737" s="384" t="s">
        <v>1638</v>
      </c>
      <c r="S1737" s="358" t="s">
        <v>32</v>
      </c>
      <c r="T1737" s="358">
        <v>7</v>
      </c>
      <c r="U1737" s="384" t="s">
        <v>1638</v>
      </c>
      <c r="V1737" s="380">
        <v>46049</v>
      </c>
      <c r="W1737" s="100" t="s">
        <v>30</v>
      </c>
      <c r="X1737" s="100" t="s">
        <v>30</v>
      </c>
      <c r="Y1737" s="100" t="s">
        <v>30</v>
      </c>
      <c r="Z1737" s="100" t="s">
        <v>30</v>
      </c>
      <c r="AA1737" s="100" t="s">
        <v>30</v>
      </c>
      <c r="AB1737" s="100" t="s">
        <v>30</v>
      </c>
      <c r="AC1737" s="100" t="s">
        <v>30</v>
      </c>
      <c r="AD1737" s="100" t="s">
        <v>30</v>
      </c>
      <c r="AE1737" s="100" t="s">
        <v>30</v>
      </c>
      <c r="AF1737" s="100" t="s">
        <v>30</v>
      </c>
      <c r="AG1737" s="100" t="s">
        <v>30</v>
      </c>
      <c r="AH1737" s="100" t="s">
        <v>30</v>
      </c>
      <c r="AI1737" s="100" t="s">
        <v>30</v>
      </c>
      <c r="AJ1737" s="100" t="s">
        <v>30</v>
      </c>
      <c r="AK1737" s="100" t="s">
        <v>30</v>
      </c>
      <c r="AL1737" s="95" t="s">
        <v>32</v>
      </c>
      <c r="AM1737" s="360"/>
      <c r="AO1737" s="412"/>
      <c r="AP1737" s="412"/>
      <c r="AQ1737" s="412"/>
      <c r="AR1737" s="412"/>
    </row>
    <row r="1738" spans="1:48">
      <c r="A1738" s="358" t="s">
        <v>24</v>
      </c>
      <c r="B1738" s="369">
        <v>1735</v>
      </c>
      <c r="C1738" s="372" t="s">
        <v>2539</v>
      </c>
      <c r="D1738" s="372" t="s">
        <v>34</v>
      </c>
      <c r="E1738" s="373">
        <v>45993</v>
      </c>
      <c r="F1738" s="372" t="s">
        <v>412</v>
      </c>
      <c r="G1738" s="372">
        <v>10</v>
      </c>
      <c r="H1738" s="372" t="s">
        <v>1077</v>
      </c>
      <c r="I1738" s="372" t="s">
        <v>1138</v>
      </c>
      <c r="J1738" s="372"/>
      <c r="K1738" s="358" t="s">
        <v>2052</v>
      </c>
      <c r="L1738" s="358" t="s">
        <v>2299</v>
      </c>
      <c r="M1738" s="358" t="s">
        <v>2299</v>
      </c>
      <c r="N1738" s="358" t="s">
        <v>2050</v>
      </c>
      <c r="O1738" s="380"/>
      <c r="P1738" s="380" t="s">
        <v>30</v>
      </c>
      <c r="Q1738" s="380">
        <v>46028</v>
      </c>
      <c r="R1738" s="384" t="s">
        <v>1138</v>
      </c>
      <c r="S1738" s="358" t="s">
        <v>32</v>
      </c>
      <c r="T1738" s="358">
        <v>6</v>
      </c>
      <c r="U1738" s="384" t="s">
        <v>1138</v>
      </c>
      <c r="V1738" s="380">
        <v>46028</v>
      </c>
      <c r="W1738" s="100" t="s">
        <v>30</v>
      </c>
      <c r="X1738" s="95" t="s">
        <v>32</v>
      </c>
      <c r="Y1738" s="100" t="s">
        <v>30</v>
      </c>
      <c r="Z1738" s="100" t="s">
        <v>30</v>
      </c>
      <c r="AA1738" s="100" t="s">
        <v>30</v>
      </c>
      <c r="AB1738" s="100" t="s">
        <v>30</v>
      </c>
      <c r="AC1738" s="100" t="s">
        <v>30</v>
      </c>
      <c r="AD1738" s="100" t="s">
        <v>30</v>
      </c>
      <c r="AE1738" s="100" t="s">
        <v>30</v>
      </c>
      <c r="AF1738" s="100" t="s">
        <v>30</v>
      </c>
      <c r="AG1738" s="100" t="s">
        <v>30</v>
      </c>
      <c r="AH1738" s="100" t="s">
        <v>30</v>
      </c>
      <c r="AI1738" s="100" t="s">
        <v>30</v>
      </c>
      <c r="AJ1738" s="100" t="s">
        <v>30</v>
      </c>
      <c r="AK1738" s="100" t="s">
        <v>30</v>
      </c>
      <c r="AL1738" s="95"/>
      <c r="AM1738" s="360"/>
      <c r="AO1738" s="412"/>
      <c r="AP1738" s="412"/>
      <c r="AQ1738" s="412"/>
      <c r="AR1738" s="412"/>
    </row>
    <row r="1739" spans="1:48">
      <c r="A1739" s="358" t="s">
        <v>24</v>
      </c>
      <c r="B1739" s="369">
        <v>1736</v>
      </c>
      <c r="C1739" s="372" t="s">
        <v>2540</v>
      </c>
      <c r="D1739" s="372" t="s">
        <v>1746</v>
      </c>
      <c r="E1739" s="373">
        <v>45994</v>
      </c>
      <c r="F1739" s="372" t="s">
        <v>110</v>
      </c>
      <c r="G1739" s="372">
        <v>12</v>
      </c>
      <c r="H1739" s="372" t="s">
        <v>1077</v>
      </c>
      <c r="I1739" s="372" t="s">
        <v>1138</v>
      </c>
      <c r="J1739" s="372"/>
      <c r="K1739" s="358" t="s">
        <v>2096</v>
      </c>
      <c r="L1739" s="358" t="s">
        <v>2541</v>
      </c>
      <c r="M1739" s="358" t="s">
        <v>2541</v>
      </c>
      <c r="N1739" s="358" t="s">
        <v>110</v>
      </c>
      <c r="O1739" s="117"/>
      <c r="P1739" s="380" t="s">
        <v>30</v>
      </c>
      <c r="Q1739" s="380">
        <v>46044</v>
      </c>
      <c r="R1739" s="384" t="s">
        <v>1138</v>
      </c>
      <c r="S1739" s="358" t="s">
        <v>32</v>
      </c>
      <c r="T1739" s="358">
        <v>12</v>
      </c>
      <c r="U1739" s="384" t="s">
        <v>1138</v>
      </c>
      <c r="V1739" s="380">
        <v>46044</v>
      </c>
      <c r="W1739" s="82" t="s">
        <v>113</v>
      </c>
      <c r="X1739" s="95" t="s">
        <v>32</v>
      </c>
      <c r="Y1739" s="95"/>
      <c r="Z1739" s="111" t="s">
        <v>30</v>
      </c>
      <c r="AA1739" s="111" t="s">
        <v>30</v>
      </c>
      <c r="AB1739" s="111" t="s">
        <v>30</v>
      </c>
      <c r="AC1739" s="111" t="s">
        <v>30</v>
      </c>
      <c r="AD1739" s="111" t="s">
        <v>30</v>
      </c>
      <c r="AE1739" s="111" t="s">
        <v>30</v>
      </c>
      <c r="AF1739" s="95" t="s">
        <v>32</v>
      </c>
      <c r="AG1739" s="95" t="s">
        <v>32</v>
      </c>
      <c r="AH1739" s="114"/>
      <c r="AI1739" s="111" t="s">
        <v>30</v>
      </c>
      <c r="AJ1739" s="111" t="s">
        <v>30</v>
      </c>
      <c r="AK1739" s="111" t="s">
        <v>30</v>
      </c>
      <c r="AL1739" s="95"/>
      <c r="AM1739" s="360"/>
      <c r="AO1739" s="412"/>
      <c r="AP1739" s="412"/>
      <c r="AQ1739" s="412"/>
      <c r="AR1739" s="412"/>
    </row>
    <row r="1740" spans="1:48">
      <c r="A1740" s="358" t="s">
        <v>24</v>
      </c>
      <c r="B1740" s="369">
        <v>1737</v>
      </c>
      <c r="C1740" s="372" t="s">
        <v>2542</v>
      </c>
      <c r="D1740" s="372" t="s">
        <v>446</v>
      </c>
      <c r="E1740" s="373">
        <v>45994</v>
      </c>
      <c r="F1740" s="372" t="s">
        <v>202</v>
      </c>
      <c r="G1740" s="372">
        <v>13</v>
      </c>
      <c r="H1740" s="372" t="s">
        <v>127</v>
      </c>
      <c r="I1740" s="372" t="s">
        <v>178</v>
      </c>
      <c r="J1740" s="372"/>
      <c r="K1740" s="358" t="s">
        <v>2222</v>
      </c>
      <c r="L1740" s="358" t="s">
        <v>2541</v>
      </c>
      <c r="M1740" s="358" t="s">
        <v>2541</v>
      </c>
      <c r="N1740" s="358" t="s">
        <v>2058</v>
      </c>
      <c r="O1740" s="117"/>
      <c r="P1740" s="380" t="s">
        <v>30</v>
      </c>
      <c r="Q1740" s="380">
        <v>46030</v>
      </c>
      <c r="R1740" s="24" t="s">
        <v>28</v>
      </c>
      <c r="S1740" s="358" t="s">
        <v>32</v>
      </c>
      <c r="T1740" s="358">
        <v>12</v>
      </c>
      <c r="U1740" s="384" t="s">
        <v>28</v>
      </c>
      <c r="V1740" s="380">
        <v>46030</v>
      </c>
      <c r="W1740" s="100" t="s">
        <v>30</v>
      </c>
      <c r="X1740" s="111" t="s">
        <v>30</v>
      </c>
      <c r="Y1740" s="100" t="s">
        <v>30</v>
      </c>
      <c r="Z1740" s="111" t="s">
        <v>30</v>
      </c>
      <c r="AA1740" s="111" t="s">
        <v>30</v>
      </c>
      <c r="AB1740" s="111" t="s">
        <v>30</v>
      </c>
      <c r="AC1740" s="111" t="s">
        <v>30</v>
      </c>
      <c r="AD1740" s="111" t="s">
        <v>30</v>
      </c>
      <c r="AE1740" s="111" t="s">
        <v>30</v>
      </c>
      <c r="AF1740" s="111" t="s">
        <v>30</v>
      </c>
      <c r="AG1740" s="111" t="s">
        <v>30</v>
      </c>
      <c r="AH1740" s="100" t="s">
        <v>30</v>
      </c>
      <c r="AI1740" s="111" t="s">
        <v>30</v>
      </c>
      <c r="AJ1740" s="111" t="s">
        <v>30</v>
      </c>
      <c r="AK1740" s="111" t="s">
        <v>30</v>
      </c>
      <c r="AL1740" s="111" t="s">
        <v>30</v>
      </c>
      <c r="AM1740" s="360"/>
      <c r="AO1740" s="412"/>
      <c r="AP1740" s="412"/>
      <c r="AQ1740" s="412"/>
      <c r="AR1740" s="412"/>
    </row>
    <row r="1741" spans="1:48">
      <c r="A1741" s="358" t="s">
        <v>24</v>
      </c>
      <c r="B1741" s="369">
        <v>1738</v>
      </c>
      <c r="C1741" s="372" t="s">
        <v>2543</v>
      </c>
      <c r="D1741" s="372" t="s">
        <v>406</v>
      </c>
      <c r="E1741" s="373">
        <v>45994</v>
      </c>
      <c r="F1741" s="372" t="s">
        <v>97</v>
      </c>
      <c r="G1741" s="372">
        <v>18</v>
      </c>
      <c r="H1741" s="372" t="s">
        <v>1721</v>
      </c>
      <c r="I1741" s="372" t="s">
        <v>1638</v>
      </c>
      <c r="J1741" s="102" t="s">
        <v>2544</v>
      </c>
      <c r="K1741" s="358" t="s">
        <v>2056</v>
      </c>
      <c r="L1741" s="358" t="s">
        <v>2541</v>
      </c>
      <c r="M1741" s="358" t="s">
        <v>2541</v>
      </c>
      <c r="N1741" s="358" t="s">
        <v>2058</v>
      </c>
      <c r="O1741" s="117" t="s">
        <v>31</v>
      </c>
      <c r="P1741" s="380" t="s">
        <v>30</v>
      </c>
      <c r="Q1741" s="380">
        <v>46057</v>
      </c>
      <c r="R1741" s="384" t="s">
        <v>1638</v>
      </c>
      <c r="S1741" s="358" t="s">
        <v>1140</v>
      </c>
      <c r="T1741" s="358">
        <v>8</v>
      </c>
      <c r="U1741" s="384" t="s">
        <v>1638</v>
      </c>
      <c r="V1741" s="380">
        <v>46057</v>
      </c>
      <c r="W1741" s="100" t="s">
        <v>30</v>
      </c>
      <c r="X1741" s="100" t="s">
        <v>30</v>
      </c>
      <c r="Y1741" s="100" t="s">
        <v>30</v>
      </c>
      <c r="Z1741" s="100" t="s">
        <v>30</v>
      </c>
      <c r="AA1741" s="100" t="s">
        <v>30</v>
      </c>
      <c r="AB1741" s="100" t="s">
        <v>30</v>
      </c>
      <c r="AC1741" s="100" t="s">
        <v>30</v>
      </c>
      <c r="AD1741" s="100" t="s">
        <v>30</v>
      </c>
      <c r="AE1741" s="100" t="s">
        <v>30</v>
      </c>
      <c r="AF1741" s="100" t="s">
        <v>30</v>
      </c>
      <c r="AG1741" s="100" t="s">
        <v>30</v>
      </c>
      <c r="AH1741" s="100" t="s">
        <v>30</v>
      </c>
      <c r="AI1741" s="100" t="s">
        <v>30</v>
      </c>
      <c r="AJ1741" s="100" t="s">
        <v>30</v>
      </c>
      <c r="AK1741" s="114" t="s">
        <v>32</v>
      </c>
      <c r="AL1741" s="95"/>
      <c r="AM1741" s="360" t="s">
        <v>2545</v>
      </c>
    </row>
    <row r="1742" spans="1:48">
      <c r="A1742" s="358" t="s">
        <v>24</v>
      </c>
      <c r="B1742" s="369">
        <v>1739</v>
      </c>
      <c r="C1742" s="372" t="s">
        <v>2546</v>
      </c>
      <c r="D1742" s="372" t="s">
        <v>446</v>
      </c>
      <c r="E1742" s="373">
        <v>45994</v>
      </c>
      <c r="F1742" s="372" t="s">
        <v>1618</v>
      </c>
      <c r="G1742" s="372">
        <v>12</v>
      </c>
      <c r="H1742" s="372" t="s">
        <v>1077</v>
      </c>
      <c r="I1742" s="372" t="s">
        <v>1138</v>
      </c>
      <c r="J1742" s="372"/>
      <c r="K1742" s="358" t="s">
        <v>2135</v>
      </c>
      <c r="L1742" s="358" t="s">
        <v>2541</v>
      </c>
      <c r="M1742" s="358" t="s">
        <v>2541</v>
      </c>
      <c r="N1742" s="358" t="s">
        <v>2050</v>
      </c>
      <c r="O1742" s="380"/>
      <c r="P1742" s="380" t="s">
        <v>30</v>
      </c>
      <c r="Q1742" s="380">
        <v>46000</v>
      </c>
      <c r="R1742" s="384" t="s">
        <v>1138</v>
      </c>
      <c r="S1742" s="358" t="s">
        <v>32</v>
      </c>
      <c r="T1742" s="358">
        <v>11</v>
      </c>
      <c r="U1742" s="358" t="s">
        <v>1138</v>
      </c>
      <c r="V1742" s="380">
        <v>46000</v>
      </c>
      <c r="W1742" s="100" t="s">
        <v>30</v>
      </c>
      <c r="X1742" s="100" t="s">
        <v>30</v>
      </c>
      <c r="Y1742" s="100" t="s">
        <v>30</v>
      </c>
      <c r="Z1742" s="95" t="s">
        <v>32</v>
      </c>
      <c r="AA1742" s="95" t="s">
        <v>32</v>
      </c>
      <c r="AB1742" s="95" t="s">
        <v>32</v>
      </c>
      <c r="AC1742" s="100" t="s">
        <v>30</v>
      </c>
      <c r="AD1742" s="100" t="s">
        <v>30</v>
      </c>
      <c r="AE1742" s="100" t="s">
        <v>30</v>
      </c>
      <c r="AF1742" s="100" t="s">
        <v>30</v>
      </c>
      <c r="AG1742" s="100" t="s">
        <v>30</v>
      </c>
      <c r="AH1742" s="100" t="s">
        <v>30</v>
      </c>
      <c r="AI1742" s="95" t="s">
        <v>32</v>
      </c>
      <c r="AJ1742" s="100" t="s">
        <v>30</v>
      </c>
      <c r="AK1742" s="100" t="s">
        <v>30</v>
      </c>
      <c r="AL1742" s="95" t="s">
        <v>32</v>
      </c>
      <c r="AM1742" s="360" t="s">
        <v>2545</v>
      </c>
      <c r="AO1742" s="412"/>
      <c r="AP1742" s="412"/>
      <c r="AQ1742" s="412"/>
      <c r="AR1742" s="412"/>
    </row>
    <row r="1743" spans="1:48">
      <c r="A1743" s="358" t="s">
        <v>24</v>
      </c>
      <c r="B1743" s="369">
        <v>1740</v>
      </c>
      <c r="C1743" s="372" t="s">
        <v>2547</v>
      </c>
      <c r="D1743" s="372" t="s">
        <v>406</v>
      </c>
      <c r="E1743" s="373">
        <v>45995</v>
      </c>
      <c r="F1743" s="372" t="s">
        <v>707</v>
      </c>
      <c r="G1743" s="372">
        <v>13</v>
      </c>
      <c r="H1743" s="372" t="s">
        <v>67</v>
      </c>
      <c r="I1743" s="372" t="s">
        <v>47</v>
      </c>
      <c r="J1743" s="372"/>
      <c r="K1743" s="358" t="s">
        <v>2066</v>
      </c>
      <c r="L1743" s="358" t="s">
        <v>2541</v>
      </c>
      <c r="M1743" s="358" t="s">
        <v>2541</v>
      </c>
      <c r="N1743" s="358" t="s">
        <v>2058</v>
      </c>
      <c r="O1743" s="380"/>
      <c r="P1743" s="380" t="s">
        <v>30</v>
      </c>
      <c r="Q1743" s="380">
        <v>46036</v>
      </c>
      <c r="R1743" s="24" t="s">
        <v>47</v>
      </c>
      <c r="S1743" s="358" t="s">
        <v>32</v>
      </c>
      <c r="T1743" s="358">
        <v>13</v>
      </c>
      <c r="U1743" s="384" t="s">
        <v>47</v>
      </c>
      <c r="V1743" s="380">
        <v>46036</v>
      </c>
      <c r="W1743" s="100" t="s">
        <v>30</v>
      </c>
      <c r="X1743" s="100" t="s">
        <v>30</v>
      </c>
      <c r="Y1743" s="100" t="s">
        <v>30</v>
      </c>
      <c r="Z1743" s="100" t="s">
        <v>30</v>
      </c>
      <c r="AA1743" s="95" t="s">
        <v>32</v>
      </c>
      <c r="AB1743" s="100" t="s">
        <v>30</v>
      </c>
      <c r="AC1743" s="100" t="s">
        <v>30</v>
      </c>
      <c r="AD1743" s="100" t="s">
        <v>30</v>
      </c>
      <c r="AE1743" s="100" t="s">
        <v>30</v>
      </c>
      <c r="AF1743" s="95" t="s">
        <v>32</v>
      </c>
      <c r="AG1743" s="100" t="s">
        <v>30</v>
      </c>
      <c r="AH1743" s="114" t="s">
        <v>32</v>
      </c>
      <c r="AI1743" s="95" t="s">
        <v>32</v>
      </c>
      <c r="AJ1743" s="95" t="s">
        <v>32</v>
      </c>
      <c r="AK1743" s="100" t="s">
        <v>30</v>
      </c>
      <c r="AL1743" s="95"/>
      <c r="AM1743" s="360" t="s">
        <v>2548</v>
      </c>
      <c r="AO1743" s="412"/>
      <c r="AP1743" s="412"/>
      <c r="AQ1743" s="412"/>
      <c r="AR1743" s="412"/>
    </row>
    <row r="1744" spans="1:48">
      <c r="A1744" s="358" t="s">
        <v>24</v>
      </c>
      <c r="B1744" s="369">
        <v>1741</v>
      </c>
      <c r="C1744" s="372" t="s">
        <v>2549</v>
      </c>
      <c r="D1744" s="372" t="s">
        <v>403</v>
      </c>
      <c r="E1744" s="373">
        <v>45996</v>
      </c>
      <c r="F1744" s="372" t="s">
        <v>707</v>
      </c>
      <c r="G1744" s="372">
        <v>13</v>
      </c>
      <c r="H1744" s="372" t="s">
        <v>67</v>
      </c>
      <c r="I1744" s="372" t="s">
        <v>47</v>
      </c>
      <c r="J1744" s="372"/>
      <c r="K1744" s="358" t="s">
        <v>2066</v>
      </c>
      <c r="L1744" s="358" t="s">
        <v>2541</v>
      </c>
      <c r="M1744" s="358" t="s">
        <v>2541</v>
      </c>
      <c r="N1744" s="358" t="s">
        <v>2058</v>
      </c>
      <c r="O1744" s="117"/>
      <c r="P1744" s="380" t="s">
        <v>30</v>
      </c>
      <c r="Q1744" s="380">
        <v>46036</v>
      </c>
      <c r="R1744" s="24" t="s">
        <v>47</v>
      </c>
      <c r="S1744" s="358" t="s">
        <v>32</v>
      </c>
      <c r="T1744" s="358">
        <v>13</v>
      </c>
      <c r="U1744" s="384" t="s">
        <v>47</v>
      </c>
      <c r="V1744" s="380">
        <v>46036</v>
      </c>
      <c r="W1744" s="100" t="s">
        <v>30</v>
      </c>
      <c r="X1744" s="100" t="s">
        <v>30</v>
      </c>
      <c r="Y1744" s="100" t="s">
        <v>30</v>
      </c>
      <c r="Z1744" s="100" t="s">
        <v>30</v>
      </c>
      <c r="AA1744" s="95" t="s">
        <v>32</v>
      </c>
      <c r="AB1744" s="100" t="s">
        <v>30</v>
      </c>
      <c r="AC1744" s="100" t="s">
        <v>30</v>
      </c>
      <c r="AD1744" s="100" t="s">
        <v>30</v>
      </c>
      <c r="AE1744" s="100" t="s">
        <v>30</v>
      </c>
      <c r="AF1744" s="95" t="s">
        <v>32</v>
      </c>
      <c r="AG1744" s="95" t="s">
        <v>32</v>
      </c>
      <c r="AH1744" s="114" t="s">
        <v>32</v>
      </c>
      <c r="AI1744" s="95" t="s">
        <v>32</v>
      </c>
      <c r="AJ1744" s="95" t="s">
        <v>32</v>
      </c>
      <c r="AK1744" s="100" t="s">
        <v>30</v>
      </c>
      <c r="AL1744" s="95"/>
      <c r="AM1744" s="360" t="s">
        <v>2548</v>
      </c>
    </row>
    <row r="1745" spans="1:44">
      <c r="A1745" s="358" t="s">
        <v>24</v>
      </c>
      <c r="B1745" s="369">
        <v>1742</v>
      </c>
      <c r="C1745" s="372" t="s">
        <v>2550</v>
      </c>
      <c r="D1745" s="372" t="s">
        <v>43</v>
      </c>
      <c r="E1745" s="373">
        <v>45996</v>
      </c>
      <c r="F1745" s="372" t="s">
        <v>1124</v>
      </c>
      <c r="G1745" s="372">
        <v>13</v>
      </c>
      <c r="H1745" s="372" t="s">
        <v>1077</v>
      </c>
      <c r="I1745" s="372" t="s">
        <v>1138</v>
      </c>
      <c r="J1745" s="372"/>
      <c r="K1745" s="358" t="s">
        <v>2296</v>
      </c>
      <c r="L1745" s="358" t="s">
        <v>2541</v>
      </c>
      <c r="M1745" s="358" t="s">
        <v>2551</v>
      </c>
      <c r="N1745" s="358" t="s">
        <v>2058</v>
      </c>
      <c r="O1745" s="380"/>
      <c r="P1745" s="380" t="s">
        <v>30</v>
      </c>
      <c r="Q1745" s="380">
        <v>46027</v>
      </c>
      <c r="R1745" s="384" t="s">
        <v>1138</v>
      </c>
      <c r="S1745" s="358" t="s">
        <v>32</v>
      </c>
      <c r="T1745" s="358">
        <v>10</v>
      </c>
      <c r="U1745" s="384" t="s">
        <v>1138</v>
      </c>
      <c r="V1745" s="380">
        <v>46027</v>
      </c>
      <c r="W1745" s="100" t="s">
        <v>30</v>
      </c>
      <c r="X1745" s="100" t="s">
        <v>30</v>
      </c>
      <c r="Y1745" s="100" t="s">
        <v>30</v>
      </c>
      <c r="Z1745" s="100" t="s">
        <v>30</v>
      </c>
      <c r="AA1745" s="100" t="s">
        <v>30</v>
      </c>
      <c r="AB1745" s="100" t="s">
        <v>30</v>
      </c>
      <c r="AC1745" s="100" t="s">
        <v>30</v>
      </c>
      <c r="AD1745" s="100" t="s">
        <v>30</v>
      </c>
      <c r="AE1745" s="100" t="s">
        <v>30</v>
      </c>
      <c r="AF1745" s="100" t="s">
        <v>30</v>
      </c>
      <c r="AG1745" s="100" t="s">
        <v>30</v>
      </c>
      <c r="AH1745" s="100" t="s">
        <v>30</v>
      </c>
      <c r="AI1745" s="100" t="s">
        <v>30</v>
      </c>
      <c r="AJ1745" s="100" t="s">
        <v>30</v>
      </c>
      <c r="AK1745" s="100" t="s">
        <v>30</v>
      </c>
      <c r="AL1745" s="95"/>
      <c r="AM1745" s="360"/>
    </row>
    <row r="1746" spans="1:44">
      <c r="A1746" s="358" t="s">
        <v>24</v>
      </c>
      <c r="B1746" s="369">
        <v>1743</v>
      </c>
      <c r="C1746" s="372" t="s">
        <v>2552</v>
      </c>
      <c r="D1746" s="372" t="s">
        <v>2553</v>
      </c>
      <c r="E1746" s="373">
        <v>45996</v>
      </c>
      <c r="F1746" s="372" t="s">
        <v>2554</v>
      </c>
      <c r="G1746" s="372">
        <v>15</v>
      </c>
      <c r="H1746" s="372" t="s">
        <v>1077</v>
      </c>
      <c r="I1746" s="372" t="s">
        <v>1138</v>
      </c>
      <c r="J1746" s="372"/>
      <c r="K1746" s="360" t="s">
        <v>2098</v>
      </c>
      <c r="L1746" s="360" t="s">
        <v>2555</v>
      </c>
      <c r="M1746" s="360" t="s">
        <v>2555</v>
      </c>
      <c r="N1746" s="360" t="s">
        <v>2050</v>
      </c>
      <c r="O1746" s="117" t="s">
        <v>31</v>
      </c>
      <c r="P1746" s="380" t="s">
        <v>30</v>
      </c>
      <c r="Q1746" s="380">
        <v>46027</v>
      </c>
      <c r="R1746" s="384" t="s">
        <v>1138</v>
      </c>
      <c r="S1746" s="358" t="s">
        <v>32</v>
      </c>
      <c r="T1746" s="358">
        <v>15</v>
      </c>
      <c r="U1746" s="384" t="s">
        <v>1138</v>
      </c>
      <c r="V1746" s="380">
        <v>46027</v>
      </c>
      <c r="W1746" s="100" t="s">
        <v>30</v>
      </c>
      <c r="X1746" s="100" t="s">
        <v>30</v>
      </c>
      <c r="Y1746" s="100" t="s">
        <v>30</v>
      </c>
      <c r="Z1746" s="100" t="s">
        <v>30</v>
      </c>
      <c r="AA1746" s="100" t="s">
        <v>30</v>
      </c>
      <c r="AB1746" s="100" t="s">
        <v>30</v>
      </c>
      <c r="AC1746" s="100" t="s">
        <v>30</v>
      </c>
      <c r="AD1746" s="100" t="s">
        <v>30</v>
      </c>
      <c r="AE1746" s="100" t="s">
        <v>30</v>
      </c>
      <c r="AF1746" s="100" t="s">
        <v>30</v>
      </c>
      <c r="AG1746" s="100" t="s">
        <v>30</v>
      </c>
      <c r="AH1746" s="100" t="s">
        <v>30</v>
      </c>
      <c r="AI1746" s="100" t="s">
        <v>30</v>
      </c>
      <c r="AJ1746" s="100" t="s">
        <v>30</v>
      </c>
      <c r="AK1746" s="100" t="s">
        <v>30</v>
      </c>
      <c r="AL1746" s="95" t="s">
        <v>32</v>
      </c>
      <c r="AM1746" s="360" t="s">
        <v>2548</v>
      </c>
    </row>
    <row r="1747" spans="1:44">
      <c r="A1747" s="358" t="s">
        <v>24</v>
      </c>
      <c r="B1747" s="369">
        <v>1744</v>
      </c>
      <c r="C1747" s="372" t="s">
        <v>2556</v>
      </c>
      <c r="D1747" s="372" t="s">
        <v>43</v>
      </c>
      <c r="E1747" s="373">
        <v>45996</v>
      </c>
      <c r="F1747" s="372" t="s">
        <v>2557</v>
      </c>
      <c r="G1747" s="372">
        <v>22</v>
      </c>
      <c r="H1747" s="372" t="s">
        <v>67</v>
      </c>
      <c r="I1747" s="372" t="s">
        <v>47</v>
      </c>
      <c r="J1747" s="372"/>
      <c r="K1747" s="360" t="s">
        <v>2056</v>
      </c>
      <c r="L1747" s="360" t="s">
        <v>2558</v>
      </c>
      <c r="M1747" s="360" t="s">
        <v>2551</v>
      </c>
      <c r="N1747" s="360" t="s">
        <v>2050</v>
      </c>
      <c r="O1747" s="117" t="s">
        <v>31</v>
      </c>
      <c r="P1747" s="385" t="s">
        <v>30</v>
      </c>
      <c r="Q1747" s="380">
        <v>46055</v>
      </c>
      <c r="R1747" s="24" t="s">
        <v>47</v>
      </c>
      <c r="S1747" s="358" t="s">
        <v>32</v>
      </c>
      <c r="T1747" s="358">
        <v>25</v>
      </c>
      <c r="U1747" s="384" t="s">
        <v>47</v>
      </c>
      <c r="V1747" s="380">
        <v>46055</v>
      </c>
      <c r="W1747" s="100" t="s">
        <v>30</v>
      </c>
      <c r="X1747" s="95" t="s">
        <v>32</v>
      </c>
      <c r="Y1747" s="100" t="s">
        <v>30</v>
      </c>
      <c r="Z1747" s="100" t="s">
        <v>30</v>
      </c>
      <c r="AA1747" s="100" t="s">
        <v>30</v>
      </c>
      <c r="AB1747" s="100" t="s">
        <v>30</v>
      </c>
      <c r="AC1747" s="100" t="s">
        <v>30</v>
      </c>
      <c r="AD1747" s="100" t="s">
        <v>30</v>
      </c>
      <c r="AE1747" s="100" t="s">
        <v>30</v>
      </c>
      <c r="AF1747" s="100" t="s">
        <v>30</v>
      </c>
      <c r="AG1747" s="100" t="s">
        <v>30</v>
      </c>
      <c r="AH1747" s="100" t="s">
        <v>30</v>
      </c>
      <c r="AI1747" s="100" t="s">
        <v>30</v>
      </c>
      <c r="AJ1747" s="100" t="s">
        <v>30</v>
      </c>
      <c r="AK1747" s="100" t="s">
        <v>30</v>
      </c>
      <c r="AL1747" s="95"/>
      <c r="AM1747" s="360" t="s">
        <v>2545</v>
      </c>
      <c r="AN1747" s="6"/>
    </row>
    <row r="1748" spans="1:44">
      <c r="A1748" s="358" t="s">
        <v>24</v>
      </c>
      <c r="B1748" s="369">
        <v>1745</v>
      </c>
      <c r="C1748" s="372" t="s">
        <v>2559</v>
      </c>
      <c r="D1748" s="372" t="s">
        <v>270</v>
      </c>
      <c r="E1748" s="373">
        <v>45997</v>
      </c>
      <c r="F1748" s="372" t="s">
        <v>2161</v>
      </c>
      <c r="G1748" s="372">
        <v>12</v>
      </c>
      <c r="H1748" s="372" t="s">
        <v>1077</v>
      </c>
      <c r="I1748" s="372" t="s">
        <v>1138</v>
      </c>
      <c r="J1748" s="372"/>
      <c r="K1748" s="360" t="s">
        <v>2162</v>
      </c>
      <c r="L1748" s="360" t="s">
        <v>2560</v>
      </c>
      <c r="M1748" s="360" t="s">
        <v>2560</v>
      </c>
      <c r="N1748" s="360" t="s">
        <v>2050</v>
      </c>
      <c r="O1748" s="255"/>
      <c r="P1748" s="380" t="s">
        <v>30</v>
      </c>
      <c r="Q1748" s="380">
        <v>46027</v>
      </c>
      <c r="R1748" s="384" t="s">
        <v>1138</v>
      </c>
      <c r="S1748" s="358" t="s">
        <v>32</v>
      </c>
      <c r="T1748" s="358">
        <v>9</v>
      </c>
      <c r="U1748" s="384" t="s">
        <v>1138</v>
      </c>
      <c r="V1748" s="380">
        <v>46027</v>
      </c>
      <c r="W1748" s="100" t="s">
        <v>30</v>
      </c>
      <c r="X1748" s="100" t="s">
        <v>30</v>
      </c>
      <c r="Y1748" s="100" t="s">
        <v>30</v>
      </c>
      <c r="Z1748" s="100" t="s">
        <v>30</v>
      </c>
      <c r="AA1748" s="100" t="s">
        <v>30</v>
      </c>
      <c r="AB1748" s="100" t="s">
        <v>30</v>
      </c>
      <c r="AC1748" s="100" t="s">
        <v>30</v>
      </c>
      <c r="AD1748" s="100" t="s">
        <v>30</v>
      </c>
      <c r="AE1748" s="100" t="s">
        <v>30</v>
      </c>
      <c r="AF1748" s="100" t="s">
        <v>30</v>
      </c>
      <c r="AG1748" s="100" t="s">
        <v>30</v>
      </c>
      <c r="AH1748" s="100" t="s">
        <v>30</v>
      </c>
      <c r="AI1748" s="100" t="s">
        <v>30</v>
      </c>
      <c r="AJ1748" s="100" t="s">
        <v>30</v>
      </c>
      <c r="AK1748" s="100" t="s">
        <v>30</v>
      </c>
      <c r="AL1748" s="95"/>
      <c r="AM1748" s="360"/>
    </row>
    <row r="1749" spans="1:44">
      <c r="A1749" s="358" t="s">
        <v>24</v>
      </c>
      <c r="B1749" s="369">
        <v>1746</v>
      </c>
      <c r="C1749" s="372" t="s">
        <v>2561</v>
      </c>
      <c r="D1749" s="372" t="s">
        <v>34</v>
      </c>
      <c r="E1749" s="373">
        <v>45997</v>
      </c>
      <c r="F1749" s="372" t="s">
        <v>2107</v>
      </c>
      <c r="G1749" s="372">
        <v>13</v>
      </c>
      <c r="H1749" s="372" t="s">
        <v>1077</v>
      </c>
      <c r="I1749" s="372" t="s">
        <v>1138</v>
      </c>
      <c r="J1749" s="360"/>
      <c r="K1749" s="358" t="s">
        <v>2135</v>
      </c>
      <c r="L1749" s="358" t="s">
        <v>2560</v>
      </c>
      <c r="M1749" s="358" t="s">
        <v>2560</v>
      </c>
      <c r="N1749" s="358" t="s">
        <v>2083</v>
      </c>
      <c r="O1749" s="117"/>
      <c r="P1749" s="380" t="s">
        <v>30</v>
      </c>
      <c r="Q1749" s="380">
        <v>46027</v>
      </c>
      <c r="R1749" s="384" t="s">
        <v>1138</v>
      </c>
      <c r="S1749" s="358" t="s">
        <v>32</v>
      </c>
      <c r="T1749" s="358">
        <v>10</v>
      </c>
      <c r="U1749" s="384" t="s">
        <v>1138</v>
      </c>
      <c r="V1749" s="380">
        <v>46027</v>
      </c>
      <c r="W1749" s="100" t="s">
        <v>30</v>
      </c>
      <c r="X1749" s="100" t="s">
        <v>30</v>
      </c>
      <c r="Y1749" s="100" t="s">
        <v>30</v>
      </c>
      <c r="Z1749" s="95" t="s">
        <v>32</v>
      </c>
      <c r="AA1749" s="95" t="s">
        <v>32</v>
      </c>
      <c r="AB1749" s="95" t="s">
        <v>32</v>
      </c>
      <c r="AC1749" s="100" t="s">
        <v>30</v>
      </c>
      <c r="AD1749" s="100" t="s">
        <v>30</v>
      </c>
      <c r="AE1749" s="100" t="s">
        <v>30</v>
      </c>
      <c r="AF1749" s="100" t="s">
        <v>30</v>
      </c>
      <c r="AG1749" s="100" t="s">
        <v>30</v>
      </c>
      <c r="AH1749" s="100" t="s">
        <v>30</v>
      </c>
      <c r="AI1749" s="95" t="s">
        <v>32</v>
      </c>
      <c r="AJ1749" s="100" t="s">
        <v>30</v>
      </c>
      <c r="AK1749" s="95" t="s">
        <v>32</v>
      </c>
      <c r="AL1749" s="95" t="s">
        <v>32</v>
      </c>
      <c r="AM1749" s="360" t="s">
        <v>2545</v>
      </c>
    </row>
    <row r="1750" spans="1:44">
      <c r="A1750" s="358" t="s">
        <v>24</v>
      </c>
      <c r="B1750" s="369">
        <v>1747</v>
      </c>
      <c r="C1750" s="372" t="s">
        <v>2562</v>
      </c>
      <c r="D1750" s="372" t="s">
        <v>34</v>
      </c>
      <c r="E1750" s="373">
        <v>45997</v>
      </c>
      <c r="F1750" s="372" t="s">
        <v>2107</v>
      </c>
      <c r="G1750" s="223">
        <v>1</v>
      </c>
      <c r="H1750" s="372" t="s">
        <v>1077</v>
      </c>
      <c r="I1750" s="372" t="s">
        <v>1138</v>
      </c>
      <c r="J1750" s="372"/>
      <c r="K1750" s="358" t="s">
        <v>2135</v>
      </c>
      <c r="L1750" s="358" t="s">
        <v>2560</v>
      </c>
      <c r="M1750" s="358" t="s">
        <v>2560</v>
      </c>
      <c r="N1750" s="358" t="s">
        <v>2083</v>
      </c>
      <c r="O1750" s="385"/>
      <c r="P1750" s="380" t="s">
        <v>30</v>
      </c>
      <c r="Q1750" s="380">
        <v>46027</v>
      </c>
      <c r="R1750" s="384" t="s">
        <v>1138</v>
      </c>
      <c r="S1750" s="358" t="s">
        <v>32</v>
      </c>
      <c r="T1750" s="358">
        <v>1</v>
      </c>
      <c r="U1750" s="384" t="s">
        <v>1138</v>
      </c>
      <c r="V1750" s="380">
        <v>46027</v>
      </c>
      <c r="W1750" s="100" t="s">
        <v>30</v>
      </c>
      <c r="X1750" s="100" t="s">
        <v>30</v>
      </c>
      <c r="Y1750" s="100" t="s">
        <v>30</v>
      </c>
      <c r="Z1750" s="95" t="s">
        <v>32</v>
      </c>
      <c r="AA1750" s="95" t="s">
        <v>32</v>
      </c>
      <c r="AB1750" s="95" t="s">
        <v>32</v>
      </c>
      <c r="AC1750" s="100" t="s">
        <v>30</v>
      </c>
      <c r="AD1750" s="100" t="s">
        <v>30</v>
      </c>
      <c r="AE1750" s="100" t="s">
        <v>30</v>
      </c>
      <c r="AF1750" s="100" t="s">
        <v>30</v>
      </c>
      <c r="AG1750" s="100" t="s">
        <v>30</v>
      </c>
      <c r="AH1750" s="114" t="s">
        <v>32</v>
      </c>
      <c r="AI1750" s="95" t="s">
        <v>32</v>
      </c>
      <c r="AJ1750" s="95" t="s">
        <v>32</v>
      </c>
      <c r="AK1750" s="95" t="s">
        <v>32</v>
      </c>
      <c r="AL1750" s="95"/>
      <c r="AM1750" s="360" t="s">
        <v>2545</v>
      </c>
    </row>
    <row r="1751" spans="1:44">
      <c r="A1751" s="358" t="s">
        <v>24</v>
      </c>
      <c r="B1751" s="369">
        <v>1748</v>
      </c>
      <c r="C1751" s="372" t="s">
        <v>2563</v>
      </c>
      <c r="D1751" s="372" t="s">
        <v>34</v>
      </c>
      <c r="E1751" s="373">
        <v>45997</v>
      </c>
      <c r="F1751" s="372" t="s">
        <v>2564</v>
      </c>
      <c r="G1751" s="372">
        <v>38</v>
      </c>
      <c r="H1751" s="372" t="s">
        <v>1077</v>
      </c>
      <c r="I1751" s="372" t="s">
        <v>1138</v>
      </c>
      <c r="J1751" s="102"/>
      <c r="K1751" s="358" t="s">
        <v>2052</v>
      </c>
      <c r="L1751" s="358" t="s">
        <v>2560</v>
      </c>
      <c r="M1751" s="358" t="s">
        <v>2560</v>
      </c>
      <c r="N1751" s="358" t="s">
        <v>2050</v>
      </c>
      <c r="O1751" s="117" t="s">
        <v>31</v>
      </c>
      <c r="P1751" s="380" t="s">
        <v>30</v>
      </c>
      <c r="Q1751" s="380">
        <v>46037</v>
      </c>
      <c r="R1751" s="384" t="s">
        <v>1138</v>
      </c>
      <c r="S1751" s="358" t="s">
        <v>30</v>
      </c>
      <c r="T1751" s="358">
        <v>36</v>
      </c>
      <c r="U1751" s="384" t="s">
        <v>1138</v>
      </c>
      <c r="V1751" s="380">
        <v>46037</v>
      </c>
      <c r="W1751" s="100" t="s">
        <v>30</v>
      </c>
      <c r="X1751" s="100" t="s">
        <v>30</v>
      </c>
      <c r="Y1751" s="100" t="s">
        <v>30</v>
      </c>
      <c r="Z1751" s="100" t="s">
        <v>30</v>
      </c>
      <c r="AA1751" s="100" t="s">
        <v>30</v>
      </c>
      <c r="AB1751" s="100" t="s">
        <v>30</v>
      </c>
      <c r="AC1751" s="100" t="s">
        <v>30</v>
      </c>
      <c r="AD1751" s="100" t="s">
        <v>30</v>
      </c>
      <c r="AE1751" s="100" t="s">
        <v>30</v>
      </c>
      <c r="AF1751" s="100" t="s">
        <v>30</v>
      </c>
      <c r="AG1751" s="100" t="s">
        <v>30</v>
      </c>
      <c r="AH1751" s="100" t="s">
        <v>30</v>
      </c>
      <c r="AI1751" s="100" t="s">
        <v>30</v>
      </c>
      <c r="AJ1751" s="100" t="s">
        <v>30</v>
      </c>
      <c r="AK1751" s="100" t="s">
        <v>30</v>
      </c>
      <c r="AL1751" s="95" t="s">
        <v>32</v>
      </c>
      <c r="AM1751" s="360"/>
    </row>
    <row r="1752" spans="1:44">
      <c r="A1752" s="358" t="s">
        <v>24</v>
      </c>
      <c r="B1752" s="369">
        <v>1749</v>
      </c>
      <c r="C1752" s="372" t="s">
        <v>2565</v>
      </c>
      <c r="D1752" s="372" t="s">
        <v>43</v>
      </c>
      <c r="E1752" s="373">
        <v>45997</v>
      </c>
      <c r="F1752" s="372" t="s">
        <v>2566</v>
      </c>
      <c r="G1752" s="372">
        <v>12</v>
      </c>
      <c r="H1752" s="372" t="s">
        <v>67</v>
      </c>
      <c r="I1752" s="372" t="s">
        <v>47</v>
      </c>
      <c r="J1752" s="372"/>
      <c r="K1752" s="360" t="s">
        <v>2296</v>
      </c>
      <c r="L1752" s="360" t="s">
        <v>2555</v>
      </c>
      <c r="M1752" s="73" t="s">
        <v>2560</v>
      </c>
      <c r="N1752" s="360" t="s">
        <v>2567</v>
      </c>
      <c r="O1752" s="385"/>
      <c r="P1752" s="385" t="s">
        <v>30</v>
      </c>
      <c r="Q1752" s="380">
        <v>46035</v>
      </c>
      <c r="R1752" s="24" t="s">
        <v>47</v>
      </c>
      <c r="S1752" s="358" t="s">
        <v>32</v>
      </c>
      <c r="T1752" s="358">
        <v>10</v>
      </c>
      <c r="U1752" s="384" t="s">
        <v>47</v>
      </c>
      <c r="V1752" s="380">
        <v>46035</v>
      </c>
      <c r="W1752" s="100" t="s">
        <v>30</v>
      </c>
      <c r="X1752" s="100" t="s">
        <v>30</v>
      </c>
      <c r="Y1752" s="100" t="s">
        <v>30</v>
      </c>
      <c r="Z1752" s="100" t="s">
        <v>30</v>
      </c>
      <c r="AA1752" s="100" t="s">
        <v>30</v>
      </c>
      <c r="AB1752" s="100" t="s">
        <v>30</v>
      </c>
      <c r="AC1752" s="100" t="s">
        <v>30</v>
      </c>
      <c r="AD1752" s="100" t="s">
        <v>30</v>
      </c>
      <c r="AE1752" s="100" t="s">
        <v>30</v>
      </c>
      <c r="AF1752" s="100" t="s">
        <v>30</v>
      </c>
      <c r="AG1752" s="100" t="s">
        <v>30</v>
      </c>
      <c r="AH1752" s="100" t="s">
        <v>30</v>
      </c>
      <c r="AI1752" s="100" t="s">
        <v>30</v>
      </c>
      <c r="AJ1752" s="100" t="s">
        <v>30</v>
      </c>
      <c r="AK1752" s="100" t="s">
        <v>30</v>
      </c>
      <c r="AL1752" s="95"/>
      <c r="AM1752" s="360"/>
      <c r="AO1752" s="412"/>
      <c r="AP1752" s="412"/>
      <c r="AQ1752" s="412"/>
      <c r="AR1752" s="412"/>
    </row>
    <row r="1753" spans="1:44">
      <c r="A1753" s="358" t="s">
        <v>24</v>
      </c>
      <c r="B1753" s="369">
        <v>1750</v>
      </c>
      <c r="C1753" s="372" t="s">
        <v>2568</v>
      </c>
      <c r="D1753" s="372" t="s">
        <v>102</v>
      </c>
      <c r="E1753" s="373">
        <v>45997</v>
      </c>
      <c r="F1753" s="372" t="s">
        <v>439</v>
      </c>
      <c r="G1753" s="372">
        <v>14</v>
      </c>
      <c r="H1753" s="372" t="s">
        <v>127</v>
      </c>
      <c r="I1753" s="372" t="s">
        <v>178</v>
      </c>
      <c r="J1753" s="102"/>
      <c r="K1753" s="360" t="s">
        <v>2142</v>
      </c>
      <c r="L1753" s="360" t="s">
        <v>2541</v>
      </c>
      <c r="M1753" s="360" t="s">
        <v>2541</v>
      </c>
      <c r="N1753" s="360" t="s">
        <v>2050</v>
      </c>
      <c r="O1753" s="255"/>
      <c r="P1753" s="385" t="s">
        <v>30</v>
      </c>
      <c r="Q1753" s="380">
        <v>46044</v>
      </c>
      <c r="R1753" s="24" t="s">
        <v>28</v>
      </c>
      <c r="S1753" s="358" t="s">
        <v>32</v>
      </c>
      <c r="T1753" s="358">
        <v>15</v>
      </c>
      <c r="U1753" s="358" t="s">
        <v>28</v>
      </c>
      <c r="V1753" s="380">
        <v>46044</v>
      </c>
      <c r="W1753" s="122" t="s">
        <v>30</v>
      </c>
      <c r="X1753" s="100" t="s">
        <v>30</v>
      </c>
      <c r="Y1753" s="100" t="s">
        <v>30</v>
      </c>
      <c r="Z1753" s="95" t="s">
        <v>32</v>
      </c>
      <c r="AA1753" s="95" t="s">
        <v>32</v>
      </c>
      <c r="AB1753" s="100" t="s">
        <v>30</v>
      </c>
      <c r="AC1753" s="100" t="s">
        <v>30</v>
      </c>
      <c r="AD1753" s="100" t="s">
        <v>30</v>
      </c>
      <c r="AE1753" s="100" t="s">
        <v>30</v>
      </c>
      <c r="AF1753" s="100" t="s">
        <v>30</v>
      </c>
      <c r="AG1753" s="100" t="s">
        <v>30</v>
      </c>
      <c r="AH1753" s="100" t="s">
        <v>30</v>
      </c>
      <c r="AI1753" s="100" t="s">
        <v>30</v>
      </c>
      <c r="AJ1753" s="100" t="s">
        <v>30</v>
      </c>
      <c r="AK1753" s="100" t="s">
        <v>30</v>
      </c>
      <c r="AL1753" s="95" t="s">
        <v>32</v>
      </c>
      <c r="AM1753" s="360" t="s">
        <v>2548</v>
      </c>
      <c r="AO1753" s="412"/>
      <c r="AP1753" s="412"/>
      <c r="AQ1753" s="412"/>
      <c r="AR1753" s="412"/>
    </row>
    <row r="1754" spans="1:44">
      <c r="A1754" s="358" t="s">
        <v>24</v>
      </c>
      <c r="B1754" s="369">
        <v>1751</v>
      </c>
      <c r="C1754" s="372" t="s">
        <v>2569</v>
      </c>
      <c r="D1754" s="372" t="s">
        <v>34</v>
      </c>
      <c r="E1754" s="373">
        <v>45997</v>
      </c>
      <c r="F1754" s="372" t="s">
        <v>282</v>
      </c>
      <c r="G1754" s="372">
        <v>9</v>
      </c>
      <c r="H1754" s="372" t="s">
        <v>1721</v>
      </c>
      <c r="I1754" s="372" t="s">
        <v>1638</v>
      </c>
      <c r="J1754" s="372"/>
      <c r="K1754" s="360" t="s">
        <v>2092</v>
      </c>
      <c r="L1754" s="360" t="s">
        <v>2560</v>
      </c>
      <c r="M1754" s="360" t="s">
        <v>2560</v>
      </c>
      <c r="N1754" s="360" t="s">
        <v>2050</v>
      </c>
      <c r="O1754" s="255"/>
      <c r="P1754" s="385" t="s">
        <v>30</v>
      </c>
      <c r="Q1754" s="380">
        <v>46038</v>
      </c>
      <c r="R1754" s="384" t="s">
        <v>1638</v>
      </c>
      <c r="S1754" s="358" t="s">
        <v>1140</v>
      </c>
      <c r="T1754" s="358">
        <v>6</v>
      </c>
      <c r="U1754" s="358" t="s">
        <v>1638</v>
      </c>
      <c r="V1754" s="380">
        <v>46038</v>
      </c>
      <c r="W1754" s="100" t="s">
        <v>30</v>
      </c>
      <c r="X1754" s="100" t="s">
        <v>30</v>
      </c>
      <c r="Y1754" s="100" t="s">
        <v>30</v>
      </c>
      <c r="Z1754" s="125"/>
      <c r="AA1754" s="125"/>
      <c r="AB1754" s="125"/>
      <c r="AC1754" s="100" t="s">
        <v>30</v>
      </c>
      <c r="AD1754" s="100" t="s">
        <v>30</v>
      </c>
      <c r="AE1754" s="100" t="s">
        <v>30</v>
      </c>
      <c r="AF1754" s="100" t="s">
        <v>30</v>
      </c>
      <c r="AG1754" s="100" t="s">
        <v>30</v>
      </c>
      <c r="AH1754" s="100" t="s">
        <v>30</v>
      </c>
      <c r="AI1754" s="100" t="s">
        <v>30</v>
      </c>
      <c r="AJ1754" s="100" t="s">
        <v>30</v>
      </c>
      <c r="AK1754" s="100" t="s">
        <v>30</v>
      </c>
      <c r="AL1754" s="95" t="s">
        <v>32</v>
      </c>
      <c r="AM1754" s="360"/>
      <c r="AO1754" s="412"/>
      <c r="AP1754" s="412"/>
      <c r="AQ1754" s="412"/>
      <c r="AR1754" s="412"/>
    </row>
    <row r="1755" spans="1:44">
      <c r="A1755" s="358" t="s">
        <v>24</v>
      </c>
      <c r="B1755" s="369">
        <v>1752</v>
      </c>
      <c r="C1755" s="372" t="s">
        <v>2570</v>
      </c>
      <c r="D1755" s="372" t="s">
        <v>34</v>
      </c>
      <c r="E1755" s="373">
        <v>45997</v>
      </c>
      <c r="F1755" s="372" t="s">
        <v>2571</v>
      </c>
      <c r="G1755" s="372">
        <v>10</v>
      </c>
      <c r="H1755" s="372" t="s">
        <v>67</v>
      </c>
      <c r="I1755" s="372" t="s">
        <v>47</v>
      </c>
      <c r="J1755" s="372"/>
      <c r="K1755" s="360" t="s">
        <v>2098</v>
      </c>
      <c r="L1755" s="360" t="s">
        <v>2572</v>
      </c>
      <c r="M1755" s="360" t="s">
        <v>2560</v>
      </c>
      <c r="N1755" s="360" t="s">
        <v>2573</v>
      </c>
      <c r="O1755" s="255"/>
      <c r="P1755" s="385" t="s">
        <v>30</v>
      </c>
      <c r="Q1755" s="380">
        <v>46036</v>
      </c>
      <c r="R1755" s="24" t="s">
        <v>47</v>
      </c>
      <c r="S1755" s="358" t="s">
        <v>32</v>
      </c>
      <c r="T1755" s="358">
        <v>10</v>
      </c>
      <c r="U1755" s="24" t="s">
        <v>47</v>
      </c>
      <c r="V1755" s="380">
        <v>46036</v>
      </c>
      <c r="W1755" s="100" t="s">
        <v>30</v>
      </c>
      <c r="X1755" s="100" t="s">
        <v>30</v>
      </c>
      <c r="Y1755" s="100" t="s">
        <v>30</v>
      </c>
      <c r="Z1755" s="100" t="s">
        <v>30</v>
      </c>
      <c r="AA1755" s="100" t="s">
        <v>30</v>
      </c>
      <c r="AB1755" s="100" t="s">
        <v>30</v>
      </c>
      <c r="AC1755" s="100" t="s">
        <v>30</v>
      </c>
      <c r="AD1755" s="100" t="s">
        <v>30</v>
      </c>
      <c r="AE1755" s="100" t="s">
        <v>30</v>
      </c>
      <c r="AF1755" s="100" t="s">
        <v>30</v>
      </c>
      <c r="AG1755" s="100" t="s">
        <v>30</v>
      </c>
      <c r="AH1755" s="100" t="s">
        <v>30</v>
      </c>
      <c r="AI1755" s="100" t="s">
        <v>30</v>
      </c>
      <c r="AJ1755" s="100" t="s">
        <v>30</v>
      </c>
      <c r="AK1755" s="100" t="s">
        <v>30</v>
      </c>
      <c r="AL1755" s="95" t="s">
        <v>32</v>
      </c>
      <c r="AM1755" s="360" t="s">
        <v>2548</v>
      </c>
    </row>
    <row r="1756" spans="1:44">
      <c r="A1756" s="358" t="s">
        <v>24</v>
      </c>
      <c r="B1756" s="369">
        <v>1753</v>
      </c>
      <c r="C1756" s="372" t="s">
        <v>2574</v>
      </c>
      <c r="D1756" s="372" t="s">
        <v>1641</v>
      </c>
      <c r="E1756" s="373">
        <v>46000</v>
      </c>
      <c r="F1756" s="372" t="s">
        <v>110</v>
      </c>
      <c r="G1756" s="372">
        <v>17</v>
      </c>
      <c r="H1756" s="372" t="s">
        <v>1077</v>
      </c>
      <c r="I1756" s="372" t="s">
        <v>1138</v>
      </c>
      <c r="J1756" s="372"/>
      <c r="K1756" s="360" t="s">
        <v>2096</v>
      </c>
      <c r="L1756" s="360" t="s">
        <v>2560</v>
      </c>
      <c r="M1756" s="360" t="s">
        <v>2560</v>
      </c>
      <c r="N1756" s="360" t="s">
        <v>110</v>
      </c>
      <c r="O1756" s="117" t="s">
        <v>31</v>
      </c>
      <c r="P1756" s="380" t="s">
        <v>30</v>
      </c>
      <c r="Q1756" s="380">
        <v>46044</v>
      </c>
      <c r="R1756" s="384" t="s">
        <v>1138</v>
      </c>
      <c r="S1756" s="358" t="s">
        <v>32</v>
      </c>
      <c r="T1756" s="358">
        <v>17</v>
      </c>
      <c r="U1756" s="384" t="s">
        <v>1138</v>
      </c>
      <c r="V1756" s="380">
        <v>46044</v>
      </c>
      <c r="W1756" s="82" t="s">
        <v>113</v>
      </c>
      <c r="X1756" s="95" t="s">
        <v>32</v>
      </c>
      <c r="Y1756" s="95"/>
      <c r="Z1756" s="111" t="s">
        <v>30</v>
      </c>
      <c r="AA1756" s="111" t="s">
        <v>30</v>
      </c>
      <c r="AB1756" s="111" t="s">
        <v>30</v>
      </c>
      <c r="AC1756" s="111" t="s">
        <v>30</v>
      </c>
      <c r="AD1756" s="111" t="s">
        <v>30</v>
      </c>
      <c r="AE1756" s="111" t="s">
        <v>30</v>
      </c>
      <c r="AF1756" s="95" t="s">
        <v>32</v>
      </c>
      <c r="AG1756" s="95" t="s">
        <v>32</v>
      </c>
      <c r="AH1756" s="95" t="s">
        <v>32</v>
      </c>
      <c r="AI1756" s="111" t="s">
        <v>30</v>
      </c>
      <c r="AJ1756" s="111" t="s">
        <v>30</v>
      </c>
      <c r="AK1756" s="111" t="s">
        <v>30</v>
      </c>
      <c r="AL1756" s="95"/>
      <c r="AM1756" s="360" t="s">
        <v>2545</v>
      </c>
    </row>
    <row r="1757" spans="1:44">
      <c r="A1757" s="358" t="s">
        <v>24</v>
      </c>
      <c r="B1757" s="369">
        <v>1754</v>
      </c>
      <c r="C1757" s="372" t="s">
        <v>2575</v>
      </c>
      <c r="D1757" s="372" t="s">
        <v>102</v>
      </c>
      <c r="E1757" s="373">
        <v>46000</v>
      </c>
      <c r="F1757" s="372" t="s">
        <v>272</v>
      </c>
      <c r="G1757" s="372">
        <v>7</v>
      </c>
      <c r="H1757" s="372" t="s">
        <v>67</v>
      </c>
      <c r="I1757" s="372" t="s">
        <v>47</v>
      </c>
      <c r="J1757" s="221" t="s">
        <v>2576</v>
      </c>
      <c r="K1757" s="360" t="s">
        <v>2123</v>
      </c>
      <c r="L1757" s="360" t="s">
        <v>2560</v>
      </c>
      <c r="M1757" s="360" t="s">
        <v>2560</v>
      </c>
      <c r="N1757" s="360" t="s">
        <v>2050</v>
      </c>
      <c r="O1757" s="255"/>
      <c r="P1757" s="385"/>
      <c r="Q1757" s="380"/>
      <c r="R1757" s="24" t="s">
        <v>47</v>
      </c>
      <c r="S1757" s="358" t="s">
        <v>32</v>
      </c>
      <c r="T1757" s="358">
        <v>7</v>
      </c>
      <c r="U1757" s="384" t="s">
        <v>1138</v>
      </c>
      <c r="V1757" s="380"/>
      <c r="W1757" s="100" t="s">
        <v>30</v>
      </c>
      <c r="X1757" s="100" t="s">
        <v>30</v>
      </c>
      <c r="Y1757" s="100" t="s">
        <v>30</v>
      </c>
      <c r="Z1757" s="100" t="s">
        <v>30</v>
      </c>
      <c r="AA1757" s="100" t="s">
        <v>30</v>
      </c>
      <c r="AB1757" s="100" t="s">
        <v>30</v>
      </c>
      <c r="AC1757" s="100" t="s">
        <v>30</v>
      </c>
      <c r="AD1757" s="100" t="s">
        <v>30</v>
      </c>
      <c r="AE1757" s="100" t="s">
        <v>30</v>
      </c>
      <c r="AF1757" s="100" t="s">
        <v>30</v>
      </c>
      <c r="AG1757" s="100" t="s">
        <v>30</v>
      </c>
      <c r="AH1757" s="100" t="s">
        <v>30</v>
      </c>
      <c r="AI1757" s="100" t="s">
        <v>30</v>
      </c>
      <c r="AJ1757" s="100" t="s">
        <v>30</v>
      </c>
      <c r="AK1757" s="100" t="s">
        <v>30</v>
      </c>
      <c r="AL1757" s="95"/>
      <c r="AM1757" s="360"/>
    </row>
    <row r="1758" spans="1:44">
      <c r="A1758" s="358" t="s">
        <v>24</v>
      </c>
      <c r="B1758" s="369">
        <v>1755</v>
      </c>
      <c r="C1758" s="372" t="s">
        <v>2577</v>
      </c>
      <c r="D1758" s="372" t="s">
        <v>50</v>
      </c>
      <c r="E1758" s="373">
        <v>46001</v>
      </c>
      <c r="F1758" s="372" t="s">
        <v>97</v>
      </c>
      <c r="G1758" s="372">
        <v>13</v>
      </c>
      <c r="H1758" s="372" t="s">
        <v>127</v>
      </c>
      <c r="I1758" s="372" t="s">
        <v>178</v>
      </c>
      <c r="J1758" s="372"/>
      <c r="K1758" s="360" t="s">
        <v>2578</v>
      </c>
      <c r="L1758" s="360" t="s">
        <v>2560</v>
      </c>
      <c r="M1758" s="360" t="s">
        <v>2560</v>
      </c>
      <c r="N1758" s="360" t="s">
        <v>2579</v>
      </c>
      <c r="O1758" s="255"/>
      <c r="P1758" s="385" t="s">
        <v>30</v>
      </c>
      <c r="Q1758" s="380">
        <v>46028</v>
      </c>
      <c r="R1758" s="24" t="s">
        <v>28</v>
      </c>
      <c r="S1758" s="358" t="s">
        <v>32</v>
      </c>
      <c r="T1758" s="358">
        <v>9</v>
      </c>
      <c r="U1758" s="384" t="s">
        <v>28</v>
      </c>
      <c r="V1758" s="380">
        <v>46028</v>
      </c>
      <c r="W1758" s="95" t="s">
        <v>32</v>
      </c>
      <c r="X1758" s="94" t="s">
        <v>30</v>
      </c>
      <c r="Y1758" s="94" t="s">
        <v>30</v>
      </c>
      <c r="Z1758" s="94" t="s">
        <v>30</v>
      </c>
      <c r="AA1758" s="94" t="s">
        <v>30</v>
      </c>
      <c r="AB1758" s="94" t="s">
        <v>30</v>
      </c>
      <c r="AC1758" s="94" t="s">
        <v>30</v>
      </c>
      <c r="AD1758" s="94" t="s">
        <v>30</v>
      </c>
      <c r="AE1758" s="94" t="s">
        <v>30</v>
      </c>
      <c r="AF1758" s="94" t="s">
        <v>30</v>
      </c>
      <c r="AG1758" s="94" t="s">
        <v>30</v>
      </c>
      <c r="AH1758" s="114" t="s">
        <v>32</v>
      </c>
      <c r="AI1758" s="94" t="s">
        <v>30</v>
      </c>
      <c r="AJ1758" s="94" t="s">
        <v>30</v>
      </c>
      <c r="AK1758" s="94" t="s">
        <v>30</v>
      </c>
      <c r="AL1758" s="95"/>
      <c r="AM1758" s="360"/>
    </row>
    <row r="1759" spans="1:44">
      <c r="A1759" s="358" t="s">
        <v>24</v>
      </c>
      <c r="B1759" s="369">
        <v>1756</v>
      </c>
      <c r="C1759" s="372" t="s">
        <v>2580</v>
      </c>
      <c r="D1759" s="372" t="s">
        <v>406</v>
      </c>
      <c r="E1759" s="373">
        <v>46001</v>
      </c>
      <c r="F1759" s="372" t="s">
        <v>97</v>
      </c>
      <c r="G1759" s="372">
        <v>18</v>
      </c>
      <c r="H1759" s="372" t="s">
        <v>1721</v>
      </c>
      <c r="I1759" s="372" t="s">
        <v>1638</v>
      </c>
      <c r="J1759" s="102" t="s">
        <v>2544</v>
      </c>
      <c r="K1759" s="360" t="s">
        <v>2056</v>
      </c>
      <c r="L1759" s="360" t="s">
        <v>2541</v>
      </c>
      <c r="M1759" s="360" t="s">
        <v>2541</v>
      </c>
      <c r="N1759" s="360" t="s">
        <v>2058</v>
      </c>
      <c r="O1759" s="117" t="s">
        <v>31</v>
      </c>
      <c r="P1759" s="385" t="s">
        <v>30</v>
      </c>
      <c r="Q1759" s="380">
        <v>46050</v>
      </c>
      <c r="R1759" s="384" t="s">
        <v>1638</v>
      </c>
      <c r="S1759" s="358" t="s">
        <v>32</v>
      </c>
      <c r="T1759" s="358">
        <v>18</v>
      </c>
      <c r="U1759" s="384" t="s">
        <v>1638</v>
      </c>
      <c r="V1759" s="380">
        <v>46050</v>
      </c>
      <c r="W1759" s="100" t="s">
        <v>30</v>
      </c>
      <c r="X1759" s="95" t="s">
        <v>32</v>
      </c>
      <c r="Y1759" s="100" t="s">
        <v>30</v>
      </c>
      <c r="Z1759" s="100"/>
      <c r="AA1759" s="95"/>
      <c r="AB1759" s="100"/>
      <c r="AC1759" s="100"/>
      <c r="AD1759" s="100"/>
      <c r="AE1759" s="100"/>
      <c r="AF1759" s="100"/>
      <c r="AG1759" s="100"/>
      <c r="AH1759" s="100" t="s">
        <v>30</v>
      </c>
      <c r="AI1759" s="112"/>
      <c r="AJ1759" s="112"/>
      <c r="AK1759" s="95" t="s">
        <v>32</v>
      </c>
      <c r="AL1759" s="95"/>
      <c r="AM1759" s="360" t="s">
        <v>2581</v>
      </c>
    </row>
    <row r="1760" spans="1:44">
      <c r="A1760" s="358" t="s">
        <v>24</v>
      </c>
      <c r="B1760" s="369">
        <v>1757</v>
      </c>
      <c r="C1760" s="372" t="s">
        <v>2582</v>
      </c>
      <c r="D1760" s="372" t="s">
        <v>26</v>
      </c>
      <c r="E1760" s="373">
        <v>46001</v>
      </c>
      <c r="F1760" s="372" t="s">
        <v>62</v>
      </c>
      <c r="G1760" s="372">
        <v>12</v>
      </c>
      <c r="H1760" s="372" t="s">
        <v>1077</v>
      </c>
      <c r="I1760" s="372" t="s">
        <v>1138</v>
      </c>
      <c r="J1760" s="102"/>
      <c r="K1760" s="358" t="s">
        <v>2135</v>
      </c>
      <c r="L1760" s="358" t="s">
        <v>2560</v>
      </c>
      <c r="M1760" s="358" t="s">
        <v>2560</v>
      </c>
      <c r="N1760" s="358" t="s">
        <v>2050</v>
      </c>
      <c r="O1760" s="380"/>
      <c r="P1760" s="385" t="s">
        <v>30</v>
      </c>
      <c r="Q1760" s="380">
        <v>46028</v>
      </c>
      <c r="R1760" s="384" t="s">
        <v>1138</v>
      </c>
      <c r="S1760" s="358" t="s">
        <v>30</v>
      </c>
      <c r="T1760" s="358">
        <v>12</v>
      </c>
      <c r="U1760" s="384" t="s">
        <v>1138</v>
      </c>
      <c r="V1760" s="380">
        <v>46028</v>
      </c>
      <c r="W1760" s="94" t="s">
        <v>30</v>
      </c>
      <c r="X1760" s="94" t="s">
        <v>30</v>
      </c>
      <c r="Y1760" s="94" t="s">
        <v>30</v>
      </c>
      <c r="Z1760" s="95" t="s">
        <v>32</v>
      </c>
      <c r="AA1760" s="95" t="s">
        <v>32</v>
      </c>
      <c r="AB1760" s="95" t="s">
        <v>32</v>
      </c>
      <c r="AC1760" s="100" t="s">
        <v>30</v>
      </c>
      <c r="AD1760" s="100" t="s">
        <v>30</v>
      </c>
      <c r="AE1760" s="100" t="s">
        <v>30</v>
      </c>
      <c r="AF1760" s="100" t="s">
        <v>30</v>
      </c>
      <c r="AG1760" s="100" t="s">
        <v>30</v>
      </c>
      <c r="AH1760" s="100" t="s">
        <v>30</v>
      </c>
      <c r="AI1760" s="100" t="s">
        <v>30</v>
      </c>
      <c r="AJ1760" s="100" t="s">
        <v>30</v>
      </c>
      <c r="AK1760" s="100" t="s">
        <v>30</v>
      </c>
      <c r="AL1760" s="95"/>
      <c r="AM1760" s="360"/>
    </row>
    <row r="1761" spans="1:47">
      <c r="A1761" s="358" t="s">
        <v>24</v>
      </c>
      <c r="B1761" s="369">
        <v>1758</v>
      </c>
      <c r="C1761" s="372" t="s">
        <v>2583</v>
      </c>
      <c r="D1761" s="372" t="s">
        <v>102</v>
      </c>
      <c r="E1761" s="373">
        <v>46002</v>
      </c>
      <c r="F1761" s="372" t="s">
        <v>1621</v>
      </c>
      <c r="G1761" s="372">
        <v>17</v>
      </c>
      <c r="H1761" s="372" t="s">
        <v>67</v>
      </c>
      <c r="I1761" s="372" t="s">
        <v>47</v>
      </c>
      <c r="J1761" s="372"/>
      <c r="K1761" s="360" t="s">
        <v>2061</v>
      </c>
      <c r="L1761" s="360" t="s">
        <v>2584</v>
      </c>
      <c r="M1761" s="360" t="s">
        <v>2585</v>
      </c>
      <c r="N1761" s="360" t="s">
        <v>2058</v>
      </c>
      <c r="O1761" s="117" t="s">
        <v>31</v>
      </c>
      <c r="P1761" s="385" t="s">
        <v>30</v>
      </c>
      <c r="Q1761" s="380">
        <v>46038</v>
      </c>
      <c r="R1761" s="24" t="s">
        <v>47</v>
      </c>
      <c r="S1761" s="358" t="s">
        <v>32</v>
      </c>
      <c r="T1761" s="358">
        <v>15</v>
      </c>
      <c r="U1761" s="24" t="s">
        <v>47</v>
      </c>
      <c r="V1761" s="380">
        <v>46038</v>
      </c>
      <c r="W1761" s="100" t="s">
        <v>30</v>
      </c>
      <c r="X1761" s="100" t="s">
        <v>30</v>
      </c>
      <c r="Y1761" s="100" t="s">
        <v>30</v>
      </c>
      <c r="Z1761" s="100" t="s">
        <v>30</v>
      </c>
      <c r="AA1761" s="100" t="s">
        <v>30</v>
      </c>
      <c r="AB1761" s="100" t="s">
        <v>30</v>
      </c>
      <c r="AC1761" s="100" t="s">
        <v>30</v>
      </c>
      <c r="AD1761" s="100" t="s">
        <v>30</v>
      </c>
      <c r="AE1761" s="100" t="s">
        <v>30</v>
      </c>
      <c r="AF1761" s="100" t="s">
        <v>30</v>
      </c>
      <c r="AG1761" s="100" t="s">
        <v>30</v>
      </c>
      <c r="AH1761" s="100" t="s">
        <v>30</v>
      </c>
      <c r="AI1761" s="100" t="s">
        <v>30</v>
      </c>
      <c r="AJ1761" s="100" t="s">
        <v>30</v>
      </c>
      <c r="AK1761" s="100" t="s">
        <v>30</v>
      </c>
      <c r="AL1761" s="95"/>
      <c r="AM1761" s="360"/>
    </row>
    <row r="1762" spans="1:47">
      <c r="A1762" s="358" t="s">
        <v>24</v>
      </c>
      <c r="B1762" s="369">
        <v>1759</v>
      </c>
      <c r="C1762" s="372" t="s">
        <v>2586</v>
      </c>
      <c r="D1762" s="372" t="s">
        <v>50</v>
      </c>
      <c r="E1762" s="373">
        <v>46003</v>
      </c>
      <c r="F1762" s="372" t="s">
        <v>161</v>
      </c>
      <c r="G1762" s="372">
        <v>36</v>
      </c>
      <c r="H1762" s="372" t="s">
        <v>67</v>
      </c>
      <c r="I1762" s="372" t="s">
        <v>47</v>
      </c>
      <c r="J1762" s="372"/>
      <c r="K1762" s="360" t="s">
        <v>2098</v>
      </c>
      <c r="L1762" s="360" t="s">
        <v>2585</v>
      </c>
      <c r="M1762" s="360" t="s">
        <v>2585</v>
      </c>
      <c r="N1762" s="360" t="s">
        <v>2050</v>
      </c>
      <c r="O1762" s="117" t="s">
        <v>31</v>
      </c>
      <c r="P1762" s="385" t="s">
        <v>30</v>
      </c>
      <c r="Q1762" s="380">
        <v>46053</v>
      </c>
      <c r="R1762" s="24" t="s">
        <v>48</v>
      </c>
      <c r="S1762" s="358" t="s">
        <v>32</v>
      </c>
      <c r="T1762" s="358">
        <v>31</v>
      </c>
      <c r="U1762" s="24" t="s">
        <v>48</v>
      </c>
      <c r="V1762" s="380">
        <v>46053</v>
      </c>
      <c r="W1762" s="100" t="s">
        <v>30</v>
      </c>
      <c r="X1762" s="100" t="s">
        <v>30</v>
      </c>
      <c r="Y1762" s="100" t="s">
        <v>30</v>
      </c>
      <c r="Z1762" s="100" t="s">
        <v>30</v>
      </c>
      <c r="AA1762" s="100" t="s">
        <v>30</v>
      </c>
      <c r="AB1762" s="100" t="s">
        <v>30</v>
      </c>
      <c r="AC1762" s="100" t="s">
        <v>30</v>
      </c>
      <c r="AD1762" s="100" t="s">
        <v>30</v>
      </c>
      <c r="AE1762" s="100" t="s">
        <v>30</v>
      </c>
      <c r="AF1762" s="100" t="s">
        <v>30</v>
      </c>
      <c r="AG1762" s="100" t="s">
        <v>30</v>
      </c>
      <c r="AH1762" s="100" t="s">
        <v>30</v>
      </c>
      <c r="AI1762" s="100" t="s">
        <v>30</v>
      </c>
      <c r="AJ1762" s="100" t="s">
        <v>30</v>
      </c>
      <c r="AK1762" s="100" t="s">
        <v>30</v>
      </c>
      <c r="AL1762" s="95" t="s">
        <v>32</v>
      </c>
      <c r="AM1762" s="360" t="s">
        <v>2548</v>
      </c>
    </row>
    <row r="1763" spans="1:47">
      <c r="A1763" s="358" t="s">
        <v>24</v>
      </c>
      <c r="B1763" s="369">
        <v>1760</v>
      </c>
      <c r="C1763" s="372" t="s">
        <v>2587</v>
      </c>
      <c r="D1763" s="372" t="s">
        <v>1641</v>
      </c>
      <c r="E1763" s="373">
        <v>46003</v>
      </c>
      <c r="F1763" s="372" t="s">
        <v>666</v>
      </c>
      <c r="G1763" s="372">
        <v>12</v>
      </c>
      <c r="H1763" s="372" t="s">
        <v>1721</v>
      </c>
      <c r="I1763" s="372" t="s">
        <v>1638</v>
      </c>
      <c r="J1763" s="372"/>
      <c r="K1763" s="360" t="s">
        <v>2264</v>
      </c>
      <c r="L1763" s="360" t="s">
        <v>2585</v>
      </c>
      <c r="M1763" s="360" t="s">
        <v>2585</v>
      </c>
      <c r="N1763" s="360" t="s">
        <v>2050</v>
      </c>
      <c r="O1763" s="385"/>
      <c r="P1763" s="385" t="s">
        <v>30</v>
      </c>
      <c r="Q1763" s="380">
        <v>46036</v>
      </c>
      <c r="R1763" s="384" t="s">
        <v>1638</v>
      </c>
      <c r="S1763" s="358" t="s">
        <v>32</v>
      </c>
      <c r="T1763" s="358">
        <v>10</v>
      </c>
      <c r="U1763" s="384" t="s">
        <v>1638</v>
      </c>
      <c r="V1763" s="380">
        <v>46036</v>
      </c>
      <c r="W1763" s="100" t="s">
        <v>30</v>
      </c>
      <c r="X1763" s="100" t="s">
        <v>30</v>
      </c>
      <c r="Y1763" s="100" t="s">
        <v>30</v>
      </c>
      <c r="Z1763" s="100" t="s">
        <v>30</v>
      </c>
      <c r="AA1763" s="100" t="s">
        <v>30</v>
      </c>
      <c r="AB1763" s="100" t="s">
        <v>30</v>
      </c>
      <c r="AC1763" s="100" t="s">
        <v>30</v>
      </c>
      <c r="AD1763" s="95" t="s">
        <v>32</v>
      </c>
      <c r="AE1763" s="100" t="s">
        <v>30</v>
      </c>
      <c r="AF1763" s="100" t="s">
        <v>30</v>
      </c>
      <c r="AG1763" s="100" t="s">
        <v>30</v>
      </c>
      <c r="AH1763" s="100" t="s">
        <v>30</v>
      </c>
      <c r="AI1763" s="111" t="s">
        <v>30</v>
      </c>
      <c r="AJ1763" s="111" t="s">
        <v>30</v>
      </c>
      <c r="AK1763" s="111" t="s">
        <v>30</v>
      </c>
      <c r="AL1763" s="95"/>
      <c r="AM1763" s="360"/>
      <c r="AO1763" s="412"/>
      <c r="AP1763" s="412"/>
      <c r="AQ1763" s="412"/>
      <c r="AR1763" s="412"/>
    </row>
    <row r="1764" spans="1:47">
      <c r="A1764" s="358" t="s">
        <v>24</v>
      </c>
      <c r="B1764" s="369">
        <v>1761</v>
      </c>
      <c r="C1764" s="372" t="s">
        <v>2588</v>
      </c>
      <c r="D1764" s="372" t="s">
        <v>606</v>
      </c>
      <c r="E1764" s="373">
        <v>46003</v>
      </c>
      <c r="F1764" s="372" t="s">
        <v>2589</v>
      </c>
      <c r="G1764" s="372">
        <v>11</v>
      </c>
      <c r="H1764" s="372" t="s">
        <v>1721</v>
      </c>
      <c r="I1764" s="372" t="s">
        <v>1638</v>
      </c>
      <c r="J1764" s="372"/>
      <c r="K1764" s="360" t="s">
        <v>2590</v>
      </c>
      <c r="L1764" s="360" t="s">
        <v>2591</v>
      </c>
      <c r="M1764" s="360" t="s">
        <v>2592</v>
      </c>
      <c r="N1764" s="360" t="s">
        <v>2050</v>
      </c>
      <c r="O1764" s="385"/>
      <c r="P1764" s="385" t="s">
        <v>30</v>
      </c>
      <c r="Q1764" s="380">
        <v>46037</v>
      </c>
      <c r="R1764" s="384" t="s">
        <v>1638</v>
      </c>
      <c r="S1764" s="358" t="s">
        <v>32</v>
      </c>
      <c r="T1764" s="358">
        <v>10</v>
      </c>
      <c r="U1764" s="384" t="s">
        <v>1638</v>
      </c>
      <c r="V1764" s="380">
        <v>46037</v>
      </c>
      <c r="W1764" s="100" t="s">
        <v>30</v>
      </c>
      <c r="X1764" s="100" t="s">
        <v>30</v>
      </c>
      <c r="Y1764" s="100" t="s">
        <v>30</v>
      </c>
      <c r="Z1764" s="95" t="s">
        <v>32</v>
      </c>
      <c r="AA1764" s="95" t="s">
        <v>32</v>
      </c>
      <c r="AB1764" s="95" t="s">
        <v>32</v>
      </c>
      <c r="AC1764" s="100" t="s">
        <v>30</v>
      </c>
      <c r="AD1764" s="100" t="s">
        <v>30</v>
      </c>
      <c r="AE1764" s="100" t="s">
        <v>30</v>
      </c>
      <c r="AF1764" s="100" t="s">
        <v>30</v>
      </c>
      <c r="AG1764" s="100" t="s">
        <v>30</v>
      </c>
      <c r="AH1764" s="100" t="s">
        <v>30</v>
      </c>
      <c r="AI1764" s="100" t="s">
        <v>30</v>
      </c>
      <c r="AJ1764" s="100" t="s">
        <v>30</v>
      </c>
      <c r="AK1764" s="100" t="s">
        <v>30</v>
      </c>
      <c r="AL1764" s="95"/>
      <c r="AM1764" s="360" t="s">
        <v>2548</v>
      </c>
      <c r="AS1764" s="72"/>
      <c r="AT1764" s="96"/>
      <c r="AU1764" s="96"/>
    </row>
    <row r="1765" spans="1:47">
      <c r="A1765" s="358" t="s">
        <v>24</v>
      </c>
      <c r="B1765" s="369">
        <v>1762</v>
      </c>
      <c r="C1765" s="372" t="s">
        <v>2593</v>
      </c>
      <c r="D1765" s="372" t="s">
        <v>451</v>
      </c>
      <c r="E1765" s="373">
        <v>46003</v>
      </c>
      <c r="F1765" s="372" t="s">
        <v>737</v>
      </c>
      <c r="G1765" s="372">
        <v>13</v>
      </c>
      <c r="H1765" s="372" t="s">
        <v>1721</v>
      </c>
      <c r="I1765" s="372" t="s">
        <v>1638</v>
      </c>
      <c r="J1765" s="372"/>
      <c r="K1765" s="360" t="s">
        <v>2594</v>
      </c>
      <c r="L1765" s="360" t="s">
        <v>2592</v>
      </c>
      <c r="M1765" s="360" t="s">
        <v>2592</v>
      </c>
      <c r="N1765" s="360" t="s">
        <v>2050</v>
      </c>
      <c r="O1765" s="255"/>
      <c r="P1765" s="385" t="s">
        <v>30</v>
      </c>
      <c r="Q1765" s="380">
        <v>46051</v>
      </c>
      <c r="R1765" s="384" t="s">
        <v>1638</v>
      </c>
      <c r="S1765" s="358" t="s">
        <v>32</v>
      </c>
      <c r="T1765" s="358">
        <v>9</v>
      </c>
      <c r="U1765" s="384" t="s">
        <v>1638</v>
      </c>
      <c r="V1765" s="380">
        <v>46051</v>
      </c>
      <c r="W1765" s="95" t="s">
        <v>32</v>
      </c>
      <c r="X1765" s="95" t="s">
        <v>32</v>
      </c>
      <c r="Y1765" s="95"/>
      <c r="Z1765" s="100" t="s">
        <v>30</v>
      </c>
      <c r="AA1765" s="100" t="s">
        <v>30</v>
      </c>
      <c r="AB1765" s="100" t="s">
        <v>30</v>
      </c>
      <c r="AC1765" s="100" t="s">
        <v>30</v>
      </c>
      <c r="AD1765" s="100" t="s">
        <v>30</v>
      </c>
      <c r="AE1765" s="100" t="s">
        <v>30</v>
      </c>
      <c r="AF1765" s="100" t="s">
        <v>30</v>
      </c>
      <c r="AG1765" s="100" t="s">
        <v>30</v>
      </c>
      <c r="AH1765" s="114" t="s">
        <v>32</v>
      </c>
      <c r="AI1765" s="100" t="s">
        <v>30</v>
      </c>
      <c r="AJ1765" s="100" t="s">
        <v>30</v>
      </c>
      <c r="AK1765" s="100" t="s">
        <v>30</v>
      </c>
      <c r="AL1765" s="95"/>
      <c r="AM1765" s="360"/>
      <c r="AO1765" s="412"/>
      <c r="AP1765" s="412"/>
      <c r="AQ1765" s="412"/>
      <c r="AR1765" s="412"/>
    </row>
    <row r="1766" spans="1:47">
      <c r="A1766" s="358" t="s">
        <v>24</v>
      </c>
      <c r="B1766" s="369">
        <v>1763</v>
      </c>
      <c r="C1766" s="372" t="s">
        <v>2595</v>
      </c>
      <c r="D1766" s="372" t="s">
        <v>50</v>
      </c>
      <c r="E1766" s="373">
        <v>46003</v>
      </c>
      <c r="F1766" s="372" t="s">
        <v>1105</v>
      </c>
      <c r="G1766" s="372">
        <v>22</v>
      </c>
      <c r="H1766" s="372" t="s">
        <v>1721</v>
      </c>
      <c r="I1766" s="372" t="s">
        <v>1638</v>
      </c>
      <c r="J1766" s="221" t="s">
        <v>2576</v>
      </c>
      <c r="K1766" s="360" t="s">
        <v>2578</v>
      </c>
      <c r="L1766" s="360" t="s">
        <v>2591</v>
      </c>
      <c r="M1766" s="360" t="s">
        <v>2592</v>
      </c>
      <c r="N1766" s="360" t="s">
        <v>2050</v>
      </c>
      <c r="O1766" s="117" t="s">
        <v>31</v>
      </c>
      <c r="P1766" s="385"/>
      <c r="Q1766" s="380"/>
      <c r="R1766" s="384" t="s">
        <v>1638</v>
      </c>
      <c r="S1766" s="358" t="s">
        <v>32</v>
      </c>
      <c r="T1766" s="358">
        <v>22</v>
      </c>
      <c r="U1766" s="384"/>
      <c r="V1766" s="380"/>
      <c r="W1766" s="95" t="s">
        <v>32</v>
      </c>
      <c r="X1766" s="100" t="s">
        <v>30</v>
      </c>
      <c r="Y1766" s="95"/>
      <c r="Z1766" s="94" t="s">
        <v>30</v>
      </c>
      <c r="AA1766" s="94" t="s">
        <v>30</v>
      </c>
      <c r="AB1766" s="94" t="s">
        <v>30</v>
      </c>
      <c r="AC1766" s="100" t="s">
        <v>30</v>
      </c>
      <c r="AD1766" s="100" t="s">
        <v>30</v>
      </c>
      <c r="AE1766" s="100" t="s">
        <v>30</v>
      </c>
      <c r="AF1766" s="100" t="s">
        <v>30</v>
      </c>
      <c r="AG1766" s="100" t="s">
        <v>30</v>
      </c>
      <c r="AH1766" s="114"/>
      <c r="AI1766" s="100" t="s">
        <v>30</v>
      </c>
      <c r="AJ1766" s="100" t="s">
        <v>30</v>
      </c>
      <c r="AK1766" s="100" t="s">
        <v>30</v>
      </c>
      <c r="AL1766" s="95"/>
      <c r="AM1766" s="360" t="s">
        <v>2545</v>
      </c>
      <c r="AO1766" s="412"/>
      <c r="AP1766" s="412"/>
      <c r="AQ1766" s="412"/>
      <c r="AR1766" s="412"/>
    </row>
    <row r="1767" spans="1:47">
      <c r="A1767" s="358" t="s">
        <v>24</v>
      </c>
      <c r="B1767" s="369">
        <v>1764</v>
      </c>
      <c r="C1767" s="372" t="s">
        <v>2596</v>
      </c>
      <c r="D1767" s="372" t="s">
        <v>606</v>
      </c>
      <c r="E1767" s="373">
        <v>46004</v>
      </c>
      <c r="F1767" s="372" t="s">
        <v>77</v>
      </c>
      <c r="G1767" s="372">
        <v>11</v>
      </c>
      <c r="H1767" s="372" t="s">
        <v>1721</v>
      </c>
      <c r="I1767" s="372" t="s">
        <v>1638</v>
      </c>
      <c r="J1767" s="372"/>
      <c r="K1767" s="360" t="s">
        <v>2098</v>
      </c>
      <c r="L1767" s="360" t="s">
        <v>2585</v>
      </c>
      <c r="M1767" s="360" t="s">
        <v>2585</v>
      </c>
      <c r="N1767" s="360" t="s">
        <v>2050</v>
      </c>
      <c r="O1767" s="255"/>
      <c r="P1767" s="385" t="s">
        <v>30</v>
      </c>
      <c r="Q1767" s="380">
        <v>46035</v>
      </c>
      <c r="R1767" s="384" t="s">
        <v>1638</v>
      </c>
      <c r="S1767" s="358" t="s">
        <v>1140</v>
      </c>
      <c r="T1767" s="358">
        <v>11</v>
      </c>
      <c r="U1767" s="384" t="s">
        <v>1638</v>
      </c>
      <c r="V1767" s="380">
        <v>46035</v>
      </c>
      <c r="W1767" s="100" t="s">
        <v>30</v>
      </c>
      <c r="X1767" s="94" t="s">
        <v>30</v>
      </c>
      <c r="Y1767" s="94" t="s">
        <v>30</v>
      </c>
      <c r="Z1767" s="100" t="s">
        <v>30</v>
      </c>
      <c r="AA1767" s="100" t="s">
        <v>30</v>
      </c>
      <c r="AB1767" s="100" t="s">
        <v>30</v>
      </c>
      <c r="AC1767" s="100" t="s">
        <v>30</v>
      </c>
      <c r="AD1767" s="100" t="s">
        <v>30</v>
      </c>
      <c r="AE1767" s="100" t="s">
        <v>30</v>
      </c>
      <c r="AF1767" s="100" t="s">
        <v>30</v>
      </c>
      <c r="AG1767" s="100" t="s">
        <v>30</v>
      </c>
      <c r="AH1767" s="100" t="s">
        <v>30</v>
      </c>
      <c r="AI1767" s="94" t="s">
        <v>30</v>
      </c>
      <c r="AJ1767" s="94" t="s">
        <v>30</v>
      </c>
      <c r="AK1767" s="94" t="s">
        <v>30</v>
      </c>
      <c r="AL1767" s="95" t="s">
        <v>32</v>
      </c>
      <c r="AM1767" s="360" t="s">
        <v>2548</v>
      </c>
    </row>
    <row r="1768" spans="1:47">
      <c r="A1768" s="358" t="s">
        <v>24</v>
      </c>
      <c r="B1768" s="369">
        <v>1765</v>
      </c>
      <c r="C1768" s="372" t="s">
        <v>2597</v>
      </c>
      <c r="D1768" s="372" t="s">
        <v>50</v>
      </c>
      <c r="E1768" s="373">
        <v>46004</v>
      </c>
      <c r="F1768" s="372" t="s">
        <v>35</v>
      </c>
      <c r="G1768" s="372">
        <v>12</v>
      </c>
      <c r="H1768" s="372" t="s">
        <v>1721</v>
      </c>
      <c r="I1768" s="372" t="s">
        <v>1638</v>
      </c>
      <c r="J1768" s="372"/>
      <c r="K1768" s="360" t="s">
        <v>2102</v>
      </c>
      <c r="L1768" s="360" t="s">
        <v>2591</v>
      </c>
      <c r="M1768" s="360" t="s">
        <v>2591</v>
      </c>
      <c r="N1768" s="360" t="s">
        <v>2166</v>
      </c>
      <c r="O1768" s="255"/>
      <c r="P1768" s="385" t="s">
        <v>30</v>
      </c>
      <c r="Q1768" s="380">
        <v>46034</v>
      </c>
      <c r="R1768" s="384" t="s">
        <v>1638</v>
      </c>
      <c r="S1768" s="358" t="s">
        <v>32</v>
      </c>
      <c r="T1768" s="358">
        <v>12</v>
      </c>
      <c r="U1768" s="384" t="s">
        <v>1638</v>
      </c>
      <c r="V1768" s="380">
        <v>46034</v>
      </c>
      <c r="W1768" s="100" t="s">
        <v>30</v>
      </c>
      <c r="X1768" s="100" t="s">
        <v>30</v>
      </c>
      <c r="Y1768" s="100" t="s">
        <v>30</v>
      </c>
      <c r="Z1768" s="100" t="s">
        <v>30</v>
      </c>
      <c r="AA1768" s="100" t="s">
        <v>30</v>
      </c>
      <c r="AB1768" s="100" t="s">
        <v>30</v>
      </c>
      <c r="AC1768" s="100" t="s">
        <v>30</v>
      </c>
      <c r="AD1768" s="100" t="s">
        <v>30</v>
      </c>
      <c r="AE1768" s="100" t="s">
        <v>30</v>
      </c>
      <c r="AF1768" s="100" t="s">
        <v>30</v>
      </c>
      <c r="AG1768" s="100" t="s">
        <v>30</v>
      </c>
      <c r="AH1768" s="100" t="s">
        <v>30</v>
      </c>
      <c r="AI1768" s="114" t="s">
        <v>32</v>
      </c>
      <c r="AJ1768" s="114" t="s">
        <v>32</v>
      </c>
      <c r="AK1768" s="111" t="s">
        <v>30</v>
      </c>
      <c r="AL1768" s="95"/>
      <c r="AM1768" s="360" t="s">
        <v>2548</v>
      </c>
    </row>
    <row r="1769" spans="1:47">
      <c r="A1769" s="358" t="s">
        <v>24</v>
      </c>
      <c r="B1769" s="369">
        <v>1766</v>
      </c>
      <c r="C1769" s="372" t="s">
        <v>2598</v>
      </c>
      <c r="D1769" s="372" t="s">
        <v>102</v>
      </c>
      <c r="E1769" s="373">
        <v>46004</v>
      </c>
      <c r="F1769" s="372" t="s">
        <v>2107</v>
      </c>
      <c r="G1769" s="372">
        <v>8</v>
      </c>
      <c r="H1769" s="372" t="s">
        <v>1077</v>
      </c>
      <c r="I1769" s="372" t="s">
        <v>1138</v>
      </c>
      <c r="J1769" s="141" t="s">
        <v>30</v>
      </c>
      <c r="K1769" s="360" t="s">
        <v>2066</v>
      </c>
      <c r="L1769" s="360" t="s">
        <v>2591</v>
      </c>
      <c r="M1769" s="360" t="s">
        <v>2592</v>
      </c>
      <c r="N1769" s="360" t="s">
        <v>2083</v>
      </c>
      <c r="O1769" s="385"/>
      <c r="P1769" s="385"/>
      <c r="Q1769" s="380"/>
      <c r="R1769" s="384" t="s">
        <v>1138</v>
      </c>
      <c r="S1769" s="358"/>
      <c r="T1769" s="358"/>
      <c r="U1769" s="384"/>
      <c r="V1769" s="380"/>
      <c r="W1769" s="100" t="s">
        <v>30</v>
      </c>
      <c r="X1769" s="100" t="s">
        <v>30</v>
      </c>
      <c r="Y1769" s="100"/>
      <c r="Z1769" s="100" t="s">
        <v>30</v>
      </c>
      <c r="AA1769" s="95" t="s">
        <v>32</v>
      </c>
      <c r="AB1769" s="100" t="s">
        <v>30</v>
      </c>
      <c r="AC1769" s="100" t="s">
        <v>30</v>
      </c>
      <c r="AD1769" s="100" t="s">
        <v>30</v>
      </c>
      <c r="AE1769" s="100" t="s">
        <v>30</v>
      </c>
      <c r="AF1769" s="100" t="s">
        <v>30</v>
      </c>
      <c r="AG1769" s="100" t="s">
        <v>30</v>
      </c>
      <c r="AH1769" s="114"/>
      <c r="AI1769" s="95" t="s">
        <v>32</v>
      </c>
      <c r="AJ1769" s="100" t="s">
        <v>30</v>
      </c>
      <c r="AK1769" s="95" t="s">
        <v>32</v>
      </c>
      <c r="AL1769" s="95"/>
      <c r="AM1769" s="360" t="s">
        <v>2548</v>
      </c>
    </row>
    <row r="1770" spans="1:47">
      <c r="A1770" s="358" t="s">
        <v>24</v>
      </c>
      <c r="B1770" s="369">
        <v>1767</v>
      </c>
      <c r="C1770" s="372" t="s">
        <v>2599</v>
      </c>
      <c r="D1770" s="372" t="s">
        <v>50</v>
      </c>
      <c r="E1770" s="373">
        <v>46004</v>
      </c>
      <c r="F1770" s="372" t="s">
        <v>2566</v>
      </c>
      <c r="G1770" s="372">
        <v>12</v>
      </c>
      <c r="H1770" s="372" t="s">
        <v>1077</v>
      </c>
      <c r="I1770" s="372" t="s">
        <v>1138</v>
      </c>
      <c r="J1770" s="372"/>
      <c r="K1770" s="360" t="s">
        <v>2600</v>
      </c>
      <c r="L1770" s="360" t="s">
        <v>2591</v>
      </c>
      <c r="M1770" s="360" t="s">
        <v>2592</v>
      </c>
      <c r="N1770" s="360" t="s">
        <v>2567</v>
      </c>
      <c r="O1770" s="385"/>
      <c r="P1770" s="385" t="s">
        <v>30</v>
      </c>
      <c r="Q1770" s="380">
        <v>46029</v>
      </c>
      <c r="R1770" s="384" t="s">
        <v>1138</v>
      </c>
      <c r="S1770" s="358" t="s">
        <v>32</v>
      </c>
      <c r="T1770" s="358">
        <v>10</v>
      </c>
      <c r="U1770" s="384" t="s">
        <v>1138</v>
      </c>
      <c r="V1770" s="380">
        <v>46029</v>
      </c>
      <c r="W1770" s="100" t="s">
        <v>30</v>
      </c>
      <c r="X1770" s="100" t="s">
        <v>30</v>
      </c>
      <c r="Y1770" s="100" t="s">
        <v>30</v>
      </c>
      <c r="Z1770" s="100" t="s">
        <v>30</v>
      </c>
      <c r="AA1770" s="100" t="s">
        <v>30</v>
      </c>
      <c r="AB1770" s="100" t="s">
        <v>30</v>
      </c>
      <c r="AC1770" s="100" t="s">
        <v>30</v>
      </c>
      <c r="AD1770" s="100" t="s">
        <v>30</v>
      </c>
      <c r="AE1770" s="100" t="s">
        <v>30</v>
      </c>
      <c r="AF1770" s="100" t="s">
        <v>30</v>
      </c>
      <c r="AG1770" s="100" t="s">
        <v>30</v>
      </c>
      <c r="AH1770" s="100" t="s">
        <v>30</v>
      </c>
      <c r="AI1770" s="100" t="s">
        <v>30</v>
      </c>
      <c r="AJ1770" s="100" t="s">
        <v>30</v>
      </c>
      <c r="AK1770" s="100" t="s">
        <v>30</v>
      </c>
      <c r="AL1770" s="95"/>
      <c r="AM1770" s="360"/>
    </row>
    <row r="1771" spans="1:47">
      <c r="A1771" s="358" t="s">
        <v>24</v>
      </c>
      <c r="B1771" s="369">
        <v>1768</v>
      </c>
      <c r="C1771" s="372" t="s">
        <v>2601</v>
      </c>
      <c r="D1771" s="372" t="s">
        <v>43</v>
      </c>
      <c r="E1771" s="373">
        <v>46004</v>
      </c>
      <c r="F1771" s="372" t="s">
        <v>2014</v>
      </c>
      <c r="G1771" s="372">
        <v>28</v>
      </c>
      <c r="H1771" s="372" t="s">
        <v>1077</v>
      </c>
      <c r="I1771" s="372" t="s">
        <v>1138</v>
      </c>
      <c r="J1771" s="102"/>
      <c r="K1771" s="358" t="s">
        <v>2108</v>
      </c>
      <c r="L1771" s="358" t="s">
        <v>2592</v>
      </c>
      <c r="M1771" s="358" t="s">
        <v>2592</v>
      </c>
      <c r="N1771" s="358" t="s">
        <v>2050</v>
      </c>
      <c r="O1771" s="117" t="s">
        <v>31</v>
      </c>
      <c r="P1771" s="385" t="s">
        <v>30</v>
      </c>
      <c r="Q1771" s="23">
        <v>46030</v>
      </c>
      <c r="R1771" s="384" t="s">
        <v>1138</v>
      </c>
      <c r="S1771" s="358" t="s">
        <v>30</v>
      </c>
      <c r="T1771" s="22">
        <v>19</v>
      </c>
      <c r="U1771" s="384" t="s">
        <v>1138</v>
      </c>
      <c r="V1771" s="23">
        <v>46030</v>
      </c>
      <c r="W1771" s="100" t="s">
        <v>30</v>
      </c>
      <c r="X1771" s="82" t="s">
        <v>30</v>
      </c>
      <c r="Y1771" s="82" t="s">
        <v>30</v>
      </c>
      <c r="Z1771" s="82" t="s">
        <v>30</v>
      </c>
      <c r="AA1771" s="82" t="s">
        <v>30</v>
      </c>
      <c r="AB1771" s="82" t="s">
        <v>30</v>
      </c>
      <c r="AC1771" s="82" t="s">
        <v>30</v>
      </c>
      <c r="AD1771" s="82" t="s">
        <v>30</v>
      </c>
      <c r="AE1771" s="82" t="s">
        <v>30</v>
      </c>
      <c r="AF1771" s="82" t="s">
        <v>30</v>
      </c>
      <c r="AG1771" s="82" t="s">
        <v>30</v>
      </c>
      <c r="AH1771" s="100" t="s">
        <v>30</v>
      </c>
      <c r="AI1771" s="111" t="s">
        <v>30</v>
      </c>
      <c r="AJ1771" s="111" t="s">
        <v>30</v>
      </c>
      <c r="AK1771" s="111" t="s">
        <v>30</v>
      </c>
      <c r="AL1771" s="95"/>
      <c r="AM1771" s="360"/>
    </row>
    <row r="1772" spans="1:47">
      <c r="A1772" s="358" t="s">
        <v>24</v>
      </c>
      <c r="B1772" s="369">
        <v>1769</v>
      </c>
      <c r="C1772" s="372" t="s">
        <v>2602</v>
      </c>
      <c r="D1772" s="372" t="s">
        <v>50</v>
      </c>
      <c r="E1772" s="373">
        <v>46004</v>
      </c>
      <c r="F1772" s="372" t="s">
        <v>62</v>
      </c>
      <c r="G1772" s="372">
        <v>12</v>
      </c>
      <c r="H1772" s="372" t="s">
        <v>1077</v>
      </c>
      <c r="I1772" s="372" t="s">
        <v>1138</v>
      </c>
      <c r="J1772" s="102"/>
      <c r="K1772" s="358" t="s">
        <v>2135</v>
      </c>
      <c r="L1772" s="358" t="s">
        <v>2592</v>
      </c>
      <c r="M1772" s="358" t="s">
        <v>2603</v>
      </c>
      <c r="N1772" s="358" t="s">
        <v>2050</v>
      </c>
      <c r="O1772" s="117"/>
      <c r="P1772" s="385" t="s">
        <v>30</v>
      </c>
      <c r="Q1772" s="23">
        <v>46030</v>
      </c>
      <c r="R1772" s="384" t="s">
        <v>1138</v>
      </c>
      <c r="S1772" s="358" t="s">
        <v>30</v>
      </c>
      <c r="T1772" s="22">
        <v>12</v>
      </c>
      <c r="U1772" s="384" t="s">
        <v>1138</v>
      </c>
      <c r="V1772" s="23">
        <v>46030</v>
      </c>
      <c r="W1772" s="100" t="s">
        <v>30</v>
      </c>
      <c r="X1772" s="100" t="s">
        <v>30</v>
      </c>
      <c r="Y1772" s="100" t="s">
        <v>30</v>
      </c>
      <c r="Z1772" s="95" t="s">
        <v>32</v>
      </c>
      <c r="AA1772" s="95" t="s">
        <v>32</v>
      </c>
      <c r="AB1772" s="95" t="s">
        <v>32</v>
      </c>
      <c r="AC1772" s="100" t="s">
        <v>30</v>
      </c>
      <c r="AD1772" s="100" t="s">
        <v>30</v>
      </c>
      <c r="AE1772" s="100" t="s">
        <v>30</v>
      </c>
      <c r="AF1772" s="100" t="s">
        <v>30</v>
      </c>
      <c r="AG1772" s="100" t="s">
        <v>30</v>
      </c>
      <c r="AH1772" s="100" t="s">
        <v>30</v>
      </c>
      <c r="AI1772" s="100" t="s">
        <v>30</v>
      </c>
      <c r="AJ1772" s="100" t="s">
        <v>30</v>
      </c>
      <c r="AK1772" s="111" t="s">
        <v>30</v>
      </c>
      <c r="AL1772" s="95"/>
      <c r="AM1772" s="360"/>
    </row>
    <row r="1773" spans="1:47">
      <c r="A1773" s="358" t="s">
        <v>24</v>
      </c>
      <c r="B1773" s="369">
        <v>1770</v>
      </c>
      <c r="C1773" s="372" t="s">
        <v>2604</v>
      </c>
      <c r="D1773" s="372" t="s">
        <v>26</v>
      </c>
      <c r="E1773" s="373">
        <v>46004</v>
      </c>
      <c r="F1773" s="372" t="s">
        <v>683</v>
      </c>
      <c r="G1773" s="372">
        <v>25</v>
      </c>
      <c r="H1773" s="372" t="s">
        <v>67</v>
      </c>
      <c r="I1773" s="372" t="s">
        <v>47</v>
      </c>
      <c r="J1773" s="372"/>
      <c r="K1773" s="360" t="s">
        <v>2226</v>
      </c>
      <c r="L1773" s="360" t="s">
        <v>2591</v>
      </c>
      <c r="M1773" s="360" t="s">
        <v>2591</v>
      </c>
      <c r="N1773" s="360" t="s">
        <v>2050</v>
      </c>
      <c r="O1773" s="117" t="s">
        <v>31</v>
      </c>
      <c r="P1773" s="252" t="s">
        <v>30</v>
      </c>
      <c r="Q1773" s="23">
        <v>46053</v>
      </c>
      <c r="R1773" s="24" t="s">
        <v>48</v>
      </c>
      <c r="S1773" s="22" t="s">
        <v>1140</v>
      </c>
      <c r="T1773" s="22">
        <v>25</v>
      </c>
      <c r="U1773" s="24" t="s">
        <v>48</v>
      </c>
      <c r="V1773" s="23">
        <v>46053</v>
      </c>
      <c r="W1773" s="100" t="s">
        <v>30</v>
      </c>
      <c r="X1773" s="95" t="s">
        <v>32</v>
      </c>
      <c r="Y1773" s="100" t="s">
        <v>30</v>
      </c>
      <c r="Z1773" s="100" t="s">
        <v>30</v>
      </c>
      <c r="AA1773" s="95" t="s">
        <v>32</v>
      </c>
      <c r="AB1773" s="100" t="s">
        <v>30</v>
      </c>
      <c r="AC1773" s="100" t="s">
        <v>30</v>
      </c>
      <c r="AD1773" s="100" t="s">
        <v>30</v>
      </c>
      <c r="AE1773" s="100" t="s">
        <v>30</v>
      </c>
      <c r="AF1773" s="100" t="s">
        <v>30</v>
      </c>
      <c r="AG1773" s="100" t="s">
        <v>30</v>
      </c>
      <c r="AH1773" s="100" t="s">
        <v>30</v>
      </c>
      <c r="AI1773" s="100" t="s">
        <v>30</v>
      </c>
      <c r="AJ1773" s="100" t="s">
        <v>30</v>
      </c>
      <c r="AK1773" s="100" t="s">
        <v>30</v>
      </c>
      <c r="AL1773" s="95"/>
      <c r="AM1773" s="360" t="s">
        <v>2545</v>
      </c>
      <c r="AO1773" s="412"/>
      <c r="AP1773" s="412"/>
      <c r="AQ1773" s="412"/>
      <c r="AR1773" s="412"/>
    </row>
    <row r="1774" spans="1:47">
      <c r="A1774" s="358" t="s">
        <v>24</v>
      </c>
      <c r="B1774" s="369">
        <v>1771</v>
      </c>
      <c r="C1774" s="372" t="s">
        <v>2605</v>
      </c>
      <c r="D1774" s="372" t="s">
        <v>34</v>
      </c>
      <c r="E1774" s="373">
        <v>46004</v>
      </c>
      <c r="F1774" s="372" t="s">
        <v>2016</v>
      </c>
      <c r="G1774" s="372">
        <v>16</v>
      </c>
      <c r="H1774" s="372" t="s">
        <v>1077</v>
      </c>
      <c r="I1774" s="372" t="s">
        <v>1138</v>
      </c>
      <c r="J1774" s="102"/>
      <c r="K1774" s="358" t="s">
        <v>2052</v>
      </c>
      <c r="L1774" s="358" t="s">
        <v>2591</v>
      </c>
      <c r="M1774" s="358" t="s">
        <v>2592</v>
      </c>
      <c r="N1774" s="358" t="s">
        <v>2050</v>
      </c>
      <c r="O1774" s="117" t="s">
        <v>31</v>
      </c>
      <c r="P1774" s="23" t="s">
        <v>30</v>
      </c>
      <c r="Q1774" s="23">
        <v>46030</v>
      </c>
      <c r="R1774" s="384" t="s">
        <v>1138</v>
      </c>
      <c r="S1774" s="358" t="s">
        <v>30</v>
      </c>
      <c r="T1774" s="22">
        <v>12</v>
      </c>
      <c r="U1774" s="24" t="s">
        <v>1138</v>
      </c>
      <c r="V1774" s="23">
        <v>46030</v>
      </c>
      <c r="W1774" s="100" t="s">
        <v>30</v>
      </c>
      <c r="X1774" s="100" t="s">
        <v>30</v>
      </c>
      <c r="Y1774" s="100" t="s">
        <v>30</v>
      </c>
      <c r="Z1774" s="100" t="s">
        <v>30</v>
      </c>
      <c r="AA1774" s="100" t="s">
        <v>30</v>
      </c>
      <c r="AB1774" s="100" t="s">
        <v>30</v>
      </c>
      <c r="AC1774" s="100" t="s">
        <v>30</v>
      </c>
      <c r="AD1774" s="100" t="s">
        <v>30</v>
      </c>
      <c r="AE1774" s="100" t="s">
        <v>30</v>
      </c>
      <c r="AF1774" s="100" t="s">
        <v>30</v>
      </c>
      <c r="AG1774" s="100" t="s">
        <v>30</v>
      </c>
      <c r="AH1774" s="100" t="s">
        <v>30</v>
      </c>
      <c r="AI1774" s="111" t="s">
        <v>30</v>
      </c>
      <c r="AJ1774" s="111" t="s">
        <v>30</v>
      </c>
      <c r="AK1774" s="111" t="s">
        <v>30</v>
      </c>
      <c r="AL1774" s="95"/>
      <c r="AM1774" s="360"/>
      <c r="AS1774" s="72"/>
      <c r="AT1774" s="96"/>
      <c r="AU1774" s="96"/>
    </row>
    <row r="1775" spans="1:47">
      <c r="A1775" s="358" t="s">
        <v>24</v>
      </c>
      <c r="B1775" s="369">
        <v>1772</v>
      </c>
      <c r="C1775" s="372" t="s">
        <v>2606</v>
      </c>
      <c r="D1775" s="372" t="s">
        <v>34</v>
      </c>
      <c r="E1775" s="373">
        <v>46004</v>
      </c>
      <c r="F1775" s="372" t="s">
        <v>1295</v>
      </c>
      <c r="G1775" s="372">
        <v>13</v>
      </c>
      <c r="H1775" s="372" t="s">
        <v>67</v>
      </c>
      <c r="I1775" s="372" t="s">
        <v>47</v>
      </c>
      <c r="J1775" s="102" t="s">
        <v>2544</v>
      </c>
      <c r="K1775" s="360" t="s">
        <v>2195</v>
      </c>
      <c r="L1775" s="360" t="s">
        <v>2592</v>
      </c>
      <c r="M1775" s="360" t="s">
        <v>2592</v>
      </c>
      <c r="N1775" s="360" t="s">
        <v>2607</v>
      </c>
      <c r="O1775" s="385"/>
      <c r="P1775" s="252"/>
      <c r="Q1775" s="23"/>
      <c r="R1775" s="24" t="s">
        <v>48</v>
      </c>
      <c r="S1775" s="22"/>
      <c r="T1775" s="22"/>
      <c r="U1775" s="24"/>
      <c r="V1775" s="23"/>
      <c r="W1775" s="95" t="s">
        <v>32</v>
      </c>
      <c r="X1775" s="95" t="s">
        <v>32</v>
      </c>
      <c r="Y1775" s="100" t="s">
        <v>30</v>
      </c>
      <c r="Z1775" s="95" t="s">
        <v>32</v>
      </c>
      <c r="AA1775" s="95" t="s">
        <v>32</v>
      </c>
      <c r="AB1775" s="111" t="s">
        <v>30</v>
      </c>
      <c r="AC1775" s="111" t="s">
        <v>30</v>
      </c>
      <c r="AD1775" s="111" t="s">
        <v>30</v>
      </c>
      <c r="AE1775" s="111" t="s">
        <v>30</v>
      </c>
      <c r="AF1775" s="111" t="s">
        <v>30</v>
      </c>
      <c r="AG1775" s="111" t="s">
        <v>30</v>
      </c>
      <c r="AH1775" s="111" t="s">
        <v>30</v>
      </c>
      <c r="AI1775" s="111" t="s">
        <v>30</v>
      </c>
      <c r="AJ1775" s="111" t="s">
        <v>30</v>
      </c>
      <c r="AK1775" s="114" t="s">
        <v>32</v>
      </c>
      <c r="AL1775" s="95"/>
      <c r="AM1775" s="360"/>
    </row>
    <row r="1776" spans="1:47">
      <c r="A1776" s="358" t="s">
        <v>24</v>
      </c>
      <c r="B1776" s="369">
        <v>1773</v>
      </c>
      <c r="C1776" s="372" t="s">
        <v>2608</v>
      </c>
      <c r="D1776" s="372" t="s">
        <v>50</v>
      </c>
      <c r="E1776" s="373">
        <v>46004</v>
      </c>
      <c r="F1776" s="372" t="s">
        <v>1470</v>
      </c>
      <c r="G1776" s="372">
        <v>12</v>
      </c>
      <c r="H1776" s="372" t="s">
        <v>67</v>
      </c>
      <c r="I1776" s="372" t="s">
        <v>47</v>
      </c>
      <c r="J1776" s="372"/>
      <c r="K1776" s="360" t="s">
        <v>2126</v>
      </c>
      <c r="L1776" s="360" t="s">
        <v>2591</v>
      </c>
      <c r="M1776" s="360" t="s">
        <v>2603</v>
      </c>
      <c r="N1776" s="360" t="s">
        <v>2609</v>
      </c>
      <c r="O1776" s="385"/>
      <c r="P1776" s="252" t="s">
        <v>30</v>
      </c>
      <c r="Q1776" s="23">
        <v>46053</v>
      </c>
      <c r="R1776" s="24" t="s">
        <v>48</v>
      </c>
      <c r="S1776" s="22" t="s">
        <v>32</v>
      </c>
      <c r="T1776" s="22">
        <v>10</v>
      </c>
      <c r="U1776" s="24" t="s">
        <v>48</v>
      </c>
      <c r="V1776" s="23">
        <v>46053</v>
      </c>
      <c r="W1776" s="94" t="s">
        <v>30</v>
      </c>
      <c r="X1776" s="100" t="s">
        <v>30</v>
      </c>
      <c r="Y1776" s="100" t="s">
        <v>30</v>
      </c>
      <c r="Z1776" s="100" t="s">
        <v>30</v>
      </c>
      <c r="AA1776" s="100" t="s">
        <v>30</v>
      </c>
      <c r="AB1776" s="100" t="s">
        <v>30</v>
      </c>
      <c r="AC1776" s="100" t="s">
        <v>30</v>
      </c>
      <c r="AD1776" s="100" t="s">
        <v>30</v>
      </c>
      <c r="AE1776" s="100" t="s">
        <v>30</v>
      </c>
      <c r="AF1776" s="100" t="s">
        <v>30</v>
      </c>
      <c r="AG1776" s="100" t="s">
        <v>30</v>
      </c>
      <c r="AH1776" s="100" t="s">
        <v>30</v>
      </c>
      <c r="AI1776" s="100" t="s">
        <v>30</v>
      </c>
      <c r="AJ1776" s="100" t="s">
        <v>30</v>
      </c>
      <c r="AK1776" s="100" t="s">
        <v>30</v>
      </c>
      <c r="AL1776" s="95"/>
      <c r="AM1776" s="360"/>
    </row>
    <row r="1777" spans="1:47">
      <c r="A1777" s="358" t="s">
        <v>24</v>
      </c>
      <c r="B1777" s="369">
        <v>1774</v>
      </c>
      <c r="C1777" s="372" t="s">
        <v>2610</v>
      </c>
      <c r="D1777" s="372" t="s">
        <v>34</v>
      </c>
      <c r="E1777" s="373">
        <v>46004</v>
      </c>
      <c r="F1777" s="372" t="s">
        <v>2611</v>
      </c>
      <c r="G1777" s="372">
        <v>13</v>
      </c>
      <c r="H1777" s="372" t="s">
        <v>67</v>
      </c>
      <c r="I1777" s="372" t="s">
        <v>47</v>
      </c>
      <c r="J1777" s="372"/>
      <c r="K1777" s="360" t="s">
        <v>2123</v>
      </c>
      <c r="L1777" s="360" t="s">
        <v>2603</v>
      </c>
      <c r="M1777" s="360" t="s">
        <v>2603</v>
      </c>
      <c r="N1777" s="360" t="s">
        <v>2050</v>
      </c>
      <c r="O1777" s="385"/>
      <c r="P1777" s="385" t="s">
        <v>1057</v>
      </c>
      <c r="Q1777" s="23">
        <v>46056</v>
      </c>
      <c r="R1777" s="24" t="s">
        <v>1638</v>
      </c>
      <c r="S1777" s="22" t="s">
        <v>32</v>
      </c>
      <c r="T1777" s="22">
        <v>13</v>
      </c>
      <c r="U1777" s="24" t="s">
        <v>1638</v>
      </c>
      <c r="V1777" s="23">
        <v>46056</v>
      </c>
      <c r="W1777" s="100" t="s">
        <v>30</v>
      </c>
      <c r="X1777" s="95" t="s">
        <v>32</v>
      </c>
      <c r="Y1777" s="100" t="s">
        <v>30</v>
      </c>
      <c r="Z1777" s="100" t="s">
        <v>30</v>
      </c>
      <c r="AA1777" s="100" t="s">
        <v>30</v>
      </c>
      <c r="AB1777" s="100" t="s">
        <v>30</v>
      </c>
      <c r="AC1777" s="100" t="s">
        <v>30</v>
      </c>
      <c r="AD1777" s="100" t="s">
        <v>30</v>
      </c>
      <c r="AE1777" s="100" t="s">
        <v>30</v>
      </c>
      <c r="AF1777" s="100" t="s">
        <v>30</v>
      </c>
      <c r="AG1777" s="100" t="s">
        <v>30</v>
      </c>
      <c r="AH1777" s="100" t="s">
        <v>30</v>
      </c>
      <c r="AI1777" s="100" t="s">
        <v>30</v>
      </c>
      <c r="AJ1777" s="100" t="s">
        <v>30</v>
      </c>
      <c r="AK1777" s="100" t="s">
        <v>30</v>
      </c>
      <c r="AL1777" s="95"/>
      <c r="AM1777" s="360"/>
      <c r="AS1777" s="72"/>
      <c r="AT1777" s="96"/>
      <c r="AU1777" s="96"/>
    </row>
    <row r="1778" spans="1:47">
      <c r="A1778" s="358" t="s">
        <v>24</v>
      </c>
      <c r="B1778" s="369">
        <v>1775</v>
      </c>
      <c r="C1778" s="372" t="s">
        <v>2612</v>
      </c>
      <c r="D1778" s="372" t="s">
        <v>606</v>
      </c>
      <c r="E1778" s="373">
        <v>46004</v>
      </c>
      <c r="F1778" s="372" t="s">
        <v>187</v>
      </c>
      <c r="G1778" s="372">
        <v>11</v>
      </c>
      <c r="H1778" s="372" t="s">
        <v>67</v>
      </c>
      <c r="I1778" s="372" t="s">
        <v>47</v>
      </c>
      <c r="J1778" s="102"/>
      <c r="K1778" s="360" t="s">
        <v>2590</v>
      </c>
      <c r="L1778" s="360" t="s">
        <v>2603</v>
      </c>
      <c r="M1778" s="360" t="s">
        <v>2603</v>
      </c>
      <c r="N1778" s="360" t="s">
        <v>2050</v>
      </c>
      <c r="O1778" s="385"/>
      <c r="P1778" s="385" t="s">
        <v>30</v>
      </c>
      <c r="Q1778" s="23">
        <v>46055</v>
      </c>
      <c r="R1778" s="24" t="s">
        <v>67</v>
      </c>
      <c r="S1778" s="22" t="s">
        <v>32</v>
      </c>
      <c r="T1778" s="22">
        <v>11</v>
      </c>
      <c r="U1778" s="24" t="s">
        <v>67</v>
      </c>
      <c r="V1778" s="23">
        <v>46055</v>
      </c>
      <c r="W1778" s="100" t="s">
        <v>30</v>
      </c>
      <c r="X1778" s="100" t="s">
        <v>30</v>
      </c>
      <c r="Y1778" s="100" t="s">
        <v>30</v>
      </c>
      <c r="Z1778" s="95" t="s">
        <v>32</v>
      </c>
      <c r="AA1778" s="95" t="s">
        <v>32</v>
      </c>
      <c r="AB1778" s="95" t="s">
        <v>32</v>
      </c>
      <c r="AC1778" s="100" t="s">
        <v>30</v>
      </c>
      <c r="AD1778" s="95" t="s">
        <v>32</v>
      </c>
      <c r="AE1778" s="100" t="s">
        <v>30</v>
      </c>
      <c r="AF1778" s="95" t="s">
        <v>32</v>
      </c>
      <c r="AG1778" s="100" t="s">
        <v>30</v>
      </c>
      <c r="AH1778" s="100" t="s">
        <v>30</v>
      </c>
      <c r="AI1778" s="100" t="s">
        <v>30</v>
      </c>
      <c r="AJ1778" s="100" t="s">
        <v>30</v>
      </c>
      <c r="AK1778" s="95" t="s">
        <v>32</v>
      </c>
      <c r="AL1778" s="95"/>
      <c r="AM1778" s="360" t="s">
        <v>2548</v>
      </c>
    </row>
    <row r="1779" spans="1:47">
      <c r="A1779" s="358" t="s">
        <v>24</v>
      </c>
      <c r="B1779" s="369">
        <v>1776</v>
      </c>
      <c r="C1779" s="372" t="s">
        <v>2613</v>
      </c>
      <c r="D1779" s="372" t="s">
        <v>50</v>
      </c>
      <c r="E1779" s="373">
        <v>46004</v>
      </c>
      <c r="F1779" s="372" t="s">
        <v>688</v>
      </c>
      <c r="G1779" s="372">
        <v>11</v>
      </c>
      <c r="H1779" s="372" t="s">
        <v>67</v>
      </c>
      <c r="I1779" s="372" t="s">
        <v>47</v>
      </c>
      <c r="J1779" s="372"/>
      <c r="K1779" s="360" t="s">
        <v>2113</v>
      </c>
      <c r="L1779" s="360" t="s">
        <v>2592</v>
      </c>
      <c r="M1779" s="360" t="s">
        <v>2603</v>
      </c>
      <c r="N1779" s="360" t="s">
        <v>2614</v>
      </c>
      <c r="O1779" s="385"/>
      <c r="P1779" s="252" t="s">
        <v>30</v>
      </c>
      <c r="Q1779" s="23">
        <v>46053</v>
      </c>
      <c r="R1779" s="24" t="s">
        <v>48</v>
      </c>
      <c r="S1779" s="22" t="s">
        <v>32</v>
      </c>
      <c r="T1779" s="22">
        <v>6</v>
      </c>
      <c r="U1779" s="24" t="s">
        <v>48</v>
      </c>
      <c r="V1779" s="23">
        <v>46053</v>
      </c>
      <c r="W1779" s="100" t="s">
        <v>30</v>
      </c>
      <c r="X1779" s="100" t="s">
        <v>30</v>
      </c>
      <c r="Y1779" s="100" t="s">
        <v>30</v>
      </c>
      <c r="Z1779" s="100" t="s">
        <v>30</v>
      </c>
      <c r="AA1779" s="100" t="s">
        <v>30</v>
      </c>
      <c r="AB1779" s="100" t="s">
        <v>30</v>
      </c>
      <c r="AC1779" s="100" t="s">
        <v>30</v>
      </c>
      <c r="AD1779" s="100" t="s">
        <v>30</v>
      </c>
      <c r="AE1779" s="100" t="s">
        <v>30</v>
      </c>
      <c r="AF1779" s="100" t="s">
        <v>30</v>
      </c>
      <c r="AG1779" s="100" t="s">
        <v>30</v>
      </c>
      <c r="AH1779" s="100" t="s">
        <v>30</v>
      </c>
      <c r="AI1779" s="100" t="s">
        <v>30</v>
      </c>
      <c r="AJ1779" s="100" t="s">
        <v>30</v>
      </c>
      <c r="AK1779" s="100" t="s">
        <v>30</v>
      </c>
      <c r="AL1779" s="95"/>
      <c r="AM1779" s="360"/>
    </row>
    <row r="1780" spans="1:47">
      <c r="A1780" s="358" t="s">
        <v>24</v>
      </c>
      <c r="B1780" s="369">
        <v>1777</v>
      </c>
      <c r="C1780" s="372" t="s">
        <v>2615</v>
      </c>
      <c r="D1780" s="372" t="s">
        <v>102</v>
      </c>
      <c r="E1780" s="373">
        <v>46004</v>
      </c>
      <c r="F1780" s="372" t="s">
        <v>97</v>
      </c>
      <c r="G1780" s="372">
        <v>10</v>
      </c>
      <c r="H1780" s="372" t="s">
        <v>127</v>
      </c>
      <c r="I1780" s="372" t="s">
        <v>178</v>
      </c>
      <c r="J1780" s="372"/>
      <c r="K1780" s="360" t="s">
        <v>2056</v>
      </c>
      <c r="L1780" s="360" t="s">
        <v>2603</v>
      </c>
      <c r="M1780" s="360" t="s">
        <v>2603</v>
      </c>
      <c r="N1780" s="360" t="s">
        <v>2058</v>
      </c>
      <c r="O1780" s="385"/>
      <c r="P1780" s="385" t="s">
        <v>30</v>
      </c>
      <c r="Q1780" s="23">
        <v>46056</v>
      </c>
      <c r="R1780" s="24" t="s">
        <v>47</v>
      </c>
      <c r="S1780" s="22" t="s">
        <v>32</v>
      </c>
      <c r="T1780" s="22">
        <v>10</v>
      </c>
      <c r="U1780" s="24" t="s">
        <v>47</v>
      </c>
      <c r="V1780" s="23">
        <v>46056</v>
      </c>
      <c r="W1780" s="100" t="s">
        <v>30</v>
      </c>
      <c r="X1780" s="95" t="s">
        <v>32</v>
      </c>
      <c r="Y1780" s="100" t="s">
        <v>30</v>
      </c>
      <c r="Z1780" s="100" t="s">
        <v>30</v>
      </c>
      <c r="AA1780" s="100" t="s">
        <v>30</v>
      </c>
      <c r="AB1780" s="100" t="s">
        <v>30</v>
      </c>
      <c r="AC1780" s="100" t="s">
        <v>30</v>
      </c>
      <c r="AD1780" s="100" t="s">
        <v>30</v>
      </c>
      <c r="AE1780" s="100" t="s">
        <v>30</v>
      </c>
      <c r="AF1780" s="100" t="s">
        <v>30</v>
      </c>
      <c r="AG1780" s="100" t="s">
        <v>30</v>
      </c>
      <c r="AH1780" s="100" t="s">
        <v>30</v>
      </c>
      <c r="AI1780" s="100" t="s">
        <v>30</v>
      </c>
      <c r="AJ1780" s="100" t="s">
        <v>30</v>
      </c>
      <c r="AK1780" s="100" t="s">
        <v>30</v>
      </c>
      <c r="AL1780" s="95"/>
      <c r="AM1780" s="360" t="s">
        <v>2545</v>
      </c>
    </row>
    <row r="1781" spans="1:47">
      <c r="A1781" s="358" t="s">
        <v>24</v>
      </c>
      <c r="B1781" s="369">
        <v>1778</v>
      </c>
      <c r="C1781" s="372" t="s">
        <v>2616</v>
      </c>
      <c r="D1781" s="372" t="s">
        <v>1131</v>
      </c>
      <c r="E1781" s="373">
        <v>46004</v>
      </c>
      <c r="F1781" s="372" t="s">
        <v>117</v>
      </c>
      <c r="G1781" s="372">
        <v>10</v>
      </c>
      <c r="H1781" s="372" t="s">
        <v>127</v>
      </c>
      <c r="I1781" s="372" t="s">
        <v>178</v>
      </c>
      <c r="J1781" s="102"/>
      <c r="K1781" s="360" t="s">
        <v>2061</v>
      </c>
      <c r="L1781" s="360" t="s">
        <v>2592</v>
      </c>
      <c r="M1781" s="360" t="s">
        <v>2592</v>
      </c>
      <c r="N1781" s="360" t="s">
        <v>2058</v>
      </c>
      <c r="O1781" s="255"/>
      <c r="P1781" s="385" t="s">
        <v>30</v>
      </c>
      <c r="Q1781" s="23">
        <v>46056</v>
      </c>
      <c r="R1781" s="24" t="s">
        <v>127</v>
      </c>
      <c r="S1781" s="22" t="s">
        <v>32</v>
      </c>
      <c r="T1781" s="22">
        <v>10</v>
      </c>
      <c r="U1781" s="24" t="s">
        <v>127</v>
      </c>
      <c r="V1781" s="23">
        <v>46056</v>
      </c>
      <c r="W1781" s="100" t="s">
        <v>30</v>
      </c>
      <c r="X1781" s="95" t="s">
        <v>32</v>
      </c>
      <c r="Y1781" s="100" t="s">
        <v>30</v>
      </c>
      <c r="Z1781" s="100" t="s">
        <v>30</v>
      </c>
      <c r="AA1781" s="100" t="s">
        <v>30</v>
      </c>
      <c r="AB1781" s="100" t="s">
        <v>30</v>
      </c>
      <c r="AC1781" s="100" t="s">
        <v>30</v>
      </c>
      <c r="AD1781" s="100" t="s">
        <v>30</v>
      </c>
      <c r="AE1781" s="100" t="s">
        <v>30</v>
      </c>
      <c r="AF1781" s="100" t="s">
        <v>30</v>
      </c>
      <c r="AG1781" s="100" t="s">
        <v>30</v>
      </c>
      <c r="AH1781" s="100" t="s">
        <v>30</v>
      </c>
      <c r="AI1781" s="100" t="s">
        <v>30</v>
      </c>
      <c r="AJ1781" s="100" t="s">
        <v>30</v>
      </c>
      <c r="AK1781" s="95" t="s">
        <v>32</v>
      </c>
      <c r="AL1781" s="95"/>
      <c r="AM1781" s="360" t="s">
        <v>2545</v>
      </c>
    </row>
    <row r="1782" spans="1:47">
      <c r="A1782" s="358" t="s">
        <v>24</v>
      </c>
      <c r="B1782" s="369">
        <v>1779</v>
      </c>
      <c r="C1782" s="372" t="s">
        <v>2617</v>
      </c>
      <c r="D1782" s="372" t="s">
        <v>34</v>
      </c>
      <c r="E1782" s="373">
        <v>46004</v>
      </c>
      <c r="F1782" s="372" t="s">
        <v>1165</v>
      </c>
      <c r="G1782" s="372">
        <v>30</v>
      </c>
      <c r="H1782" s="372" t="s">
        <v>127</v>
      </c>
      <c r="I1782" s="372" t="s">
        <v>178</v>
      </c>
      <c r="J1782" s="372"/>
      <c r="K1782" s="360" t="s">
        <v>2244</v>
      </c>
      <c r="L1782" s="360" t="s">
        <v>2591</v>
      </c>
      <c r="M1782" s="360" t="s">
        <v>2591</v>
      </c>
      <c r="N1782" s="360" t="s">
        <v>2050</v>
      </c>
      <c r="O1782" s="117" t="s">
        <v>31</v>
      </c>
      <c r="P1782" s="385" t="s">
        <v>30</v>
      </c>
      <c r="Q1782" s="23">
        <v>46037</v>
      </c>
      <c r="R1782" s="24" t="s">
        <v>28</v>
      </c>
      <c r="S1782" s="22" t="s">
        <v>1055</v>
      </c>
      <c r="T1782" s="22">
        <v>33</v>
      </c>
      <c r="U1782" s="24" t="s">
        <v>28</v>
      </c>
      <c r="V1782" s="23">
        <v>46037</v>
      </c>
      <c r="W1782" s="100" t="s">
        <v>30</v>
      </c>
      <c r="X1782" s="100" t="s">
        <v>30</v>
      </c>
      <c r="Y1782" s="100" t="s">
        <v>30</v>
      </c>
      <c r="Z1782" s="100" t="s">
        <v>30</v>
      </c>
      <c r="AA1782" s="100" t="s">
        <v>30</v>
      </c>
      <c r="AB1782" s="100" t="s">
        <v>30</v>
      </c>
      <c r="AC1782" s="100" t="s">
        <v>30</v>
      </c>
      <c r="AD1782" s="100" t="s">
        <v>30</v>
      </c>
      <c r="AE1782" s="100" t="s">
        <v>30</v>
      </c>
      <c r="AF1782" s="100" t="s">
        <v>30</v>
      </c>
      <c r="AG1782" s="100" t="s">
        <v>30</v>
      </c>
      <c r="AH1782" s="100" t="s">
        <v>30</v>
      </c>
      <c r="AI1782" s="100" t="s">
        <v>30</v>
      </c>
      <c r="AJ1782" s="100" t="s">
        <v>30</v>
      </c>
      <c r="AK1782" s="100" t="s">
        <v>30</v>
      </c>
      <c r="AL1782" s="95"/>
      <c r="AM1782" s="360"/>
    </row>
    <row r="1783" spans="1:47">
      <c r="A1783" s="358" t="s">
        <v>24</v>
      </c>
      <c r="B1783" s="369">
        <v>1780</v>
      </c>
      <c r="C1783" s="372" t="s">
        <v>2618</v>
      </c>
      <c r="D1783" s="372" t="s">
        <v>34</v>
      </c>
      <c r="E1783" s="373">
        <v>46004</v>
      </c>
      <c r="F1783" s="372" t="s">
        <v>439</v>
      </c>
      <c r="G1783" s="372">
        <v>13</v>
      </c>
      <c r="H1783" s="372" t="s">
        <v>127</v>
      </c>
      <c r="I1783" s="372" t="s">
        <v>178</v>
      </c>
      <c r="J1783" s="372"/>
      <c r="K1783" s="360" t="s">
        <v>2087</v>
      </c>
      <c r="L1783" s="360" t="s">
        <v>2591</v>
      </c>
      <c r="M1783" s="360" t="s">
        <v>2591</v>
      </c>
      <c r="N1783" s="360" t="s">
        <v>2050</v>
      </c>
      <c r="O1783" s="360"/>
      <c r="P1783" s="385" t="s">
        <v>30</v>
      </c>
      <c r="Q1783" s="23">
        <v>46036</v>
      </c>
      <c r="R1783" s="24" t="s">
        <v>28</v>
      </c>
      <c r="S1783" s="22" t="s">
        <v>1140</v>
      </c>
      <c r="T1783" s="22">
        <v>12</v>
      </c>
      <c r="U1783" s="24" t="s">
        <v>28</v>
      </c>
      <c r="V1783" s="23">
        <v>46036</v>
      </c>
      <c r="W1783" s="100" t="s">
        <v>30</v>
      </c>
      <c r="X1783" s="100" t="s">
        <v>30</v>
      </c>
      <c r="Y1783" s="100" t="s">
        <v>30</v>
      </c>
      <c r="Z1783" s="124"/>
      <c r="AA1783" s="124"/>
      <c r="AB1783" s="124"/>
      <c r="AC1783" s="100" t="s">
        <v>30</v>
      </c>
      <c r="AD1783" s="100" t="s">
        <v>30</v>
      </c>
      <c r="AE1783" s="100" t="s">
        <v>30</v>
      </c>
      <c r="AF1783" s="100" t="s">
        <v>30</v>
      </c>
      <c r="AG1783" s="100" t="s">
        <v>30</v>
      </c>
      <c r="AH1783" s="100" t="s">
        <v>30</v>
      </c>
      <c r="AI1783" s="100" t="s">
        <v>30</v>
      </c>
      <c r="AJ1783" s="100" t="s">
        <v>30</v>
      </c>
      <c r="AK1783" s="100" t="s">
        <v>30</v>
      </c>
      <c r="AL1783" s="95"/>
      <c r="AM1783" s="360"/>
    </row>
    <row r="1784" spans="1:47">
      <c r="A1784" s="358" t="s">
        <v>24</v>
      </c>
      <c r="B1784" s="369">
        <v>1781</v>
      </c>
      <c r="C1784" s="372" t="s">
        <v>2619</v>
      </c>
      <c r="D1784" s="372" t="s">
        <v>34</v>
      </c>
      <c r="E1784" s="373">
        <v>46004</v>
      </c>
      <c r="F1784" s="372" t="s">
        <v>106</v>
      </c>
      <c r="G1784" s="372">
        <v>12</v>
      </c>
      <c r="H1784" s="372" t="s">
        <v>127</v>
      </c>
      <c r="I1784" s="372" t="s">
        <v>178</v>
      </c>
      <c r="J1784" s="221" t="s">
        <v>2576</v>
      </c>
      <c r="K1784" s="360" t="s">
        <v>2180</v>
      </c>
      <c r="L1784" s="360" t="s">
        <v>2591</v>
      </c>
      <c r="M1784" s="360" t="s">
        <v>2591</v>
      </c>
      <c r="N1784" s="360" t="s">
        <v>2050</v>
      </c>
      <c r="O1784" s="385"/>
      <c r="P1784" s="252"/>
      <c r="Q1784" s="23"/>
      <c r="R1784" s="24" t="s">
        <v>28</v>
      </c>
      <c r="S1784" s="358" t="s">
        <v>32</v>
      </c>
      <c r="T1784" s="22">
        <v>15</v>
      </c>
      <c r="U1784" s="24" t="s">
        <v>28</v>
      </c>
      <c r="V1784" s="23"/>
      <c r="W1784" s="122" t="s">
        <v>30</v>
      </c>
      <c r="X1784" s="122" t="s">
        <v>30</v>
      </c>
      <c r="Y1784" s="111" t="s">
        <v>30</v>
      </c>
      <c r="Z1784" s="124"/>
      <c r="AA1784" s="124"/>
      <c r="AB1784" s="124"/>
      <c r="AC1784" s="111" t="s">
        <v>30</v>
      </c>
      <c r="AD1784" s="111" t="s">
        <v>30</v>
      </c>
      <c r="AE1784" s="111" t="s">
        <v>30</v>
      </c>
      <c r="AF1784" s="111" t="s">
        <v>30</v>
      </c>
      <c r="AG1784" s="111" t="s">
        <v>30</v>
      </c>
      <c r="AH1784" s="100" t="s">
        <v>30</v>
      </c>
      <c r="AI1784" s="111" t="s">
        <v>30</v>
      </c>
      <c r="AJ1784" s="111" t="s">
        <v>30</v>
      </c>
      <c r="AK1784" s="111" t="s">
        <v>30</v>
      </c>
      <c r="AL1784" s="95"/>
      <c r="AM1784" s="360"/>
    </row>
    <row r="1785" spans="1:47">
      <c r="A1785" s="358" t="s">
        <v>24</v>
      </c>
      <c r="B1785" s="369">
        <v>1782</v>
      </c>
      <c r="C1785" s="372" t="s">
        <v>2620</v>
      </c>
      <c r="D1785" s="372" t="s">
        <v>34</v>
      </c>
      <c r="E1785" s="373">
        <v>46004</v>
      </c>
      <c r="F1785" s="372" t="s">
        <v>1943</v>
      </c>
      <c r="G1785" s="372">
        <v>12</v>
      </c>
      <c r="H1785" s="372" t="s">
        <v>127</v>
      </c>
      <c r="I1785" s="372" t="s">
        <v>36</v>
      </c>
      <c r="J1785" s="102"/>
      <c r="K1785" s="360" t="s">
        <v>2130</v>
      </c>
      <c r="L1785" s="360" t="s">
        <v>2591</v>
      </c>
      <c r="M1785" s="360" t="s">
        <v>2591</v>
      </c>
      <c r="N1785" s="360" t="s">
        <v>2050</v>
      </c>
      <c r="O1785" s="255"/>
      <c r="P1785" s="385" t="s">
        <v>30</v>
      </c>
      <c r="Q1785" s="23">
        <v>46057</v>
      </c>
      <c r="R1785" s="24" t="s">
        <v>28</v>
      </c>
      <c r="S1785" s="358" t="s">
        <v>32</v>
      </c>
      <c r="T1785" s="22">
        <v>12</v>
      </c>
      <c r="U1785" s="24" t="s">
        <v>28</v>
      </c>
      <c r="V1785" s="23">
        <v>46057</v>
      </c>
      <c r="W1785" s="82" t="s">
        <v>30</v>
      </c>
      <c r="X1785" s="100" t="s">
        <v>30</v>
      </c>
      <c r="Y1785" s="100" t="s">
        <v>30</v>
      </c>
      <c r="Z1785" s="95" t="s">
        <v>32</v>
      </c>
      <c r="AA1785" s="95" t="s">
        <v>32</v>
      </c>
      <c r="AB1785" s="100" t="s">
        <v>30</v>
      </c>
      <c r="AC1785" s="100" t="s">
        <v>30</v>
      </c>
      <c r="AD1785" s="100" t="s">
        <v>30</v>
      </c>
      <c r="AE1785" s="100" t="s">
        <v>30</v>
      </c>
      <c r="AF1785" s="100" t="s">
        <v>30</v>
      </c>
      <c r="AG1785" s="100" t="s">
        <v>30</v>
      </c>
      <c r="AH1785" s="100" t="s">
        <v>30</v>
      </c>
      <c r="AI1785" s="111" t="s">
        <v>30</v>
      </c>
      <c r="AJ1785" s="111" t="s">
        <v>30</v>
      </c>
      <c r="AK1785" s="111" t="s">
        <v>30</v>
      </c>
      <c r="AL1785" s="95"/>
      <c r="AM1785" s="360" t="s">
        <v>2545</v>
      </c>
      <c r="AR1785" s="88"/>
      <c r="AS1785" s="72"/>
      <c r="AT1785" s="72"/>
      <c r="AU1785" s="72"/>
    </row>
    <row r="1786" spans="1:47">
      <c r="A1786" s="358" t="s">
        <v>24</v>
      </c>
      <c r="B1786" s="369">
        <v>1783</v>
      </c>
      <c r="C1786" s="372" t="s">
        <v>2621</v>
      </c>
      <c r="D1786" s="372" t="s">
        <v>50</v>
      </c>
      <c r="E1786" s="373">
        <v>46006</v>
      </c>
      <c r="F1786" s="372" t="s">
        <v>1124</v>
      </c>
      <c r="G1786" s="372">
        <v>13</v>
      </c>
      <c r="H1786" s="372" t="s">
        <v>1077</v>
      </c>
      <c r="I1786" s="372" t="s">
        <v>1138</v>
      </c>
      <c r="J1786" s="372"/>
      <c r="K1786" s="360" t="s">
        <v>2296</v>
      </c>
      <c r="L1786" s="360" t="s">
        <v>2592</v>
      </c>
      <c r="M1786" s="360" t="s">
        <v>2592</v>
      </c>
      <c r="N1786" s="360" t="s">
        <v>2058</v>
      </c>
      <c r="O1786" s="360"/>
      <c r="P1786" s="385" t="s">
        <v>30</v>
      </c>
      <c r="Q1786" s="23">
        <v>46030</v>
      </c>
      <c r="R1786" s="384" t="s">
        <v>1138</v>
      </c>
      <c r="S1786" s="22" t="s">
        <v>32</v>
      </c>
      <c r="T1786" s="22">
        <v>11</v>
      </c>
      <c r="U1786" s="24" t="s">
        <v>1138</v>
      </c>
      <c r="V1786" s="23">
        <v>46030</v>
      </c>
      <c r="W1786" s="100" t="s">
        <v>30</v>
      </c>
      <c r="X1786" s="100" t="s">
        <v>30</v>
      </c>
      <c r="Y1786" s="100" t="s">
        <v>30</v>
      </c>
      <c r="Z1786" s="100" t="s">
        <v>30</v>
      </c>
      <c r="AA1786" s="100" t="s">
        <v>30</v>
      </c>
      <c r="AB1786" s="100" t="s">
        <v>30</v>
      </c>
      <c r="AC1786" s="100" t="s">
        <v>30</v>
      </c>
      <c r="AD1786" s="100" t="s">
        <v>30</v>
      </c>
      <c r="AE1786" s="100" t="s">
        <v>30</v>
      </c>
      <c r="AF1786" s="100" t="s">
        <v>30</v>
      </c>
      <c r="AG1786" s="100" t="s">
        <v>30</v>
      </c>
      <c r="AH1786" s="100" t="s">
        <v>30</v>
      </c>
      <c r="AI1786" s="100" t="s">
        <v>30</v>
      </c>
      <c r="AJ1786" s="100" t="s">
        <v>30</v>
      </c>
      <c r="AK1786" s="100" t="s">
        <v>30</v>
      </c>
      <c r="AL1786" s="95"/>
      <c r="AM1786" s="360"/>
    </row>
    <row r="1787" spans="1:47">
      <c r="A1787" s="358" t="s">
        <v>24</v>
      </c>
      <c r="B1787" s="369">
        <v>1784</v>
      </c>
      <c r="C1787" s="372" t="s">
        <v>2622</v>
      </c>
      <c r="D1787" s="372" t="s">
        <v>2623</v>
      </c>
      <c r="E1787" s="373">
        <v>46006</v>
      </c>
      <c r="F1787" s="372" t="s">
        <v>912</v>
      </c>
      <c r="G1787" s="372">
        <v>6</v>
      </c>
      <c r="H1787" s="372" t="s">
        <v>1721</v>
      </c>
      <c r="I1787" s="372" t="s">
        <v>1638</v>
      </c>
      <c r="J1787" s="372"/>
      <c r="K1787" s="360" t="s">
        <v>2594</v>
      </c>
      <c r="L1787" s="360" t="s">
        <v>2603</v>
      </c>
      <c r="M1787" s="360" t="s">
        <v>2603</v>
      </c>
      <c r="N1787" s="360" t="s">
        <v>2083</v>
      </c>
      <c r="O1787" s="360"/>
      <c r="P1787" s="380" t="s">
        <v>30</v>
      </c>
      <c r="Q1787" s="380">
        <v>46049</v>
      </c>
      <c r="R1787" s="384" t="s">
        <v>1638</v>
      </c>
      <c r="S1787" s="358" t="s">
        <v>32</v>
      </c>
      <c r="T1787" s="358">
        <v>6</v>
      </c>
      <c r="U1787" s="384" t="s">
        <v>1638</v>
      </c>
      <c r="V1787" s="380">
        <v>46049</v>
      </c>
      <c r="W1787" s="95" t="s">
        <v>32</v>
      </c>
      <c r="X1787" s="95" t="s">
        <v>32</v>
      </c>
      <c r="Y1787" s="95"/>
      <c r="Z1787" s="100" t="s">
        <v>30</v>
      </c>
      <c r="AA1787" s="100" t="s">
        <v>30</v>
      </c>
      <c r="AB1787" s="100" t="s">
        <v>30</v>
      </c>
      <c r="AC1787" s="100" t="s">
        <v>30</v>
      </c>
      <c r="AD1787" s="95" t="s">
        <v>32</v>
      </c>
      <c r="AE1787" s="100" t="s">
        <v>30</v>
      </c>
      <c r="AF1787" s="95" t="s">
        <v>32</v>
      </c>
      <c r="AG1787" s="95" t="s">
        <v>32</v>
      </c>
      <c r="AH1787" s="114"/>
      <c r="AI1787" s="100" t="s">
        <v>30</v>
      </c>
      <c r="AJ1787" s="100" t="s">
        <v>30</v>
      </c>
      <c r="AK1787" s="100" t="s">
        <v>30</v>
      </c>
      <c r="AL1787" s="95"/>
      <c r="AM1787" s="360"/>
    </row>
    <row r="1788" spans="1:47">
      <c r="A1788" s="358" t="s">
        <v>24</v>
      </c>
      <c r="B1788" s="369">
        <v>1785</v>
      </c>
      <c r="C1788" s="372" t="s">
        <v>2624</v>
      </c>
      <c r="D1788" s="372" t="s">
        <v>102</v>
      </c>
      <c r="E1788" s="373">
        <v>46006</v>
      </c>
      <c r="F1788" s="372" t="s">
        <v>705</v>
      </c>
      <c r="G1788" s="372">
        <v>12</v>
      </c>
      <c r="H1788" s="372" t="s">
        <v>67</v>
      </c>
      <c r="I1788" s="372" t="s">
        <v>47</v>
      </c>
      <c r="J1788" s="372"/>
      <c r="K1788" s="360" t="s">
        <v>2123</v>
      </c>
      <c r="L1788" s="360" t="s">
        <v>2591</v>
      </c>
      <c r="M1788" s="360" t="s">
        <v>2591</v>
      </c>
      <c r="N1788" s="360" t="s">
        <v>2050</v>
      </c>
      <c r="O1788" s="360"/>
      <c r="P1788" s="256" t="s">
        <v>30</v>
      </c>
      <c r="Q1788" s="380">
        <v>46053</v>
      </c>
      <c r="R1788" s="24" t="s">
        <v>48</v>
      </c>
      <c r="S1788" s="22" t="s">
        <v>32</v>
      </c>
      <c r="T1788" s="22">
        <v>9</v>
      </c>
      <c r="U1788" s="24" t="s">
        <v>48</v>
      </c>
      <c r="V1788" s="380">
        <v>46053</v>
      </c>
      <c r="W1788" s="100" t="s">
        <v>30</v>
      </c>
      <c r="X1788" s="95" t="s">
        <v>32</v>
      </c>
      <c r="Y1788" s="100" t="s">
        <v>30</v>
      </c>
      <c r="Z1788" s="100"/>
      <c r="AA1788" s="100"/>
      <c r="AB1788" s="100"/>
      <c r="AC1788" s="100"/>
      <c r="AD1788" s="100"/>
      <c r="AE1788" s="100"/>
      <c r="AF1788" s="100"/>
      <c r="AG1788" s="100"/>
      <c r="AH1788" s="100" t="s">
        <v>30</v>
      </c>
      <c r="AI1788" s="100"/>
      <c r="AJ1788" s="100"/>
      <c r="AK1788" s="100"/>
      <c r="AL1788" s="95"/>
      <c r="AM1788" s="360" t="s">
        <v>2581</v>
      </c>
      <c r="AR1788" s="88"/>
      <c r="AS1788" s="72"/>
      <c r="AT1788" s="72"/>
      <c r="AU1788" s="72"/>
    </row>
    <row r="1789" spans="1:47">
      <c r="A1789" s="358" t="s">
        <v>24</v>
      </c>
      <c r="B1789" s="369">
        <v>1786</v>
      </c>
      <c r="C1789" s="372" t="s">
        <v>2625</v>
      </c>
      <c r="D1789" s="372" t="s">
        <v>102</v>
      </c>
      <c r="E1789" s="373">
        <v>46006</v>
      </c>
      <c r="F1789" s="372" t="s">
        <v>2626</v>
      </c>
      <c r="G1789" s="372">
        <v>14</v>
      </c>
      <c r="H1789" s="372" t="s">
        <v>67</v>
      </c>
      <c r="I1789" s="372" t="s">
        <v>47</v>
      </c>
      <c r="J1789" s="102"/>
      <c r="K1789" s="360" t="s">
        <v>2061</v>
      </c>
      <c r="L1789" s="360" t="s">
        <v>2603</v>
      </c>
      <c r="M1789" s="360" t="s">
        <v>2603</v>
      </c>
      <c r="N1789" s="360" t="s">
        <v>2058</v>
      </c>
      <c r="O1789" s="360"/>
      <c r="P1789" s="256" t="s">
        <v>30</v>
      </c>
      <c r="Q1789" s="380">
        <v>46053</v>
      </c>
      <c r="R1789" s="24" t="s">
        <v>48</v>
      </c>
      <c r="S1789" s="22" t="s">
        <v>30</v>
      </c>
      <c r="T1789" s="22">
        <v>11</v>
      </c>
      <c r="U1789" s="24" t="s">
        <v>48</v>
      </c>
      <c r="V1789" s="380">
        <v>46053</v>
      </c>
      <c r="W1789" s="100" t="s">
        <v>30</v>
      </c>
      <c r="X1789" s="100" t="s">
        <v>30</v>
      </c>
      <c r="Y1789" s="100" t="s">
        <v>30</v>
      </c>
      <c r="Z1789" s="100" t="s">
        <v>30</v>
      </c>
      <c r="AA1789" s="100" t="s">
        <v>30</v>
      </c>
      <c r="AB1789" s="100" t="s">
        <v>30</v>
      </c>
      <c r="AC1789" s="100" t="s">
        <v>30</v>
      </c>
      <c r="AD1789" s="100" t="s">
        <v>30</v>
      </c>
      <c r="AE1789" s="100" t="s">
        <v>30</v>
      </c>
      <c r="AF1789" s="100" t="s">
        <v>30</v>
      </c>
      <c r="AG1789" s="100" t="s">
        <v>30</v>
      </c>
      <c r="AH1789" s="100" t="s">
        <v>30</v>
      </c>
      <c r="AI1789" s="100" t="s">
        <v>30</v>
      </c>
      <c r="AJ1789" s="100" t="s">
        <v>30</v>
      </c>
      <c r="AK1789" s="100" t="s">
        <v>30</v>
      </c>
      <c r="AL1789" s="95"/>
      <c r="AM1789" s="360" t="s">
        <v>2545</v>
      </c>
      <c r="AR1789" s="88"/>
      <c r="AS1789" s="72"/>
      <c r="AT1789" s="72"/>
      <c r="AU1789" s="72"/>
    </row>
    <row r="1790" spans="1:47">
      <c r="A1790" s="358" t="s">
        <v>24</v>
      </c>
      <c r="B1790" s="369">
        <v>1787</v>
      </c>
      <c r="C1790" s="372" t="s">
        <v>2627</v>
      </c>
      <c r="D1790" s="372" t="s">
        <v>1641</v>
      </c>
      <c r="E1790" s="373">
        <v>46007</v>
      </c>
      <c r="F1790" s="372" t="s">
        <v>1065</v>
      </c>
      <c r="G1790" s="372">
        <v>11</v>
      </c>
      <c r="H1790" s="372" t="s">
        <v>1721</v>
      </c>
      <c r="I1790" s="372" t="s">
        <v>1638</v>
      </c>
      <c r="J1790" s="372"/>
      <c r="K1790" s="360" t="s">
        <v>2102</v>
      </c>
      <c r="L1790" s="360" t="s">
        <v>2592</v>
      </c>
      <c r="M1790" s="360" t="s">
        <v>2592</v>
      </c>
      <c r="N1790" s="360" t="s">
        <v>2050</v>
      </c>
      <c r="O1790" s="360"/>
      <c r="P1790" s="385" t="s">
        <v>30</v>
      </c>
      <c r="Q1790" s="380">
        <v>46036</v>
      </c>
      <c r="R1790" s="384" t="s">
        <v>1638</v>
      </c>
      <c r="S1790" s="22" t="s">
        <v>32</v>
      </c>
      <c r="T1790" s="22">
        <v>11</v>
      </c>
      <c r="U1790" s="24" t="s">
        <v>1638</v>
      </c>
      <c r="V1790" s="380">
        <v>46036</v>
      </c>
      <c r="W1790" s="100" t="s">
        <v>30</v>
      </c>
      <c r="X1790" s="100" t="s">
        <v>30</v>
      </c>
      <c r="Y1790" s="100" t="s">
        <v>30</v>
      </c>
      <c r="Z1790" s="100" t="s">
        <v>30</v>
      </c>
      <c r="AA1790" s="100" t="s">
        <v>30</v>
      </c>
      <c r="AB1790" s="100" t="s">
        <v>30</v>
      </c>
      <c r="AC1790" s="100" t="s">
        <v>30</v>
      </c>
      <c r="AD1790" s="114" t="s">
        <v>32</v>
      </c>
      <c r="AE1790" s="100" t="s">
        <v>30</v>
      </c>
      <c r="AF1790" s="114" t="s">
        <v>32</v>
      </c>
      <c r="AG1790" s="114" t="s">
        <v>32</v>
      </c>
      <c r="AH1790" s="100" t="s">
        <v>30</v>
      </c>
      <c r="AI1790" s="100" t="s">
        <v>30</v>
      </c>
      <c r="AJ1790" s="100" t="s">
        <v>30</v>
      </c>
      <c r="AK1790" s="100" t="s">
        <v>30</v>
      </c>
      <c r="AL1790" s="95"/>
      <c r="AM1790" s="360"/>
      <c r="AO1790" s="412"/>
      <c r="AP1790" s="412"/>
      <c r="AQ1790" s="412"/>
      <c r="AR1790" s="412"/>
    </row>
    <row r="1791" spans="1:47">
      <c r="A1791" s="358" t="s">
        <v>24</v>
      </c>
      <c r="B1791" s="369">
        <v>1788</v>
      </c>
      <c r="C1791" s="372" t="s">
        <v>2628</v>
      </c>
      <c r="D1791" s="372" t="s">
        <v>50</v>
      </c>
      <c r="E1791" s="373">
        <v>46007</v>
      </c>
      <c r="F1791" s="372" t="s">
        <v>65</v>
      </c>
      <c r="G1791" s="372">
        <v>9</v>
      </c>
      <c r="H1791" s="372" t="s">
        <v>1077</v>
      </c>
      <c r="I1791" s="372" t="s">
        <v>1138</v>
      </c>
      <c r="J1791" s="372"/>
      <c r="K1791" s="358" t="s">
        <v>2276</v>
      </c>
      <c r="L1791" s="358" t="s">
        <v>2603</v>
      </c>
      <c r="M1791" s="358" t="s">
        <v>2603</v>
      </c>
      <c r="N1791" s="358" t="s">
        <v>2166</v>
      </c>
      <c r="O1791" s="358"/>
      <c r="P1791" s="380" t="s">
        <v>30</v>
      </c>
      <c r="Q1791" s="380" t="s">
        <v>2629</v>
      </c>
      <c r="R1791" s="384" t="s">
        <v>1138</v>
      </c>
      <c r="S1791" s="22" t="s">
        <v>32</v>
      </c>
      <c r="T1791" s="22">
        <v>9</v>
      </c>
      <c r="U1791" s="384" t="s">
        <v>1138</v>
      </c>
      <c r="V1791" s="380" t="s">
        <v>2629</v>
      </c>
      <c r="W1791" s="100" t="s">
        <v>30</v>
      </c>
      <c r="X1791" s="114" t="s">
        <v>32</v>
      </c>
      <c r="Y1791" s="100" t="s">
        <v>30</v>
      </c>
      <c r="Z1791" s="100" t="s">
        <v>30</v>
      </c>
      <c r="AA1791" s="100" t="s">
        <v>30</v>
      </c>
      <c r="AB1791" s="114" t="s">
        <v>32</v>
      </c>
      <c r="AC1791" s="100" t="s">
        <v>30</v>
      </c>
      <c r="AD1791" s="100" t="s">
        <v>30</v>
      </c>
      <c r="AE1791" s="100" t="s">
        <v>30</v>
      </c>
      <c r="AF1791" s="100" t="s">
        <v>30</v>
      </c>
      <c r="AG1791" s="100" t="s">
        <v>30</v>
      </c>
      <c r="AH1791" s="100" t="s">
        <v>30</v>
      </c>
      <c r="AI1791" s="114" t="s">
        <v>32</v>
      </c>
      <c r="AJ1791" s="114" t="s">
        <v>32</v>
      </c>
      <c r="AK1791" s="114" t="s">
        <v>32</v>
      </c>
      <c r="AL1791" s="95"/>
      <c r="AM1791" s="360" t="s">
        <v>2548</v>
      </c>
      <c r="AS1791" s="72"/>
      <c r="AT1791" s="96"/>
      <c r="AU1791" s="96"/>
    </row>
    <row r="1792" spans="1:47">
      <c r="A1792" s="358" t="s">
        <v>24</v>
      </c>
      <c r="B1792" s="369">
        <v>1789</v>
      </c>
      <c r="C1792" s="372" t="s">
        <v>2630</v>
      </c>
      <c r="D1792" s="372" t="s">
        <v>374</v>
      </c>
      <c r="E1792" s="373">
        <v>46008</v>
      </c>
      <c r="F1792" s="372" t="s">
        <v>1065</v>
      </c>
      <c r="G1792" s="372">
        <v>11</v>
      </c>
      <c r="H1792" s="372" t="s">
        <v>1721</v>
      </c>
      <c r="I1792" s="372" t="s">
        <v>1638</v>
      </c>
      <c r="J1792" s="225"/>
      <c r="K1792" s="360" t="s">
        <v>2102</v>
      </c>
      <c r="L1792" s="360" t="s">
        <v>2592</v>
      </c>
      <c r="M1792" s="360" t="s">
        <v>2592</v>
      </c>
      <c r="N1792" s="360" t="s">
        <v>2050</v>
      </c>
      <c r="O1792" s="360"/>
      <c r="P1792" s="385" t="s">
        <v>30</v>
      </c>
      <c r="Q1792" s="380">
        <v>46036</v>
      </c>
      <c r="R1792" s="384" t="s">
        <v>1638</v>
      </c>
      <c r="S1792" s="22" t="s">
        <v>32</v>
      </c>
      <c r="T1792" s="22">
        <v>11</v>
      </c>
      <c r="U1792" s="24" t="s">
        <v>1638</v>
      </c>
      <c r="V1792" s="380">
        <v>46036</v>
      </c>
      <c r="W1792" s="100" t="s">
        <v>30</v>
      </c>
      <c r="X1792" s="100" t="s">
        <v>30</v>
      </c>
      <c r="Y1792" s="100" t="s">
        <v>30</v>
      </c>
      <c r="Z1792" s="100" t="s">
        <v>30</v>
      </c>
      <c r="AA1792" s="100" t="s">
        <v>30</v>
      </c>
      <c r="AB1792" s="100" t="s">
        <v>30</v>
      </c>
      <c r="AC1792" s="100" t="s">
        <v>30</v>
      </c>
      <c r="AD1792" s="100" t="s">
        <v>30</v>
      </c>
      <c r="AE1792" s="100" t="s">
        <v>30</v>
      </c>
      <c r="AF1792" s="100" t="s">
        <v>30</v>
      </c>
      <c r="AG1792" s="100" t="s">
        <v>30</v>
      </c>
      <c r="AH1792" s="100" t="s">
        <v>30</v>
      </c>
      <c r="AI1792" s="100" t="s">
        <v>30</v>
      </c>
      <c r="AJ1792" s="100" t="s">
        <v>30</v>
      </c>
      <c r="AK1792" s="100" t="s">
        <v>30</v>
      </c>
      <c r="AL1792" s="95"/>
      <c r="AM1792" s="360"/>
      <c r="AO1792" s="412"/>
      <c r="AP1792" s="412"/>
      <c r="AQ1792" s="412"/>
      <c r="AR1792" s="412"/>
    </row>
    <row r="1793" spans="1:47">
      <c r="A1793" s="358" t="s">
        <v>24</v>
      </c>
      <c r="B1793" s="369">
        <v>1790</v>
      </c>
      <c r="C1793" s="372" t="s">
        <v>2631</v>
      </c>
      <c r="D1793" s="372" t="s">
        <v>43</v>
      </c>
      <c r="E1793" s="373">
        <v>46008</v>
      </c>
      <c r="F1793" s="372" t="s">
        <v>62</v>
      </c>
      <c r="G1793" s="372">
        <v>12</v>
      </c>
      <c r="H1793" s="372" t="s">
        <v>1077</v>
      </c>
      <c r="I1793" s="372" t="s">
        <v>1138</v>
      </c>
      <c r="J1793" s="102"/>
      <c r="K1793" s="358" t="s">
        <v>2135</v>
      </c>
      <c r="L1793" s="358" t="s">
        <v>2632</v>
      </c>
      <c r="M1793" s="358" t="s">
        <v>2633</v>
      </c>
      <c r="N1793" s="358" t="s">
        <v>2050</v>
      </c>
      <c r="O1793" s="358"/>
      <c r="P1793" s="23" t="s">
        <v>30</v>
      </c>
      <c r="Q1793" s="23">
        <v>46031</v>
      </c>
      <c r="R1793" s="384" t="s">
        <v>1138</v>
      </c>
      <c r="S1793" s="358" t="s">
        <v>30</v>
      </c>
      <c r="T1793" s="22">
        <v>12</v>
      </c>
      <c r="U1793" s="384" t="s">
        <v>1138</v>
      </c>
      <c r="V1793" s="23">
        <v>46031</v>
      </c>
      <c r="W1793" s="100" t="s">
        <v>30</v>
      </c>
      <c r="X1793" s="100" t="s">
        <v>30</v>
      </c>
      <c r="Y1793" s="100" t="s">
        <v>30</v>
      </c>
      <c r="Z1793" s="95" t="s">
        <v>32</v>
      </c>
      <c r="AA1793" s="95" t="s">
        <v>32</v>
      </c>
      <c r="AB1793" s="95" t="s">
        <v>32</v>
      </c>
      <c r="AC1793" s="100" t="s">
        <v>30</v>
      </c>
      <c r="AD1793" s="100" t="s">
        <v>30</v>
      </c>
      <c r="AE1793" s="100" t="s">
        <v>30</v>
      </c>
      <c r="AF1793" s="100" t="s">
        <v>30</v>
      </c>
      <c r="AG1793" s="100" t="s">
        <v>30</v>
      </c>
      <c r="AH1793" s="100" t="s">
        <v>30</v>
      </c>
      <c r="AI1793" s="100" t="s">
        <v>30</v>
      </c>
      <c r="AJ1793" s="100" t="s">
        <v>30</v>
      </c>
      <c r="AK1793" s="95" t="s">
        <v>32</v>
      </c>
      <c r="AL1793" s="95"/>
      <c r="AM1793" s="360" t="s">
        <v>2545</v>
      </c>
      <c r="AO1793" s="412"/>
      <c r="AP1793" s="412"/>
      <c r="AQ1793" s="412"/>
      <c r="AR1793" s="412"/>
    </row>
    <row r="1794" spans="1:47">
      <c r="A1794" s="358" t="s">
        <v>24</v>
      </c>
      <c r="B1794" s="369">
        <v>1791</v>
      </c>
      <c r="C1794" s="372" t="s">
        <v>2634</v>
      </c>
      <c r="D1794" s="372" t="s">
        <v>50</v>
      </c>
      <c r="E1794" s="373">
        <v>46009</v>
      </c>
      <c r="F1794" s="372" t="s">
        <v>1065</v>
      </c>
      <c r="G1794" s="372">
        <v>11</v>
      </c>
      <c r="H1794" s="372" t="s">
        <v>1721</v>
      </c>
      <c r="I1794" s="372" t="s">
        <v>1638</v>
      </c>
      <c r="J1794" s="225"/>
      <c r="K1794" s="360" t="s">
        <v>2102</v>
      </c>
      <c r="L1794" s="360" t="s">
        <v>2592</v>
      </c>
      <c r="M1794" s="360" t="s">
        <v>2592</v>
      </c>
      <c r="N1794" s="360" t="s">
        <v>2050</v>
      </c>
      <c r="O1794" s="360"/>
      <c r="P1794" s="385" t="s">
        <v>30</v>
      </c>
      <c r="Q1794" s="380">
        <v>46036</v>
      </c>
      <c r="R1794" s="384" t="s">
        <v>1638</v>
      </c>
      <c r="S1794" s="22" t="s">
        <v>32</v>
      </c>
      <c r="T1794" s="22">
        <v>11</v>
      </c>
      <c r="U1794" s="24" t="s">
        <v>1638</v>
      </c>
      <c r="V1794" s="380">
        <v>46036</v>
      </c>
      <c r="W1794" s="100" t="s">
        <v>30</v>
      </c>
      <c r="X1794" s="100" t="s">
        <v>30</v>
      </c>
      <c r="Y1794" s="100" t="s">
        <v>30</v>
      </c>
      <c r="Z1794" s="100" t="s">
        <v>30</v>
      </c>
      <c r="AA1794" s="100" t="s">
        <v>30</v>
      </c>
      <c r="AB1794" s="100" t="s">
        <v>30</v>
      </c>
      <c r="AC1794" s="100" t="s">
        <v>30</v>
      </c>
      <c r="AD1794" s="100" t="s">
        <v>30</v>
      </c>
      <c r="AE1794" s="100" t="s">
        <v>30</v>
      </c>
      <c r="AF1794" s="100" t="s">
        <v>30</v>
      </c>
      <c r="AG1794" s="100" t="s">
        <v>30</v>
      </c>
      <c r="AH1794" s="100" t="s">
        <v>30</v>
      </c>
      <c r="AI1794" s="100" t="s">
        <v>30</v>
      </c>
      <c r="AJ1794" s="100" t="s">
        <v>30</v>
      </c>
      <c r="AK1794" s="100" t="s">
        <v>30</v>
      </c>
      <c r="AL1794" s="95"/>
      <c r="AM1794" s="360"/>
    </row>
    <row r="1795" spans="1:47">
      <c r="A1795" s="358" t="s">
        <v>24</v>
      </c>
      <c r="B1795" s="369">
        <v>1792</v>
      </c>
      <c r="C1795" s="372" t="s">
        <v>2635</v>
      </c>
      <c r="D1795" s="372" t="s">
        <v>657</v>
      </c>
      <c r="E1795" s="373">
        <v>46009</v>
      </c>
      <c r="F1795" s="372" t="s">
        <v>439</v>
      </c>
      <c r="G1795" s="372">
        <v>18</v>
      </c>
      <c r="H1795" s="372" t="s">
        <v>127</v>
      </c>
      <c r="I1795" s="372" t="s">
        <v>178</v>
      </c>
      <c r="J1795" s="372"/>
      <c r="K1795" s="360" t="s">
        <v>2056</v>
      </c>
      <c r="L1795" s="360" t="s">
        <v>2632</v>
      </c>
      <c r="M1795" s="360" t="s">
        <v>2636</v>
      </c>
      <c r="N1795" s="360" t="s">
        <v>2050</v>
      </c>
      <c r="O1795" s="117" t="s">
        <v>31</v>
      </c>
      <c r="P1795" s="385" t="s">
        <v>30</v>
      </c>
      <c r="Q1795" s="380">
        <v>46056</v>
      </c>
      <c r="R1795" s="24" t="s">
        <v>67</v>
      </c>
      <c r="S1795" s="22" t="s">
        <v>32</v>
      </c>
      <c r="T1795" s="22">
        <v>16</v>
      </c>
      <c r="U1795" s="24" t="s">
        <v>67</v>
      </c>
      <c r="V1795" s="380">
        <v>46056</v>
      </c>
      <c r="W1795" s="100" t="s">
        <v>30</v>
      </c>
      <c r="X1795" s="95" t="s">
        <v>32</v>
      </c>
      <c r="Y1795" s="95"/>
      <c r="Z1795" s="100" t="s">
        <v>30</v>
      </c>
      <c r="AA1795" s="100" t="s">
        <v>30</v>
      </c>
      <c r="AB1795" s="100" t="s">
        <v>30</v>
      </c>
      <c r="AC1795" s="100" t="s">
        <v>30</v>
      </c>
      <c r="AD1795" s="100" t="s">
        <v>30</v>
      </c>
      <c r="AE1795" s="100" t="s">
        <v>30</v>
      </c>
      <c r="AF1795" s="100" t="s">
        <v>30</v>
      </c>
      <c r="AG1795" s="100" t="s">
        <v>30</v>
      </c>
      <c r="AH1795" s="100" t="s">
        <v>30</v>
      </c>
      <c r="AI1795" s="100" t="s">
        <v>30</v>
      </c>
      <c r="AJ1795" s="100" t="s">
        <v>30</v>
      </c>
      <c r="AK1795" s="100" t="s">
        <v>30</v>
      </c>
      <c r="AL1795" s="95"/>
      <c r="AM1795" s="360" t="s">
        <v>2545</v>
      </c>
    </row>
    <row r="1796" spans="1:47">
      <c r="A1796" s="358" t="s">
        <v>24</v>
      </c>
      <c r="B1796" s="369">
        <v>1793</v>
      </c>
      <c r="C1796" s="372" t="s">
        <v>2637</v>
      </c>
      <c r="D1796" s="372" t="s">
        <v>2638</v>
      </c>
      <c r="E1796" s="373">
        <v>46009</v>
      </c>
      <c r="F1796" s="372" t="s">
        <v>2639</v>
      </c>
      <c r="G1796" s="372">
        <v>12</v>
      </c>
      <c r="H1796" s="372" t="s">
        <v>1077</v>
      </c>
      <c r="I1796" s="372" t="s">
        <v>1138</v>
      </c>
      <c r="J1796" s="102" t="s">
        <v>2544</v>
      </c>
      <c r="K1796" s="360" t="s">
        <v>2640</v>
      </c>
      <c r="L1796" s="360" t="s">
        <v>2636</v>
      </c>
      <c r="M1796" s="360" t="s">
        <v>2636</v>
      </c>
      <c r="N1796" s="360" t="s">
        <v>2050</v>
      </c>
      <c r="O1796" s="360"/>
      <c r="P1796" s="255"/>
      <c r="Q1796" s="380"/>
      <c r="R1796" s="384" t="s">
        <v>1138</v>
      </c>
      <c r="S1796" s="22"/>
      <c r="T1796" s="22"/>
      <c r="U1796" s="24"/>
      <c r="V1796" s="23"/>
      <c r="W1796" s="95" t="s">
        <v>32</v>
      </c>
      <c r="X1796" s="95" t="s">
        <v>32</v>
      </c>
      <c r="Y1796" s="95"/>
      <c r="Z1796" s="100" t="s">
        <v>30</v>
      </c>
      <c r="AA1796" s="95" t="s">
        <v>32</v>
      </c>
      <c r="AB1796" s="95" t="s">
        <v>32</v>
      </c>
      <c r="AC1796" s="95" t="s">
        <v>32</v>
      </c>
      <c r="AD1796" s="95" t="s">
        <v>32</v>
      </c>
      <c r="AE1796" s="100"/>
      <c r="AF1796" s="95" t="s">
        <v>32</v>
      </c>
      <c r="AG1796" s="95" t="s">
        <v>32</v>
      </c>
      <c r="AH1796" s="114"/>
      <c r="AI1796" s="95" t="s">
        <v>32</v>
      </c>
      <c r="AJ1796" s="95" t="s">
        <v>32</v>
      </c>
      <c r="AK1796" s="95" t="s">
        <v>32</v>
      </c>
      <c r="AL1796" s="95"/>
      <c r="AM1796" s="360" t="s">
        <v>2545</v>
      </c>
    </row>
    <row r="1797" spans="1:47">
      <c r="A1797" s="358" t="s">
        <v>24</v>
      </c>
      <c r="B1797" s="369">
        <v>1794</v>
      </c>
      <c r="C1797" s="372" t="s">
        <v>2641</v>
      </c>
      <c r="D1797" s="372" t="s">
        <v>50</v>
      </c>
      <c r="E1797" s="373">
        <v>46009</v>
      </c>
      <c r="F1797" s="372" t="s">
        <v>628</v>
      </c>
      <c r="G1797" s="372">
        <v>12</v>
      </c>
      <c r="H1797" s="372" t="s">
        <v>127</v>
      </c>
      <c r="I1797" s="372" t="s">
        <v>36</v>
      </c>
      <c r="J1797" s="257"/>
      <c r="K1797" s="360" t="s">
        <v>2061</v>
      </c>
      <c r="L1797" s="360" t="s">
        <v>2632</v>
      </c>
      <c r="M1797" s="360" t="s">
        <v>2636</v>
      </c>
      <c r="N1797" s="360" t="s">
        <v>2642</v>
      </c>
      <c r="O1797" s="360"/>
      <c r="P1797" s="23" t="s">
        <v>30</v>
      </c>
      <c r="Q1797" s="23">
        <v>46051</v>
      </c>
      <c r="R1797" s="24" t="s">
        <v>28</v>
      </c>
      <c r="S1797" s="358" t="s">
        <v>30</v>
      </c>
      <c r="T1797" s="22">
        <v>3</v>
      </c>
      <c r="U1797" s="24" t="s">
        <v>28</v>
      </c>
      <c r="V1797" s="23">
        <v>46051</v>
      </c>
      <c r="W1797" s="100" t="s">
        <v>30</v>
      </c>
      <c r="X1797" s="100" t="s">
        <v>30</v>
      </c>
      <c r="Y1797" s="100" t="s">
        <v>30</v>
      </c>
      <c r="Z1797" s="100" t="s">
        <v>30</v>
      </c>
      <c r="AA1797" s="100" t="s">
        <v>30</v>
      </c>
      <c r="AB1797" s="100" t="s">
        <v>30</v>
      </c>
      <c r="AC1797" s="100" t="s">
        <v>30</v>
      </c>
      <c r="AD1797" s="100" t="s">
        <v>30</v>
      </c>
      <c r="AE1797" s="100" t="s">
        <v>30</v>
      </c>
      <c r="AF1797" s="100" t="s">
        <v>30</v>
      </c>
      <c r="AG1797" s="100" t="s">
        <v>30</v>
      </c>
      <c r="AH1797" s="100" t="s">
        <v>30</v>
      </c>
      <c r="AI1797" s="100" t="s">
        <v>30</v>
      </c>
      <c r="AJ1797" s="100" t="s">
        <v>30</v>
      </c>
      <c r="AK1797" s="100" t="s">
        <v>30</v>
      </c>
      <c r="AL1797" s="95"/>
      <c r="AM1797" s="360" t="s">
        <v>2545</v>
      </c>
    </row>
    <row r="1798" spans="1:47">
      <c r="A1798" s="358" t="s">
        <v>24</v>
      </c>
      <c r="B1798" s="369">
        <v>1795</v>
      </c>
      <c r="C1798" s="372" t="s">
        <v>2643</v>
      </c>
      <c r="D1798" s="372" t="s">
        <v>43</v>
      </c>
      <c r="E1798" s="373">
        <v>46009</v>
      </c>
      <c r="F1798" s="372" t="s">
        <v>628</v>
      </c>
      <c r="G1798" s="372">
        <v>20</v>
      </c>
      <c r="H1798" s="372" t="s">
        <v>127</v>
      </c>
      <c r="I1798" s="372" t="s">
        <v>36</v>
      </c>
      <c r="J1798" s="372"/>
      <c r="K1798" s="360" t="s">
        <v>2244</v>
      </c>
      <c r="L1798" s="360" t="s">
        <v>2632</v>
      </c>
      <c r="M1798" s="360" t="s">
        <v>2632</v>
      </c>
      <c r="N1798" s="360" t="s">
        <v>2058</v>
      </c>
      <c r="O1798" s="117" t="s">
        <v>31</v>
      </c>
      <c r="P1798" s="256" t="s">
        <v>30</v>
      </c>
      <c r="Q1798" s="380">
        <v>46034</v>
      </c>
      <c r="R1798" s="24" t="s">
        <v>28</v>
      </c>
      <c r="S1798" s="22" t="s">
        <v>32</v>
      </c>
      <c r="T1798" s="22">
        <v>19</v>
      </c>
      <c r="U1798" s="24" t="s">
        <v>28</v>
      </c>
      <c r="V1798" s="380">
        <v>46034</v>
      </c>
      <c r="W1798" s="100" t="s">
        <v>30</v>
      </c>
      <c r="X1798" s="100" t="s">
        <v>30</v>
      </c>
      <c r="Y1798" s="100" t="s">
        <v>30</v>
      </c>
      <c r="Z1798" s="100" t="s">
        <v>30</v>
      </c>
      <c r="AA1798" s="100" t="s">
        <v>30</v>
      </c>
      <c r="AB1798" s="100" t="s">
        <v>30</v>
      </c>
      <c r="AC1798" s="100" t="s">
        <v>30</v>
      </c>
      <c r="AD1798" s="100" t="s">
        <v>30</v>
      </c>
      <c r="AE1798" s="100" t="s">
        <v>30</v>
      </c>
      <c r="AF1798" s="100" t="s">
        <v>30</v>
      </c>
      <c r="AG1798" s="100" t="s">
        <v>30</v>
      </c>
      <c r="AH1798" s="100" t="s">
        <v>30</v>
      </c>
      <c r="AI1798" s="100" t="s">
        <v>30</v>
      </c>
      <c r="AJ1798" s="100" t="s">
        <v>30</v>
      </c>
      <c r="AK1798" s="100" t="s">
        <v>30</v>
      </c>
      <c r="AL1798" s="95"/>
      <c r="AM1798" s="360"/>
      <c r="AN1798" s="91"/>
      <c r="AO1798" s="91"/>
      <c r="AS1798" s="72"/>
      <c r="AT1798" s="96"/>
      <c r="AU1798" s="96"/>
    </row>
    <row r="1799" spans="1:47">
      <c r="A1799" s="358" t="s">
        <v>24</v>
      </c>
      <c r="B1799" s="369">
        <v>1796</v>
      </c>
      <c r="C1799" s="372" t="s">
        <v>2644</v>
      </c>
      <c r="D1799" s="372" t="s">
        <v>43</v>
      </c>
      <c r="E1799" s="373">
        <v>46009</v>
      </c>
      <c r="F1799" s="372" t="s">
        <v>2295</v>
      </c>
      <c r="G1799" s="372">
        <v>18</v>
      </c>
      <c r="H1799" s="372" t="s">
        <v>1077</v>
      </c>
      <c r="I1799" s="372" t="s">
        <v>1138</v>
      </c>
      <c r="J1799" s="257"/>
      <c r="K1799" s="360" t="s">
        <v>2296</v>
      </c>
      <c r="L1799" s="360" t="s">
        <v>2584</v>
      </c>
      <c r="M1799" s="360" t="s">
        <v>2585</v>
      </c>
      <c r="N1799" s="360" t="s">
        <v>2058</v>
      </c>
      <c r="O1799" s="117" t="s">
        <v>31</v>
      </c>
      <c r="P1799" s="23" t="s">
        <v>30</v>
      </c>
      <c r="Q1799" s="23">
        <v>46031</v>
      </c>
      <c r="R1799" s="384" t="s">
        <v>1138</v>
      </c>
      <c r="S1799" s="358" t="s">
        <v>30</v>
      </c>
      <c r="T1799" s="7">
        <v>15</v>
      </c>
      <c r="U1799" s="384" t="s">
        <v>1138</v>
      </c>
      <c r="V1799" s="23">
        <v>46031</v>
      </c>
      <c r="W1799" s="100" t="s">
        <v>30</v>
      </c>
      <c r="X1799" s="100" t="s">
        <v>30</v>
      </c>
      <c r="Y1799" s="100" t="s">
        <v>30</v>
      </c>
      <c r="Z1799" s="100" t="s">
        <v>30</v>
      </c>
      <c r="AA1799" s="100" t="s">
        <v>30</v>
      </c>
      <c r="AB1799" s="100" t="s">
        <v>30</v>
      </c>
      <c r="AC1799" s="100" t="s">
        <v>30</v>
      </c>
      <c r="AD1799" s="100" t="s">
        <v>30</v>
      </c>
      <c r="AE1799" s="100" t="s">
        <v>30</v>
      </c>
      <c r="AF1799" s="100" t="s">
        <v>30</v>
      </c>
      <c r="AG1799" s="100" t="s">
        <v>30</v>
      </c>
      <c r="AH1799" s="100" t="s">
        <v>30</v>
      </c>
      <c r="AI1799" s="100" t="s">
        <v>30</v>
      </c>
      <c r="AJ1799" s="100" t="s">
        <v>30</v>
      </c>
      <c r="AK1799" s="100" t="s">
        <v>30</v>
      </c>
      <c r="AL1799" s="95"/>
      <c r="AM1799" s="360" t="s">
        <v>2645</v>
      </c>
      <c r="AS1799" s="72"/>
      <c r="AT1799" s="96"/>
      <c r="AU1799" s="96"/>
    </row>
    <row r="1800" spans="1:47">
      <c r="A1800" s="358" t="s">
        <v>24</v>
      </c>
      <c r="B1800" s="369">
        <v>1797</v>
      </c>
      <c r="C1800" s="372" t="s">
        <v>2646</v>
      </c>
      <c r="D1800" s="372" t="s">
        <v>397</v>
      </c>
      <c r="E1800" s="373">
        <v>46009</v>
      </c>
      <c r="F1800" s="372" t="s">
        <v>1342</v>
      </c>
      <c r="G1800" s="372">
        <v>19</v>
      </c>
      <c r="H1800" s="372" t="s">
        <v>67</v>
      </c>
      <c r="I1800" s="372" t="s">
        <v>47</v>
      </c>
      <c r="J1800" s="102" t="s">
        <v>2544</v>
      </c>
      <c r="K1800" s="360" t="s">
        <v>2066</v>
      </c>
      <c r="L1800" s="360" t="s">
        <v>2632</v>
      </c>
      <c r="M1800" s="360" t="s">
        <v>2633</v>
      </c>
      <c r="N1800" s="360" t="s">
        <v>2058</v>
      </c>
      <c r="O1800" s="117" t="s">
        <v>31</v>
      </c>
      <c r="P1800" s="385"/>
      <c r="Q1800" s="380"/>
      <c r="R1800" s="24" t="s">
        <v>48</v>
      </c>
      <c r="S1800" s="22"/>
      <c r="T1800" s="22"/>
      <c r="U1800" s="24"/>
      <c r="V1800" s="23"/>
      <c r="W1800" s="100" t="s">
        <v>30</v>
      </c>
      <c r="X1800" s="100" t="s">
        <v>30</v>
      </c>
      <c r="Y1800" s="95"/>
      <c r="Z1800" s="100" t="s">
        <v>30</v>
      </c>
      <c r="AA1800" s="95" t="s">
        <v>32</v>
      </c>
      <c r="AB1800" s="100" t="s">
        <v>30</v>
      </c>
      <c r="AC1800" s="100" t="s">
        <v>30</v>
      </c>
      <c r="AD1800" s="100" t="s">
        <v>30</v>
      </c>
      <c r="AE1800" s="100" t="s">
        <v>30</v>
      </c>
      <c r="AF1800" s="95" t="s">
        <v>32</v>
      </c>
      <c r="AG1800" s="95" t="s">
        <v>32</v>
      </c>
      <c r="AH1800" s="114"/>
      <c r="AI1800" s="95" t="s">
        <v>32</v>
      </c>
      <c r="AJ1800" s="95" t="s">
        <v>32</v>
      </c>
      <c r="AK1800" s="95" t="s">
        <v>32</v>
      </c>
      <c r="AL1800" s="95"/>
      <c r="AM1800" s="360" t="s">
        <v>2548</v>
      </c>
      <c r="AN1800" s="91"/>
      <c r="AO1800" s="91"/>
      <c r="AS1800" s="72"/>
      <c r="AT1800" s="96"/>
      <c r="AU1800" s="96"/>
    </row>
    <row r="1801" spans="1:47">
      <c r="A1801" s="358" t="s">
        <v>24</v>
      </c>
      <c r="B1801" s="369">
        <v>1798</v>
      </c>
      <c r="C1801" s="372" t="s">
        <v>2647</v>
      </c>
      <c r="D1801" s="372" t="s">
        <v>102</v>
      </c>
      <c r="E1801" s="373">
        <v>46010</v>
      </c>
      <c r="F1801" s="372" t="s">
        <v>395</v>
      </c>
      <c r="G1801" s="372">
        <v>12</v>
      </c>
      <c r="H1801" s="372" t="s">
        <v>127</v>
      </c>
      <c r="I1801" s="372" t="s">
        <v>36</v>
      </c>
      <c r="J1801" s="372"/>
      <c r="K1801" s="360" t="s">
        <v>2061</v>
      </c>
      <c r="L1801" s="360" t="s">
        <v>2632</v>
      </c>
      <c r="M1801" s="360" t="s">
        <v>2636</v>
      </c>
      <c r="N1801" s="360" t="s">
        <v>2058</v>
      </c>
      <c r="O1801" s="360"/>
      <c r="P1801" s="385" t="s">
        <v>30</v>
      </c>
      <c r="Q1801" s="380">
        <v>46051</v>
      </c>
      <c r="R1801" s="24" t="s">
        <v>1638</v>
      </c>
      <c r="S1801" s="22" t="s">
        <v>32</v>
      </c>
      <c r="T1801" s="22">
        <v>12</v>
      </c>
      <c r="U1801" s="24" t="s">
        <v>1638</v>
      </c>
      <c r="V1801" s="380">
        <v>46051</v>
      </c>
      <c r="W1801" s="100" t="s">
        <v>30</v>
      </c>
      <c r="X1801" s="100" t="s">
        <v>30</v>
      </c>
      <c r="Y1801" s="100" t="s">
        <v>30</v>
      </c>
      <c r="Z1801" s="100" t="s">
        <v>30</v>
      </c>
      <c r="AA1801" s="100" t="s">
        <v>30</v>
      </c>
      <c r="AB1801" s="100" t="s">
        <v>30</v>
      </c>
      <c r="AC1801" s="100" t="s">
        <v>30</v>
      </c>
      <c r="AD1801" s="100" t="s">
        <v>30</v>
      </c>
      <c r="AE1801" s="100" t="s">
        <v>30</v>
      </c>
      <c r="AF1801" s="100" t="s">
        <v>30</v>
      </c>
      <c r="AG1801" s="100" t="s">
        <v>30</v>
      </c>
      <c r="AH1801" s="100" t="s">
        <v>30</v>
      </c>
      <c r="AI1801" s="100" t="s">
        <v>30</v>
      </c>
      <c r="AJ1801" s="100" t="s">
        <v>30</v>
      </c>
      <c r="AK1801" s="100" t="s">
        <v>30</v>
      </c>
      <c r="AL1801" s="95"/>
      <c r="AM1801" s="360"/>
      <c r="AS1801" s="72"/>
      <c r="AT1801" s="96"/>
      <c r="AU1801" s="96"/>
    </row>
    <row r="1802" spans="1:47">
      <c r="A1802" s="358" t="s">
        <v>24</v>
      </c>
      <c r="B1802" s="369">
        <v>1799</v>
      </c>
      <c r="C1802" s="372" t="s">
        <v>2648</v>
      </c>
      <c r="D1802" s="372" t="s">
        <v>34</v>
      </c>
      <c r="E1802" s="373">
        <v>46010</v>
      </c>
      <c r="F1802" s="372" t="s">
        <v>245</v>
      </c>
      <c r="G1802" s="372">
        <v>15</v>
      </c>
      <c r="H1802" s="372" t="s">
        <v>1077</v>
      </c>
      <c r="I1802" s="372" t="s">
        <v>1138</v>
      </c>
      <c r="J1802" s="372"/>
      <c r="K1802" s="358" t="s">
        <v>2052</v>
      </c>
      <c r="L1802" s="358" t="s">
        <v>2636</v>
      </c>
      <c r="M1802" s="358" t="s">
        <v>2636</v>
      </c>
      <c r="N1802" s="358" t="s">
        <v>2083</v>
      </c>
      <c r="O1802" s="117" t="s">
        <v>31</v>
      </c>
      <c r="P1802" s="380" t="s">
        <v>30</v>
      </c>
      <c r="Q1802" s="23">
        <v>46031</v>
      </c>
      <c r="R1802" s="384" t="s">
        <v>1138</v>
      </c>
      <c r="S1802" s="22" t="s">
        <v>32</v>
      </c>
      <c r="T1802" s="22">
        <v>18</v>
      </c>
      <c r="U1802" s="24" t="s">
        <v>1138</v>
      </c>
      <c r="V1802" s="23">
        <v>46031</v>
      </c>
      <c r="W1802" s="100" t="s">
        <v>30</v>
      </c>
      <c r="X1802" s="100" t="s">
        <v>30</v>
      </c>
      <c r="Y1802" s="100" t="s">
        <v>30</v>
      </c>
      <c r="Z1802" s="100" t="s">
        <v>30</v>
      </c>
      <c r="AA1802" s="100" t="s">
        <v>30</v>
      </c>
      <c r="AB1802" s="100" t="s">
        <v>30</v>
      </c>
      <c r="AC1802" s="100" t="s">
        <v>30</v>
      </c>
      <c r="AD1802" s="100" t="s">
        <v>30</v>
      </c>
      <c r="AE1802" s="100" t="s">
        <v>30</v>
      </c>
      <c r="AF1802" s="100" t="s">
        <v>30</v>
      </c>
      <c r="AG1802" s="100" t="s">
        <v>30</v>
      </c>
      <c r="AH1802" s="100" t="s">
        <v>30</v>
      </c>
      <c r="AI1802" s="111" t="s">
        <v>30</v>
      </c>
      <c r="AJ1802" s="111" t="s">
        <v>30</v>
      </c>
      <c r="AK1802" s="100" t="s">
        <v>30</v>
      </c>
      <c r="AL1802" s="95"/>
      <c r="AM1802" s="360"/>
    </row>
    <row r="1803" spans="1:47">
      <c r="A1803" s="358" t="s">
        <v>24</v>
      </c>
      <c r="B1803" s="369">
        <v>1800</v>
      </c>
      <c r="C1803" s="372" t="s">
        <v>2649</v>
      </c>
      <c r="D1803" s="372" t="s">
        <v>102</v>
      </c>
      <c r="E1803" s="373">
        <v>46010</v>
      </c>
      <c r="F1803" s="372" t="s">
        <v>55</v>
      </c>
      <c r="G1803" s="372">
        <v>13</v>
      </c>
      <c r="H1803" s="372" t="s">
        <v>67</v>
      </c>
      <c r="I1803" s="372" t="s">
        <v>47</v>
      </c>
      <c r="J1803" s="372"/>
      <c r="K1803" s="360" t="s">
        <v>2126</v>
      </c>
      <c r="L1803" s="360" t="s">
        <v>2650</v>
      </c>
      <c r="M1803" s="360" t="s">
        <v>2650</v>
      </c>
      <c r="N1803" s="360" t="s">
        <v>2050</v>
      </c>
      <c r="O1803" s="360"/>
      <c r="P1803" s="385" t="s">
        <v>30</v>
      </c>
      <c r="Q1803" s="120">
        <v>46051</v>
      </c>
      <c r="R1803" s="24" t="s">
        <v>1638</v>
      </c>
      <c r="S1803" s="358" t="s">
        <v>32</v>
      </c>
      <c r="T1803" s="22">
        <v>13</v>
      </c>
      <c r="U1803" s="24" t="s">
        <v>1638</v>
      </c>
      <c r="V1803" s="23">
        <v>46051</v>
      </c>
      <c r="W1803" s="94" t="s">
        <v>30</v>
      </c>
      <c r="X1803" s="100" t="s">
        <v>30</v>
      </c>
      <c r="Y1803" s="100" t="s">
        <v>30</v>
      </c>
      <c r="Z1803" s="100" t="s">
        <v>30</v>
      </c>
      <c r="AA1803" s="100" t="s">
        <v>30</v>
      </c>
      <c r="AB1803" s="100" t="s">
        <v>30</v>
      </c>
      <c r="AC1803" s="100" t="s">
        <v>30</v>
      </c>
      <c r="AD1803" s="100" t="s">
        <v>30</v>
      </c>
      <c r="AE1803" s="100" t="s">
        <v>30</v>
      </c>
      <c r="AF1803" s="100" t="s">
        <v>30</v>
      </c>
      <c r="AG1803" s="100" t="s">
        <v>30</v>
      </c>
      <c r="AH1803" s="100" t="s">
        <v>30</v>
      </c>
      <c r="AI1803" s="100" t="s">
        <v>30</v>
      </c>
      <c r="AJ1803" s="100" t="s">
        <v>30</v>
      </c>
      <c r="AK1803" s="100" t="s">
        <v>30</v>
      </c>
      <c r="AL1803" s="95"/>
      <c r="AM1803" s="360"/>
      <c r="AS1803" s="72"/>
      <c r="AT1803" s="96"/>
      <c r="AU1803" s="96"/>
    </row>
    <row r="1804" spans="1:47">
      <c r="A1804" s="358" t="s">
        <v>24</v>
      </c>
      <c r="B1804" s="369">
        <v>1801</v>
      </c>
      <c r="C1804" s="372" t="s">
        <v>2651</v>
      </c>
      <c r="D1804" s="372" t="s">
        <v>57</v>
      </c>
      <c r="E1804" s="373">
        <v>46010</v>
      </c>
      <c r="F1804" s="372" t="s">
        <v>737</v>
      </c>
      <c r="G1804" s="372">
        <v>13</v>
      </c>
      <c r="H1804" s="372" t="s">
        <v>1721</v>
      </c>
      <c r="I1804" s="372" t="s">
        <v>1638</v>
      </c>
      <c r="J1804" s="372"/>
      <c r="K1804" s="360" t="s">
        <v>2264</v>
      </c>
      <c r="L1804" s="360" t="s">
        <v>2632</v>
      </c>
      <c r="M1804" s="360" t="s">
        <v>2632</v>
      </c>
      <c r="N1804" s="360" t="s">
        <v>2050</v>
      </c>
      <c r="O1804" s="360"/>
      <c r="P1804" s="256" t="s">
        <v>30</v>
      </c>
      <c r="Q1804" s="23">
        <v>46041</v>
      </c>
      <c r="R1804" s="384" t="s">
        <v>1638</v>
      </c>
      <c r="S1804" s="22" t="s">
        <v>32</v>
      </c>
      <c r="T1804" s="22">
        <v>8</v>
      </c>
      <c r="U1804" s="384" t="s">
        <v>1638</v>
      </c>
      <c r="V1804" s="23">
        <v>46041</v>
      </c>
      <c r="W1804" s="100" t="s">
        <v>30</v>
      </c>
      <c r="X1804" s="100" t="s">
        <v>30</v>
      </c>
      <c r="Y1804" s="94" t="s">
        <v>30</v>
      </c>
      <c r="Z1804" s="100" t="s">
        <v>30</v>
      </c>
      <c r="AA1804" s="100" t="s">
        <v>30</v>
      </c>
      <c r="AB1804" s="100" t="s">
        <v>30</v>
      </c>
      <c r="AC1804" s="100" t="s">
        <v>30</v>
      </c>
      <c r="AD1804" s="95" t="s">
        <v>32</v>
      </c>
      <c r="AE1804" s="100" t="s">
        <v>30</v>
      </c>
      <c r="AF1804" s="100" t="s">
        <v>30</v>
      </c>
      <c r="AG1804" s="100" t="s">
        <v>30</v>
      </c>
      <c r="AH1804" s="100" t="s">
        <v>30</v>
      </c>
      <c r="AI1804" s="111" t="s">
        <v>30</v>
      </c>
      <c r="AJ1804" s="111" t="s">
        <v>30</v>
      </c>
      <c r="AK1804" s="111" t="s">
        <v>30</v>
      </c>
      <c r="AL1804" s="95"/>
      <c r="AM1804" s="360"/>
      <c r="AS1804" s="72"/>
      <c r="AT1804" s="96"/>
      <c r="AU1804" s="96"/>
    </row>
    <row r="1805" spans="1:47">
      <c r="A1805" s="358" t="s">
        <v>24</v>
      </c>
      <c r="B1805" s="369">
        <v>1802</v>
      </c>
      <c r="C1805" s="372" t="s">
        <v>2652</v>
      </c>
      <c r="D1805" s="372" t="s">
        <v>384</v>
      </c>
      <c r="E1805" s="373">
        <v>46010</v>
      </c>
      <c r="F1805" s="372" t="s">
        <v>737</v>
      </c>
      <c r="G1805" s="372">
        <v>13</v>
      </c>
      <c r="H1805" s="372" t="s">
        <v>1721</v>
      </c>
      <c r="I1805" s="372" t="s">
        <v>1638</v>
      </c>
      <c r="J1805" s="372"/>
      <c r="K1805" s="360" t="s">
        <v>2098</v>
      </c>
      <c r="L1805" s="360" t="s">
        <v>2636</v>
      </c>
      <c r="M1805" s="360" t="s">
        <v>2636</v>
      </c>
      <c r="N1805" s="360" t="s">
        <v>2050</v>
      </c>
      <c r="O1805" s="360"/>
      <c r="P1805" s="256" t="s">
        <v>30</v>
      </c>
      <c r="Q1805" s="23">
        <v>46041</v>
      </c>
      <c r="R1805" s="384" t="s">
        <v>1638</v>
      </c>
      <c r="S1805" s="22" t="s">
        <v>32</v>
      </c>
      <c r="T1805" s="22">
        <v>13</v>
      </c>
      <c r="U1805" s="384" t="s">
        <v>1638</v>
      </c>
      <c r="V1805" s="23">
        <v>46041</v>
      </c>
      <c r="W1805" s="94" t="s">
        <v>30</v>
      </c>
      <c r="X1805" s="100" t="s">
        <v>30</v>
      </c>
      <c r="Y1805" s="94" t="s">
        <v>30</v>
      </c>
      <c r="Z1805" s="100" t="s">
        <v>30</v>
      </c>
      <c r="AA1805" s="100" t="s">
        <v>30</v>
      </c>
      <c r="AB1805" s="100" t="s">
        <v>30</v>
      </c>
      <c r="AC1805" s="100" t="s">
        <v>30</v>
      </c>
      <c r="AD1805" s="100" t="s">
        <v>30</v>
      </c>
      <c r="AE1805" s="100" t="s">
        <v>30</v>
      </c>
      <c r="AF1805" s="95" t="s">
        <v>32</v>
      </c>
      <c r="AG1805" s="95" t="s">
        <v>32</v>
      </c>
      <c r="AH1805" s="100" t="s">
        <v>30</v>
      </c>
      <c r="AI1805" s="100" t="s">
        <v>30</v>
      </c>
      <c r="AJ1805" s="100" t="s">
        <v>30</v>
      </c>
      <c r="AK1805" s="100" t="s">
        <v>30</v>
      </c>
      <c r="AL1805" s="95" t="s">
        <v>32</v>
      </c>
      <c r="AM1805" s="360" t="s">
        <v>2548</v>
      </c>
    </row>
    <row r="1806" spans="1:47">
      <c r="A1806" s="358" t="s">
        <v>24</v>
      </c>
      <c r="B1806" s="369">
        <v>1803</v>
      </c>
      <c r="C1806" s="372" t="s">
        <v>2653</v>
      </c>
      <c r="D1806" s="372" t="s">
        <v>50</v>
      </c>
      <c r="E1806" s="373">
        <v>46010</v>
      </c>
      <c r="F1806" s="372" t="s">
        <v>737</v>
      </c>
      <c r="G1806" s="372">
        <v>10</v>
      </c>
      <c r="H1806" s="372" t="s">
        <v>1721</v>
      </c>
      <c r="I1806" s="372" t="s">
        <v>1638</v>
      </c>
      <c r="J1806" s="372"/>
      <c r="K1806" s="360" t="s">
        <v>2226</v>
      </c>
      <c r="L1806" s="360" t="s">
        <v>2632</v>
      </c>
      <c r="M1806" s="360" t="s">
        <v>2632</v>
      </c>
      <c r="N1806" s="360" t="s">
        <v>2050</v>
      </c>
      <c r="O1806" s="360"/>
      <c r="P1806" s="256" t="s">
        <v>30</v>
      </c>
      <c r="Q1806" s="23">
        <v>46038</v>
      </c>
      <c r="R1806" s="384" t="s">
        <v>1638</v>
      </c>
      <c r="S1806" s="22" t="s">
        <v>32</v>
      </c>
      <c r="T1806" s="22">
        <v>10</v>
      </c>
      <c r="U1806" s="384" t="s">
        <v>1638</v>
      </c>
      <c r="V1806" s="23">
        <v>46038</v>
      </c>
      <c r="W1806" s="100" t="s">
        <v>30</v>
      </c>
      <c r="X1806" s="100" t="s">
        <v>30</v>
      </c>
      <c r="Y1806" s="100" t="s">
        <v>30</v>
      </c>
      <c r="Z1806" s="100" t="s">
        <v>30</v>
      </c>
      <c r="AA1806" s="100" t="s">
        <v>30</v>
      </c>
      <c r="AB1806" s="100" t="s">
        <v>30</v>
      </c>
      <c r="AC1806" s="100" t="s">
        <v>30</v>
      </c>
      <c r="AD1806" s="100" t="s">
        <v>30</v>
      </c>
      <c r="AE1806" s="100" t="s">
        <v>30</v>
      </c>
      <c r="AF1806" s="100" t="s">
        <v>30</v>
      </c>
      <c r="AG1806" s="100" t="s">
        <v>30</v>
      </c>
      <c r="AH1806" s="100" t="s">
        <v>30</v>
      </c>
      <c r="AI1806" s="111" t="s">
        <v>30</v>
      </c>
      <c r="AJ1806" s="111" t="s">
        <v>30</v>
      </c>
      <c r="AK1806" s="111" t="s">
        <v>30</v>
      </c>
      <c r="AL1806" s="95"/>
      <c r="AM1806" s="360"/>
    </row>
    <row r="1807" spans="1:47">
      <c r="A1807" s="358" t="s">
        <v>24</v>
      </c>
      <c r="B1807" s="369">
        <v>1804</v>
      </c>
      <c r="C1807" s="372" t="s">
        <v>2654</v>
      </c>
      <c r="D1807" s="372" t="s">
        <v>406</v>
      </c>
      <c r="E1807" s="373">
        <v>46010</v>
      </c>
      <c r="F1807" s="372" t="s">
        <v>1065</v>
      </c>
      <c r="G1807" s="372">
        <v>11</v>
      </c>
      <c r="H1807" s="372" t="s">
        <v>1721</v>
      </c>
      <c r="I1807" s="372" t="s">
        <v>1638</v>
      </c>
      <c r="J1807" s="372"/>
      <c r="K1807" s="360" t="s">
        <v>2102</v>
      </c>
      <c r="L1807" s="360" t="s">
        <v>2592</v>
      </c>
      <c r="M1807" s="360" t="s">
        <v>2592</v>
      </c>
      <c r="N1807" s="360" t="s">
        <v>2050</v>
      </c>
      <c r="O1807" s="360"/>
      <c r="P1807" s="256" t="s">
        <v>30</v>
      </c>
      <c r="Q1807" s="23">
        <v>46041</v>
      </c>
      <c r="R1807" s="384" t="s">
        <v>1638</v>
      </c>
      <c r="S1807" s="22" t="s">
        <v>32</v>
      </c>
      <c r="T1807" s="22">
        <v>11</v>
      </c>
      <c r="U1807" s="384" t="s">
        <v>1638</v>
      </c>
      <c r="V1807" s="23">
        <v>46041</v>
      </c>
      <c r="W1807" s="100" t="s">
        <v>30</v>
      </c>
      <c r="X1807" s="100" t="s">
        <v>30</v>
      </c>
      <c r="Y1807" s="100" t="s">
        <v>30</v>
      </c>
      <c r="Z1807" s="100" t="s">
        <v>30</v>
      </c>
      <c r="AA1807" s="100" t="s">
        <v>30</v>
      </c>
      <c r="AB1807" s="100" t="s">
        <v>30</v>
      </c>
      <c r="AC1807" s="100" t="s">
        <v>30</v>
      </c>
      <c r="AD1807" s="100" t="s">
        <v>30</v>
      </c>
      <c r="AE1807" s="100" t="s">
        <v>30</v>
      </c>
      <c r="AF1807" s="114" t="s">
        <v>32</v>
      </c>
      <c r="AG1807" s="100" t="s">
        <v>30</v>
      </c>
      <c r="AH1807" s="100" t="s">
        <v>30</v>
      </c>
      <c r="AI1807" s="100" t="s">
        <v>30</v>
      </c>
      <c r="AJ1807" s="100" t="s">
        <v>30</v>
      </c>
      <c r="AK1807" s="100" t="s">
        <v>30</v>
      </c>
      <c r="AL1807" s="114"/>
      <c r="AM1807" s="360"/>
      <c r="AR1807" s="88"/>
      <c r="AS1807" s="72"/>
      <c r="AT1807" s="72"/>
      <c r="AU1807" s="72"/>
    </row>
    <row r="1808" spans="1:47">
      <c r="A1808" s="358" t="s">
        <v>24</v>
      </c>
      <c r="B1808" s="369">
        <v>1805</v>
      </c>
      <c r="C1808" s="372" t="s">
        <v>2655</v>
      </c>
      <c r="D1808" s="372" t="s">
        <v>102</v>
      </c>
      <c r="E1808" s="373">
        <v>46011</v>
      </c>
      <c r="F1808" s="372" t="s">
        <v>439</v>
      </c>
      <c r="G1808" s="372">
        <v>12</v>
      </c>
      <c r="H1808" s="372" t="s">
        <v>127</v>
      </c>
      <c r="I1808" s="372" t="s">
        <v>178</v>
      </c>
      <c r="J1808" s="372"/>
      <c r="K1808" s="360" t="s">
        <v>2142</v>
      </c>
      <c r="L1808" s="360" t="s">
        <v>2632</v>
      </c>
      <c r="M1808" s="360" t="s">
        <v>2632</v>
      </c>
      <c r="N1808" s="360" t="s">
        <v>2050</v>
      </c>
      <c r="O1808" s="360"/>
      <c r="P1808" s="256" t="s">
        <v>30</v>
      </c>
      <c r="Q1808" s="380">
        <v>46051</v>
      </c>
      <c r="R1808" s="24" t="s">
        <v>1138</v>
      </c>
      <c r="S1808" s="22" t="s">
        <v>32</v>
      </c>
      <c r="T1808" s="22">
        <v>9</v>
      </c>
      <c r="U1808" s="24" t="s">
        <v>1138</v>
      </c>
      <c r="V1808" s="380">
        <v>46051</v>
      </c>
      <c r="W1808" s="122" t="s">
        <v>30</v>
      </c>
      <c r="X1808" s="100" t="s">
        <v>30</v>
      </c>
      <c r="Y1808" s="122" t="s">
        <v>30</v>
      </c>
      <c r="Z1808" s="95" t="s">
        <v>32</v>
      </c>
      <c r="AA1808" s="95" t="s">
        <v>32</v>
      </c>
      <c r="AB1808" s="100" t="s">
        <v>30</v>
      </c>
      <c r="AC1808" s="100" t="s">
        <v>30</v>
      </c>
      <c r="AD1808" s="100" t="s">
        <v>30</v>
      </c>
      <c r="AE1808" s="100" t="s">
        <v>30</v>
      </c>
      <c r="AF1808" s="100" t="s">
        <v>30</v>
      </c>
      <c r="AG1808" s="100" t="s">
        <v>30</v>
      </c>
      <c r="AH1808" s="100" t="s">
        <v>30</v>
      </c>
      <c r="AI1808" s="100" t="s">
        <v>30</v>
      </c>
      <c r="AJ1808" s="100" t="s">
        <v>30</v>
      </c>
      <c r="AK1808" s="111" t="s">
        <v>30</v>
      </c>
      <c r="AL1808" s="114"/>
      <c r="AM1808" s="360" t="s">
        <v>2548</v>
      </c>
      <c r="AS1808" s="72"/>
      <c r="AT1808" s="96"/>
      <c r="AU1808" s="96"/>
    </row>
    <row r="1809" spans="1:48">
      <c r="A1809" s="358" t="s">
        <v>24</v>
      </c>
      <c r="B1809" s="369">
        <v>1806</v>
      </c>
      <c r="C1809" s="372" t="s">
        <v>2656</v>
      </c>
      <c r="D1809" s="372" t="s">
        <v>83</v>
      </c>
      <c r="E1809" s="373">
        <v>46011</v>
      </c>
      <c r="F1809" s="372" t="s">
        <v>97</v>
      </c>
      <c r="G1809" s="372">
        <v>20</v>
      </c>
      <c r="H1809" s="372" t="s">
        <v>127</v>
      </c>
      <c r="I1809" s="372" t="s">
        <v>178</v>
      </c>
      <c r="J1809" s="257"/>
      <c r="K1809" s="360" t="s">
        <v>2085</v>
      </c>
      <c r="L1809" s="360" t="s">
        <v>2636</v>
      </c>
      <c r="M1809" s="360" t="s">
        <v>2636</v>
      </c>
      <c r="N1809" s="360" t="s">
        <v>2245</v>
      </c>
      <c r="O1809" s="117" t="s">
        <v>31</v>
      </c>
      <c r="P1809" s="23" t="s">
        <v>30</v>
      </c>
      <c r="Q1809" s="23">
        <v>46041</v>
      </c>
      <c r="R1809" s="24" t="s">
        <v>28</v>
      </c>
      <c r="S1809" s="358" t="s">
        <v>30</v>
      </c>
      <c r="T1809" s="22">
        <v>25</v>
      </c>
      <c r="U1809" s="24" t="s">
        <v>1138</v>
      </c>
      <c r="V1809" s="23">
        <v>46041</v>
      </c>
      <c r="W1809" s="100" t="s">
        <v>30</v>
      </c>
      <c r="X1809" s="100" t="s">
        <v>30</v>
      </c>
      <c r="Y1809" s="100" t="s">
        <v>30</v>
      </c>
      <c r="Z1809" s="100" t="s">
        <v>30</v>
      </c>
      <c r="AA1809" s="100" t="s">
        <v>30</v>
      </c>
      <c r="AB1809" s="100" t="s">
        <v>30</v>
      </c>
      <c r="AC1809" s="100" t="s">
        <v>30</v>
      </c>
      <c r="AD1809" s="100" t="s">
        <v>30</v>
      </c>
      <c r="AE1809" s="100" t="s">
        <v>30</v>
      </c>
      <c r="AF1809" s="100" t="s">
        <v>30</v>
      </c>
      <c r="AG1809" s="100" t="s">
        <v>30</v>
      </c>
      <c r="AH1809" s="100" t="s">
        <v>30</v>
      </c>
      <c r="AI1809" s="111" t="s">
        <v>30</v>
      </c>
      <c r="AJ1809" s="111" t="s">
        <v>30</v>
      </c>
      <c r="AK1809" s="111" t="s">
        <v>30</v>
      </c>
      <c r="AL1809" s="114"/>
      <c r="AM1809" s="360"/>
    </row>
    <row r="1810" spans="1:48">
      <c r="A1810" s="358" t="s">
        <v>24</v>
      </c>
      <c r="B1810" s="369">
        <v>1807</v>
      </c>
      <c r="C1810" s="372" t="s">
        <v>2657</v>
      </c>
      <c r="D1810" s="372" t="s">
        <v>374</v>
      </c>
      <c r="E1810" s="373">
        <v>46011</v>
      </c>
      <c r="F1810" s="372" t="s">
        <v>1342</v>
      </c>
      <c r="G1810" s="372">
        <v>32</v>
      </c>
      <c r="H1810" s="372" t="s">
        <v>67</v>
      </c>
      <c r="I1810" s="372" t="s">
        <v>47</v>
      </c>
      <c r="J1810" s="372"/>
      <c r="K1810" s="360" t="s">
        <v>2098</v>
      </c>
      <c r="L1810" s="360" t="s">
        <v>2636</v>
      </c>
      <c r="M1810" s="360" t="s">
        <v>2636</v>
      </c>
      <c r="N1810" s="360" t="s">
        <v>2050</v>
      </c>
      <c r="O1810" s="117" t="s">
        <v>31</v>
      </c>
      <c r="P1810" s="385" t="s">
        <v>30</v>
      </c>
      <c r="Q1810" s="23">
        <v>46056</v>
      </c>
      <c r="R1810" s="24" t="s">
        <v>48</v>
      </c>
      <c r="S1810" s="358" t="s">
        <v>32</v>
      </c>
      <c r="T1810" s="22">
        <v>30</v>
      </c>
      <c r="U1810" s="24"/>
      <c r="V1810" s="23"/>
      <c r="W1810" s="100" t="s">
        <v>30</v>
      </c>
      <c r="X1810" s="100" t="s">
        <v>30</v>
      </c>
      <c r="Y1810" s="100" t="s">
        <v>30</v>
      </c>
      <c r="Z1810" s="100" t="s">
        <v>30</v>
      </c>
      <c r="AA1810" s="100" t="s">
        <v>30</v>
      </c>
      <c r="AB1810" s="100" t="s">
        <v>30</v>
      </c>
      <c r="AC1810" s="100" t="s">
        <v>30</v>
      </c>
      <c r="AD1810" s="100" t="s">
        <v>30</v>
      </c>
      <c r="AE1810" s="100" t="s">
        <v>30</v>
      </c>
      <c r="AF1810" s="100" t="s">
        <v>30</v>
      </c>
      <c r="AG1810" s="100" t="s">
        <v>30</v>
      </c>
      <c r="AH1810" s="100" t="s">
        <v>30</v>
      </c>
      <c r="AI1810" s="111" t="s">
        <v>30</v>
      </c>
      <c r="AJ1810" s="111" t="s">
        <v>30</v>
      </c>
      <c r="AK1810" s="111" t="s">
        <v>30</v>
      </c>
      <c r="AL1810" s="95" t="s">
        <v>32</v>
      </c>
      <c r="AM1810" s="360" t="s">
        <v>2548</v>
      </c>
    </row>
    <row r="1811" spans="1:48">
      <c r="A1811" s="358" t="s">
        <v>24</v>
      </c>
      <c r="B1811" s="369">
        <v>1808</v>
      </c>
      <c r="C1811" s="372" t="s">
        <v>2658</v>
      </c>
      <c r="D1811" s="372" t="s">
        <v>34</v>
      </c>
      <c r="E1811" s="373">
        <v>46011</v>
      </c>
      <c r="F1811" s="372" t="s">
        <v>1295</v>
      </c>
      <c r="G1811" s="372">
        <v>16</v>
      </c>
      <c r="H1811" s="372" t="s">
        <v>67</v>
      </c>
      <c r="I1811" s="372" t="s">
        <v>47</v>
      </c>
      <c r="J1811" s="372"/>
      <c r="K1811" s="360" t="s">
        <v>2195</v>
      </c>
      <c r="L1811" s="360" t="s">
        <v>2632</v>
      </c>
      <c r="M1811" s="360" t="s">
        <v>2632</v>
      </c>
      <c r="N1811" s="360" t="s">
        <v>2050</v>
      </c>
      <c r="O1811" s="117" t="s">
        <v>31</v>
      </c>
      <c r="P1811" s="385" t="s">
        <v>30</v>
      </c>
      <c r="Q1811" s="380">
        <v>46048</v>
      </c>
      <c r="R1811" s="24" t="s">
        <v>67</v>
      </c>
      <c r="S1811" s="22" t="s">
        <v>32</v>
      </c>
      <c r="T1811" s="22">
        <v>13</v>
      </c>
      <c r="U1811" s="24" t="s">
        <v>67</v>
      </c>
      <c r="V1811" s="380">
        <v>46048</v>
      </c>
      <c r="W1811" s="82" t="s">
        <v>30</v>
      </c>
      <c r="X1811" s="95" t="s">
        <v>32</v>
      </c>
      <c r="Y1811" s="100" t="s">
        <v>30</v>
      </c>
      <c r="Z1811" s="95" t="s">
        <v>32</v>
      </c>
      <c r="AA1811" s="95" t="s">
        <v>32</v>
      </c>
      <c r="AB1811" s="111" t="s">
        <v>30</v>
      </c>
      <c r="AC1811" s="111" t="s">
        <v>30</v>
      </c>
      <c r="AD1811" s="111" t="s">
        <v>30</v>
      </c>
      <c r="AE1811" s="111" t="s">
        <v>30</v>
      </c>
      <c r="AF1811" s="111" t="s">
        <v>30</v>
      </c>
      <c r="AG1811" s="111" t="s">
        <v>30</v>
      </c>
      <c r="AH1811" s="100" t="s">
        <v>30</v>
      </c>
      <c r="AI1811" s="111" t="s">
        <v>30</v>
      </c>
      <c r="AJ1811" s="111" t="s">
        <v>30</v>
      </c>
      <c r="AK1811" s="111" t="s">
        <v>30</v>
      </c>
      <c r="AL1811" s="114"/>
      <c r="AM1811" s="360"/>
      <c r="AO1811" s="412"/>
      <c r="AP1811" s="412"/>
      <c r="AQ1811" s="412"/>
      <c r="AR1811" s="412"/>
      <c r="AV1811" s="109"/>
    </row>
    <row r="1812" spans="1:48">
      <c r="A1812" s="358" t="s">
        <v>24</v>
      </c>
      <c r="B1812" s="369">
        <v>1809</v>
      </c>
      <c r="C1812" s="372" t="s">
        <v>2659</v>
      </c>
      <c r="D1812" s="372" t="s">
        <v>34</v>
      </c>
      <c r="E1812" s="373">
        <v>46011</v>
      </c>
      <c r="F1812" s="372" t="s">
        <v>2660</v>
      </c>
      <c r="G1812" s="372">
        <v>10</v>
      </c>
      <c r="H1812" s="372" t="s">
        <v>67</v>
      </c>
      <c r="I1812" s="372" t="s">
        <v>47</v>
      </c>
      <c r="J1812" s="372"/>
      <c r="K1812" s="360" t="s">
        <v>2130</v>
      </c>
      <c r="L1812" s="360" t="s">
        <v>2661</v>
      </c>
      <c r="M1812" s="360" t="s">
        <v>2661</v>
      </c>
      <c r="N1812" s="360" t="s">
        <v>2050</v>
      </c>
      <c r="O1812" s="117"/>
      <c r="P1812" s="385" t="s">
        <v>30</v>
      </c>
      <c r="Q1812" s="380">
        <v>46050</v>
      </c>
      <c r="R1812" s="24" t="s">
        <v>48</v>
      </c>
      <c r="S1812" s="22" t="s">
        <v>32</v>
      </c>
      <c r="T1812" s="22">
        <v>7</v>
      </c>
      <c r="U1812" s="24" t="s">
        <v>48</v>
      </c>
      <c r="V1812" s="380">
        <v>46050</v>
      </c>
      <c r="W1812" s="82" t="s">
        <v>30</v>
      </c>
      <c r="X1812" s="100" t="s">
        <v>30</v>
      </c>
      <c r="Y1812" s="100" t="s">
        <v>30</v>
      </c>
      <c r="Z1812" s="95" t="s">
        <v>32</v>
      </c>
      <c r="AA1812" s="95" t="s">
        <v>32</v>
      </c>
      <c r="AB1812" s="100" t="s">
        <v>30</v>
      </c>
      <c r="AC1812" s="100" t="s">
        <v>30</v>
      </c>
      <c r="AD1812" s="100" t="s">
        <v>30</v>
      </c>
      <c r="AE1812" s="100" t="s">
        <v>30</v>
      </c>
      <c r="AF1812" s="100" t="s">
        <v>30</v>
      </c>
      <c r="AG1812" s="100" t="s">
        <v>30</v>
      </c>
      <c r="AH1812" s="100" t="s">
        <v>30</v>
      </c>
      <c r="AI1812" s="111" t="s">
        <v>30</v>
      </c>
      <c r="AJ1812" s="114" t="s">
        <v>32</v>
      </c>
      <c r="AK1812" s="111" t="s">
        <v>30</v>
      </c>
      <c r="AL1812" s="114"/>
      <c r="AM1812" s="360" t="s">
        <v>2545</v>
      </c>
      <c r="AO1812" s="412"/>
      <c r="AP1812" s="412"/>
      <c r="AQ1812" s="412"/>
      <c r="AR1812" s="412"/>
      <c r="AV1812" s="109"/>
    </row>
    <row r="1813" spans="1:48">
      <c r="A1813" s="358" t="s">
        <v>24</v>
      </c>
      <c r="B1813" s="369">
        <v>1810</v>
      </c>
      <c r="C1813" s="372" t="s">
        <v>2662</v>
      </c>
      <c r="D1813" s="372" t="s">
        <v>34</v>
      </c>
      <c r="E1813" s="373">
        <v>46011</v>
      </c>
      <c r="F1813" s="372" t="s">
        <v>2589</v>
      </c>
      <c r="G1813" s="372">
        <v>10</v>
      </c>
      <c r="H1813" s="372" t="s">
        <v>1721</v>
      </c>
      <c r="I1813" s="372" t="s">
        <v>1638</v>
      </c>
      <c r="J1813" s="372"/>
      <c r="K1813" s="360" t="s">
        <v>2102</v>
      </c>
      <c r="L1813" s="360" t="s">
        <v>2661</v>
      </c>
      <c r="M1813" s="360" t="s">
        <v>2661</v>
      </c>
      <c r="N1813" s="360" t="s">
        <v>2663</v>
      </c>
      <c r="O1813" s="360"/>
      <c r="P1813" s="385" t="s">
        <v>30</v>
      </c>
      <c r="Q1813" s="380">
        <v>46042</v>
      </c>
      <c r="R1813" s="384" t="s">
        <v>1638</v>
      </c>
      <c r="S1813" s="22" t="s">
        <v>32</v>
      </c>
      <c r="T1813" s="22">
        <v>10</v>
      </c>
      <c r="U1813" s="384" t="s">
        <v>1638</v>
      </c>
      <c r="V1813" s="380">
        <v>46042</v>
      </c>
      <c r="W1813" s="100" t="s">
        <v>30</v>
      </c>
      <c r="X1813" s="100" t="s">
        <v>30</v>
      </c>
      <c r="Y1813" s="100" t="s">
        <v>30</v>
      </c>
      <c r="Z1813" s="100" t="s">
        <v>30</v>
      </c>
      <c r="AA1813" s="100" t="s">
        <v>30</v>
      </c>
      <c r="AB1813" s="100" t="s">
        <v>30</v>
      </c>
      <c r="AC1813" s="100" t="s">
        <v>30</v>
      </c>
      <c r="AD1813" s="100" t="s">
        <v>30</v>
      </c>
      <c r="AE1813" s="100" t="s">
        <v>30</v>
      </c>
      <c r="AF1813" s="100" t="s">
        <v>30</v>
      </c>
      <c r="AG1813" s="100" t="s">
        <v>30</v>
      </c>
      <c r="AH1813" s="100" t="s">
        <v>30</v>
      </c>
      <c r="AI1813" s="100" t="s">
        <v>30</v>
      </c>
      <c r="AJ1813" s="100" t="s">
        <v>30</v>
      </c>
      <c r="AK1813" s="100" t="s">
        <v>30</v>
      </c>
      <c r="AL1813" s="114"/>
      <c r="AM1813" s="360"/>
      <c r="AS1813" s="72"/>
      <c r="AT1813" s="96"/>
      <c r="AU1813" s="96"/>
      <c r="AV1813" s="109"/>
    </row>
    <row r="1814" spans="1:48">
      <c r="A1814" s="358" t="s">
        <v>24</v>
      </c>
      <c r="B1814" s="369">
        <v>1811</v>
      </c>
      <c r="C1814" s="372" t="s">
        <v>2664</v>
      </c>
      <c r="D1814" s="372" t="s">
        <v>34</v>
      </c>
      <c r="E1814" s="373">
        <v>46011</v>
      </c>
      <c r="F1814" s="372" t="s">
        <v>2589</v>
      </c>
      <c r="G1814" s="372">
        <v>1</v>
      </c>
      <c r="H1814" s="372" t="s">
        <v>1721</v>
      </c>
      <c r="I1814" s="372" t="s">
        <v>1638</v>
      </c>
      <c r="J1814" s="372"/>
      <c r="K1814" s="360" t="s">
        <v>2102</v>
      </c>
      <c r="L1814" s="360" t="s">
        <v>2661</v>
      </c>
      <c r="M1814" s="360" t="s">
        <v>2661</v>
      </c>
      <c r="N1814" s="360" t="s">
        <v>2663</v>
      </c>
      <c r="O1814" s="360"/>
      <c r="P1814" s="385" t="s">
        <v>30</v>
      </c>
      <c r="Q1814" s="23">
        <v>46037</v>
      </c>
      <c r="R1814" s="384" t="s">
        <v>1638</v>
      </c>
      <c r="S1814" s="22" t="s">
        <v>32</v>
      </c>
      <c r="T1814" s="22">
        <v>1</v>
      </c>
      <c r="U1814" s="24" t="s">
        <v>1638</v>
      </c>
      <c r="V1814" s="23">
        <v>46037</v>
      </c>
      <c r="W1814" s="100" t="s">
        <v>30</v>
      </c>
      <c r="X1814" s="95" t="s">
        <v>32</v>
      </c>
      <c r="Y1814" s="100" t="s">
        <v>30</v>
      </c>
      <c r="Z1814" s="100" t="s">
        <v>30</v>
      </c>
      <c r="AA1814" s="100" t="s">
        <v>30</v>
      </c>
      <c r="AB1814" s="100" t="s">
        <v>30</v>
      </c>
      <c r="AC1814" s="95" t="s">
        <v>32</v>
      </c>
      <c r="AD1814" s="100" t="s">
        <v>30</v>
      </c>
      <c r="AE1814" s="100" t="s">
        <v>30</v>
      </c>
      <c r="AF1814" s="100" t="s">
        <v>30</v>
      </c>
      <c r="AG1814" s="100" t="s">
        <v>30</v>
      </c>
      <c r="AH1814" s="100" t="s">
        <v>30</v>
      </c>
      <c r="AI1814" s="100" t="s">
        <v>30</v>
      </c>
      <c r="AJ1814" s="100" t="s">
        <v>30</v>
      </c>
      <c r="AK1814" s="100" t="s">
        <v>30</v>
      </c>
      <c r="AL1814" s="114"/>
      <c r="AM1814" s="360"/>
      <c r="AO1814" s="412"/>
      <c r="AP1814" s="412"/>
      <c r="AQ1814" s="412"/>
      <c r="AR1814" s="412"/>
      <c r="AV1814" s="109"/>
    </row>
    <row r="1815" spans="1:48">
      <c r="A1815" s="358" t="s">
        <v>24</v>
      </c>
      <c r="B1815" s="369">
        <v>1812</v>
      </c>
      <c r="C1815" s="372" t="s">
        <v>2665</v>
      </c>
      <c r="D1815" s="372" t="s">
        <v>26</v>
      </c>
      <c r="E1815" s="373">
        <v>46011</v>
      </c>
      <c r="F1815" s="372" t="s">
        <v>2566</v>
      </c>
      <c r="G1815" s="372">
        <v>12</v>
      </c>
      <c r="H1815" s="372" t="s">
        <v>1077</v>
      </c>
      <c r="I1815" s="372" t="s">
        <v>1138</v>
      </c>
      <c r="J1815" s="372"/>
      <c r="K1815" s="358" t="s">
        <v>2108</v>
      </c>
      <c r="L1815" s="358" t="s">
        <v>2632</v>
      </c>
      <c r="M1815" s="358" t="s">
        <v>2666</v>
      </c>
      <c r="N1815" s="358" t="s">
        <v>2567</v>
      </c>
      <c r="O1815" s="358"/>
      <c r="P1815" s="380" t="s">
        <v>30</v>
      </c>
      <c r="Q1815" s="23">
        <v>46035</v>
      </c>
      <c r="R1815" s="384" t="s">
        <v>1138</v>
      </c>
      <c r="S1815" s="22" t="s">
        <v>32</v>
      </c>
      <c r="T1815" s="22">
        <v>9</v>
      </c>
      <c r="U1815" s="384" t="s">
        <v>1138</v>
      </c>
      <c r="V1815" s="23">
        <v>46035</v>
      </c>
      <c r="W1815" s="94" t="s">
        <v>30</v>
      </c>
      <c r="X1815" s="82" t="s">
        <v>30</v>
      </c>
      <c r="Y1815" s="82" t="s">
        <v>30</v>
      </c>
      <c r="Z1815" s="82" t="s">
        <v>30</v>
      </c>
      <c r="AA1815" s="82" t="s">
        <v>30</v>
      </c>
      <c r="AB1815" s="82" t="s">
        <v>30</v>
      </c>
      <c r="AC1815" s="82" t="s">
        <v>30</v>
      </c>
      <c r="AD1815" s="82" t="s">
        <v>30</v>
      </c>
      <c r="AE1815" s="82" t="s">
        <v>30</v>
      </c>
      <c r="AF1815" s="82" t="s">
        <v>30</v>
      </c>
      <c r="AG1815" s="82" t="s">
        <v>30</v>
      </c>
      <c r="AH1815" s="100" t="s">
        <v>30</v>
      </c>
      <c r="AI1815" s="111" t="s">
        <v>30</v>
      </c>
      <c r="AJ1815" s="111" t="s">
        <v>30</v>
      </c>
      <c r="AK1815" s="111" t="s">
        <v>30</v>
      </c>
      <c r="AL1815" s="114"/>
      <c r="AM1815" s="360"/>
      <c r="AO1815" s="412"/>
      <c r="AP1815" s="412"/>
      <c r="AQ1815" s="412"/>
      <c r="AR1815" s="412"/>
      <c r="AV1815" s="109"/>
    </row>
    <row r="1816" spans="1:48">
      <c r="A1816" s="358" t="s">
        <v>24</v>
      </c>
      <c r="B1816" s="369">
        <v>1813</v>
      </c>
      <c r="C1816" s="372" t="s">
        <v>2044</v>
      </c>
      <c r="D1816" s="372" t="s">
        <v>34</v>
      </c>
      <c r="E1816" s="373">
        <v>46011</v>
      </c>
      <c r="F1816" s="372" t="s">
        <v>65</v>
      </c>
      <c r="G1816" s="372">
        <v>15</v>
      </c>
      <c r="H1816" s="372" t="s">
        <v>1077</v>
      </c>
      <c r="I1816" s="372" t="s">
        <v>1138</v>
      </c>
      <c r="J1816" s="372"/>
      <c r="K1816" s="358" t="s">
        <v>2052</v>
      </c>
      <c r="L1816" s="358" t="s">
        <v>2666</v>
      </c>
      <c r="M1816" s="358" t="s">
        <v>2661</v>
      </c>
      <c r="N1816" s="358" t="s">
        <v>2050</v>
      </c>
      <c r="O1816" s="117" t="s">
        <v>31</v>
      </c>
      <c r="P1816" s="380" t="s">
        <v>30</v>
      </c>
      <c r="Q1816" s="380">
        <v>46037</v>
      </c>
      <c r="R1816" s="384" t="s">
        <v>1138</v>
      </c>
      <c r="S1816" s="22" t="s">
        <v>32</v>
      </c>
      <c r="T1816" s="22">
        <v>26</v>
      </c>
      <c r="U1816" s="384" t="s">
        <v>1138</v>
      </c>
      <c r="V1816" s="380">
        <v>46037</v>
      </c>
      <c r="W1816" s="122" t="s">
        <v>30</v>
      </c>
      <c r="X1816" s="100" t="s">
        <v>30</v>
      </c>
      <c r="Y1816" s="100" t="s">
        <v>30</v>
      </c>
      <c r="Z1816" s="100" t="s">
        <v>30</v>
      </c>
      <c r="AA1816" s="100" t="s">
        <v>30</v>
      </c>
      <c r="AB1816" s="100" t="s">
        <v>30</v>
      </c>
      <c r="AC1816" s="100" t="s">
        <v>30</v>
      </c>
      <c r="AD1816" s="100" t="s">
        <v>30</v>
      </c>
      <c r="AE1816" s="100" t="s">
        <v>30</v>
      </c>
      <c r="AF1816" s="100" t="s">
        <v>30</v>
      </c>
      <c r="AG1816" s="100" t="s">
        <v>30</v>
      </c>
      <c r="AH1816" s="100" t="s">
        <v>30</v>
      </c>
      <c r="AI1816" s="111" t="s">
        <v>30</v>
      </c>
      <c r="AJ1816" s="100" t="s">
        <v>30</v>
      </c>
      <c r="AK1816" s="111" t="s">
        <v>30</v>
      </c>
      <c r="AL1816" s="114"/>
      <c r="AM1816" s="360"/>
      <c r="AN1816" s="6"/>
      <c r="AO1816" s="6"/>
      <c r="AP1816" s="6"/>
      <c r="AQ1816" s="6"/>
      <c r="AR1816" s="6"/>
      <c r="AS1816" s="108"/>
      <c r="AT1816" s="109"/>
      <c r="AU1816" s="109"/>
      <c r="AV1816" s="109"/>
    </row>
    <row r="1817" spans="1:48">
      <c r="A1817" s="358" t="s">
        <v>24</v>
      </c>
      <c r="B1817" s="369">
        <v>1814</v>
      </c>
      <c r="C1817" s="372" t="s">
        <v>2667</v>
      </c>
      <c r="D1817" s="372" t="s">
        <v>2668</v>
      </c>
      <c r="E1817" s="373">
        <v>46011</v>
      </c>
      <c r="F1817" s="372" t="s">
        <v>2669</v>
      </c>
      <c r="G1817" s="372">
        <v>14</v>
      </c>
      <c r="H1817" s="372" t="s">
        <v>1077</v>
      </c>
      <c r="I1817" s="372" t="s">
        <v>1138</v>
      </c>
      <c r="J1817" s="372"/>
      <c r="K1817" s="358" t="s">
        <v>2115</v>
      </c>
      <c r="L1817" s="358" t="s">
        <v>2666</v>
      </c>
      <c r="M1817" s="358" t="s">
        <v>2666</v>
      </c>
      <c r="N1817" s="358" t="s">
        <v>2050</v>
      </c>
      <c r="O1817" s="358"/>
      <c r="P1817" s="252" t="s">
        <v>30</v>
      </c>
      <c r="Q1817" s="23">
        <v>46035</v>
      </c>
      <c r="R1817" s="384" t="s">
        <v>1138</v>
      </c>
      <c r="S1817" s="22" t="s">
        <v>32</v>
      </c>
      <c r="T1817" s="22">
        <v>17</v>
      </c>
      <c r="U1817" s="24" t="s">
        <v>1138</v>
      </c>
      <c r="V1817" s="23">
        <v>46035</v>
      </c>
      <c r="W1817" s="122" t="s">
        <v>30</v>
      </c>
      <c r="X1817" s="122" t="s">
        <v>30</v>
      </c>
      <c r="Y1817" s="122" t="s">
        <v>30</v>
      </c>
      <c r="Z1817" s="124"/>
      <c r="AA1817" s="124"/>
      <c r="AB1817" s="124"/>
      <c r="AC1817" s="122" t="s">
        <v>30</v>
      </c>
      <c r="AD1817" s="122" t="s">
        <v>30</v>
      </c>
      <c r="AE1817" s="122" t="s">
        <v>30</v>
      </c>
      <c r="AF1817" s="122" t="s">
        <v>30</v>
      </c>
      <c r="AG1817" s="122" t="s">
        <v>30</v>
      </c>
      <c r="AH1817" s="100" t="s">
        <v>30</v>
      </c>
      <c r="AI1817" s="122" t="s">
        <v>30</v>
      </c>
      <c r="AJ1817" s="122" t="s">
        <v>30</v>
      </c>
      <c r="AK1817" s="122" t="s">
        <v>30</v>
      </c>
      <c r="AL1817" s="114"/>
      <c r="AM1817" s="360"/>
      <c r="AV1817" s="109"/>
    </row>
    <row r="1818" spans="1:48">
      <c r="A1818" s="358" t="s">
        <v>24</v>
      </c>
      <c r="B1818" s="369">
        <v>1815</v>
      </c>
      <c r="C1818" s="372" t="s">
        <v>2338</v>
      </c>
      <c r="D1818" s="372" t="s">
        <v>2670</v>
      </c>
      <c r="E1818" s="373">
        <v>46013</v>
      </c>
      <c r="F1818" s="372" t="s">
        <v>737</v>
      </c>
      <c r="G1818" s="372">
        <v>13</v>
      </c>
      <c r="H1818" s="372" t="s">
        <v>1721</v>
      </c>
      <c r="I1818" s="372" t="s">
        <v>1638</v>
      </c>
      <c r="J1818" s="372"/>
      <c r="K1818" s="360" t="s">
        <v>2222</v>
      </c>
      <c r="L1818" s="360" t="s">
        <v>2632</v>
      </c>
      <c r="M1818" s="360" t="s">
        <v>2633</v>
      </c>
      <c r="N1818" s="360" t="s">
        <v>2058</v>
      </c>
      <c r="O1818" s="385"/>
      <c r="P1818" s="385" t="s">
        <v>30</v>
      </c>
      <c r="Q1818" s="23">
        <v>46042</v>
      </c>
      <c r="R1818" s="384" t="s">
        <v>1638</v>
      </c>
      <c r="S1818" s="22" t="s">
        <v>32</v>
      </c>
      <c r="T1818" s="22">
        <v>12</v>
      </c>
      <c r="U1818" s="24" t="s">
        <v>1638</v>
      </c>
      <c r="V1818" s="23">
        <v>46042</v>
      </c>
      <c r="W1818" s="122" t="s">
        <v>30</v>
      </c>
      <c r="X1818" s="111" t="s">
        <v>30</v>
      </c>
      <c r="Y1818" s="100" t="s">
        <v>30</v>
      </c>
      <c r="Z1818" s="111" t="s">
        <v>30</v>
      </c>
      <c r="AA1818" s="111" t="s">
        <v>30</v>
      </c>
      <c r="AB1818" s="111" t="s">
        <v>30</v>
      </c>
      <c r="AC1818" s="111" t="s">
        <v>30</v>
      </c>
      <c r="AD1818" s="111" t="s">
        <v>30</v>
      </c>
      <c r="AE1818" s="111" t="s">
        <v>30</v>
      </c>
      <c r="AF1818" s="111" t="s">
        <v>30</v>
      </c>
      <c r="AG1818" s="111" t="s">
        <v>30</v>
      </c>
      <c r="AH1818" s="100" t="s">
        <v>30</v>
      </c>
      <c r="AI1818" s="111" t="s">
        <v>30</v>
      </c>
      <c r="AJ1818" s="111" t="s">
        <v>30</v>
      </c>
      <c r="AK1818" s="111" t="s">
        <v>30</v>
      </c>
      <c r="AL1818" s="114"/>
      <c r="AM1818" s="360"/>
      <c r="AV1818" s="109"/>
    </row>
    <row r="1819" spans="1:48">
      <c r="A1819" s="358" t="s">
        <v>24</v>
      </c>
      <c r="B1819" s="369">
        <v>1816</v>
      </c>
      <c r="C1819" s="372" t="s">
        <v>2671</v>
      </c>
      <c r="D1819" s="372" t="s">
        <v>50</v>
      </c>
      <c r="E1819" s="373">
        <v>46013</v>
      </c>
      <c r="F1819" s="372" t="s">
        <v>2672</v>
      </c>
      <c r="G1819" s="372">
        <v>16</v>
      </c>
      <c r="H1819" s="372" t="s">
        <v>1721</v>
      </c>
      <c r="I1819" s="372" t="s">
        <v>1638</v>
      </c>
      <c r="J1819" s="372"/>
      <c r="K1819" s="360" t="s">
        <v>2578</v>
      </c>
      <c r="L1819" s="360" t="s">
        <v>2560</v>
      </c>
      <c r="M1819" s="360" t="s">
        <v>2560</v>
      </c>
      <c r="N1819" s="360" t="s">
        <v>2050</v>
      </c>
      <c r="O1819" s="117" t="s">
        <v>31</v>
      </c>
      <c r="P1819" s="385" t="s">
        <v>30</v>
      </c>
      <c r="Q1819" s="380">
        <v>46055</v>
      </c>
      <c r="R1819" s="384" t="s">
        <v>1638</v>
      </c>
      <c r="S1819" s="22" t="s">
        <v>32</v>
      </c>
      <c r="T1819" s="22">
        <v>16</v>
      </c>
      <c r="U1819" s="384" t="s">
        <v>1638</v>
      </c>
      <c r="V1819" s="23">
        <v>46055</v>
      </c>
      <c r="W1819" s="95" t="s">
        <v>32</v>
      </c>
      <c r="X1819" s="95" t="s">
        <v>32</v>
      </c>
      <c r="Y1819" s="95"/>
      <c r="Z1819" s="94" t="s">
        <v>30</v>
      </c>
      <c r="AA1819" s="94" t="s">
        <v>30</v>
      </c>
      <c r="AB1819" s="94" t="s">
        <v>30</v>
      </c>
      <c r="AC1819" s="94" t="s">
        <v>30</v>
      </c>
      <c r="AD1819" s="94" t="s">
        <v>30</v>
      </c>
      <c r="AE1819" s="94" t="s">
        <v>30</v>
      </c>
      <c r="AF1819" s="94" t="s">
        <v>30</v>
      </c>
      <c r="AG1819" s="94" t="s">
        <v>30</v>
      </c>
      <c r="AH1819" s="114"/>
      <c r="AI1819" s="94" t="s">
        <v>30</v>
      </c>
      <c r="AJ1819" s="94" t="s">
        <v>30</v>
      </c>
      <c r="AK1819" s="94" t="s">
        <v>30</v>
      </c>
      <c r="AL1819" s="114"/>
      <c r="AM1819" s="360" t="s">
        <v>2545</v>
      </c>
      <c r="AV1819" s="109"/>
    </row>
    <row r="1820" spans="1:48">
      <c r="A1820" s="358" t="s">
        <v>24</v>
      </c>
      <c r="B1820" s="369">
        <v>1817</v>
      </c>
      <c r="C1820" s="372" t="s">
        <v>2673</v>
      </c>
      <c r="D1820" s="372" t="s">
        <v>34</v>
      </c>
      <c r="E1820" s="373">
        <v>46013</v>
      </c>
      <c r="F1820" s="372" t="s">
        <v>286</v>
      </c>
      <c r="G1820" s="372">
        <v>25</v>
      </c>
      <c r="H1820" s="372" t="s">
        <v>127</v>
      </c>
      <c r="I1820" s="372" t="s">
        <v>178</v>
      </c>
      <c r="J1820" s="257"/>
      <c r="K1820" s="360" t="s">
        <v>2092</v>
      </c>
      <c r="L1820" s="360" t="s">
        <v>2666</v>
      </c>
      <c r="M1820" s="360" t="s">
        <v>2666</v>
      </c>
      <c r="N1820" s="360" t="s">
        <v>2050</v>
      </c>
      <c r="O1820" s="117" t="s">
        <v>31</v>
      </c>
      <c r="P1820" s="23" t="s">
        <v>30</v>
      </c>
      <c r="Q1820" s="23">
        <v>46053</v>
      </c>
      <c r="R1820" s="24" t="s">
        <v>28</v>
      </c>
      <c r="S1820" s="358" t="s">
        <v>30</v>
      </c>
      <c r="T1820" s="22">
        <v>15</v>
      </c>
      <c r="U1820" s="24" t="s">
        <v>28</v>
      </c>
      <c r="V1820" s="23">
        <v>46053</v>
      </c>
      <c r="W1820" s="100" t="s">
        <v>30</v>
      </c>
      <c r="X1820" s="100" t="s">
        <v>30</v>
      </c>
      <c r="Y1820" s="100" t="s">
        <v>30</v>
      </c>
      <c r="Z1820" s="124"/>
      <c r="AA1820" s="124"/>
      <c r="AB1820" s="124"/>
      <c r="AC1820" s="100" t="s">
        <v>30</v>
      </c>
      <c r="AD1820" s="100" t="s">
        <v>30</v>
      </c>
      <c r="AE1820" s="100" t="s">
        <v>30</v>
      </c>
      <c r="AF1820" s="100" t="s">
        <v>30</v>
      </c>
      <c r="AG1820" s="100" t="s">
        <v>30</v>
      </c>
      <c r="AH1820" s="100" t="s">
        <v>30</v>
      </c>
      <c r="AI1820" s="100" t="s">
        <v>30</v>
      </c>
      <c r="AJ1820" s="100" t="s">
        <v>30</v>
      </c>
      <c r="AK1820" s="100" t="s">
        <v>30</v>
      </c>
      <c r="AL1820" s="114"/>
      <c r="AM1820" s="360"/>
      <c r="AV1820" s="109"/>
    </row>
    <row r="1821" spans="1:48">
      <c r="A1821" s="358" t="s">
        <v>24</v>
      </c>
      <c r="B1821" s="369">
        <v>1818</v>
      </c>
      <c r="C1821" s="372" t="s">
        <v>2674</v>
      </c>
      <c r="D1821" s="372" t="s">
        <v>716</v>
      </c>
      <c r="E1821" s="373">
        <v>46013</v>
      </c>
      <c r="F1821" s="372" t="s">
        <v>2626</v>
      </c>
      <c r="G1821" s="372">
        <v>11</v>
      </c>
      <c r="H1821" s="372" t="s">
        <v>127</v>
      </c>
      <c r="I1821" s="372" t="s">
        <v>178</v>
      </c>
      <c r="J1821" s="372"/>
      <c r="K1821" s="360" t="s">
        <v>2056</v>
      </c>
      <c r="L1821" s="360" t="s">
        <v>2666</v>
      </c>
      <c r="M1821" s="360" t="s">
        <v>2661</v>
      </c>
      <c r="N1821" s="360" t="s">
        <v>2058</v>
      </c>
      <c r="O1821" s="385"/>
      <c r="P1821" s="385" t="s">
        <v>30</v>
      </c>
      <c r="Q1821" s="121">
        <v>46055</v>
      </c>
      <c r="R1821" s="24" t="s">
        <v>28</v>
      </c>
      <c r="S1821" s="22" t="s">
        <v>32</v>
      </c>
      <c r="T1821" s="22">
        <v>10</v>
      </c>
      <c r="U1821" s="24" t="s">
        <v>28</v>
      </c>
      <c r="V1821" s="121">
        <v>46055</v>
      </c>
      <c r="W1821" s="100" t="s">
        <v>30</v>
      </c>
      <c r="X1821" s="95" t="s">
        <v>32</v>
      </c>
      <c r="Y1821" s="95"/>
      <c r="Z1821" s="100" t="s">
        <v>30</v>
      </c>
      <c r="AA1821" s="100" t="s">
        <v>30</v>
      </c>
      <c r="AB1821" s="100" t="s">
        <v>30</v>
      </c>
      <c r="AC1821" s="100" t="s">
        <v>30</v>
      </c>
      <c r="AD1821" s="100" t="s">
        <v>30</v>
      </c>
      <c r="AE1821" s="100" t="s">
        <v>30</v>
      </c>
      <c r="AF1821" s="114" t="s">
        <v>32</v>
      </c>
      <c r="AG1821" s="114" t="s">
        <v>32</v>
      </c>
      <c r="AH1821" s="100" t="s">
        <v>30</v>
      </c>
      <c r="AI1821" s="100" t="s">
        <v>30</v>
      </c>
      <c r="AJ1821" s="100" t="s">
        <v>30</v>
      </c>
      <c r="AK1821" s="100" t="s">
        <v>30</v>
      </c>
      <c r="AL1821" s="114"/>
      <c r="AM1821" s="360" t="s">
        <v>2545</v>
      </c>
      <c r="AN1821" s="91"/>
      <c r="AO1821" s="91"/>
      <c r="AS1821" s="72"/>
      <c r="AT1821" s="96"/>
      <c r="AU1821" s="96"/>
      <c r="AV1821" s="109"/>
    </row>
    <row r="1822" spans="1:48">
      <c r="A1822" s="358" t="s">
        <v>24</v>
      </c>
      <c r="B1822" s="369">
        <v>1819</v>
      </c>
      <c r="C1822" s="372" t="s">
        <v>2675</v>
      </c>
      <c r="D1822" s="372" t="s">
        <v>374</v>
      </c>
      <c r="E1822" s="373">
        <v>46013</v>
      </c>
      <c r="F1822" s="372" t="s">
        <v>1945</v>
      </c>
      <c r="G1822" s="372">
        <v>30</v>
      </c>
      <c r="H1822" s="372" t="s">
        <v>127</v>
      </c>
      <c r="I1822" s="372" t="s">
        <v>178</v>
      </c>
      <c r="J1822" s="372"/>
      <c r="K1822" s="360" t="s">
        <v>2085</v>
      </c>
      <c r="L1822" s="360" t="s">
        <v>2666</v>
      </c>
      <c r="M1822" s="360" t="s">
        <v>2666</v>
      </c>
      <c r="N1822" s="360" t="s">
        <v>2050</v>
      </c>
      <c r="O1822" s="117" t="s">
        <v>31</v>
      </c>
      <c r="P1822" s="385" t="s">
        <v>30</v>
      </c>
      <c r="Q1822" s="23">
        <v>46053</v>
      </c>
      <c r="R1822" s="24" t="s">
        <v>28</v>
      </c>
      <c r="S1822" s="22" t="s">
        <v>32</v>
      </c>
      <c r="T1822" s="22">
        <v>27</v>
      </c>
      <c r="U1822" s="24" t="s">
        <v>28</v>
      </c>
      <c r="V1822" s="23">
        <v>46053</v>
      </c>
      <c r="W1822" s="100" t="s">
        <v>30</v>
      </c>
      <c r="X1822" s="100" t="s">
        <v>30</v>
      </c>
      <c r="Y1822" s="100" t="s">
        <v>30</v>
      </c>
      <c r="Z1822" s="100" t="s">
        <v>30</v>
      </c>
      <c r="AA1822" s="100" t="s">
        <v>30</v>
      </c>
      <c r="AB1822" s="100" t="s">
        <v>30</v>
      </c>
      <c r="AC1822" s="100" t="s">
        <v>30</v>
      </c>
      <c r="AD1822" s="100" t="s">
        <v>30</v>
      </c>
      <c r="AE1822" s="100" t="s">
        <v>30</v>
      </c>
      <c r="AF1822" s="100" t="s">
        <v>30</v>
      </c>
      <c r="AG1822" s="100" t="s">
        <v>30</v>
      </c>
      <c r="AH1822" s="100" t="s">
        <v>30</v>
      </c>
      <c r="AI1822" s="111" t="s">
        <v>30</v>
      </c>
      <c r="AJ1822" s="111" t="s">
        <v>30</v>
      </c>
      <c r="AK1822" s="111" t="s">
        <v>30</v>
      </c>
      <c r="AL1822" s="114"/>
      <c r="AM1822" s="360"/>
      <c r="AN1822" s="91"/>
      <c r="AO1822" s="91"/>
      <c r="AS1822" s="72"/>
      <c r="AT1822" s="96"/>
      <c r="AU1822" s="96"/>
      <c r="AV1822" s="109"/>
    </row>
    <row r="1823" spans="1:48">
      <c r="A1823" s="358" t="s">
        <v>24</v>
      </c>
      <c r="B1823" s="369">
        <v>1820</v>
      </c>
      <c r="C1823" s="372" t="s">
        <v>2676</v>
      </c>
      <c r="D1823" s="372" t="s">
        <v>406</v>
      </c>
      <c r="E1823" s="373">
        <v>46013</v>
      </c>
      <c r="F1823" s="372" t="s">
        <v>202</v>
      </c>
      <c r="G1823" s="372">
        <v>40</v>
      </c>
      <c r="H1823" s="372" t="s">
        <v>127</v>
      </c>
      <c r="I1823" s="372" t="s">
        <v>178</v>
      </c>
      <c r="J1823" s="372"/>
      <c r="K1823" s="360" t="s">
        <v>2677</v>
      </c>
      <c r="L1823" s="360" t="s">
        <v>2678</v>
      </c>
      <c r="M1823" s="360" t="s">
        <v>2661</v>
      </c>
      <c r="N1823" s="360" t="s">
        <v>2058</v>
      </c>
      <c r="O1823" s="117" t="s">
        <v>31</v>
      </c>
      <c r="P1823" s="252" t="s">
        <v>30</v>
      </c>
      <c r="Q1823" s="23">
        <v>46031</v>
      </c>
      <c r="R1823" s="24" t="s">
        <v>28</v>
      </c>
      <c r="S1823" s="22" t="s">
        <v>1140</v>
      </c>
      <c r="T1823" s="22">
        <v>37</v>
      </c>
      <c r="U1823" s="24" t="s">
        <v>28</v>
      </c>
      <c r="V1823" s="23">
        <v>46031</v>
      </c>
      <c r="W1823" s="122" t="s">
        <v>30</v>
      </c>
      <c r="X1823" s="100" t="s">
        <v>30</v>
      </c>
      <c r="Y1823" s="100" t="s">
        <v>30</v>
      </c>
      <c r="Z1823" s="100" t="s">
        <v>30</v>
      </c>
      <c r="AA1823" s="100" t="s">
        <v>30</v>
      </c>
      <c r="AB1823" s="100" t="s">
        <v>30</v>
      </c>
      <c r="AC1823" s="100" t="s">
        <v>30</v>
      </c>
      <c r="AD1823" s="100" t="s">
        <v>30</v>
      </c>
      <c r="AE1823" s="100" t="s">
        <v>30</v>
      </c>
      <c r="AF1823" s="95" t="s">
        <v>32</v>
      </c>
      <c r="AG1823" s="95" t="s">
        <v>32</v>
      </c>
      <c r="AH1823" s="100" t="s">
        <v>30</v>
      </c>
      <c r="AI1823" s="111" t="s">
        <v>30</v>
      </c>
      <c r="AJ1823" s="111" t="s">
        <v>30</v>
      </c>
      <c r="AK1823" s="111" t="s">
        <v>30</v>
      </c>
      <c r="AL1823" s="114"/>
      <c r="AM1823" s="360"/>
      <c r="AV1823" s="109"/>
    </row>
    <row r="1824" spans="1:48">
      <c r="A1824" s="358" t="s">
        <v>24</v>
      </c>
      <c r="B1824" s="369">
        <v>1821</v>
      </c>
      <c r="C1824" s="372" t="s">
        <v>2679</v>
      </c>
      <c r="D1824" s="372" t="s">
        <v>43</v>
      </c>
      <c r="E1824" s="373">
        <v>46013</v>
      </c>
      <c r="F1824" s="372" t="s">
        <v>909</v>
      </c>
      <c r="G1824" s="372">
        <v>18</v>
      </c>
      <c r="H1824" s="372" t="s">
        <v>127</v>
      </c>
      <c r="I1824" s="372" t="s">
        <v>178</v>
      </c>
      <c r="J1824" s="372"/>
      <c r="K1824" s="360" t="s">
        <v>2142</v>
      </c>
      <c r="L1824" s="360" t="s">
        <v>2678</v>
      </c>
      <c r="M1824" s="360" t="s">
        <v>2661</v>
      </c>
      <c r="N1824" s="360" t="s">
        <v>2050</v>
      </c>
      <c r="O1824" s="117" t="s">
        <v>31</v>
      </c>
      <c r="P1824" s="385" t="s">
        <v>30</v>
      </c>
      <c r="Q1824" s="23">
        <v>46042</v>
      </c>
      <c r="R1824" s="24" t="s">
        <v>28</v>
      </c>
      <c r="S1824" s="22" t="s">
        <v>32</v>
      </c>
      <c r="T1824" s="22">
        <v>15</v>
      </c>
      <c r="U1824" s="24" t="s">
        <v>28</v>
      </c>
      <c r="V1824" s="23">
        <v>46042</v>
      </c>
      <c r="W1824" s="122" t="s">
        <v>30</v>
      </c>
      <c r="X1824" s="122" t="s">
        <v>30</v>
      </c>
      <c r="Y1824" s="100" t="s">
        <v>30</v>
      </c>
      <c r="Z1824" s="95" t="s">
        <v>32</v>
      </c>
      <c r="AA1824" s="95" t="s">
        <v>32</v>
      </c>
      <c r="AB1824" s="100" t="s">
        <v>30</v>
      </c>
      <c r="AC1824" s="100" t="s">
        <v>30</v>
      </c>
      <c r="AD1824" s="100" t="s">
        <v>30</v>
      </c>
      <c r="AE1824" s="100" t="s">
        <v>30</v>
      </c>
      <c r="AF1824" s="100" t="s">
        <v>30</v>
      </c>
      <c r="AG1824" s="100" t="s">
        <v>30</v>
      </c>
      <c r="AH1824" s="100" t="s">
        <v>30</v>
      </c>
      <c r="AI1824" s="100" t="s">
        <v>30</v>
      </c>
      <c r="AJ1824" s="100" t="s">
        <v>30</v>
      </c>
      <c r="AK1824" s="111" t="s">
        <v>30</v>
      </c>
      <c r="AL1824" s="114"/>
      <c r="AM1824" s="360" t="s">
        <v>2548</v>
      </c>
      <c r="AR1824" s="88"/>
      <c r="AS1824" s="72"/>
      <c r="AT1824" s="72"/>
      <c r="AU1824" s="72"/>
      <c r="AV1824" s="109"/>
    </row>
    <row r="1825" spans="1:48">
      <c r="A1825" s="358" t="s">
        <v>24</v>
      </c>
      <c r="B1825" s="369">
        <v>1822</v>
      </c>
      <c r="C1825" s="372" t="s">
        <v>2680</v>
      </c>
      <c r="D1825" s="372" t="s">
        <v>446</v>
      </c>
      <c r="E1825" s="373">
        <v>46013</v>
      </c>
      <c r="F1825" s="372" t="s">
        <v>202</v>
      </c>
      <c r="G1825" s="372">
        <v>17</v>
      </c>
      <c r="H1825" s="372" t="s">
        <v>127</v>
      </c>
      <c r="I1825" s="372" t="s">
        <v>178</v>
      </c>
      <c r="J1825" s="372"/>
      <c r="K1825" s="360" t="s">
        <v>2244</v>
      </c>
      <c r="L1825" s="360" t="s">
        <v>2661</v>
      </c>
      <c r="M1825" s="360" t="s">
        <v>2661</v>
      </c>
      <c r="N1825" s="360" t="s">
        <v>2050</v>
      </c>
      <c r="O1825" s="117" t="s">
        <v>31</v>
      </c>
      <c r="P1825" s="252" t="s">
        <v>30</v>
      </c>
      <c r="Q1825" s="123">
        <v>46035</v>
      </c>
      <c r="R1825" s="24" t="s">
        <v>28</v>
      </c>
      <c r="S1825" s="22" t="s">
        <v>32</v>
      </c>
      <c r="T1825" s="22">
        <v>14</v>
      </c>
      <c r="U1825" s="24" t="s">
        <v>28</v>
      </c>
      <c r="V1825" s="123">
        <v>46035</v>
      </c>
      <c r="W1825" s="94" t="s">
        <v>30</v>
      </c>
      <c r="X1825" s="100" t="s">
        <v>30</v>
      </c>
      <c r="Y1825" s="100" t="s">
        <v>30</v>
      </c>
      <c r="Z1825" s="100" t="s">
        <v>30</v>
      </c>
      <c r="AA1825" s="100" t="s">
        <v>30</v>
      </c>
      <c r="AB1825" s="100" t="s">
        <v>30</v>
      </c>
      <c r="AC1825" s="100" t="s">
        <v>30</v>
      </c>
      <c r="AD1825" s="100" t="s">
        <v>30</v>
      </c>
      <c r="AE1825" s="100" t="s">
        <v>30</v>
      </c>
      <c r="AF1825" s="100" t="s">
        <v>30</v>
      </c>
      <c r="AG1825" s="100" t="s">
        <v>30</v>
      </c>
      <c r="AH1825" s="100" t="s">
        <v>30</v>
      </c>
      <c r="AI1825" s="100" t="s">
        <v>30</v>
      </c>
      <c r="AJ1825" s="100" t="s">
        <v>30</v>
      </c>
      <c r="AK1825" s="100" t="s">
        <v>30</v>
      </c>
      <c r="AL1825" s="114"/>
      <c r="AM1825" s="360"/>
      <c r="AV1825" s="109"/>
    </row>
    <row r="1826" spans="1:48">
      <c r="A1826" s="358" t="s">
        <v>24</v>
      </c>
      <c r="B1826" s="369">
        <v>1823</v>
      </c>
      <c r="C1826" s="372" t="s">
        <v>2681</v>
      </c>
      <c r="D1826" s="372" t="s">
        <v>43</v>
      </c>
      <c r="E1826" s="373">
        <v>46013</v>
      </c>
      <c r="F1826" s="372" t="s">
        <v>202</v>
      </c>
      <c r="G1826" s="372">
        <v>13</v>
      </c>
      <c r="H1826" s="372" t="s">
        <v>127</v>
      </c>
      <c r="I1826" s="372" t="s">
        <v>178</v>
      </c>
      <c r="J1826" s="372"/>
      <c r="K1826" s="360" t="s">
        <v>2244</v>
      </c>
      <c r="L1826" s="360" t="s">
        <v>2661</v>
      </c>
      <c r="M1826" s="360" t="s">
        <v>2661</v>
      </c>
      <c r="N1826" s="360" t="s">
        <v>2050</v>
      </c>
      <c r="O1826" s="385"/>
      <c r="P1826" s="252" t="s">
        <v>30</v>
      </c>
      <c r="Q1826" s="23">
        <v>46035</v>
      </c>
      <c r="R1826" s="24" t="s">
        <v>28</v>
      </c>
      <c r="S1826" s="22" t="s">
        <v>32</v>
      </c>
      <c r="T1826" s="22">
        <v>13</v>
      </c>
      <c r="U1826" s="24" t="s">
        <v>28</v>
      </c>
      <c r="V1826" s="23">
        <v>46035</v>
      </c>
      <c r="W1826" s="100" t="s">
        <v>30</v>
      </c>
      <c r="X1826" s="100" t="s">
        <v>30</v>
      </c>
      <c r="Y1826" s="100" t="s">
        <v>30</v>
      </c>
      <c r="Z1826" s="100" t="s">
        <v>30</v>
      </c>
      <c r="AA1826" s="100" t="s">
        <v>30</v>
      </c>
      <c r="AB1826" s="100" t="s">
        <v>30</v>
      </c>
      <c r="AC1826" s="100" t="s">
        <v>30</v>
      </c>
      <c r="AD1826" s="100" t="s">
        <v>30</v>
      </c>
      <c r="AE1826" s="100" t="s">
        <v>30</v>
      </c>
      <c r="AF1826" s="100" t="s">
        <v>30</v>
      </c>
      <c r="AG1826" s="100" t="s">
        <v>30</v>
      </c>
      <c r="AH1826" s="100" t="s">
        <v>30</v>
      </c>
      <c r="AI1826" s="100" t="s">
        <v>30</v>
      </c>
      <c r="AJ1826" s="100" t="s">
        <v>30</v>
      </c>
      <c r="AK1826" s="100" t="s">
        <v>30</v>
      </c>
      <c r="AL1826" s="114"/>
      <c r="AM1826" s="360"/>
      <c r="AV1826" s="109"/>
    </row>
    <row r="1827" spans="1:48">
      <c r="A1827" s="358" t="s">
        <v>24</v>
      </c>
      <c r="B1827" s="369">
        <v>1824</v>
      </c>
      <c r="C1827" s="372" t="s">
        <v>2682</v>
      </c>
      <c r="D1827" s="372" t="s">
        <v>1641</v>
      </c>
      <c r="E1827" s="373">
        <v>46013</v>
      </c>
      <c r="F1827" s="372" t="s">
        <v>464</v>
      </c>
      <c r="G1827" s="372">
        <v>12</v>
      </c>
      <c r="H1827" s="372" t="s">
        <v>67</v>
      </c>
      <c r="I1827" s="372" t="s">
        <v>47</v>
      </c>
      <c r="J1827" s="372"/>
      <c r="K1827" s="360" t="s">
        <v>2264</v>
      </c>
      <c r="L1827" s="360" t="s">
        <v>2666</v>
      </c>
      <c r="M1827" s="360" t="s">
        <v>2666</v>
      </c>
      <c r="N1827" s="360" t="s">
        <v>2050</v>
      </c>
      <c r="O1827" s="255"/>
      <c r="P1827" s="385" t="s">
        <v>30</v>
      </c>
      <c r="Q1827" s="23">
        <v>46053</v>
      </c>
      <c r="R1827" s="24" t="s">
        <v>48</v>
      </c>
      <c r="S1827" s="22" t="s">
        <v>32</v>
      </c>
      <c r="T1827" s="22">
        <v>11</v>
      </c>
      <c r="U1827" s="24" t="s">
        <v>48</v>
      </c>
      <c r="V1827" s="23">
        <v>46053</v>
      </c>
      <c r="W1827" s="100" t="s">
        <v>30</v>
      </c>
      <c r="X1827" s="100" t="s">
        <v>30</v>
      </c>
      <c r="Y1827" s="100" t="s">
        <v>30</v>
      </c>
      <c r="Z1827" s="100" t="s">
        <v>30</v>
      </c>
      <c r="AA1827" s="100" t="s">
        <v>30</v>
      </c>
      <c r="AB1827" s="100" t="s">
        <v>30</v>
      </c>
      <c r="AC1827" s="100" t="s">
        <v>30</v>
      </c>
      <c r="AD1827" s="95" t="s">
        <v>32</v>
      </c>
      <c r="AE1827" s="100" t="s">
        <v>30</v>
      </c>
      <c r="AF1827" s="100" t="s">
        <v>30</v>
      </c>
      <c r="AG1827" s="100" t="s">
        <v>30</v>
      </c>
      <c r="AH1827" s="100" t="s">
        <v>30</v>
      </c>
      <c r="AI1827" s="111" t="s">
        <v>30</v>
      </c>
      <c r="AJ1827" s="111" t="s">
        <v>30</v>
      </c>
      <c r="AK1827" s="111" t="s">
        <v>30</v>
      </c>
      <c r="AL1827" s="114"/>
      <c r="AM1827" s="360"/>
      <c r="AR1827" s="88"/>
      <c r="AS1827" s="72"/>
      <c r="AT1827" s="72"/>
      <c r="AU1827" s="72"/>
      <c r="AV1827" s="109"/>
    </row>
    <row r="1828" spans="1:48">
      <c r="A1828" s="358" t="s">
        <v>24</v>
      </c>
      <c r="B1828" s="369">
        <v>1825</v>
      </c>
      <c r="C1828" s="372" t="s">
        <v>2683</v>
      </c>
      <c r="D1828" s="372" t="s">
        <v>34</v>
      </c>
      <c r="E1828" s="373">
        <v>46013</v>
      </c>
      <c r="F1828" s="372" t="s">
        <v>2684</v>
      </c>
      <c r="G1828" s="372">
        <v>16</v>
      </c>
      <c r="H1828" s="372" t="s">
        <v>67</v>
      </c>
      <c r="I1828" s="372" t="s">
        <v>47</v>
      </c>
      <c r="J1828" s="372"/>
      <c r="K1828" s="360" t="s">
        <v>2102</v>
      </c>
      <c r="L1828" s="360" t="s">
        <v>2666</v>
      </c>
      <c r="M1828" s="360" t="s">
        <v>2666</v>
      </c>
      <c r="N1828" s="360" t="s">
        <v>2050</v>
      </c>
      <c r="O1828" s="117" t="s">
        <v>31</v>
      </c>
      <c r="P1828" s="385" t="s">
        <v>30</v>
      </c>
      <c r="Q1828" s="23">
        <v>46053</v>
      </c>
      <c r="R1828" s="24" t="s">
        <v>48</v>
      </c>
      <c r="S1828" s="22" t="s">
        <v>32</v>
      </c>
      <c r="T1828" s="22">
        <v>19</v>
      </c>
      <c r="U1828" s="24" t="s">
        <v>48</v>
      </c>
      <c r="V1828" s="23">
        <v>46053</v>
      </c>
      <c r="W1828" s="100" t="s">
        <v>30</v>
      </c>
      <c r="X1828" s="100" t="s">
        <v>30</v>
      </c>
      <c r="Y1828" s="100" t="s">
        <v>30</v>
      </c>
      <c r="Z1828" s="100" t="s">
        <v>30</v>
      </c>
      <c r="AA1828" s="100" t="s">
        <v>30</v>
      </c>
      <c r="AB1828" s="100" t="s">
        <v>30</v>
      </c>
      <c r="AC1828" s="100" t="s">
        <v>30</v>
      </c>
      <c r="AD1828" s="100" t="s">
        <v>30</v>
      </c>
      <c r="AE1828" s="100" t="s">
        <v>30</v>
      </c>
      <c r="AF1828" s="100" t="s">
        <v>30</v>
      </c>
      <c r="AG1828" s="100" t="s">
        <v>30</v>
      </c>
      <c r="AH1828" s="100" t="s">
        <v>30</v>
      </c>
      <c r="AI1828" s="111" t="s">
        <v>30</v>
      </c>
      <c r="AJ1828" s="111" t="s">
        <v>30</v>
      </c>
      <c r="AK1828" s="111" t="s">
        <v>30</v>
      </c>
      <c r="AL1828" s="114"/>
      <c r="AM1828" s="360" t="s">
        <v>2548</v>
      </c>
      <c r="AO1828" s="412"/>
      <c r="AP1828" s="412"/>
      <c r="AQ1828" s="412"/>
      <c r="AR1828" s="412"/>
      <c r="AV1828" s="109"/>
    </row>
    <row r="1829" spans="1:48">
      <c r="A1829" s="358" t="s">
        <v>24</v>
      </c>
      <c r="B1829" s="369">
        <v>1826</v>
      </c>
      <c r="C1829" s="372" t="s">
        <v>2685</v>
      </c>
      <c r="D1829" s="372" t="s">
        <v>43</v>
      </c>
      <c r="E1829" s="373">
        <v>46013</v>
      </c>
      <c r="F1829" s="372" t="s">
        <v>1342</v>
      </c>
      <c r="G1829" s="372">
        <v>20</v>
      </c>
      <c r="H1829" s="372" t="s">
        <v>67</v>
      </c>
      <c r="I1829" s="372" t="s">
        <v>47</v>
      </c>
      <c r="J1829" s="372"/>
      <c r="K1829" s="360" t="s">
        <v>2226</v>
      </c>
      <c r="L1829" s="360" t="s">
        <v>2636</v>
      </c>
      <c r="M1829" s="360" t="s">
        <v>2636</v>
      </c>
      <c r="N1829" s="360" t="s">
        <v>2058</v>
      </c>
      <c r="O1829" s="117" t="s">
        <v>31</v>
      </c>
      <c r="P1829" s="385" t="s">
        <v>30</v>
      </c>
      <c r="Q1829" s="23">
        <v>46055</v>
      </c>
      <c r="R1829" s="24" t="s">
        <v>1638</v>
      </c>
      <c r="S1829" s="22" t="s">
        <v>32</v>
      </c>
      <c r="T1829" s="22">
        <v>32</v>
      </c>
      <c r="U1829" s="24" t="s">
        <v>1638</v>
      </c>
      <c r="V1829" s="23">
        <v>46055</v>
      </c>
      <c r="W1829" s="100" t="s">
        <v>30</v>
      </c>
      <c r="X1829" s="95" t="s">
        <v>32</v>
      </c>
      <c r="Y1829" s="100" t="s">
        <v>30</v>
      </c>
      <c r="Z1829" s="100" t="s">
        <v>30</v>
      </c>
      <c r="AA1829" s="100" t="s">
        <v>30</v>
      </c>
      <c r="AB1829" s="100" t="s">
        <v>30</v>
      </c>
      <c r="AC1829" s="100" t="s">
        <v>30</v>
      </c>
      <c r="AD1829" s="100" t="s">
        <v>30</v>
      </c>
      <c r="AE1829" s="100" t="s">
        <v>30</v>
      </c>
      <c r="AF1829" s="100" t="s">
        <v>30</v>
      </c>
      <c r="AG1829" s="100" t="s">
        <v>30</v>
      </c>
      <c r="AH1829" s="100" t="s">
        <v>30</v>
      </c>
      <c r="AI1829" s="100" t="s">
        <v>30</v>
      </c>
      <c r="AJ1829" s="100" t="s">
        <v>30</v>
      </c>
      <c r="AK1829" s="100" t="s">
        <v>30</v>
      </c>
      <c r="AL1829" s="114"/>
      <c r="AM1829" s="360"/>
      <c r="AS1829" s="72"/>
      <c r="AT1829" s="96"/>
      <c r="AU1829" s="96"/>
      <c r="AV1829" s="109"/>
    </row>
    <row r="1830" spans="1:48">
      <c r="A1830" s="358" t="s">
        <v>24</v>
      </c>
      <c r="B1830" s="369">
        <v>1827</v>
      </c>
      <c r="C1830" s="372" t="s">
        <v>2686</v>
      </c>
      <c r="D1830" s="372" t="s">
        <v>34</v>
      </c>
      <c r="E1830" s="373">
        <v>46013</v>
      </c>
      <c r="F1830" s="372" t="s">
        <v>2687</v>
      </c>
      <c r="G1830" s="372">
        <v>14</v>
      </c>
      <c r="H1830" s="372" t="s">
        <v>67</v>
      </c>
      <c r="I1830" s="372" t="s">
        <v>47</v>
      </c>
      <c r="J1830" s="372"/>
      <c r="K1830" s="360" t="s">
        <v>2130</v>
      </c>
      <c r="L1830" s="360" t="s">
        <v>2661</v>
      </c>
      <c r="M1830" s="360" t="s">
        <v>2661</v>
      </c>
      <c r="N1830" s="360" t="s">
        <v>2050</v>
      </c>
      <c r="O1830" s="255"/>
      <c r="P1830" s="252" t="s">
        <v>30</v>
      </c>
      <c r="Q1830" s="123">
        <v>46042</v>
      </c>
      <c r="R1830" s="24" t="s">
        <v>47</v>
      </c>
      <c r="S1830" s="22" t="s">
        <v>32</v>
      </c>
      <c r="T1830" s="22">
        <v>19</v>
      </c>
      <c r="U1830" s="24" t="s">
        <v>47</v>
      </c>
      <c r="V1830" s="123">
        <v>46042</v>
      </c>
      <c r="W1830" s="82" t="s">
        <v>30</v>
      </c>
      <c r="X1830" s="95" t="s">
        <v>32</v>
      </c>
      <c r="Y1830" s="100" t="s">
        <v>30</v>
      </c>
      <c r="Z1830" s="95" t="s">
        <v>32</v>
      </c>
      <c r="AA1830" s="95" t="s">
        <v>32</v>
      </c>
      <c r="AB1830" s="100" t="s">
        <v>30</v>
      </c>
      <c r="AC1830" s="100" t="s">
        <v>30</v>
      </c>
      <c r="AD1830" s="100" t="s">
        <v>30</v>
      </c>
      <c r="AE1830" s="100" t="s">
        <v>30</v>
      </c>
      <c r="AF1830" s="100" t="s">
        <v>30</v>
      </c>
      <c r="AG1830" s="100" t="s">
        <v>30</v>
      </c>
      <c r="AH1830" s="100" t="s">
        <v>30</v>
      </c>
      <c r="AI1830" s="111" t="s">
        <v>30</v>
      </c>
      <c r="AJ1830" s="111" t="s">
        <v>30</v>
      </c>
      <c r="AK1830" s="111" t="s">
        <v>30</v>
      </c>
      <c r="AL1830" s="114"/>
      <c r="AM1830" s="360" t="s">
        <v>2545</v>
      </c>
      <c r="AO1830" s="412"/>
      <c r="AP1830" s="412"/>
      <c r="AQ1830" s="412"/>
      <c r="AR1830" s="412"/>
      <c r="AV1830" s="109"/>
    </row>
    <row r="1831" spans="1:48">
      <c r="A1831" s="358" t="s">
        <v>24</v>
      </c>
      <c r="B1831" s="369">
        <v>1828</v>
      </c>
      <c r="C1831" s="372" t="s">
        <v>2688</v>
      </c>
      <c r="D1831" s="372" t="s">
        <v>178</v>
      </c>
      <c r="E1831" s="373">
        <v>46013</v>
      </c>
      <c r="F1831" s="372" t="s">
        <v>2687</v>
      </c>
      <c r="G1831" s="372">
        <v>14</v>
      </c>
      <c r="H1831" s="372" t="s">
        <v>67</v>
      </c>
      <c r="I1831" s="372" t="s">
        <v>47</v>
      </c>
      <c r="J1831" s="372"/>
      <c r="K1831" s="360" t="s">
        <v>2123</v>
      </c>
      <c r="L1831" s="360" t="s">
        <v>2661</v>
      </c>
      <c r="M1831" s="360" t="s">
        <v>2661</v>
      </c>
      <c r="N1831" s="360" t="s">
        <v>2050</v>
      </c>
      <c r="O1831" s="385"/>
      <c r="P1831" s="252" t="s">
        <v>30</v>
      </c>
      <c r="Q1831" s="123">
        <v>46042</v>
      </c>
      <c r="R1831" s="24" t="s">
        <v>47</v>
      </c>
      <c r="S1831" s="22" t="s">
        <v>32</v>
      </c>
      <c r="T1831" s="22">
        <v>13</v>
      </c>
      <c r="U1831" s="24" t="s">
        <v>47</v>
      </c>
      <c r="V1831" s="123">
        <v>46042</v>
      </c>
      <c r="W1831" s="100" t="s">
        <v>30</v>
      </c>
      <c r="X1831" s="100" t="s">
        <v>30</v>
      </c>
      <c r="Y1831" s="100" t="s">
        <v>30</v>
      </c>
      <c r="Z1831" s="100" t="s">
        <v>30</v>
      </c>
      <c r="AA1831" s="100" t="s">
        <v>30</v>
      </c>
      <c r="AB1831" s="100" t="s">
        <v>30</v>
      </c>
      <c r="AC1831" s="100" t="s">
        <v>30</v>
      </c>
      <c r="AD1831" s="100" t="s">
        <v>30</v>
      </c>
      <c r="AE1831" s="100" t="s">
        <v>30</v>
      </c>
      <c r="AF1831" s="100" t="s">
        <v>30</v>
      </c>
      <c r="AG1831" s="100" t="s">
        <v>30</v>
      </c>
      <c r="AH1831" s="100" t="s">
        <v>30</v>
      </c>
      <c r="AI1831" s="100" t="s">
        <v>30</v>
      </c>
      <c r="AJ1831" s="100" t="s">
        <v>30</v>
      </c>
      <c r="AK1831" s="100" t="s">
        <v>30</v>
      </c>
      <c r="AL1831" s="114"/>
      <c r="AM1831" s="360"/>
      <c r="AO1831" s="412"/>
      <c r="AP1831" s="412"/>
      <c r="AQ1831" s="412"/>
      <c r="AR1831" s="412"/>
      <c r="AV1831" s="109"/>
    </row>
    <row r="1832" spans="1:48">
      <c r="A1832" s="358" t="s">
        <v>24</v>
      </c>
      <c r="B1832" s="369">
        <v>1829</v>
      </c>
      <c r="C1832" s="372" t="s">
        <v>2689</v>
      </c>
      <c r="D1832" s="372" t="s">
        <v>34</v>
      </c>
      <c r="E1832" s="373">
        <v>46013</v>
      </c>
      <c r="F1832" s="372" t="s">
        <v>2687</v>
      </c>
      <c r="G1832" s="372">
        <v>20</v>
      </c>
      <c r="H1832" s="372" t="s">
        <v>67</v>
      </c>
      <c r="I1832" s="372" t="s">
        <v>47</v>
      </c>
      <c r="J1832" s="372"/>
      <c r="K1832" s="360" t="s">
        <v>2130</v>
      </c>
      <c r="L1832" s="360" t="s">
        <v>2661</v>
      </c>
      <c r="M1832" s="360" t="s">
        <v>2661</v>
      </c>
      <c r="N1832" s="360" t="s">
        <v>2050</v>
      </c>
      <c r="O1832" s="117" t="s">
        <v>31</v>
      </c>
      <c r="P1832" s="252" t="s">
        <v>30</v>
      </c>
      <c r="Q1832" s="123">
        <v>46042</v>
      </c>
      <c r="R1832" s="24" t="s">
        <v>47</v>
      </c>
      <c r="S1832" s="22" t="s">
        <v>32</v>
      </c>
      <c r="T1832" s="22">
        <v>13</v>
      </c>
      <c r="U1832" s="24" t="s">
        <v>47</v>
      </c>
      <c r="V1832" s="123">
        <v>46042</v>
      </c>
      <c r="W1832" s="82" t="s">
        <v>30</v>
      </c>
      <c r="X1832" s="95" t="s">
        <v>32</v>
      </c>
      <c r="Y1832" s="100" t="s">
        <v>30</v>
      </c>
      <c r="Z1832" s="95" t="s">
        <v>32</v>
      </c>
      <c r="AA1832" s="95" t="s">
        <v>32</v>
      </c>
      <c r="AB1832" s="100" t="s">
        <v>30</v>
      </c>
      <c r="AC1832" s="100" t="s">
        <v>30</v>
      </c>
      <c r="AD1832" s="100" t="s">
        <v>30</v>
      </c>
      <c r="AE1832" s="100" t="s">
        <v>30</v>
      </c>
      <c r="AF1832" s="100" t="s">
        <v>30</v>
      </c>
      <c r="AG1832" s="100" t="s">
        <v>30</v>
      </c>
      <c r="AH1832" s="100" t="s">
        <v>30</v>
      </c>
      <c r="AI1832" s="111" t="s">
        <v>30</v>
      </c>
      <c r="AJ1832" s="111" t="s">
        <v>30</v>
      </c>
      <c r="AK1832" s="111" t="s">
        <v>30</v>
      </c>
      <c r="AL1832" s="114"/>
      <c r="AM1832" s="360" t="s">
        <v>2545</v>
      </c>
      <c r="AN1832" s="6"/>
      <c r="AO1832" s="6"/>
      <c r="AP1832" s="6"/>
      <c r="AQ1832" s="6"/>
      <c r="AR1832" s="6"/>
      <c r="AS1832" s="108"/>
      <c r="AT1832" s="109"/>
      <c r="AU1832" s="109"/>
      <c r="AV1832" s="109"/>
    </row>
    <row r="1833" spans="1:48">
      <c r="A1833" s="358" t="s">
        <v>24</v>
      </c>
      <c r="B1833" s="369">
        <v>1830</v>
      </c>
      <c r="C1833" s="372" t="s">
        <v>2690</v>
      </c>
      <c r="D1833" s="372" t="s">
        <v>178</v>
      </c>
      <c r="E1833" s="373">
        <v>46013</v>
      </c>
      <c r="F1833" s="372" t="s">
        <v>2687</v>
      </c>
      <c r="G1833" s="372">
        <v>20</v>
      </c>
      <c r="H1833" s="372" t="s">
        <v>67</v>
      </c>
      <c r="I1833" s="372" t="s">
        <v>47</v>
      </c>
      <c r="J1833" s="372"/>
      <c r="K1833" s="360" t="s">
        <v>2123</v>
      </c>
      <c r="L1833" s="360" t="s">
        <v>2661</v>
      </c>
      <c r="M1833" s="360" t="s">
        <v>2661</v>
      </c>
      <c r="N1833" s="360" t="s">
        <v>2050</v>
      </c>
      <c r="O1833" s="117" t="s">
        <v>31</v>
      </c>
      <c r="P1833" s="254" t="s">
        <v>30</v>
      </c>
      <c r="Q1833" s="23">
        <v>46044</v>
      </c>
      <c r="R1833" s="24" t="s">
        <v>47</v>
      </c>
      <c r="S1833" s="22" t="s">
        <v>32</v>
      </c>
      <c r="T1833" s="22">
        <v>19</v>
      </c>
      <c r="U1833" s="24" t="s">
        <v>47</v>
      </c>
      <c r="V1833" s="23">
        <v>46044</v>
      </c>
      <c r="W1833" s="100" t="s">
        <v>30</v>
      </c>
      <c r="X1833" s="100" t="s">
        <v>30</v>
      </c>
      <c r="Y1833" s="100" t="s">
        <v>30</v>
      </c>
      <c r="Z1833" s="100" t="s">
        <v>30</v>
      </c>
      <c r="AA1833" s="100" t="s">
        <v>30</v>
      </c>
      <c r="AB1833" s="100" t="s">
        <v>30</v>
      </c>
      <c r="AC1833" s="100" t="s">
        <v>30</v>
      </c>
      <c r="AD1833" s="100" t="s">
        <v>30</v>
      </c>
      <c r="AE1833" s="100" t="s">
        <v>30</v>
      </c>
      <c r="AF1833" s="100" t="s">
        <v>30</v>
      </c>
      <c r="AG1833" s="100" t="s">
        <v>30</v>
      </c>
      <c r="AH1833" s="100" t="s">
        <v>30</v>
      </c>
      <c r="AI1833" s="100" t="s">
        <v>30</v>
      </c>
      <c r="AJ1833" s="100" t="s">
        <v>30</v>
      </c>
      <c r="AK1833" s="100" t="s">
        <v>30</v>
      </c>
      <c r="AL1833" s="114"/>
      <c r="AM1833" s="360"/>
      <c r="AN1833" s="6"/>
      <c r="AO1833" s="6"/>
      <c r="AP1833" s="6"/>
      <c r="AQ1833" s="6"/>
      <c r="AR1833" s="6"/>
      <c r="AS1833" s="108"/>
      <c r="AT1833" s="109"/>
      <c r="AU1833" s="109"/>
      <c r="AV1833" s="109"/>
    </row>
    <row r="1834" spans="1:48">
      <c r="A1834" s="358" t="s">
        <v>24</v>
      </c>
      <c r="B1834" s="369">
        <v>1831</v>
      </c>
      <c r="C1834" s="372" t="s">
        <v>410</v>
      </c>
      <c r="D1834" s="372" t="s">
        <v>1754</v>
      </c>
      <c r="E1834" s="373">
        <v>46013</v>
      </c>
      <c r="F1834" s="372" t="s">
        <v>272</v>
      </c>
      <c r="G1834" s="372">
        <v>10</v>
      </c>
      <c r="H1834" s="372" t="s">
        <v>67</v>
      </c>
      <c r="I1834" s="372" t="s">
        <v>47</v>
      </c>
      <c r="J1834" s="372"/>
      <c r="K1834" s="360" t="s">
        <v>2126</v>
      </c>
      <c r="L1834" s="360" t="s">
        <v>2661</v>
      </c>
      <c r="M1834" s="360" t="s">
        <v>2661</v>
      </c>
      <c r="N1834" s="360" t="s">
        <v>2050</v>
      </c>
      <c r="O1834" s="255"/>
      <c r="P1834" s="385" t="s">
        <v>30</v>
      </c>
      <c r="Q1834" s="380">
        <v>46050</v>
      </c>
      <c r="R1834" s="24" t="s">
        <v>48</v>
      </c>
      <c r="S1834" s="23">
        <v>46053</v>
      </c>
      <c r="T1834" s="22">
        <v>10</v>
      </c>
      <c r="U1834" s="24" t="s">
        <v>48</v>
      </c>
      <c r="V1834" s="380">
        <v>46050</v>
      </c>
      <c r="W1834" s="100" t="s">
        <v>113</v>
      </c>
      <c r="X1834" s="100" t="s">
        <v>30</v>
      </c>
      <c r="Y1834" s="95"/>
      <c r="Z1834" s="100"/>
      <c r="AA1834" s="100"/>
      <c r="AB1834" s="100"/>
      <c r="AC1834" s="100"/>
      <c r="AD1834" s="100"/>
      <c r="AE1834" s="100"/>
      <c r="AF1834" s="100"/>
      <c r="AG1834" s="100"/>
      <c r="AH1834" s="100" t="s">
        <v>30</v>
      </c>
      <c r="AI1834" s="111"/>
      <c r="AJ1834" s="111"/>
      <c r="AK1834" s="111" t="s">
        <v>30</v>
      </c>
      <c r="AL1834" s="114"/>
      <c r="AM1834" s="360" t="s">
        <v>2691</v>
      </c>
      <c r="AV1834" s="109"/>
    </row>
    <row r="1835" spans="1:48">
      <c r="A1835" s="358" t="s">
        <v>24</v>
      </c>
      <c r="B1835" s="369">
        <v>1832</v>
      </c>
      <c r="C1835" s="372" t="s">
        <v>2692</v>
      </c>
      <c r="D1835" s="372" t="s">
        <v>34</v>
      </c>
      <c r="E1835" s="373">
        <v>46013</v>
      </c>
      <c r="F1835" s="372" t="s">
        <v>272</v>
      </c>
      <c r="G1835" s="372">
        <v>16</v>
      </c>
      <c r="H1835" s="372" t="s">
        <v>67</v>
      </c>
      <c r="I1835" s="372" t="s">
        <v>47</v>
      </c>
      <c r="J1835" s="257"/>
      <c r="K1835" s="360" t="s">
        <v>2098</v>
      </c>
      <c r="L1835" s="360" t="s">
        <v>2661</v>
      </c>
      <c r="M1835" s="360" t="s">
        <v>2661</v>
      </c>
      <c r="N1835" s="360" t="s">
        <v>2050</v>
      </c>
      <c r="O1835" s="117" t="s">
        <v>31</v>
      </c>
      <c r="P1835" s="385" t="s">
        <v>30</v>
      </c>
      <c r="Q1835" s="121">
        <v>46050</v>
      </c>
      <c r="R1835" s="24" t="s">
        <v>48</v>
      </c>
      <c r="S1835" s="22" t="s">
        <v>30</v>
      </c>
      <c r="T1835" s="22">
        <v>13</v>
      </c>
      <c r="U1835" s="24" t="s">
        <v>48</v>
      </c>
      <c r="V1835" s="121">
        <v>46050</v>
      </c>
      <c r="W1835" s="100" t="s">
        <v>30</v>
      </c>
      <c r="X1835" s="100" t="s">
        <v>30</v>
      </c>
      <c r="Y1835" s="100" t="s">
        <v>30</v>
      </c>
      <c r="Z1835" s="100" t="s">
        <v>30</v>
      </c>
      <c r="AA1835" s="100" t="s">
        <v>30</v>
      </c>
      <c r="AB1835" s="100" t="s">
        <v>30</v>
      </c>
      <c r="AC1835" s="100" t="s">
        <v>30</v>
      </c>
      <c r="AD1835" s="95" t="s">
        <v>32</v>
      </c>
      <c r="AE1835" s="100" t="s">
        <v>30</v>
      </c>
      <c r="AF1835" s="95" t="s">
        <v>32</v>
      </c>
      <c r="AG1835" s="95" t="s">
        <v>32</v>
      </c>
      <c r="AH1835" s="100" t="s">
        <v>30</v>
      </c>
      <c r="AI1835" s="100" t="s">
        <v>30</v>
      </c>
      <c r="AJ1835" s="100" t="s">
        <v>30</v>
      </c>
      <c r="AK1835" s="100" t="s">
        <v>30</v>
      </c>
      <c r="AL1835" s="95" t="s">
        <v>32</v>
      </c>
      <c r="AM1835" s="360" t="s">
        <v>2548</v>
      </c>
      <c r="AN1835" s="91"/>
      <c r="AO1835" s="91"/>
      <c r="AS1835" s="72"/>
      <c r="AT1835" s="96"/>
      <c r="AU1835" s="96"/>
      <c r="AV1835" s="109"/>
    </row>
    <row r="1836" spans="1:48">
      <c r="A1836" s="358" t="s">
        <v>24</v>
      </c>
      <c r="B1836" s="369">
        <v>1833</v>
      </c>
      <c r="C1836" s="372" t="s">
        <v>2693</v>
      </c>
      <c r="D1836" s="372" t="s">
        <v>374</v>
      </c>
      <c r="E1836" s="373">
        <v>46014</v>
      </c>
      <c r="F1836" s="372" t="s">
        <v>2694</v>
      </c>
      <c r="G1836" s="372">
        <v>12</v>
      </c>
      <c r="H1836" s="372" t="s">
        <v>127</v>
      </c>
      <c r="I1836" s="372" t="s">
        <v>178</v>
      </c>
      <c r="J1836" s="372"/>
      <c r="K1836" s="360" t="s">
        <v>2695</v>
      </c>
      <c r="L1836" s="360" t="s">
        <v>2592</v>
      </c>
      <c r="M1836" s="360" t="s">
        <v>2666</v>
      </c>
      <c r="N1836" s="360" t="s">
        <v>2696</v>
      </c>
      <c r="O1836" s="255"/>
      <c r="P1836" s="252" t="s">
        <v>30</v>
      </c>
      <c r="Q1836" s="121">
        <v>46052</v>
      </c>
      <c r="R1836" s="24" t="s">
        <v>28</v>
      </c>
      <c r="S1836" s="358" t="s">
        <v>32</v>
      </c>
      <c r="T1836" s="7">
        <v>11</v>
      </c>
      <c r="U1836" s="24" t="s">
        <v>28</v>
      </c>
      <c r="V1836" s="121">
        <v>46052</v>
      </c>
      <c r="W1836" s="94" t="s">
        <v>30</v>
      </c>
      <c r="X1836" s="100" t="s">
        <v>30</v>
      </c>
      <c r="Y1836" s="100" t="s">
        <v>30</v>
      </c>
      <c r="Z1836" s="124"/>
      <c r="AA1836" s="124"/>
      <c r="AB1836" s="124"/>
      <c r="AC1836" s="100" t="s">
        <v>30</v>
      </c>
      <c r="AD1836" s="100" t="s">
        <v>30</v>
      </c>
      <c r="AE1836" s="100" t="s">
        <v>30</v>
      </c>
      <c r="AF1836" s="100" t="s">
        <v>30</v>
      </c>
      <c r="AG1836" s="100" t="s">
        <v>30</v>
      </c>
      <c r="AH1836" s="100" t="s">
        <v>30</v>
      </c>
      <c r="AI1836" s="100" t="s">
        <v>30</v>
      </c>
      <c r="AJ1836" s="100" t="s">
        <v>30</v>
      </c>
      <c r="AK1836" s="100" t="s">
        <v>30</v>
      </c>
      <c r="AL1836" s="114"/>
      <c r="AM1836" s="360"/>
      <c r="AS1836" s="72"/>
      <c r="AT1836" s="96"/>
      <c r="AU1836" s="96"/>
      <c r="AV1836" s="109"/>
    </row>
    <row r="1837" spans="1:48">
      <c r="A1837" s="358" t="s">
        <v>24</v>
      </c>
      <c r="B1837" s="369">
        <v>1834</v>
      </c>
      <c r="C1837" s="372" t="s">
        <v>2697</v>
      </c>
      <c r="D1837" s="372" t="s">
        <v>270</v>
      </c>
      <c r="E1837" s="373">
        <v>46014</v>
      </c>
      <c r="F1837" s="372" t="s">
        <v>737</v>
      </c>
      <c r="G1837" s="372">
        <v>19</v>
      </c>
      <c r="H1837" s="372" t="s">
        <v>127</v>
      </c>
      <c r="I1837" s="372" t="s">
        <v>178</v>
      </c>
      <c r="J1837" s="372"/>
      <c r="K1837" s="360" t="s">
        <v>2244</v>
      </c>
      <c r="L1837" s="360" t="s">
        <v>2661</v>
      </c>
      <c r="M1837" s="360" t="s">
        <v>2661</v>
      </c>
      <c r="N1837" s="360" t="s">
        <v>2050</v>
      </c>
      <c r="O1837" s="117" t="s">
        <v>31</v>
      </c>
      <c r="P1837" s="385" t="s">
        <v>30</v>
      </c>
      <c r="Q1837" s="23">
        <v>46044</v>
      </c>
      <c r="R1837" s="24" t="s">
        <v>28</v>
      </c>
      <c r="S1837" s="22" t="s">
        <v>32</v>
      </c>
      <c r="T1837" s="22">
        <v>18</v>
      </c>
      <c r="U1837" s="24" t="s">
        <v>28</v>
      </c>
      <c r="V1837" s="23">
        <v>46044</v>
      </c>
      <c r="W1837" s="94" t="s">
        <v>30</v>
      </c>
      <c r="X1837" s="100" t="s">
        <v>30</v>
      </c>
      <c r="Y1837" s="100" t="s">
        <v>30</v>
      </c>
      <c r="Z1837" s="100" t="s">
        <v>30</v>
      </c>
      <c r="AA1837" s="100" t="s">
        <v>30</v>
      </c>
      <c r="AB1837" s="100" t="s">
        <v>30</v>
      </c>
      <c r="AC1837" s="100" t="s">
        <v>30</v>
      </c>
      <c r="AD1837" s="100" t="s">
        <v>30</v>
      </c>
      <c r="AE1837" s="100" t="s">
        <v>30</v>
      </c>
      <c r="AF1837" s="100" t="s">
        <v>30</v>
      </c>
      <c r="AG1837" s="100" t="s">
        <v>30</v>
      </c>
      <c r="AH1837" s="100" t="s">
        <v>30</v>
      </c>
      <c r="AI1837" s="100" t="s">
        <v>30</v>
      </c>
      <c r="AJ1837" s="100" t="s">
        <v>30</v>
      </c>
      <c r="AK1837" s="100" t="s">
        <v>30</v>
      </c>
      <c r="AL1837" s="114"/>
      <c r="AM1837" s="360"/>
      <c r="AN1837" s="91"/>
      <c r="AO1837" s="91"/>
      <c r="AS1837" s="72"/>
      <c r="AT1837" s="96"/>
      <c r="AU1837" s="96"/>
      <c r="AV1837" s="109"/>
    </row>
    <row r="1838" spans="1:48">
      <c r="A1838" s="358" t="s">
        <v>24</v>
      </c>
      <c r="B1838" s="369">
        <v>1835</v>
      </c>
      <c r="C1838" s="372" t="s">
        <v>2698</v>
      </c>
      <c r="D1838" s="372" t="s">
        <v>34</v>
      </c>
      <c r="E1838" s="373">
        <v>46014</v>
      </c>
      <c r="F1838" s="372" t="s">
        <v>644</v>
      </c>
      <c r="G1838" s="372">
        <v>13</v>
      </c>
      <c r="H1838" s="372" t="s">
        <v>127</v>
      </c>
      <c r="I1838" s="372" t="s">
        <v>178</v>
      </c>
      <c r="J1838" s="257"/>
      <c r="K1838" s="360" t="s">
        <v>2085</v>
      </c>
      <c r="L1838" s="360" t="s">
        <v>2666</v>
      </c>
      <c r="M1838" s="360" t="s">
        <v>2666</v>
      </c>
      <c r="N1838" s="360" t="s">
        <v>2050</v>
      </c>
      <c r="O1838" s="385"/>
      <c r="P1838" s="23" t="s">
        <v>30</v>
      </c>
      <c r="Q1838" s="23">
        <v>46038</v>
      </c>
      <c r="R1838" s="24" t="s">
        <v>28</v>
      </c>
      <c r="S1838" s="358" t="s">
        <v>30</v>
      </c>
      <c r="T1838" s="22">
        <v>11</v>
      </c>
      <c r="U1838" s="24"/>
      <c r="V1838" s="23">
        <v>46038</v>
      </c>
      <c r="W1838" s="100" t="s">
        <v>30</v>
      </c>
      <c r="X1838" s="100" t="s">
        <v>30</v>
      </c>
      <c r="Y1838" s="100" t="s">
        <v>30</v>
      </c>
      <c r="Z1838" s="100" t="s">
        <v>30</v>
      </c>
      <c r="AA1838" s="100" t="s">
        <v>30</v>
      </c>
      <c r="AB1838" s="100" t="s">
        <v>30</v>
      </c>
      <c r="AC1838" s="100" t="s">
        <v>30</v>
      </c>
      <c r="AD1838" s="100" t="s">
        <v>30</v>
      </c>
      <c r="AE1838" s="100" t="s">
        <v>30</v>
      </c>
      <c r="AF1838" s="100" t="s">
        <v>30</v>
      </c>
      <c r="AG1838" s="100" t="s">
        <v>30</v>
      </c>
      <c r="AH1838" s="100" t="s">
        <v>30</v>
      </c>
      <c r="AI1838" s="111" t="s">
        <v>30</v>
      </c>
      <c r="AJ1838" s="111" t="s">
        <v>30</v>
      </c>
      <c r="AK1838" s="111" t="s">
        <v>30</v>
      </c>
      <c r="AL1838" s="114"/>
      <c r="AM1838" s="360"/>
      <c r="AN1838" s="91"/>
      <c r="AO1838" s="91"/>
      <c r="AS1838" s="72"/>
      <c r="AT1838" s="96"/>
      <c r="AU1838" s="96"/>
      <c r="AV1838" s="109"/>
    </row>
    <row r="1839" spans="1:48">
      <c r="A1839" s="358" t="s">
        <v>24</v>
      </c>
      <c r="B1839" s="369">
        <v>1836</v>
      </c>
      <c r="C1839" s="372" t="s">
        <v>2699</v>
      </c>
      <c r="D1839" s="372" t="s">
        <v>64</v>
      </c>
      <c r="E1839" s="373">
        <v>46014</v>
      </c>
      <c r="F1839" s="372" t="s">
        <v>737</v>
      </c>
      <c r="G1839" s="372">
        <v>19</v>
      </c>
      <c r="H1839" s="372" t="s">
        <v>127</v>
      </c>
      <c r="I1839" s="372" t="s">
        <v>178</v>
      </c>
      <c r="J1839" s="372"/>
      <c r="K1839" s="360" t="s">
        <v>2056</v>
      </c>
      <c r="L1839" s="360" t="s">
        <v>2666</v>
      </c>
      <c r="M1839" s="360" t="s">
        <v>2666</v>
      </c>
      <c r="N1839" s="360" t="s">
        <v>2050</v>
      </c>
      <c r="O1839" s="117" t="s">
        <v>31</v>
      </c>
      <c r="P1839" s="385" t="s">
        <v>30</v>
      </c>
      <c r="Q1839" s="23">
        <v>46056</v>
      </c>
      <c r="R1839" s="24" t="s">
        <v>67</v>
      </c>
      <c r="S1839" s="22" t="s">
        <v>32</v>
      </c>
      <c r="T1839" s="22">
        <v>13</v>
      </c>
      <c r="U1839" s="24" t="s">
        <v>67</v>
      </c>
      <c r="V1839" s="23">
        <v>46056</v>
      </c>
      <c r="W1839" s="100" t="s">
        <v>30</v>
      </c>
      <c r="X1839" s="95" t="s">
        <v>32</v>
      </c>
      <c r="Y1839" s="107"/>
      <c r="Z1839" s="100" t="s">
        <v>30</v>
      </c>
      <c r="AA1839" s="100" t="s">
        <v>30</v>
      </c>
      <c r="AB1839" s="100" t="s">
        <v>30</v>
      </c>
      <c r="AC1839" s="100" t="s">
        <v>30</v>
      </c>
      <c r="AD1839" s="100" t="s">
        <v>30</v>
      </c>
      <c r="AE1839" s="100" t="s">
        <v>30</v>
      </c>
      <c r="AF1839" s="100" t="s">
        <v>30</v>
      </c>
      <c r="AG1839" s="100" t="s">
        <v>30</v>
      </c>
      <c r="AH1839" s="100" t="s">
        <v>30</v>
      </c>
      <c r="AI1839" s="100" t="s">
        <v>30</v>
      </c>
      <c r="AJ1839" s="100" t="s">
        <v>30</v>
      </c>
      <c r="AK1839" s="100" t="s">
        <v>30</v>
      </c>
      <c r="AL1839" s="114"/>
      <c r="AM1839" s="360" t="s">
        <v>2545</v>
      </c>
      <c r="AS1839" s="72"/>
      <c r="AT1839" s="96"/>
      <c r="AU1839" s="96"/>
      <c r="AV1839" s="109"/>
    </row>
    <row r="1840" spans="1:48">
      <c r="A1840" s="358" t="s">
        <v>24</v>
      </c>
      <c r="B1840" s="369">
        <v>1837</v>
      </c>
      <c r="C1840" s="372" t="s">
        <v>2700</v>
      </c>
      <c r="D1840" s="372" t="s">
        <v>64</v>
      </c>
      <c r="E1840" s="373">
        <v>46014</v>
      </c>
      <c r="F1840" s="372" t="s">
        <v>2701</v>
      </c>
      <c r="G1840" s="372">
        <v>14</v>
      </c>
      <c r="H1840" s="372" t="s">
        <v>1077</v>
      </c>
      <c r="I1840" s="372" t="s">
        <v>1138</v>
      </c>
      <c r="J1840" s="372"/>
      <c r="K1840" s="360" t="s">
        <v>2098</v>
      </c>
      <c r="L1840" s="360" t="s">
        <v>2661</v>
      </c>
      <c r="M1840" s="360" t="s">
        <v>2661</v>
      </c>
      <c r="N1840" s="360" t="s">
        <v>2050</v>
      </c>
      <c r="O1840" s="385"/>
      <c r="P1840" s="252" t="s">
        <v>30</v>
      </c>
      <c r="Q1840" s="23">
        <v>46036</v>
      </c>
      <c r="R1840" s="384" t="s">
        <v>1138</v>
      </c>
      <c r="S1840" s="22" t="s">
        <v>32</v>
      </c>
      <c r="T1840" s="22">
        <v>14</v>
      </c>
      <c r="U1840" s="24" t="s">
        <v>1138</v>
      </c>
      <c r="V1840" s="23">
        <v>46036</v>
      </c>
      <c r="W1840" s="100" t="s">
        <v>30</v>
      </c>
      <c r="X1840" s="100" t="s">
        <v>30</v>
      </c>
      <c r="Y1840" s="122" t="s">
        <v>30</v>
      </c>
      <c r="Z1840" s="100" t="s">
        <v>30</v>
      </c>
      <c r="AA1840" s="100" t="s">
        <v>30</v>
      </c>
      <c r="AB1840" s="100" t="s">
        <v>30</v>
      </c>
      <c r="AC1840" s="100" t="s">
        <v>30</v>
      </c>
      <c r="AD1840" s="100" t="s">
        <v>30</v>
      </c>
      <c r="AE1840" s="100" t="s">
        <v>30</v>
      </c>
      <c r="AF1840" s="100" t="s">
        <v>30</v>
      </c>
      <c r="AG1840" s="100" t="s">
        <v>30</v>
      </c>
      <c r="AH1840" s="100" t="s">
        <v>30</v>
      </c>
      <c r="AI1840" s="100" t="s">
        <v>30</v>
      </c>
      <c r="AJ1840" s="100" t="s">
        <v>30</v>
      </c>
      <c r="AK1840" s="100" t="s">
        <v>30</v>
      </c>
      <c r="AL1840" s="95" t="s">
        <v>32</v>
      </c>
      <c r="AM1840" s="360" t="s">
        <v>2548</v>
      </c>
      <c r="AV1840" s="109"/>
    </row>
    <row r="1841" spans="1:48">
      <c r="A1841" s="358" t="s">
        <v>24</v>
      </c>
      <c r="B1841" s="369">
        <v>1838</v>
      </c>
      <c r="C1841" s="372" t="s">
        <v>2702</v>
      </c>
      <c r="D1841" s="372" t="s">
        <v>43</v>
      </c>
      <c r="E1841" s="373">
        <v>46014</v>
      </c>
      <c r="F1841" s="372" t="s">
        <v>202</v>
      </c>
      <c r="G1841" s="372">
        <v>40</v>
      </c>
      <c r="H1841" s="372" t="s">
        <v>127</v>
      </c>
      <c r="I1841" s="372" t="s">
        <v>178</v>
      </c>
      <c r="J1841" s="372"/>
      <c r="K1841" s="360" t="s">
        <v>2703</v>
      </c>
      <c r="L1841" s="360" t="s">
        <v>2661</v>
      </c>
      <c r="M1841" s="360" t="s">
        <v>2661</v>
      </c>
      <c r="N1841" s="360" t="s">
        <v>2050</v>
      </c>
      <c r="O1841" s="117" t="s">
        <v>31</v>
      </c>
      <c r="P1841" s="62" t="s">
        <v>30</v>
      </c>
      <c r="Q1841" s="23">
        <v>46030</v>
      </c>
      <c r="R1841" s="24" t="s">
        <v>28</v>
      </c>
      <c r="S1841" s="22" t="s">
        <v>32</v>
      </c>
      <c r="T1841" s="22">
        <v>33</v>
      </c>
      <c r="U1841" s="24" t="s">
        <v>28</v>
      </c>
      <c r="V1841" s="23">
        <v>46030</v>
      </c>
      <c r="W1841" s="100" t="s">
        <v>30</v>
      </c>
      <c r="X1841" s="100" t="s">
        <v>30</v>
      </c>
      <c r="Y1841" s="100" t="s">
        <v>30</v>
      </c>
      <c r="Z1841" s="111" t="s">
        <v>30</v>
      </c>
      <c r="AA1841" s="111" t="s">
        <v>30</v>
      </c>
      <c r="AB1841" s="111" t="s">
        <v>30</v>
      </c>
      <c r="AC1841" s="111" t="s">
        <v>30</v>
      </c>
      <c r="AD1841" s="111" t="s">
        <v>30</v>
      </c>
      <c r="AE1841" s="111" t="s">
        <v>30</v>
      </c>
      <c r="AF1841" s="111" t="s">
        <v>30</v>
      </c>
      <c r="AG1841" s="111" t="s">
        <v>30</v>
      </c>
      <c r="AH1841" s="100" t="s">
        <v>30</v>
      </c>
      <c r="AI1841" s="111" t="s">
        <v>30</v>
      </c>
      <c r="AJ1841" s="111" t="s">
        <v>30</v>
      </c>
      <c r="AK1841" s="111" t="s">
        <v>30</v>
      </c>
      <c r="AL1841" s="114"/>
      <c r="AM1841" s="360"/>
      <c r="AS1841" s="72"/>
      <c r="AT1841" s="96"/>
      <c r="AU1841" s="96"/>
      <c r="AV1841" s="109"/>
    </row>
    <row r="1842" spans="1:48">
      <c r="A1842" s="358" t="s">
        <v>24</v>
      </c>
      <c r="B1842" s="369">
        <v>1839</v>
      </c>
      <c r="C1842" s="372" t="s">
        <v>2704</v>
      </c>
      <c r="D1842" s="372" t="s">
        <v>50</v>
      </c>
      <c r="E1842" s="373">
        <v>46014</v>
      </c>
      <c r="F1842" s="372" t="s">
        <v>202</v>
      </c>
      <c r="G1842" s="372">
        <v>17</v>
      </c>
      <c r="H1842" s="372" t="s">
        <v>127</v>
      </c>
      <c r="I1842" s="372" t="s">
        <v>178</v>
      </c>
      <c r="J1842" s="257"/>
      <c r="K1842" s="360" t="s">
        <v>2705</v>
      </c>
      <c r="L1842" s="360" t="s">
        <v>2706</v>
      </c>
      <c r="M1842" s="360" t="s">
        <v>2706</v>
      </c>
      <c r="N1842" s="360" t="s">
        <v>2050</v>
      </c>
      <c r="O1842" s="117" t="s">
        <v>31</v>
      </c>
      <c r="P1842" s="23" t="s">
        <v>30</v>
      </c>
      <c r="Q1842" s="23">
        <v>46041</v>
      </c>
      <c r="R1842" s="24" t="s">
        <v>2707</v>
      </c>
      <c r="S1842" s="358" t="s">
        <v>30</v>
      </c>
      <c r="T1842" s="22">
        <v>17</v>
      </c>
      <c r="U1842" s="24" t="s">
        <v>2707</v>
      </c>
      <c r="V1842" s="23">
        <v>46041</v>
      </c>
      <c r="W1842" s="122" t="s">
        <v>30</v>
      </c>
      <c r="X1842" s="100" t="s">
        <v>30</v>
      </c>
      <c r="Y1842" s="100" t="s">
        <v>30</v>
      </c>
      <c r="Z1842" s="95" t="s">
        <v>32</v>
      </c>
      <c r="AA1842" s="95" t="s">
        <v>32</v>
      </c>
      <c r="AB1842" s="95" t="s">
        <v>32</v>
      </c>
      <c r="AC1842" s="100" t="s">
        <v>30</v>
      </c>
      <c r="AD1842" s="100" t="s">
        <v>30</v>
      </c>
      <c r="AE1842" s="100" t="s">
        <v>30</v>
      </c>
      <c r="AF1842" s="100" t="s">
        <v>30</v>
      </c>
      <c r="AG1842" s="100" t="s">
        <v>30</v>
      </c>
      <c r="AH1842" s="100" t="s">
        <v>30</v>
      </c>
      <c r="AI1842" s="100" t="s">
        <v>30</v>
      </c>
      <c r="AJ1842" s="100" t="s">
        <v>30</v>
      </c>
      <c r="AK1842" s="111" t="s">
        <v>30</v>
      </c>
      <c r="AL1842" s="114"/>
      <c r="AM1842" s="360" t="s">
        <v>2645</v>
      </c>
      <c r="AS1842" s="72"/>
      <c r="AT1842" s="96"/>
      <c r="AU1842" s="96"/>
      <c r="AV1842" s="109"/>
    </row>
    <row r="1843" spans="1:48">
      <c r="A1843" s="358" t="s">
        <v>24</v>
      </c>
      <c r="B1843" s="369">
        <v>1840</v>
      </c>
      <c r="C1843" s="372" t="s">
        <v>2708</v>
      </c>
      <c r="D1843" s="372" t="s">
        <v>446</v>
      </c>
      <c r="E1843" s="373">
        <v>46014</v>
      </c>
      <c r="F1843" s="372" t="s">
        <v>202</v>
      </c>
      <c r="G1843" s="372">
        <v>13</v>
      </c>
      <c r="H1843" s="372" t="s">
        <v>127</v>
      </c>
      <c r="I1843" s="372" t="s">
        <v>178</v>
      </c>
      <c r="J1843" s="372"/>
      <c r="K1843" s="360" t="s">
        <v>2142</v>
      </c>
      <c r="L1843" s="360" t="s">
        <v>2661</v>
      </c>
      <c r="M1843" s="360" t="s">
        <v>2706</v>
      </c>
      <c r="N1843" s="360" t="s">
        <v>401</v>
      </c>
      <c r="O1843" s="385"/>
      <c r="P1843" s="385" t="s">
        <v>30</v>
      </c>
      <c r="Q1843" s="23">
        <v>46044</v>
      </c>
      <c r="R1843" s="24" t="s">
        <v>2707</v>
      </c>
      <c r="S1843" s="22" t="s">
        <v>32</v>
      </c>
      <c r="T1843" s="22">
        <v>13</v>
      </c>
      <c r="U1843" s="24" t="s">
        <v>2707</v>
      </c>
      <c r="V1843" s="23">
        <v>46044</v>
      </c>
      <c r="W1843" s="122" t="s">
        <v>30</v>
      </c>
      <c r="X1843" s="95" t="s">
        <v>32</v>
      </c>
      <c r="Y1843" s="100" t="s">
        <v>30</v>
      </c>
      <c r="Z1843" s="95" t="s">
        <v>32</v>
      </c>
      <c r="AA1843" s="95" t="s">
        <v>32</v>
      </c>
      <c r="AB1843" s="100" t="s">
        <v>30</v>
      </c>
      <c r="AC1843" s="100" t="s">
        <v>30</v>
      </c>
      <c r="AD1843" s="100" t="s">
        <v>30</v>
      </c>
      <c r="AE1843" s="100" t="s">
        <v>30</v>
      </c>
      <c r="AF1843" s="100" t="s">
        <v>30</v>
      </c>
      <c r="AG1843" s="100" t="s">
        <v>30</v>
      </c>
      <c r="AH1843" s="100" t="s">
        <v>30</v>
      </c>
      <c r="AI1843" s="100" t="s">
        <v>30</v>
      </c>
      <c r="AJ1843" s="100" t="s">
        <v>30</v>
      </c>
      <c r="AK1843" s="111" t="s">
        <v>30</v>
      </c>
      <c r="AL1843" s="114"/>
      <c r="AM1843" s="360" t="s">
        <v>2548</v>
      </c>
      <c r="AV1843" s="109"/>
    </row>
    <row r="1844" spans="1:48">
      <c r="A1844" s="358" t="s">
        <v>24</v>
      </c>
      <c r="B1844" s="369">
        <v>1841</v>
      </c>
      <c r="C1844" s="372" t="s">
        <v>2709</v>
      </c>
      <c r="D1844" s="372" t="s">
        <v>50</v>
      </c>
      <c r="E1844" s="373">
        <v>46014</v>
      </c>
      <c r="F1844" s="372" t="s">
        <v>1945</v>
      </c>
      <c r="G1844" s="372">
        <v>30</v>
      </c>
      <c r="H1844" s="372" t="s">
        <v>127</v>
      </c>
      <c r="I1844" s="372" t="s">
        <v>178</v>
      </c>
      <c r="J1844" s="372"/>
      <c r="K1844" s="360" t="s">
        <v>2087</v>
      </c>
      <c r="L1844" s="360" t="s">
        <v>2666</v>
      </c>
      <c r="M1844" s="360" t="s">
        <v>2636</v>
      </c>
      <c r="N1844" s="360" t="s">
        <v>2050</v>
      </c>
      <c r="O1844" s="117" t="s">
        <v>31</v>
      </c>
      <c r="P1844" s="252" t="s">
        <v>30</v>
      </c>
      <c r="Q1844" s="23">
        <v>46038</v>
      </c>
      <c r="R1844" s="24" t="s">
        <v>2707</v>
      </c>
      <c r="S1844" s="22" t="s">
        <v>32</v>
      </c>
      <c r="T1844" s="22">
        <v>29</v>
      </c>
      <c r="U1844" s="24" t="s">
        <v>2707</v>
      </c>
      <c r="V1844" s="23">
        <v>46038</v>
      </c>
      <c r="W1844" s="100" t="s">
        <v>30</v>
      </c>
      <c r="X1844" s="100" t="s">
        <v>30</v>
      </c>
      <c r="Y1844" s="100" t="s">
        <v>30</v>
      </c>
      <c r="Z1844" s="125"/>
      <c r="AA1844" s="125"/>
      <c r="AB1844" s="125"/>
      <c r="AC1844" s="100" t="s">
        <v>30</v>
      </c>
      <c r="AD1844" s="100" t="s">
        <v>30</v>
      </c>
      <c r="AE1844" s="100" t="s">
        <v>30</v>
      </c>
      <c r="AF1844" s="100" t="s">
        <v>30</v>
      </c>
      <c r="AG1844" s="100" t="s">
        <v>30</v>
      </c>
      <c r="AH1844" s="100" t="s">
        <v>30</v>
      </c>
      <c r="AI1844" s="100" t="s">
        <v>30</v>
      </c>
      <c r="AJ1844" s="100" t="s">
        <v>30</v>
      </c>
      <c r="AK1844" s="100" t="s">
        <v>30</v>
      </c>
      <c r="AL1844" s="114"/>
      <c r="AM1844" s="360"/>
      <c r="AV1844" s="109"/>
    </row>
    <row r="1845" spans="1:48">
      <c r="A1845" s="358" t="s">
        <v>24</v>
      </c>
      <c r="B1845" s="369">
        <v>1842</v>
      </c>
      <c r="C1845" s="372" t="s">
        <v>2710</v>
      </c>
      <c r="D1845" s="372" t="s">
        <v>34</v>
      </c>
      <c r="E1845" s="373">
        <v>46014</v>
      </c>
      <c r="F1845" s="372" t="s">
        <v>93</v>
      </c>
      <c r="G1845" s="372">
        <v>12</v>
      </c>
      <c r="H1845" s="372" t="s">
        <v>127</v>
      </c>
      <c r="I1845" s="372" t="s">
        <v>178</v>
      </c>
      <c r="J1845" s="257"/>
      <c r="K1845" s="360" t="s">
        <v>2180</v>
      </c>
      <c r="L1845" s="360" t="s">
        <v>2661</v>
      </c>
      <c r="M1845" s="360" t="s">
        <v>2706</v>
      </c>
      <c r="N1845" s="360" t="s">
        <v>2711</v>
      </c>
      <c r="O1845" s="255"/>
      <c r="P1845" s="385" t="s">
        <v>30</v>
      </c>
      <c r="Q1845" s="23">
        <v>46053</v>
      </c>
      <c r="R1845" s="24" t="s">
        <v>48</v>
      </c>
      <c r="S1845" s="22" t="s">
        <v>30</v>
      </c>
      <c r="T1845" s="22">
        <v>13</v>
      </c>
      <c r="U1845" s="24" t="s">
        <v>48</v>
      </c>
      <c r="V1845" s="23">
        <v>46053</v>
      </c>
      <c r="W1845" s="122" t="s">
        <v>30</v>
      </c>
      <c r="X1845" s="95" t="s">
        <v>32</v>
      </c>
      <c r="Y1845" s="122" t="s">
        <v>30</v>
      </c>
      <c r="Z1845" s="124"/>
      <c r="AA1845" s="124"/>
      <c r="AB1845" s="124"/>
      <c r="AC1845" s="111" t="s">
        <v>30</v>
      </c>
      <c r="AD1845" s="111" t="s">
        <v>30</v>
      </c>
      <c r="AE1845" s="111" t="s">
        <v>30</v>
      </c>
      <c r="AF1845" s="111" t="s">
        <v>30</v>
      </c>
      <c r="AG1845" s="111" t="s">
        <v>30</v>
      </c>
      <c r="AH1845" s="100" t="s">
        <v>30</v>
      </c>
      <c r="AI1845" s="111" t="s">
        <v>30</v>
      </c>
      <c r="AJ1845" s="111" t="s">
        <v>30</v>
      </c>
      <c r="AK1845" s="111" t="s">
        <v>30</v>
      </c>
      <c r="AL1845" s="114"/>
      <c r="AM1845" s="360"/>
      <c r="AR1845" s="88"/>
      <c r="AS1845" s="72"/>
      <c r="AT1845" s="72"/>
      <c r="AU1845" s="72"/>
      <c r="AV1845" s="109"/>
    </row>
    <row r="1846" spans="1:48">
      <c r="A1846" s="358" t="s">
        <v>24</v>
      </c>
      <c r="B1846" s="369">
        <v>1843</v>
      </c>
      <c r="C1846" s="372" t="s">
        <v>2712</v>
      </c>
      <c r="D1846" s="372" t="s">
        <v>34</v>
      </c>
      <c r="E1846" s="373">
        <v>46014</v>
      </c>
      <c r="F1846" s="372" t="s">
        <v>2713</v>
      </c>
      <c r="G1846" s="372">
        <v>24</v>
      </c>
      <c r="H1846" s="372" t="s">
        <v>67</v>
      </c>
      <c r="I1846" s="372" t="s">
        <v>47</v>
      </c>
      <c r="J1846" s="372"/>
      <c r="K1846" s="360" t="s">
        <v>2102</v>
      </c>
      <c r="L1846" s="360" t="s">
        <v>2636</v>
      </c>
      <c r="M1846" s="360" t="s">
        <v>2636</v>
      </c>
      <c r="N1846" s="360" t="s">
        <v>2050</v>
      </c>
      <c r="O1846" s="117" t="s">
        <v>31</v>
      </c>
      <c r="P1846" s="385" t="s">
        <v>30</v>
      </c>
      <c r="Q1846" s="23">
        <v>46053</v>
      </c>
      <c r="R1846" s="123" t="s">
        <v>48</v>
      </c>
      <c r="S1846" s="250" t="s">
        <v>32</v>
      </c>
      <c r="T1846" s="250">
        <v>31</v>
      </c>
      <c r="U1846" s="123" t="s">
        <v>48</v>
      </c>
      <c r="V1846" s="123">
        <v>46053</v>
      </c>
      <c r="W1846" s="100" t="s">
        <v>30</v>
      </c>
      <c r="X1846" s="100" t="s">
        <v>30</v>
      </c>
      <c r="Y1846" s="122" t="s">
        <v>30</v>
      </c>
      <c r="Z1846" s="100" t="s">
        <v>30</v>
      </c>
      <c r="AA1846" s="100" t="s">
        <v>30</v>
      </c>
      <c r="AB1846" s="100" t="s">
        <v>30</v>
      </c>
      <c r="AC1846" s="100" t="s">
        <v>30</v>
      </c>
      <c r="AD1846" s="100" t="s">
        <v>30</v>
      </c>
      <c r="AE1846" s="100" t="s">
        <v>30</v>
      </c>
      <c r="AF1846" s="100" t="s">
        <v>30</v>
      </c>
      <c r="AG1846" s="100" t="s">
        <v>30</v>
      </c>
      <c r="AH1846" s="100" t="s">
        <v>30</v>
      </c>
      <c r="AI1846" s="111" t="s">
        <v>30</v>
      </c>
      <c r="AJ1846" s="111" t="s">
        <v>30</v>
      </c>
      <c r="AK1846" s="111" t="s">
        <v>30</v>
      </c>
      <c r="AL1846" s="114"/>
      <c r="AM1846" s="360" t="s">
        <v>2548</v>
      </c>
      <c r="AS1846" s="72"/>
      <c r="AT1846" s="96"/>
      <c r="AU1846" s="96"/>
      <c r="AV1846" s="109"/>
    </row>
    <row r="1847" spans="1:48">
      <c r="A1847" s="358" t="s">
        <v>24</v>
      </c>
      <c r="B1847" s="369">
        <v>1844</v>
      </c>
      <c r="C1847" s="372" t="s">
        <v>2714</v>
      </c>
      <c r="D1847" s="372" t="s">
        <v>34</v>
      </c>
      <c r="E1847" s="373">
        <v>46014</v>
      </c>
      <c r="F1847" s="372" t="s">
        <v>2715</v>
      </c>
      <c r="G1847" s="372">
        <v>12</v>
      </c>
      <c r="H1847" s="372" t="s">
        <v>1721</v>
      </c>
      <c r="I1847" s="372" t="s">
        <v>1638</v>
      </c>
      <c r="J1847" s="372"/>
      <c r="K1847" s="360" t="s">
        <v>2100</v>
      </c>
      <c r="L1847" s="360" t="s">
        <v>2706</v>
      </c>
      <c r="M1847" s="360" t="s">
        <v>2706</v>
      </c>
      <c r="N1847" s="360" t="s">
        <v>2050</v>
      </c>
      <c r="O1847" s="255"/>
      <c r="P1847" s="252" t="s">
        <v>30</v>
      </c>
      <c r="Q1847" s="123">
        <v>46049</v>
      </c>
      <c r="R1847" s="384" t="s">
        <v>1638</v>
      </c>
      <c r="S1847" s="22" t="s">
        <v>32</v>
      </c>
      <c r="T1847" s="22">
        <v>10</v>
      </c>
      <c r="U1847" s="24" t="s">
        <v>1638</v>
      </c>
      <c r="V1847" s="123">
        <v>46049</v>
      </c>
      <c r="W1847" s="100" t="s">
        <v>30</v>
      </c>
      <c r="X1847" s="100" t="s">
        <v>30</v>
      </c>
      <c r="Y1847" s="100" t="s">
        <v>30</v>
      </c>
      <c r="Z1847" s="100" t="s">
        <v>30</v>
      </c>
      <c r="AA1847" s="100" t="s">
        <v>30</v>
      </c>
      <c r="AB1847" s="100" t="s">
        <v>30</v>
      </c>
      <c r="AC1847" s="100" t="s">
        <v>30</v>
      </c>
      <c r="AD1847" s="100" t="s">
        <v>30</v>
      </c>
      <c r="AE1847" s="100" t="s">
        <v>30</v>
      </c>
      <c r="AF1847" s="100" t="s">
        <v>30</v>
      </c>
      <c r="AG1847" s="100" t="s">
        <v>30</v>
      </c>
      <c r="AH1847" s="100" t="s">
        <v>30</v>
      </c>
      <c r="AI1847" s="100" t="s">
        <v>30</v>
      </c>
      <c r="AJ1847" s="100" t="s">
        <v>30</v>
      </c>
      <c r="AK1847" s="100" t="s">
        <v>30</v>
      </c>
      <c r="AL1847" s="114"/>
      <c r="AM1847" s="360"/>
      <c r="AV1847" s="109"/>
    </row>
    <row r="1848" spans="1:48">
      <c r="A1848" s="358" t="s">
        <v>24</v>
      </c>
      <c r="B1848" s="369">
        <v>1845</v>
      </c>
      <c r="C1848" s="372" t="s">
        <v>2716</v>
      </c>
      <c r="D1848" s="372" t="s">
        <v>50</v>
      </c>
      <c r="E1848" s="373">
        <v>46014</v>
      </c>
      <c r="F1848" s="372" t="s">
        <v>1342</v>
      </c>
      <c r="G1848" s="372">
        <v>23</v>
      </c>
      <c r="H1848" s="372" t="s">
        <v>67</v>
      </c>
      <c r="I1848" s="372" t="s">
        <v>47</v>
      </c>
      <c r="J1848" s="372"/>
      <c r="K1848" s="360" t="s">
        <v>2203</v>
      </c>
      <c r="L1848" s="360" t="s">
        <v>2636</v>
      </c>
      <c r="M1848" s="360" t="s">
        <v>2706</v>
      </c>
      <c r="N1848" s="360" t="s">
        <v>2058</v>
      </c>
      <c r="O1848" s="117" t="s">
        <v>31</v>
      </c>
      <c r="P1848" s="385" t="s">
        <v>1091</v>
      </c>
      <c r="Q1848" s="23">
        <v>46056</v>
      </c>
      <c r="R1848" s="24" t="s">
        <v>1638</v>
      </c>
      <c r="S1848" s="22" t="s">
        <v>32</v>
      </c>
      <c r="T1848" s="22">
        <v>31</v>
      </c>
      <c r="U1848" s="24" t="s">
        <v>1638</v>
      </c>
      <c r="V1848" s="23">
        <v>46056</v>
      </c>
      <c r="W1848" s="100" t="s">
        <v>30</v>
      </c>
      <c r="X1848" s="95" t="s">
        <v>32</v>
      </c>
      <c r="Y1848" s="100" t="s">
        <v>30</v>
      </c>
      <c r="Z1848" s="95" t="s">
        <v>32</v>
      </c>
      <c r="AA1848" s="95" t="s">
        <v>32</v>
      </c>
      <c r="AB1848" s="95" t="s">
        <v>32</v>
      </c>
      <c r="AC1848" s="100" t="s">
        <v>30</v>
      </c>
      <c r="AD1848" s="100" t="s">
        <v>30</v>
      </c>
      <c r="AE1848" s="100" t="s">
        <v>30</v>
      </c>
      <c r="AF1848" s="100" t="s">
        <v>30</v>
      </c>
      <c r="AG1848" s="100" t="s">
        <v>30</v>
      </c>
      <c r="AH1848" s="100" t="s">
        <v>30</v>
      </c>
      <c r="AI1848" s="100" t="s">
        <v>30</v>
      </c>
      <c r="AJ1848" s="100" t="s">
        <v>30</v>
      </c>
      <c r="AK1848" s="100" t="s">
        <v>30</v>
      </c>
      <c r="AL1848" s="114"/>
      <c r="AM1848" s="360" t="s">
        <v>2548</v>
      </c>
      <c r="AV1848" s="109"/>
    </row>
    <row r="1849" spans="1:48">
      <c r="A1849" s="358" t="s">
        <v>24</v>
      </c>
      <c r="B1849" s="369">
        <v>1846</v>
      </c>
      <c r="C1849" s="372" t="s">
        <v>2717</v>
      </c>
      <c r="D1849" s="372" t="s">
        <v>657</v>
      </c>
      <c r="E1849" s="373">
        <v>46014</v>
      </c>
      <c r="F1849" s="372" t="s">
        <v>1470</v>
      </c>
      <c r="G1849" s="372">
        <v>20</v>
      </c>
      <c r="H1849" s="372" t="s">
        <v>67</v>
      </c>
      <c r="I1849" s="372" t="s">
        <v>47</v>
      </c>
      <c r="J1849" s="372"/>
      <c r="K1849" s="360" t="s">
        <v>2264</v>
      </c>
      <c r="L1849" s="360" t="s">
        <v>2706</v>
      </c>
      <c r="M1849" s="360" t="s">
        <v>2706</v>
      </c>
      <c r="N1849" s="360" t="s">
        <v>2083</v>
      </c>
      <c r="O1849" s="117" t="s">
        <v>31</v>
      </c>
      <c r="P1849" s="252" t="s">
        <v>30</v>
      </c>
      <c r="Q1849" s="23">
        <v>46053</v>
      </c>
      <c r="R1849" s="24" t="s">
        <v>48</v>
      </c>
      <c r="S1849" s="22" t="s">
        <v>32</v>
      </c>
      <c r="T1849" s="22">
        <v>18</v>
      </c>
      <c r="U1849" s="24" t="s">
        <v>48</v>
      </c>
      <c r="V1849" s="23">
        <v>46053</v>
      </c>
      <c r="W1849" s="100" t="s">
        <v>30</v>
      </c>
      <c r="X1849" s="100" t="s">
        <v>30</v>
      </c>
      <c r="Y1849" s="100" t="s">
        <v>30</v>
      </c>
      <c r="Z1849" s="100" t="s">
        <v>30</v>
      </c>
      <c r="AA1849" s="100" t="s">
        <v>30</v>
      </c>
      <c r="AB1849" s="100" t="s">
        <v>30</v>
      </c>
      <c r="AC1849" s="100" t="s">
        <v>30</v>
      </c>
      <c r="AD1849" s="100" t="s">
        <v>30</v>
      </c>
      <c r="AE1849" s="100" t="s">
        <v>30</v>
      </c>
      <c r="AF1849" s="100" t="s">
        <v>30</v>
      </c>
      <c r="AG1849" s="100" t="s">
        <v>30</v>
      </c>
      <c r="AH1849" s="100" t="s">
        <v>30</v>
      </c>
      <c r="AI1849" s="100" t="s">
        <v>30</v>
      </c>
      <c r="AJ1849" s="100" t="s">
        <v>30</v>
      </c>
      <c r="AK1849" s="100" t="s">
        <v>30</v>
      </c>
      <c r="AL1849" s="114"/>
      <c r="AM1849" s="360"/>
      <c r="AO1849" s="412"/>
      <c r="AP1849" s="412"/>
      <c r="AQ1849" s="412"/>
      <c r="AR1849" s="412"/>
      <c r="AV1849" s="109"/>
    </row>
    <row r="1850" spans="1:48">
      <c r="A1850" s="358" t="s">
        <v>24</v>
      </c>
      <c r="B1850" s="369">
        <v>1847</v>
      </c>
      <c r="C1850" s="372" t="s">
        <v>2718</v>
      </c>
      <c r="D1850" s="372" t="s">
        <v>64</v>
      </c>
      <c r="E1850" s="373">
        <v>46014</v>
      </c>
      <c r="F1850" s="372" t="s">
        <v>2684</v>
      </c>
      <c r="G1850" s="372">
        <v>16</v>
      </c>
      <c r="H1850" s="372" t="s">
        <v>67</v>
      </c>
      <c r="I1850" s="372" t="s">
        <v>47</v>
      </c>
      <c r="J1850" s="372"/>
      <c r="K1850" s="360" t="s">
        <v>2126</v>
      </c>
      <c r="L1850" s="360" t="s">
        <v>2666</v>
      </c>
      <c r="M1850" s="360" t="s">
        <v>2666</v>
      </c>
      <c r="N1850" s="360" t="s">
        <v>2050</v>
      </c>
      <c r="O1850" s="117" t="s">
        <v>31</v>
      </c>
      <c r="P1850" s="252" t="s">
        <v>30</v>
      </c>
      <c r="Q1850" s="23">
        <v>46053</v>
      </c>
      <c r="R1850" s="24" t="s">
        <v>48</v>
      </c>
      <c r="S1850" s="22" t="s">
        <v>32</v>
      </c>
      <c r="T1850" s="22">
        <v>16</v>
      </c>
      <c r="U1850" s="24" t="s">
        <v>48</v>
      </c>
      <c r="V1850" s="23">
        <v>46053</v>
      </c>
      <c r="W1850" s="100" t="s">
        <v>30</v>
      </c>
      <c r="X1850" s="100" t="s">
        <v>30</v>
      </c>
      <c r="Y1850" s="100" t="s">
        <v>30</v>
      </c>
      <c r="Z1850" s="100" t="s">
        <v>30</v>
      </c>
      <c r="AA1850" s="100" t="s">
        <v>30</v>
      </c>
      <c r="AB1850" s="100" t="s">
        <v>30</v>
      </c>
      <c r="AC1850" s="100" t="s">
        <v>30</v>
      </c>
      <c r="AD1850" s="100" t="s">
        <v>30</v>
      </c>
      <c r="AE1850" s="100" t="s">
        <v>30</v>
      </c>
      <c r="AF1850" s="100" t="s">
        <v>30</v>
      </c>
      <c r="AG1850" s="100" t="s">
        <v>30</v>
      </c>
      <c r="AH1850" s="100" t="s">
        <v>30</v>
      </c>
      <c r="AI1850" s="100" t="s">
        <v>30</v>
      </c>
      <c r="AJ1850" s="100" t="s">
        <v>30</v>
      </c>
      <c r="AK1850" s="111" t="s">
        <v>30</v>
      </c>
      <c r="AL1850" s="114"/>
      <c r="AM1850" s="360" t="s">
        <v>2548</v>
      </c>
      <c r="AS1850" s="72"/>
      <c r="AT1850" s="96"/>
      <c r="AU1850" s="96"/>
      <c r="AV1850" s="109"/>
    </row>
    <row r="1851" spans="1:48">
      <c r="A1851" s="358" t="s">
        <v>24</v>
      </c>
      <c r="B1851" s="369">
        <v>1848</v>
      </c>
      <c r="C1851" s="372" t="s">
        <v>2719</v>
      </c>
      <c r="D1851" s="372" t="s">
        <v>34</v>
      </c>
      <c r="E1851" s="373">
        <v>46014</v>
      </c>
      <c r="F1851" s="372" t="s">
        <v>2720</v>
      </c>
      <c r="G1851" s="372">
        <v>24</v>
      </c>
      <c r="H1851" s="372" t="s">
        <v>67</v>
      </c>
      <c r="I1851" s="372" t="s">
        <v>47</v>
      </c>
      <c r="J1851" s="372"/>
      <c r="K1851" s="360" t="s">
        <v>2195</v>
      </c>
      <c r="L1851" s="360" t="s">
        <v>2666</v>
      </c>
      <c r="M1851" s="360" t="s">
        <v>2666</v>
      </c>
      <c r="N1851" s="360" t="s">
        <v>2050</v>
      </c>
      <c r="O1851" s="117" t="s">
        <v>31</v>
      </c>
      <c r="P1851" s="252" t="s">
        <v>30</v>
      </c>
      <c r="Q1851" s="23">
        <v>46053</v>
      </c>
      <c r="R1851" s="24" t="s">
        <v>48</v>
      </c>
      <c r="S1851" s="22" t="s">
        <v>32</v>
      </c>
      <c r="T1851" s="22">
        <v>13</v>
      </c>
      <c r="U1851" s="24" t="s">
        <v>48</v>
      </c>
      <c r="V1851" s="23">
        <v>46053</v>
      </c>
      <c r="W1851" s="100" t="s">
        <v>30</v>
      </c>
      <c r="X1851" s="95" t="s">
        <v>32</v>
      </c>
      <c r="Y1851" s="100" t="s">
        <v>30</v>
      </c>
      <c r="Z1851" s="95" t="s">
        <v>32</v>
      </c>
      <c r="AA1851" s="95" t="s">
        <v>32</v>
      </c>
      <c r="AB1851" s="111" t="s">
        <v>30</v>
      </c>
      <c r="AC1851" s="111" t="s">
        <v>30</v>
      </c>
      <c r="AD1851" s="111" t="s">
        <v>30</v>
      </c>
      <c r="AE1851" s="111" t="s">
        <v>30</v>
      </c>
      <c r="AF1851" s="111" t="s">
        <v>30</v>
      </c>
      <c r="AG1851" s="111" t="s">
        <v>30</v>
      </c>
      <c r="AH1851" s="114"/>
      <c r="AI1851" s="100" t="s">
        <v>30</v>
      </c>
      <c r="AJ1851" s="100" t="s">
        <v>30</v>
      </c>
      <c r="AK1851" s="100" t="s">
        <v>30</v>
      </c>
      <c r="AL1851" s="114"/>
      <c r="AM1851" s="360"/>
      <c r="AO1851" s="412"/>
      <c r="AP1851" s="412"/>
      <c r="AQ1851" s="412"/>
      <c r="AR1851" s="412"/>
      <c r="AV1851" s="109"/>
    </row>
    <row r="1852" spans="1:48">
      <c r="A1852" s="358" t="s">
        <v>24</v>
      </c>
      <c r="B1852" s="369">
        <v>1849</v>
      </c>
      <c r="C1852" s="372" t="s">
        <v>2721</v>
      </c>
      <c r="D1852" s="372" t="s">
        <v>34</v>
      </c>
      <c r="E1852" s="373">
        <v>46014</v>
      </c>
      <c r="F1852" s="372" t="s">
        <v>2687</v>
      </c>
      <c r="G1852" s="372">
        <v>14</v>
      </c>
      <c r="H1852" s="372" t="s">
        <v>67</v>
      </c>
      <c r="I1852" s="372" t="s">
        <v>47</v>
      </c>
      <c r="J1852" s="257"/>
      <c r="K1852" s="360" t="s">
        <v>2130</v>
      </c>
      <c r="L1852" s="360" t="s">
        <v>2661</v>
      </c>
      <c r="M1852" s="360" t="s">
        <v>2661</v>
      </c>
      <c r="N1852" s="360" t="s">
        <v>2050</v>
      </c>
      <c r="O1852" s="385"/>
      <c r="P1852" s="252" t="s">
        <v>30</v>
      </c>
      <c r="Q1852" s="23">
        <v>46042</v>
      </c>
      <c r="R1852" s="24" t="s">
        <v>47</v>
      </c>
      <c r="S1852" s="358" t="s">
        <v>30</v>
      </c>
      <c r="T1852" s="22">
        <v>21</v>
      </c>
      <c r="U1852" s="24" t="s">
        <v>47</v>
      </c>
      <c r="V1852" s="23">
        <v>46042</v>
      </c>
      <c r="W1852" s="82" t="s">
        <v>30</v>
      </c>
      <c r="X1852" s="95" t="s">
        <v>32</v>
      </c>
      <c r="Y1852" s="100" t="s">
        <v>30</v>
      </c>
      <c r="Z1852" s="95" t="s">
        <v>32</v>
      </c>
      <c r="AA1852" s="95" t="s">
        <v>32</v>
      </c>
      <c r="AB1852" s="100" t="s">
        <v>30</v>
      </c>
      <c r="AC1852" s="100" t="s">
        <v>30</v>
      </c>
      <c r="AD1852" s="100" t="s">
        <v>30</v>
      </c>
      <c r="AE1852" s="100" t="s">
        <v>30</v>
      </c>
      <c r="AF1852" s="100" t="s">
        <v>30</v>
      </c>
      <c r="AG1852" s="100" t="s">
        <v>30</v>
      </c>
      <c r="AH1852" s="100" t="s">
        <v>30</v>
      </c>
      <c r="AI1852" s="111" t="s">
        <v>30</v>
      </c>
      <c r="AJ1852" s="114" t="s">
        <v>32</v>
      </c>
      <c r="AK1852" s="111" t="s">
        <v>30</v>
      </c>
      <c r="AL1852" s="114"/>
      <c r="AM1852" s="360" t="s">
        <v>2545</v>
      </c>
      <c r="AO1852" s="412"/>
      <c r="AP1852" s="412"/>
      <c r="AQ1852" s="412"/>
      <c r="AR1852" s="412"/>
      <c r="AV1852" s="109"/>
    </row>
    <row r="1853" spans="1:48">
      <c r="A1853" s="358" t="s">
        <v>24</v>
      </c>
      <c r="B1853" s="369">
        <v>1850</v>
      </c>
      <c r="C1853" s="372" t="s">
        <v>2722</v>
      </c>
      <c r="D1853" s="372" t="s">
        <v>34</v>
      </c>
      <c r="E1853" s="373">
        <v>46014</v>
      </c>
      <c r="F1853" s="372" t="s">
        <v>2687</v>
      </c>
      <c r="G1853" s="372">
        <v>20</v>
      </c>
      <c r="H1853" s="372" t="s">
        <v>67</v>
      </c>
      <c r="I1853" s="372" t="s">
        <v>47</v>
      </c>
      <c r="J1853" s="372"/>
      <c r="K1853" s="360" t="s">
        <v>2130</v>
      </c>
      <c r="L1853" s="360" t="s">
        <v>2661</v>
      </c>
      <c r="M1853" s="360" t="s">
        <v>2661</v>
      </c>
      <c r="N1853" s="360" t="s">
        <v>2050</v>
      </c>
      <c r="O1853" s="117" t="s">
        <v>31</v>
      </c>
      <c r="P1853" s="254" t="s">
        <v>30</v>
      </c>
      <c r="Q1853" s="23">
        <v>46045</v>
      </c>
      <c r="R1853" s="24" t="s">
        <v>47</v>
      </c>
      <c r="S1853" s="22" t="s">
        <v>32</v>
      </c>
      <c r="T1853" s="22">
        <v>14</v>
      </c>
      <c r="U1853" s="24" t="s">
        <v>47</v>
      </c>
      <c r="V1853" s="23">
        <v>46045</v>
      </c>
      <c r="W1853" s="82" t="s">
        <v>30</v>
      </c>
      <c r="X1853" s="95" t="s">
        <v>32</v>
      </c>
      <c r="Y1853" s="100" t="s">
        <v>30</v>
      </c>
      <c r="Z1853" s="95" t="s">
        <v>32</v>
      </c>
      <c r="AA1853" s="95" t="s">
        <v>32</v>
      </c>
      <c r="AB1853" s="100" t="s">
        <v>30</v>
      </c>
      <c r="AC1853" s="100" t="s">
        <v>30</v>
      </c>
      <c r="AD1853" s="100" t="s">
        <v>30</v>
      </c>
      <c r="AE1853" s="100" t="s">
        <v>30</v>
      </c>
      <c r="AF1853" s="100" t="s">
        <v>30</v>
      </c>
      <c r="AG1853" s="100" t="s">
        <v>30</v>
      </c>
      <c r="AH1853" s="100" t="s">
        <v>30</v>
      </c>
      <c r="AI1853" s="111" t="s">
        <v>30</v>
      </c>
      <c r="AJ1853" s="114" t="s">
        <v>32</v>
      </c>
      <c r="AK1853" s="111" t="s">
        <v>30</v>
      </c>
      <c r="AL1853" s="114"/>
      <c r="AM1853" s="360" t="s">
        <v>2545</v>
      </c>
      <c r="AV1853" s="109"/>
    </row>
    <row r="1854" spans="1:48">
      <c r="A1854" s="358" t="s">
        <v>24</v>
      </c>
      <c r="B1854" s="369">
        <v>1851</v>
      </c>
      <c r="C1854" s="372" t="s">
        <v>2723</v>
      </c>
      <c r="D1854" s="372" t="s">
        <v>178</v>
      </c>
      <c r="E1854" s="373">
        <v>46014</v>
      </c>
      <c r="F1854" s="372" t="s">
        <v>2687</v>
      </c>
      <c r="G1854" s="372">
        <v>14</v>
      </c>
      <c r="H1854" s="372" t="s">
        <v>67</v>
      </c>
      <c r="I1854" s="372" t="s">
        <v>47</v>
      </c>
      <c r="J1854" s="372"/>
      <c r="K1854" s="360" t="s">
        <v>2123</v>
      </c>
      <c r="L1854" s="360" t="s">
        <v>2661</v>
      </c>
      <c r="M1854" s="360" t="s">
        <v>2661</v>
      </c>
      <c r="N1854" s="360" t="s">
        <v>2050</v>
      </c>
      <c r="O1854" s="385"/>
      <c r="P1854" s="23" t="s">
        <v>30</v>
      </c>
      <c r="Q1854" s="23">
        <v>46046</v>
      </c>
      <c r="R1854" s="24" t="s">
        <v>47</v>
      </c>
      <c r="S1854" s="22" t="s">
        <v>1140</v>
      </c>
      <c r="T1854" s="22">
        <v>14</v>
      </c>
      <c r="U1854" s="24" t="s">
        <v>47</v>
      </c>
      <c r="V1854" s="23">
        <v>46046</v>
      </c>
      <c r="W1854" s="100" t="s">
        <v>30</v>
      </c>
      <c r="X1854" s="100" t="s">
        <v>30</v>
      </c>
      <c r="Y1854" s="100" t="s">
        <v>30</v>
      </c>
      <c r="Z1854" s="100" t="s">
        <v>30</v>
      </c>
      <c r="AA1854" s="100" t="s">
        <v>30</v>
      </c>
      <c r="AB1854" s="100" t="s">
        <v>30</v>
      </c>
      <c r="AC1854" s="100" t="s">
        <v>30</v>
      </c>
      <c r="AD1854" s="100" t="s">
        <v>30</v>
      </c>
      <c r="AE1854" s="100" t="s">
        <v>30</v>
      </c>
      <c r="AF1854" s="100" t="s">
        <v>30</v>
      </c>
      <c r="AG1854" s="100" t="s">
        <v>30</v>
      </c>
      <c r="AH1854" s="100" t="s">
        <v>30</v>
      </c>
      <c r="AI1854" s="111" t="s">
        <v>30</v>
      </c>
      <c r="AJ1854" s="111" t="s">
        <v>30</v>
      </c>
      <c r="AK1854" s="111" t="s">
        <v>30</v>
      </c>
      <c r="AL1854" s="114"/>
      <c r="AM1854" s="360"/>
      <c r="AV1854" s="109"/>
    </row>
    <row r="1855" spans="1:48">
      <c r="A1855" s="358" t="s">
        <v>24</v>
      </c>
      <c r="B1855" s="369">
        <v>1852</v>
      </c>
      <c r="C1855" s="372" t="s">
        <v>2724</v>
      </c>
      <c r="D1855" s="372" t="s">
        <v>178</v>
      </c>
      <c r="E1855" s="373">
        <v>46014</v>
      </c>
      <c r="F1855" s="372" t="s">
        <v>2687</v>
      </c>
      <c r="G1855" s="372">
        <v>20</v>
      </c>
      <c r="H1855" s="372" t="s">
        <v>67</v>
      </c>
      <c r="I1855" s="372" t="s">
        <v>47</v>
      </c>
      <c r="J1855" s="372"/>
      <c r="K1855" s="360" t="s">
        <v>2123</v>
      </c>
      <c r="L1855" s="360" t="s">
        <v>2661</v>
      </c>
      <c r="M1855" s="360" t="s">
        <v>2661</v>
      </c>
      <c r="N1855" s="360" t="s">
        <v>2050</v>
      </c>
      <c r="O1855" s="117" t="s">
        <v>31</v>
      </c>
      <c r="P1855" s="254" t="s">
        <v>30</v>
      </c>
      <c r="Q1855" s="23">
        <v>46045</v>
      </c>
      <c r="R1855" s="24" t="s">
        <v>47</v>
      </c>
      <c r="S1855" s="22" t="s">
        <v>32</v>
      </c>
      <c r="T1855" s="22">
        <v>21</v>
      </c>
      <c r="U1855" s="24" t="s">
        <v>47</v>
      </c>
      <c r="V1855" s="23">
        <v>46045</v>
      </c>
      <c r="W1855" s="100" t="s">
        <v>30</v>
      </c>
      <c r="X1855" s="100" t="s">
        <v>30</v>
      </c>
      <c r="Y1855" s="100" t="s">
        <v>30</v>
      </c>
      <c r="Z1855" s="100" t="s">
        <v>30</v>
      </c>
      <c r="AA1855" s="100" t="s">
        <v>30</v>
      </c>
      <c r="AB1855" s="100" t="s">
        <v>30</v>
      </c>
      <c r="AC1855" s="100" t="s">
        <v>30</v>
      </c>
      <c r="AD1855" s="100" t="s">
        <v>30</v>
      </c>
      <c r="AE1855" s="100" t="s">
        <v>30</v>
      </c>
      <c r="AF1855" s="100" t="s">
        <v>30</v>
      </c>
      <c r="AG1855" s="100" t="s">
        <v>30</v>
      </c>
      <c r="AH1855" s="100" t="s">
        <v>30</v>
      </c>
      <c r="AI1855" s="111" t="s">
        <v>30</v>
      </c>
      <c r="AJ1855" s="111" t="s">
        <v>30</v>
      </c>
      <c r="AK1855" s="111" t="s">
        <v>30</v>
      </c>
      <c r="AL1855" s="114"/>
      <c r="AM1855" s="360"/>
      <c r="AN1855" s="6"/>
      <c r="AO1855" s="6"/>
      <c r="AP1855" s="6"/>
      <c r="AQ1855" s="6"/>
      <c r="AR1855" s="6"/>
      <c r="AS1855" s="108"/>
      <c r="AT1855" s="109"/>
      <c r="AU1855" s="109"/>
      <c r="AV1855" s="109"/>
    </row>
    <row r="1856" spans="1:48">
      <c r="A1856" s="358" t="s">
        <v>24</v>
      </c>
      <c r="B1856" s="369">
        <v>1853</v>
      </c>
      <c r="C1856" s="372" t="s">
        <v>2725</v>
      </c>
      <c r="D1856" s="372" t="s">
        <v>64</v>
      </c>
      <c r="E1856" s="373">
        <v>46017</v>
      </c>
      <c r="F1856" s="372" t="s">
        <v>701</v>
      </c>
      <c r="G1856" s="372">
        <v>15</v>
      </c>
      <c r="H1856" s="372" t="s">
        <v>127</v>
      </c>
      <c r="I1856" s="372" t="s">
        <v>178</v>
      </c>
      <c r="J1856" s="372"/>
      <c r="K1856" s="360" t="s">
        <v>2085</v>
      </c>
      <c r="L1856" s="360" t="s">
        <v>2666</v>
      </c>
      <c r="M1856" s="360" t="s">
        <v>2666</v>
      </c>
      <c r="N1856" s="360" t="s">
        <v>2050</v>
      </c>
      <c r="O1856" s="117" t="s">
        <v>31</v>
      </c>
      <c r="P1856" s="385" t="s">
        <v>30</v>
      </c>
      <c r="Q1856" s="23">
        <v>46053</v>
      </c>
      <c r="R1856" s="24" t="s">
        <v>48</v>
      </c>
      <c r="S1856" s="22" t="s">
        <v>32</v>
      </c>
      <c r="T1856" s="22">
        <v>16</v>
      </c>
      <c r="U1856" s="24" t="s">
        <v>48</v>
      </c>
      <c r="V1856" s="23">
        <v>46053</v>
      </c>
      <c r="W1856" s="100" t="s">
        <v>30</v>
      </c>
      <c r="X1856" s="122" t="s">
        <v>30</v>
      </c>
      <c r="Y1856" s="100" t="s">
        <v>30</v>
      </c>
      <c r="Z1856" s="100" t="s">
        <v>30</v>
      </c>
      <c r="AA1856" s="100" t="s">
        <v>30</v>
      </c>
      <c r="AB1856" s="100" t="s">
        <v>30</v>
      </c>
      <c r="AC1856" s="100" t="s">
        <v>30</v>
      </c>
      <c r="AD1856" s="100" t="s">
        <v>30</v>
      </c>
      <c r="AE1856" s="100" t="s">
        <v>30</v>
      </c>
      <c r="AF1856" s="100" t="s">
        <v>30</v>
      </c>
      <c r="AG1856" s="100" t="s">
        <v>30</v>
      </c>
      <c r="AH1856" s="100" t="s">
        <v>30</v>
      </c>
      <c r="AI1856" s="111" t="s">
        <v>30</v>
      </c>
      <c r="AJ1856" s="111" t="s">
        <v>30</v>
      </c>
      <c r="AK1856" s="111" t="s">
        <v>30</v>
      </c>
      <c r="AL1856" s="114"/>
      <c r="AM1856" s="360"/>
      <c r="AV1856" s="109"/>
    </row>
    <row r="1857" spans="1:48">
      <c r="A1857" s="358" t="s">
        <v>24</v>
      </c>
      <c r="B1857" s="369">
        <v>1854</v>
      </c>
      <c r="C1857" s="372" t="s">
        <v>2726</v>
      </c>
      <c r="D1857" s="372" t="s">
        <v>34</v>
      </c>
      <c r="E1857" s="373">
        <v>46017</v>
      </c>
      <c r="F1857" s="372" t="s">
        <v>668</v>
      </c>
      <c r="G1857" s="372">
        <v>13</v>
      </c>
      <c r="H1857" s="372" t="s">
        <v>127</v>
      </c>
      <c r="I1857" s="372" t="s">
        <v>178</v>
      </c>
      <c r="J1857" s="372"/>
      <c r="K1857" s="360" t="s">
        <v>2126</v>
      </c>
      <c r="L1857" s="360" t="s">
        <v>2706</v>
      </c>
      <c r="M1857" s="385" t="s">
        <v>2706</v>
      </c>
      <c r="N1857" s="360" t="s">
        <v>2050</v>
      </c>
      <c r="O1857" s="360"/>
      <c r="P1857" s="256" t="s">
        <v>30</v>
      </c>
      <c r="Q1857" s="23">
        <v>46049</v>
      </c>
      <c r="R1857" s="24" t="s">
        <v>1638</v>
      </c>
      <c r="S1857" s="22" t="s">
        <v>32</v>
      </c>
      <c r="T1857" s="22">
        <v>11</v>
      </c>
      <c r="U1857" s="24" t="s">
        <v>1638</v>
      </c>
      <c r="V1857" s="23">
        <v>46049</v>
      </c>
      <c r="W1857" s="94" t="s">
        <v>30</v>
      </c>
      <c r="X1857" s="100" t="s">
        <v>30</v>
      </c>
      <c r="Y1857" s="100" t="s">
        <v>30</v>
      </c>
      <c r="Z1857" s="100" t="s">
        <v>30</v>
      </c>
      <c r="AA1857" s="100" t="s">
        <v>30</v>
      </c>
      <c r="AB1857" s="100" t="s">
        <v>30</v>
      </c>
      <c r="AC1857" s="100" t="s">
        <v>30</v>
      </c>
      <c r="AD1857" s="100" t="s">
        <v>30</v>
      </c>
      <c r="AE1857" s="100" t="s">
        <v>30</v>
      </c>
      <c r="AF1857" s="100" t="s">
        <v>30</v>
      </c>
      <c r="AG1857" s="100" t="s">
        <v>30</v>
      </c>
      <c r="AH1857" s="100" t="s">
        <v>30</v>
      </c>
      <c r="AI1857" s="100" t="s">
        <v>30</v>
      </c>
      <c r="AJ1857" s="100" t="s">
        <v>30</v>
      </c>
      <c r="AK1857" s="100" t="s">
        <v>30</v>
      </c>
      <c r="AL1857" s="114"/>
      <c r="AM1857" s="360"/>
      <c r="AN1857" s="91"/>
      <c r="AO1857" s="91"/>
      <c r="AS1857" s="72"/>
      <c r="AT1857" s="96"/>
      <c r="AU1857" s="96"/>
      <c r="AV1857" s="109"/>
    </row>
    <row r="1858" spans="1:48">
      <c r="A1858" s="358" t="s">
        <v>24</v>
      </c>
      <c r="B1858" s="369">
        <v>1855</v>
      </c>
      <c r="C1858" s="372" t="s">
        <v>2727</v>
      </c>
      <c r="D1858" s="372" t="s">
        <v>34</v>
      </c>
      <c r="E1858" s="373">
        <v>46017</v>
      </c>
      <c r="F1858" s="372" t="s">
        <v>91</v>
      </c>
      <c r="G1858" s="372">
        <v>13</v>
      </c>
      <c r="H1858" s="372" t="s">
        <v>127</v>
      </c>
      <c r="I1858" s="372" t="s">
        <v>178</v>
      </c>
      <c r="J1858" s="372"/>
      <c r="K1858" s="360" t="s">
        <v>2180</v>
      </c>
      <c r="L1858" s="360" t="s">
        <v>2706</v>
      </c>
      <c r="M1858" s="385" t="s">
        <v>2728</v>
      </c>
      <c r="N1858" s="360" t="s">
        <v>2050</v>
      </c>
      <c r="O1858" s="360"/>
      <c r="P1858" s="385" t="s">
        <v>30</v>
      </c>
      <c r="Q1858" s="23">
        <v>46038</v>
      </c>
      <c r="R1858" s="24" t="s">
        <v>2707</v>
      </c>
      <c r="S1858" s="22" t="s">
        <v>32</v>
      </c>
      <c r="T1858" s="7">
        <v>9</v>
      </c>
      <c r="U1858" s="24" t="s">
        <v>2707</v>
      </c>
      <c r="V1858" s="23">
        <v>46038</v>
      </c>
      <c r="W1858" s="122" t="s">
        <v>30</v>
      </c>
      <c r="X1858" s="122" t="s">
        <v>30</v>
      </c>
      <c r="Y1858" s="100" t="s">
        <v>30</v>
      </c>
      <c r="Z1858" s="124"/>
      <c r="AA1858" s="124"/>
      <c r="AB1858" s="124"/>
      <c r="AC1858" s="111" t="s">
        <v>30</v>
      </c>
      <c r="AD1858" s="111" t="s">
        <v>30</v>
      </c>
      <c r="AE1858" s="111" t="s">
        <v>30</v>
      </c>
      <c r="AF1858" s="111" t="s">
        <v>30</v>
      </c>
      <c r="AG1858" s="111" t="s">
        <v>30</v>
      </c>
      <c r="AH1858" s="100" t="s">
        <v>30</v>
      </c>
      <c r="AI1858" s="111" t="s">
        <v>30</v>
      </c>
      <c r="AJ1858" s="111" t="s">
        <v>30</v>
      </c>
      <c r="AK1858" s="111" t="s">
        <v>30</v>
      </c>
      <c r="AL1858" s="114"/>
      <c r="AM1858" s="360"/>
      <c r="AS1858" s="72"/>
      <c r="AT1858" s="96"/>
      <c r="AU1858" s="96"/>
      <c r="AV1858" s="109"/>
    </row>
    <row r="1859" spans="1:48">
      <c r="A1859" s="358" t="s">
        <v>24</v>
      </c>
      <c r="B1859" s="369">
        <v>1856</v>
      </c>
      <c r="C1859" s="372" t="s">
        <v>2729</v>
      </c>
      <c r="D1859" s="372" t="s">
        <v>34</v>
      </c>
      <c r="E1859" s="373">
        <v>46017</v>
      </c>
      <c r="F1859" s="372" t="s">
        <v>106</v>
      </c>
      <c r="G1859" s="372">
        <v>16</v>
      </c>
      <c r="H1859" s="372" t="s">
        <v>127</v>
      </c>
      <c r="I1859" s="372" t="s">
        <v>178</v>
      </c>
      <c r="J1859" s="372"/>
      <c r="K1859" s="360" t="s">
        <v>2092</v>
      </c>
      <c r="L1859" s="360" t="s">
        <v>2666</v>
      </c>
      <c r="M1859" s="360" t="s">
        <v>2636</v>
      </c>
      <c r="N1859" s="360" t="s">
        <v>2050</v>
      </c>
      <c r="O1859" s="117" t="s">
        <v>31</v>
      </c>
      <c r="P1859" s="385" t="s">
        <v>30</v>
      </c>
      <c r="Q1859" s="23">
        <v>46052</v>
      </c>
      <c r="R1859" s="24" t="s">
        <v>2707</v>
      </c>
      <c r="S1859" s="22" t="s">
        <v>32</v>
      </c>
      <c r="T1859" s="22">
        <v>10</v>
      </c>
      <c r="U1859" s="24" t="s">
        <v>2707</v>
      </c>
      <c r="V1859" s="23">
        <v>46052</v>
      </c>
      <c r="W1859" s="100" t="s">
        <v>30</v>
      </c>
      <c r="X1859" s="100" t="s">
        <v>30</v>
      </c>
      <c r="Y1859" s="122" t="s">
        <v>30</v>
      </c>
      <c r="Z1859" s="124"/>
      <c r="AA1859" s="125"/>
      <c r="AB1859" s="124"/>
      <c r="AC1859" s="100" t="s">
        <v>30</v>
      </c>
      <c r="AD1859" s="100" t="s">
        <v>30</v>
      </c>
      <c r="AE1859" s="100" t="s">
        <v>30</v>
      </c>
      <c r="AF1859" s="100" t="s">
        <v>30</v>
      </c>
      <c r="AG1859" s="100" t="s">
        <v>30</v>
      </c>
      <c r="AH1859" s="100" t="s">
        <v>30</v>
      </c>
      <c r="AI1859" s="100" t="s">
        <v>30</v>
      </c>
      <c r="AJ1859" s="100" t="s">
        <v>30</v>
      </c>
      <c r="AK1859" s="100" t="s">
        <v>30</v>
      </c>
      <c r="AL1859" s="114"/>
      <c r="AM1859" s="360"/>
      <c r="AN1859" s="91"/>
      <c r="AO1859" s="91"/>
      <c r="AS1859" s="72"/>
      <c r="AT1859" s="96"/>
      <c r="AU1859" s="96"/>
      <c r="AV1859" s="109"/>
    </row>
    <row r="1860" spans="1:48">
      <c r="A1860" s="358" t="s">
        <v>24</v>
      </c>
      <c r="B1860" s="369">
        <v>1857</v>
      </c>
      <c r="C1860" s="372" t="s">
        <v>2730</v>
      </c>
      <c r="D1860" s="372" t="s">
        <v>99</v>
      </c>
      <c r="E1860" s="373">
        <v>46017</v>
      </c>
      <c r="F1860" s="372" t="s">
        <v>646</v>
      </c>
      <c r="G1860" s="372">
        <v>14</v>
      </c>
      <c r="H1860" s="372" t="s">
        <v>1077</v>
      </c>
      <c r="I1860" s="372" t="s">
        <v>1138</v>
      </c>
      <c r="J1860" s="372"/>
      <c r="K1860" s="360" t="s">
        <v>2052</v>
      </c>
      <c r="L1860" s="360" t="s">
        <v>2706</v>
      </c>
      <c r="M1860" s="360" t="s">
        <v>2706</v>
      </c>
      <c r="N1860" s="360" t="s">
        <v>2050</v>
      </c>
      <c r="O1860" s="360"/>
      <c r="P1860" s="385" t="s">
        <v>30</v>
      </c>
      <c r="Q1860" s="23">
        <v>46036</v>
      </c>
      <c r="R1860" s="384" t="s">
        <v>1138</v>
      </c>
      <c r="S1860" s="22" t="s">
        <v>32</v>
      </c>
      <c r="T1860" s="22">
        <v>6</v>
      </c>
      <c r="U1860" s="24" t="s">
        <v>1138</v>
      </c>
      <c r="V1860" s="23">
        <v>46036</v>
      </c>
      <c r="W1860" s="122" t="s">
        <v>30</v>
      </c>
      <c r="X1860" s="100" t="s">
        <v>30</v>
      </c>
      <c r="Y1860" s="122" t="s">
        <v>30</v>
      </c>
      <c r="Z1860" s="100" t="s">
        <v>30</v>
      </c>
      <c r="AA1860" s="100" t="s">
        <v>30</v>
      </c>
      <c r="AB1860" s="100" t="s">
        <v>30</v>
      </c>
      <c r="AC1860" s="100" t="s">
        <v>30</v>
      </c>
      <c r="AD1860" s="100" t="s">
        <v>30</v>
      </c>
      <c r="AE1860" s="100" t="s">
        <v>30</v>
      </c>
      <c r="AF1860" s="100" t="s">
        <v>30</v>
      </c>
      <c r="AG1860" s="100" t="s">
        <v>30</v>
      </c>
      <c r="AH1860" s="100" t="s">
        <v>30</v>
      </c>
      <c r="AI1860" s="111" t="s">
        <v>30</v>
      </c>
      <c r="AJ1860" s="111" t="s">
        <v>30</v>
      </c>
      <c r="AK1860" s="111" t="s">
        <v>30</v>
      </c>
      <c r="AL1860" s="114"/>
      <c r="AM1860" s="360"/>
      <c r="AS1860" s="72"/>
      <c r="AT1860" s="96"/>
      <c r="AU1860" s="96"/>
      <c r="AV1860" s="109"/>
    </row>
    <row r="1861" spans="1:48">
      <c r="A1861" s="358" t="s">
        <v>24</v>
      </c>
      <c r="B1861" s="369">
        <v>1858</v>
      </c>
      <c r="C1861" s="372" t="s">
        <v>2731</v>
      </c>
      <c r="D1861" s="372" t="s">
        <v>34</v>
      </c>
      <c r="E1861" s="373">
        <v>46017</v>
      </c>
      <c r="F1861" s="372" t="s">
        <v>2732</v>
      </c>
      <c r="G1861" s="372">
        <v>18</v>
      </c>
      <c r="H1861" s="372" t="s">
        <v>1077</v>
      </c>
      <c r="I1861" s="372" t="s">
        <v>1138</v>
      </c>
      <c r="J1861" s="372"/>
      <c r="K1861" s="358" t="s">
        <v>2115</v>
      </c>
      <c r="L1861" s="360" t="s">
        <v>2706</v>
      </c>
      <c r="M1861" s="358" t="s">
        <v>2706</v>
      </c>
      <c r="N1861" s="358" t="s">
        <v>2050</v>
      </c>
      <c r="O1861" s="117" t="s">
        <v>31</v>
      </c>
      <c r="P1861" s="380" t="s">
        <v>30</v>
      </c>
      <c r="Q1861" s="23">
        <v>46038</v>
      </c>
      <c r="R1861" s="384" t="s">
        <v>1138</v>
      </c>
      <c r="S1861" s="22" t="s">
        <v>32</v>
      </c>
      <c r="T1861" s="22">
        <v>16</v>
      </c>
      <c r="U1861" s="384" t="s">
        <v>1138</v>
      </c>
      <c r="V1861" s="23">
        <v>46038</v>
      </c>
      <c r="W1861" s="122" t="s">
        <v>30</v>
      </c>
      <c r="X1861" s="122" t="s">
        <v>30</v>
      </c>
      <c r="Y1861" s="122" t="s">
        <v>30</v>
      </c>
      <c r="Z1861" s="124"/>
      <c r="AA1861" s="124"/>
      <c r="AB1861" s="124"/>
      <c r="AC1861" s="122" t="s">
        <v>30</v>
      </c>
      <c r="AD1861" s="122" t="s">
        <v>30</v>
      </c>
      <c r="AE1861" s="122" t="s">
        <v>30</v>
      </c>
      <c r="AF1861" s="122" t="s">
        <v>30</v>
      </c>
      <c r="AG1861" s="122" t="s">
        <v>30</v>
      </c>
      <c r="AH1861" s="100" t="s">
        <v>30</v>
      </c>
      <c r="AI1861" s="122" t="s">
        <v>30</v>
      </c>
      <c r="AJ1861" s="122" t="s">
        <v>30</v>
      </c>
      <c r="AK1861" s="122" t="s">
        <v>30</v>
      </c>
      <c r="AL1861" s="114"/>
      <c r="AM1861" s="360"/>
      <c r="AV1861" s="109"/>
    </row>
    <row r="1862" spans="1:48">
      <c r="A1862" s="358" t="s">
        <v>24</v>
      </c>
      <c r="B1862" s="369">
        <v>1859</v>
      </c>
      <c r="C1862" s="372" t="s">
        <v>2733</v>
      </c>
      <c r="D1862" s="372" t="s">
        <v>178</v>
      </c>
      <c r="E1862" s="373">
        <v>46017</v>
      </c>
      <c r="F1862" s="372" t="s">
        <v>364</v>
      </c>
      <c r="G1862" s="372">
        <v>12</v>
      </c>
      <c r="H1862" s="372" t="s">
        <v>67</v>
      </c>
      <c r="I1862" s="372" t="s">
        <v>47</v>
      </c>
      <c r="J1862" s="372"/>
      <c r="K1862" s="360" t="s">
        <v>2098</v>
      </c>
      <c r="L1862" s="360" t="s">
        <v>2706</v>
      </c>
      <c r="M1862" s="360" t="s">
        <v>2734</v>
      </c>
      <c r="N1862" s="360" t="s">
        <v>2050</v>
      </c>
      <c r="O1862" s="360"/>
      <c r="P1862" s="385" t="s">
        <v>30</v>
      </c>
      <c r="Q1862" s="23">
        <v>46050</v>
      </c>
      <c r="R1862" s="24" t="s">
        <v>48</v>
      </c>
      <c r="S1862" s="22" t="s">
        <v>32</v>
      </c>
      <c r="T1862" s="22">
        <v>11</v>
      </c>
      <c r="U1862" s="24" t="s">
        <v>48</v>
      </c>
      <c r="V1862" s="23">
        <v>46050</v>
      </c>
      <c r="W1862" s="100" t="s">
        <v>30</v>
      </c>
      <c r="X1862" s="122" t="s">
        <v>30</v>
      </c>
      <c r="Y1862" s="122" t="s">
        <v>30</v>
      </c>
      <c r="Z1862" s="100" t="s">
        <v>30</v>
      </c>
      <c r="AA1862" s="100" t="s">
        <v>30</v>
      </c>
      <c r="AB1862" s="100" t="s">
        <v>30</v>
      </c>
      <c r="AC1862" s="100" t="s">
        <v>30</v>
      </c>
      <c r="AD1862" s="100" t="s">
        <v>30</v>
      </c>
      <c r="AE1862" s="100" t="s">
        <v>30</v>
      </c>
      <c r="AF1862" s="100" t="s">
        <v>30</v>
      </c>
      <c r="AG1862" s="100" t="s">
        <v>30</v>
      </c>
      <c r="AH1862" s="100" t="s">
        <v>30</v>
      </c>
      <c r="AI1862" s="122" t="s">
        <v>30</v>
      </c>
      <c r="AJ1862" s="122" t="s">
        <v>30</v>
      </c>
      <c r="AK1862" s="122" t="s">
        <v>30</v>
      </c>
      <c r="AL1862" s="95" t="s">
        <v>32</v>
      </c>
      <c r="AM1862" s="360" t="s">
        <v>2548</v>
      </c>
      <c r="AS1862" s="72"/>
      <c r="AT1862" s="96"/>
      <c r="AU1862" s="96"/>
      <c r="AV1862" s="109"/>
    </row>
    <row r="1863" spans="1:48">
      <c r="A1863" s="358" t="s">
        <v>24</v>
      </c>
      <c r="B1863" s="369">
        <v>1860</v>
      </c>
      <c r="C1863" s="372" t="s">
        <v>2735</v>
      </c>
      <c r="D1863" s="372" t="s">
        <v>34</v>
      </c>
      <c r="E1863" s="373">
        <v>46017</v>
      </c>
      <c r="F1863" s="372" t="s">
        <v>187</v>
      </c>
      <c r="G1863" s="372">
        <v>12</v>
      </c>
      <c r="H1863" s="372" t="s">
        <v>67</v>
      </c>
      <c r="I1863" s="372" t="s">
        <v>47</v>
      </c>
      <c r="J1863" s="372"/>
      <c r="K1863" s="360" t="s">
        <v>2325</v>
      </c>
      <c r="L1863" s="360" t="s">
        <v>2706</v>
      </c>
      <c r="M1863" s="360" t="s">
        <v>2728</v>
      </c>
      <c r="N1863" s="360" t="s">
        <v>2166</v>
      </c>
      <c r="O1863" s="360"/>
      <c r="P1863" s="385" t="s">
        <v>30</v>
      </c>
      <c r="Q1863" s="380">
        <v>46044</v>
      </c>
      <c r="R1863" s="24" t="s">
        <v>1138</v>
      </c>
      <c r="S1863" s="358" t="s">
        <v>32</v>
      </c>
      <c r="T1863" s="358">
        <v>11</v>
      </c>
      <c r="U1863" s="24" t="s">
        <v>1138</v>
      </c>
      <c r="V1863" s="380">
        <v>46044</v>
      </c>
      <c r="W1863" s="100" t="s">
        <v>30</v>
      </c>
      <c r="X1863" s="95" t="s">
        <v>32</v>
      </c>
      <c r="Y1863" s="100" t="s">
        <v>30</v>
      </c>
      <c r="Z1863" s="100" t="s">
        <v>30</v>
      </c>
      <c r="AA1863" s="100" t="s">
        <v>30</v>
      </c>
      <c r="AB1863" s="100" t="s">
        <v>30</v>
      </c>
      <c r="AC1863" s="100" t="s">
        <v>30</v>
      </c>
      <c r="AD1863" s="100" t="s">
        <v>30</v>
      </c>
      <c r="AE1863" s="100" t="s">
        <v>30</v>
      </c>
      <c r="AF1863" s="100" t="s">
        <v>30</v>
      </c>
      <c r="AG1863" s="100" t="s">
        <v>30</v>
      </c>
      <c r="AH1863" s="100" t="s">
        <v>30</v>
      </c>
      <c r="AI1863" s="111" t="s">
        <v>30</v>
      </c>
      <c r="AJ1863" s="111" t="s">
        <v>30</v>
      </c>
      <c r="AK1863" s="111" t="s">
        <v>30</v>
      </c>
      <c r="AL1863" s="114"/>
      <c r="AM1863" s="360"/>
      <c r="AS1863" s="72"/>
      <c r="AT1863" s="96"/>
      <c r="AU1863" s="96"/>
      <c r="AV1863" s="109"/>
    </row>
    <row r="1864" spans="1:48">
      <c r="A1864" s="358" t="s">
        <v>24</v>
      </c>
      <c r="B1864" s="369">
        <v>1861</v>
      </c>
      <c r="C1864" s="372" t="s">
        <v>2736</v>
      </c>
      <c r="D1864" s="372" t="s">
        <v>43</v>
      </c>
      <c r="E1864" s="373">
        <v>46017</v>
      </c>
      <c r="F1864" s="372" t="s">
        <v>187</v>
      </c>
      <c r="G1864" s="372">
        <v>17</v>
      </c>
      <c r="H1864" s="372" t="s">
        <v>67</v>
      </c>
      <c r="I1864" s="372" t="s">
        <v>47</v>
      </c>
      <c r="J1864" s="372"/>
      <c r="K1864" s="360" t="s">
        <v>2102</v>
      </c>
      <c r="L1864" s="360" t="s">
        <v>2666</v>
      </c>
      <c r="M1864" s="360" t="s">
        <v>2666</v>
      </c>
      <c r="N1864" s="360" t="s">
        <v>2050</v>
      </c>
      <c r="O1864" s="117" t="s">
        <v>31</v>
      </c>
      <c r="P1864" s="385" t="s">
        <v>30</v>
      </c>
      <c r="Q1864" s="23">
        <v>46050</v>
      </c>
      <c r="R1864" s="24" t="s">
        <v>47</v>
      </c>
      <c r="S1864" s="22" t="s">
        <v>32</v>
      </c>
      <c r="T1864" s="22">
        <v>14</v>
      </c>
      <c r="U1864" s="24" t="s">
        <v>47</v>
      </c>
      <c r="V1864" s="23">
        <v>46050</v>
      </c>
      <c r="W1864" s="100" t="s">
        <v>30</v>
      </c>
      <c r="X1864" s="100" t="s">
        <v>30</v>
      </c>
      <c r="Y1864" s="100" t="s">
        <v>30</v>
      </c>
      <c r="Z1864" s="100" t="s">
        <v>30</v>
      </c>
      <c r="AA1864" s="100" t="s">
        <v>30</v>
      </c>
      <c r="AB1864" s="100" t="s">
        <v>30</v>
      </c>
      <c r="AC1864" s="100" t="s">
        <v>30</v>
      </c>
      <c r="AD1864" s="100" t="s">
        <v>30</v>
      </c>
      <c r="AE1864" s="100" t="s">
        <v>30</v>
      </c>
      <c r="AF1864" s="100" t="s">
        <v>30</v>
      </c>
      <c r="AG1864" s="100" t="s">
        <v>30</v>
      </c>
      <c r="AH1864" s="100" t="s">
        <v>30</v>
      </c>
      <c r="AI1864" s="111" t="s">
        <v>30</v>
      </c>
      <c r="AJ1864" s="111" t="s">
        <v>30</v>
      </c>
      <c r="AK1864" s="111" t="s">
        <v>30</v>
      </c>
      <c r="AL1864" s="114"/>
      <c r="AM1864" s="360" t="s">
        <v>2548</v>
      </c>
      <c r="AS1864" s="72"/>
      <c r="AT1864" s="96"/>
      <c r="AU1864" s="96"/>
      <c r="AV1864" s="109"/>
    </row>
    <row r="1865" spans="1:48">
      <c r="A1865" s="358" t="s">
        <v>24</v>
      </c>
      <c r="B1865" s="369">
        <v>1862</v>
      </c>
      <c r="C1865" s="372" t="s">
        <v>2737</v>
      </c>
      <c r="D1865" s="372" t="s">
        <v>34</v>
      </c>
      <c r="E1865" s="373">
        <v>46017</v>
      </c>
      <c r="F1865" s="372" t="s">
        <v>1342</v>
      </c>
      <c r="G1865" s="372">
        <v>14</v>
      </c>
      <c r="H1865" s="372" t="s">
        <v>67</v>
      </c>
      <c r="I1865" s="372" t="s">
        <v>47</v>
      </c>
      <c r="J1865" s="372"/>
      <c r="K1865" s="360" t="s">
        <v>2195</v>
      </c>
      <c r="L1865" s="360" t="s">
        <v>2666</v>
      </c>
      <c r="M1865" s="360" t="s">
        <v>2706</v>
      </c>
      <c r="N1865" s="360" t="s">
        <v>2738</v>
      </c>
      <c r="O1865" s="360"/>
      <c r="P1865" s="385" t="s">
        <v>30</v>
      </c>
      <c r="Q1865" s="380">
        <v>46044</v>
      </c>
      <c r="R1865" s="24" t="s">
        <v>1138</v>
      </c>
      <c r="S1865" s="358" t="s">
        <v>32</v>
      </c>
      <c r="T1865" s="358">
        <v>8</v>
      </c>
      <c r="U1865" s="24" t="s">
        <v>1138</v>
      </c>
      <c r="V1865" s="380">
        <v>46044</v>
      </c>
      <c r="W1865" s="100" t="s">
        <v>30</v>
      </c>
      <c r="X1865" s="95" t="s">
        <v>32</v>
      </c>
      <c r="Y1865" s="100" t="s">
        <v>30</v>
      </c>
      <c r="Z1865" s="95" t="s">
        <v>32</v>
      </c>
      <c r="AA1865" s="95" t="s">
        <v>32</v>
      </c>
      <c r="AB1865" s="111" t="s">
        <v>30</v>
      </c>
      <c r="AC1865" s="111" t="s">
        <v>30</v>
      </c>
      <c r="AD1865" s="111" t="s">
        <v>30</v>
      </c>
      <c r="AE1865" s="111" t="s">
        <v>30</v>
      </c>
      <c r="AF1865" s="111" t="s">
        <v>30</v>
      </c>
      <c r="AG1865" s="111" t="s">
        <v>30</v>
      </c>
      <c r="AH1865" s="100" t="s">
        <v>30</v>
      </c>
      <c r="AI1865" s="100" t="s">
        <v>30</v>
      </c>
      <c r="AJ1865" s="100" t="s">
        <v>30</v>
      </c>
      <c r="AK1865" s="100" t="s">
        <v>30</v>
      </c>
      <c r="AL1865" s="114"/>
      <c r="AM1865" s="360"/>
      <c r="AS1865" s="96"/>
      <c r="AT1865" s="96"/>
      <c r="AU1865" s="96"/>
      <c r="AV1865" s="109"/>
    </row>
    <row r="1866" spans="1:48">
      <c r="A1866" s="358" t="s">
        <v>24</v>
      </c>
      <c r="B1866" s="369">
        <v>1863</v>
      </c>
      <c r="C1866" s="372" t="s">
        <v>2739</v>
      </c>
      <c r="D1866" s="372" t="s">
        <v>34</v>
      </c>
      <c r="E1866" s="373">
        <v>46017</v>
      </c>
      <c r="F1866" s="372" t="s">
        <v>2687</v>
      </c>
      <c r="G1866" s="372">
        <v>14</v>
      </c>
      <c r="H1866" s="372" t="s">
        <v>67</v>
      </c>
      <c r="I1866" s="372" t="s">
        <v>47</v>
      </c>
      <c r="J1866" s="257"/>
      <c r="K1866" s="360" t="s">
        <v>2130</v>
      </c>
      <c r="L1866" s="360" t="s">
        <v>2661</v>
      </c>
      <c r="M1866" s="360" t="s">
        <v>2706</v>
      </c>
      <c r="N1866" s="360" t="s">
        <v>2050</v>
      </c>
      <c r="O1866" s="360"/>
      <c r="P1866" s="252" t="s">
        <v>30</v>
      </c>
      <c r="Q1866" s="23">
        <v>46049</v>
      </c>
      <c r="R1866" s="24" t="s">
        <v>47</v>
      </c>
      <c r="S1866" s="358" t="s">
        <v>30</v>
      </c>
      <c r="T1866" s="22">
        <v>21</v>
      </c>
      <c r="U1866" s="24" t="s">
        <v>47</v>
      </c>
      <c r="V1866" s="23">
        <v>46049</v>
      </c>
      <c r="W1866" s="82" t="s">
        <v>30</v>
      </c>
      <c r="X1866" s="95" t="s">
        <v>32</v>
      </c>
      <c r="Y1866" s="100" t="s">
        <v>30</v>
      </c>
      <c r="Z1866" s="95" t="s">
        <v>32</v>
      </c>
      <c r="AA1866" s="95" t="s">
        <v>32</v>
      </c>
      <c r="AB1866" s="100" t="s">
        <v>30</v>
      </c>
      <c r="AC1866" s="100" t="s">
        <v>30</v>
      </c>
      <c r="AD1866" s="100" t="s">
        <v>30</v>
      </c>
      <c r="AE1866" s="100" t="s">
        <v>30</v>
      </c>
      <c r="AF1866" s="100" t="s">
        <v>30</v>
      </c>
      <c r="AG1866" s="100" t="s">
        <v>30</v>
      </c>
      <c r="AH1866" s="100" t="s">
        <v>30</v>
      </c>
      <c r="AI1866" s="111" t="s">
        <v>30</v>
      </c>
      <c r="AJ1866" s="111" t="s">
        <v>30</v>
      </c>
      <c r="AK1866" s="111" t="s">
        <v>30</v>
      </c>
      <c r="AL1866" s="114"/>
      <c r="AM1866" s="360" t="s">
        <v>2545</v>
      </c>
      <c r="AS1866" s="96"/>
      <c r="AT1866" s="96"/>
      <c r="AU1866" s="96"/>
      <c r="AV1866" s="109"/>
    </row>
    <row r="1867" spans="1:48">
      <c r="A1867" s="358" t="s">
        <v>24</v>
      </c>
      <c r="B1867" s="369">
        <v>1864</v>
      </c>
      <c r="C1867" s="372" t="s">
        <v>2740</v>
      </c>
      <c r="D1867" s="372" t="s">
        <v>34</v>
      </c>
      <c r="E1867" s="373">
        <v>46017</v>
      </c>
      <c r="F1867" s="372" t="s">
        <v>2687</v>
      </c>
      <c r="G1867" s="372">
        <v>20</v>
      </c>
      <c r="H1867" s="372" t="s">
        <v>67</v>
      </c>
      <c r="I1867" s="372" t="s">
        <v>47</v>
      </c>
      <c r="J1867" s="372"/>
      <c r="K1867" s="360" t="s">
        <v>2130</v>
      </c>
      <c r="L1867" s="360" t="s">
        <v>2661</v>
      </c>
      <c r="M1867" s="360" t="s">
        <v>2706</v>
      </c>
      <c r="N1867" s="360" t="s">
        <v>2050</v>
      </c>
      <c r="O1867" s="117" t="s">
        <v>31</v>
      </c>
      <c r="P1867" s="256" t="s">
        <v>30</v>
      </c>
      <c r="Q1867" s="23">
        <v>46049</v>
      </c>
      <c r="R1867" s="24" t="s">
        <v>47</v>
      </c>
      <c r="S1867" s="22" t="s">
        <v>1140</v>
      </c>
      <c r="T1867" s="22">
        <v>14</v>
      </c>
      <c r="U1867" s="24" t="s">
        <v>47</v>
      </c>
      <c r="V1867" s="23">
        <v>46049</v>
      </c>
      <c r="W1867" s="82" t="s">
        <v>30</v>
      </c>
      <c r="X1867" s="95" t="s">
        <v>32</v>
      </c>
      <c r="Y1867" s="100" t="s">
        <v>30</v>
      </c>
      <c r="Z1867" s="95" t="s">
        <v>32</v>
      </c>
      <c r="AA1867" s="95" t="s">
        <v>32</v>
      </c>
      <c r="AB1867" s="100" t="s">
        <v>30</v>
      </c>
      <c r="AC1867" s="100" t="s">
        <v>30</v>
      </c>
      <c r="AD1867" s="100" t="s">
        <v>30</v>
      </c>
      <c r="AE1867" s="100" t="s">
        <v>30</v>
      </c>
      <c r="AF1867" s="100" t="s">
        <v>30</v>
      </c>
      <c r="AG1867" s="100" t="s">
        <v>30</v>
      </c>
      <c r="AH1867" s="100" t="s">
        <v>30</v>
      </c>
      <c r="AI1867" s="111" t="s">
        <v>30</v>
      </c>
      <c r="AJ1867" s="111" t="s">
        <v>30</v>
      </c>
      <c r="AK1867" s="111" t="s">
        <v>30</v>
      </c>
      <c r="AL1867" s="114"/>
      <c r="AM1867" s="360" t="s">
        <v>2545</v>
      </c>
      <c r="AO1867" s="89"/>
      <c r="AP1867" s="89"/>
      <c r="AQ1867" s="89"/>
      <c r="AR1867" s="88"/>
      <c r="AS1867" s="96"/>
      <c r="AT1867" s="96"/>
      <c r="AU1867" s="96"/>
      <c r="AV1867" s="109"/>
    </row>
    <row r="1868" spans="1:48">
      <c r="A1868" s="358" t="s">
        <v>24</v>
      </c>
      <c r="B1868" s="369">
        <v>1865</v>
      </c>
      <c r="C1868" s="372" t="s">
        <v>2741</v>
      </c>
      <c r="D1868" s="372" t="s">
        <v>178</v>
      </c>
      <c r="E1868" s="373">
        <v>46017</v>
      </c>
      <c r="F1868" s="372" t="s">
        <v>2687</v>
      </c>
      <c r="G1868" s="372">
        <v>14</v>
      </c>
      <c r="H1868" s="372" t="s">
        <v>67</v>
      </c>
      <c r="I1868" s="372" t="s">
        <v>47</v>
      </c>
      <c r="J1868" s="372"/>
      <c r="K1868" s="360" t="s">
        <v>2123</v>
      </c>
      <c r="L1868" s="360" t="s">
        <v>2661</v>
      </c>
      <c r="M1868" s="360" t="s">
        <v>2706</v>
      </c>
      <c r="N1868" s="360" t="s">
        <v>2050</v>
      </c>
      <c r="O1868" s="360"/>
      <c r="P1868" s="256" t="s">
        <v>30</v>
      </c>
      <c r="Q1868" s="23">
        <v>46048</v>
      </c>
      <c r="R1868" s="24" t="s">
        <v>47</v>
      </c>
      <c r="S1868" s="22" t="s">
        <v>1140</v>
      </c>
      <c r="T1868" s="22">
        <v>14</v>
      </c>
      <c r="U1868" s="24" t="s">
        <v>47</v>
      </c>
      <c r="V1868" s="23">
        <v>46048</v>
      </c>
      <c r="W1868" s="100" t="s">
        <v>30</v>
      </c>
      <c r="X1868" s="100" t="s">
        <v>30</v>
      </c>
      <c r="Y1868" s="100" t="s">
        <v>30</v>
      </c>
      <c r="Z1868" s="100" t="s">
        <v>30</v>
      </c>
      <c r="AA1868" s="100" t="s">
        <v>30</v>
      </c>
      <c r="AB1868" s="100" t="s">
        <v>30</v>
      </c>
      <c r="AC1868" s="100" t="s">
        <v>30</v>
      </c>
      <c r="AD1868" s="100" t="s">
        <v>30</v>
      </c>
      <c r="AE1868" s="100" t="s">
        <v>30</v>
      </c>
      <c r="AF1868" s="100" t="s">
        <v>30</v>
      </c>
      <c r="AG1868" s="100" t="s">
        <v>30</v>
      </c>
      <c r="AH1868" s="100" t="s">
        <v>30</v>
      </c>
      <c r="AI1868" s="111" t="s">
        <v>30</v>
      </c>
      <c r="AJ1868" s="111" t="s">
        <v>30</v>
      </c>
      <c r="AK1868" s="111" t="s">
        <v>30</v>
      </c>
      <c r="AL1868" s="114"/>
      <c r="AM1868" s="360"/>
      <c r="AS1868" s="72"/>
      <c r="AT1868" s="96"/>
      <c r="AU1868" s="96"/>
    </row>
    <row r="1869" spans="1:48">
      <c r="A1869" s="358" t="s">
        <v>24</v>
      </c>
      <c r="B1869" s="369">
        <v>1866</v>
      </c>
      <c r="C1869" s="372" t="s">
        <v>2742</v>
      </c>
      <c r="D1869" s="372" t="s">
        <v>178</v>
      </c>
      <c r="E1869" s="373">
        <v>46017</v>
      </c>
      <c r="F1869" s="372" t="s">
        <v>2687</v>
      </c>
      <c r="G1869" s="372">
        <v>20</v>
      </c>
      <c r="H1869" s="372" t="s">
        <v>67</v>
      </c>
      <c r="I1869" s="372" t="s">
        <v>47</v>
      </c>
      <c r="J1869" s="257"/>
      <c r="K1869" s="360" t="s">
        <v>2123</v>
      </c>
      <c r="L1869" s="360" t="s">
        <v>2661</v>
      </c>
      <c r="M1869" s="360" t="s">
        <v>2706</v>
      </c>
      <c r="N1869" s="360" t="s">
        <v>2050</v>
      </c>
      <c r="O1869" s="117" t="s">
        <v>31</v>
      </c>
      <c r="P1869" s="252" t="s">
        <v>30</v>
      </c>
      <c r="Q1869" s="23">
        <v>46047</v>
      </c>
      <c r="R1869" s="24" t="s">
        <v>47</v>
      </c>
      <c r="S1869" s="358" t="s">
        <v>30</v>
      </c>
      <c r="T1869" s="22">
        <v>21</v>
      </c>
      <c r="U1869" s="24" t="s">
        <v>47</v>
      </c>
      <c r="V1869" s="23">
        <v>46047</v>
      </c>
      <c r="W1869" s="100" t="s">
        <v>30</v>
      </c>
      <c r="X1869" s="100" t="s">
        <v>30</v>
      </c>
      <c r="Y1869" s="100" t="s">
        <v>30</v>
      </c>
      <c r="Z1869" s="100" t="s">
        <v>30</v>
      </c>
      <c r="AA1869" s="100" t="s">
        <v>30</v>
      </c>
      <c r="AB1869" s="100" t="s">
        <v>30</v>
      </c>
      <c r="AC1869" s="100" t="s">
        <v>30</v>
      </c>
      <c r="AD1869" s="100" t="s">
        <v>30</v>
      </c>
      <c r="AE1869" s="100" t="s">
        <v>30</v>
      </c>
      <c r="AF1869" s="100" t="s">
        <v>30</v>
      </c>
      <c r="AG1869" s="100" t="s">
        <v>30</v>
      </c>
      <c r="AH1869" s="100" t="s">
        <v>30</v>
      </c>
      <c r="AI1869" s="100" t="s">
        <v>30</v>
      </c>
      <c r="AJ1869" s="100" t="s">
        <v>30</v>
      </c>
      <c r="AK1869" s="100" t="s">
        <v>30</v>
      </c>
      <c r="AL1869" s="114"/>
      <c r="AM1869" s="360"/>
      <c r="AO1869" s="412"/>
      <c r="AP1869" s="412"/>
      <c r="AQ1869" s="412"/>
      <c r="AR1869" s="412"/>
      <c r="AV1869" s="109"/>
    </row>
    <row r="1870" spans="1:48">
      <c r="A1870" s="358" t="s">
        <v>24</v>
      </c>
      <c r="B1870" s="369">
        <v>1867</v>
      </c>
      <c r="C1870" s="372" t="s">
        <v>2743</v>
      </c>
      <c r="D1870" s="372" t="s">
        <v>34</v>
      </c>
      <c r="E1870" s="373">
        <v>46018</v>
      </c>
      <c r="F1870" s="372" t="s">
        <v>2744</v>
      </c>
      <c r="G1870" s="372">
        <v>25</v>
      </c>
      <c r="H1870" s="372" t="s">
        <v>127</v>
      </c>
      <c r="I1870" s="372" t="s">
        <v>178</v>
      </c>
      <c r="J1870" s="372"/>
      <c r="K1870" s="360" t="s">
        <v>2087</v>
      </c>
      <c r="L1870" s="360" t="s">
        <v>2745</v>
      </c>
      <c r="M1870" s="360" t="s">
        <v>2745</v>
      </c>
      <c r="N1870" s="360" t="s">
        <v>2050</v>
      </c>
      <c r="O1870" s="117" t="s">
        <v>31</v>
      </c>
      <c r="P1870" s="385" t="s">
        <v>30</v>
      </c>
      <c r="Q1870" s="380">
        <v>46051</v>
      </c>
      <c r="R1870" s="24" t="s">
        <v>2707</v>
      </c>
      <c r="S1870" s="358" t="s">
        <v>32</v>
      </c>
      <c r="T1870" s="358">
        <v>22</v>
      </c>
      <c r="U1870" s="24" t="s">
        <v>2707</v>
      </c>
      <c r="V1870" s="380">
        <v>46051</v>
      </c>
      <c r="W1870" s="100" t="s">
        <v>30</v>
      </c>
      <c r="X1870" s="122" t="s">
        <v>30</v>
      </c>
      <c r="Y1870" s="122" t="s">
        <v>30</v>
      </c>
      <c r="Z1870" s="126"/>
      <c r="AA1870" s="126"/>
      <c r="AB1870" s="126"/>
      <c r="AC1870" s="100" t="s">
        <v>30</v>
      </c>
      <c r="AD1870" s="100" t="s">
        <v>30</v>
      </c>
      <c r="AE1870" s="100" t="s">
        <v>30</v>
      </c>
      <c r="AF1870" s="100" t="s">
        <v>30</v>
      </c>
      <c r="AG1870" s="100" t="s">
        <v>30</v>
      </c>
      <c r="AH1870" s="100" t="s">
        <v>30</v>
      </c>
      <c r="AI1870" s="122" t="s">
        <v>30</v>
      </c>
      <c r="AJ1870" s="122" t="s">
        <v>30</v>
      </c>
      <c r="AK1870" s="122" t="s">
        <v>30</v>
      </c>
      <c r="AL1870" s="114"/>
      <c r="AM1870" s="360"/>
      <c r="AS1870" s="72"/>
      <c r="AT1870" s="96"/>
      <c r="AU1870" s="96"/>
      <c r="AV1870" s="109"/>
    </row>
    <row r="1871" spans="1:48">
      <c r="A1871" s="358" t="s">
        <v>24</v>
      </c>
      <c r="B1871" s="369">
        <v>1868</v>
      </c>
      <c r="C1871" s="372" t="s">
        <v>2746</v>
      </c>
      <c r="D1871" s="372" t="s">
        <v>34</v>
      </c>
      <c r="E1871" s="373">
        <v>46018</v>
      </c>
      <c r="F1871" s="372" t="s">
        <v>97</v>
      </c>
      <c r="G1871" s="372">
        <v>14</v>
      </c>
      <c r="H1871" s="372" t="s">
        <v>127</v>
      </c>
      <c r="I1871" s="372" t="s">
        <v>178</v>
      </c>
      <c r="J1871" s="102" t="s">
        <v>2544</v>
      </c>
      <c r="K1871" s="360" t="s">
        <v>2312</v>
      </c>
      <c r="L1871" s="360" t="s">
        <v>2745</v>
      </c>
      <c r="M1871" s="360" t="s">
        <v>2745</v>
      </c>
      <c r="N1871" s="360" t="s">
        <v>2245</v>
      </c>
      <c r="O1871" s="360"/>
      <c r="P1871" s="385"/>
      <c r="Q1871" s="23"/>
      <c r="R1871" s="24" t="s">
        <v>2707</v>
      </c>
      <c r="S1871" s="81"/>
      <c r="T1871" s="22"/>
      <c r="U1871" s="24"/>
      <c r="V1871" s="23"/>
      <c r="W1871" s="95" t="s">
        <v>32</v>
      </c>
      <c r="X1871" s="95" t="s">
        <v>32</v>
      </c>
      <c r="Y1871" s="107"/>
      <c r="Z1871" s="100" t="s">
        <v>30</v>
      </c>
      <c r="AA1871" s="100" t="s">
        <v>30</v>
      </c>
      <c r="AB1871" s="100" t="s">
        <v>30</v>
      </c>
      <c r="AC1871" s="100" t="s">
        <v>30</v>
      </c>
      <c r="AD1871" s="100" t="s">
        <v>30</v>
      </c>
      <c r="AE1871" s="100" t="s">
        <v>30</v>
      </c>
      <c r="AF1871" s="100" t="s">
        <v>30</v>
      </c>
      <c r="AG1871" s="100" t="s">
        <v>30</v>
      </c>
      <c r="AH1871" s="114"/>
      <c r="AI1871" s="100" t="s">
        <v>30</v>
      </c>
      <c r="AJ1871" s="100" t="s">
        <v>30</v>
      </c>
      <c r="AK1871" s="95" t="s">
        <v>32</v>
      </c>
      <c r="AL1871" s="114"/>
      <c r="AM1871" s="360" t="s">
        <v>2545</v>
      </c>
      <c r="AO1871" s="412"/>
      <c r="AP1871" s="412"/>
      <c r="AQ1871" s="412"/>
      <c r="AR1871" s="412"/>
      <c r="AV1871" s="109"/>
    </row>
    <row r="1872" spans="1:48">
      <c r="A1872" s="358" t="s">
        <v>24</v>
      </c>
      <c r="B1872" s="369">
        <v>1869</v>
      </c>
      <c r="C1872" s="372" t="s">
        <v>2747</v>
      </c>
      <c r="D1872" s="372" t="s">
        <v>34</v>
      </c>
      <c r="E1872" s="373">
        <v>46018</v>
      </c>
      <c r="F1872" s="372" t="s">
        <v>117</v>
      </c>
      <c r="G1872" s="372">
        <v>12</v>
      </c>
      <c r="H1872" s="372" t="s">
        <v>127</v>
      </c>
      <c r="I1872" s="372" t="s">
        <v>178</v>
      </c>
      <c r="J1872" s="372"/>
      <c r="K1872" s="360" t="s">
        <v>2180</v>
      </c>
      <c r="L1872" s="360" t="s">
        <v>2706</v>
      </c>
      <c r="M1872" s="360" t="s">
        <v>2734</v>
      </c>
      <c r="N1872" s="360" t="s">
        <v>2050</v>
      </c>
      <c r="O1872" s="360"/>
      <c r="P1872" s="385" t="s">
        <v>30</v>
      </c>
      <c r="Q1872" s="380">
        <v>46051</v>
      </c>
      <c r="R1872" s="24" t="s">
        <v>2707</v>
      </c>
      <c r="S1872" s="358" t="s">
        <v>32</v>
      </c>
      <c r="T1872" s="358">
        <v>90</v>
      </c>
      <c r="U1872" s="24" t="s">
        <v>2707</v>
      </c>
      <c r="V1872" s="380">
        <v>46051</v>
      </c>
      <c r="W1872" s="122" t="s">
        <v>30</v>
      </c>
      <c r="X1872" s="122" t="s">
        <v>30</v>
      </c>
      <c r="Y1872" s="122" t="s">
        <v>30</v>
      </c>
      <c r="Z1872" s="124"/>
      <c r="AA1872" s="124"/>
      <c r="AB1872" s="124"/>
      <c r="AC1872" s="111" t="s">
        <v>30</v>
      </c>
      <c r="AD1872" s="111" t="s">
        <v>30</v>
      </c>
      <c r="AE1872" s="111" t="s">
        <v>30</v>
      </c>
      <c r="AF1872" s="111" t="s">
        <v>30</v>
      </c>
      <c r="AG1872" s="111" t="s">
        <v>30</v>
      </c>
      <c r="AH1872" s="100" t="s">
        <v>30</v>
      </c>
      <c r="AI1872" s="100" t="s">
        <v>30</v>
      </c>
      <c r="AJ1872" s="100" t="s">
        <v>30</v>
      </c>
      <c r="AK1872" s="111" t="s">
        <v>30</v>
      </c>
      <c r="AL1872" s="114"/>
      <c r="AM1872" s="360"/>
      <c r="AO1872" s="412"/>
      <c r="AP1872" s="412"/>
      <c r="AQ1872" s="412"/>
      <c r="AR1872" s="412"/>
      <c r="AV1872" s="109"/>
    </row>
    <row r="1873" spans="1:48">
      <c r="A1873" s="358" t="s">
        <v>24</v>
      </c>
      <c r="B1873" s="369">
        <v>1870</v>
      </c>
      <c r="C1873" s="372" t="s">
        <v>2748</v>
      </c>
      <c r="D1873" s="372" t="s">
        <v>34</v>
      </c>
      <c r="E1873" s="373">
        <v>46018</v>
      </c>
      <c r="F1873" s="372" t="s">
        <v>126</v>
      </c>
      <c r="G1873" s="372">
        <v>13</v>
      </c>
      <c r="H1873" s="372" t="s">
        <v>127</v>
      </c>
      <c r="I1873" s="372" t="s">
        <v>178</v>
      </c>
      <c r="J1873" s="372"/>
      <c r="K1873" s="360" t="s">
        <v>2085</v>
      </c>
      <c r="L1873" s="360" t="s">
        <v>2592</v>
      </c>
      <c r="M1873" s="360" t="s">
        <v>2666</v>
      </c>
      <c r="N1873" s="360" t="s">
        <v>2749</v>
      </c>
      <c r="O1873" s="360"/>
      <c r="P1873" s="256" t="s">
        <v>30</v>
      </c>
      <c r="Q1873" s="123">
        <v>46052</v>
      </c>
      <c r="R1873" s="123" t="s">
        <v>2707</v>
      </c>
      <c r="S1873" s="123" t="s">
        <v>32</v>
      </c>
      <c r="T1873" s="250">
        <v>14</v>
      </c>
      <c r="U1873" s="123" t="s">
        <v>2707</v>
      </c>
      <c r="V1873" s="123">
        <v>46052</v>
      </c>
      <c r="W1873" s="100" t="s">
        <v>30</v>
      </c>
      <c r="X1873" s="122" t="s">
        <v>30</v>
      </c>
      <c r="Y1873" s="122" t="s">
        <v>30</v>
      </c>
      <c r="Z1873" s="100" t="s">
        <v>30</v>
      </c>
      <c r="AA1873" s="100" t="s">
        <v>30</v>
      </c>
      <c r="AB1873" s="100" t="s">
        <v>30</v>
      </c>
      <c r="AC1873" s="100" t="s">
        <v>30</v>
      </c>
      <c r="AD1873" s="100" t="s">
        <v>30</v>
      </c>
      <c r="AE1873" s="100" t="s">
        <v>30</v>
      </c>
      <c r="AF1873" s="100" t="s">
        <v>30</v>
      </c>
      <c r="AG1873" s="100" t="s">
        <v>30</v>
      </c>
      <c r="AH1873" s="100" t="s">
        <v>30</v>
      </c>
      <c r="AI1873" s="100" t="s">
        <v>30</v>
      </c>
      <c r="AJ1873" s="100" t="s">
        <v>30</v>
      </c>
      <c r="AK1873" s="100" t="s">
        <v>30</v>
      </c>
      <c r="AL1873" s="114"/>
      <c r="AM1873" s="360"/>
      <c r="AV1873" s="109"/>
    </row>
    <row r="1874" spans="1:48">
      <c r="A1874" s="358" t="s">
        <v>24</v>
      </c>
      <c r="B1874" s="369">
        <v>1871</v>
      </c>
      <c r="C1874" s="372" t="s">
        <v>2750</v>
      </c>
      <c r="D1874" s="372" t="s">
        <v>50</v>
      </c>
      <c r="E1874" s="373">
        <v>46018</v>
      </c>
      <c r="F1874" s="372" t="s">
        <v>106</v>
      </c>
      <c r="G1874" s="372">
        <v>20</v>
      </c>
      <c r="H1874" s="372" t="s">
        <v>127</v>
      </c>
      <c r="I1874" s="372" t="s">
        <v>178</v>
      </c>
      <c r="J1874" s="372"/>
      <c r="K1874" s="360" t="s">
        <v>2092</v>
      </c>
      <c r="L1874" s="360" t="s">
        <v>2666</v>
      </c>
      <c r="M1874" s="360" t="s">
        <v>2636</v>
      </c>
      <c r="N1874" s="360" t="s">
        <v>2050</v>
      </c>
      <c r="O1874" s="117" t="s">
        <v>31</v>
      </c>
      <c r="P1874" s="385" t="s">
        <v>30</v>
      </c>
      <c r="Q1874" s="123">
        <v>46052</v>
      </c>
      <c r="R1874" s="123" t="s">
        <v>1638</v>
      </c>
      <c r="S1874" s="123" t="s">
        <v>32</v>
      </c>
      <c r="T1874" s="250">
        <v>13</v>
      </c>
      <c r="U1874" s="123" t="s">
        <v>1638</v>
      </c>
      <c r="V1874" s="123">
        <v>46052</v>
      </c>
      <c r="W1874" s="100" t="s">
        <v>30</v>
      </c>
      <c r="X1874" s="100" t="s">
        <v>30</v>
      </c>
      <c r="Y1874" s="100" t="s">
        <v>30</v>
      </c>
      <c r="Z1874" s="124"/>
      <c r="AA1874" s="124"/>
      <c r="AB1874" s="124"/>
      <c r="AC1874" s="100" t="s">
        <v>30</v>
      </c>
      <c r="AD1874" s="100" t="s">
        <v>30</v>
      </c>
      <c r="AE1874" s="100" t="s">
        <v>30</v>
      </c>
      <c r="AF1874" s="100" t="s">
        <v>30</v>
      </c>
      <c r="AG1874" s="100" t="s">
        <v>30</v>
      </c>
      <c r="AH1874" s="100" t="s">
        <v>30</v>
      </c>
      <c r="AI1874" s="100" t="s">
        <v>30</v>
      </c>
      <c r="AJ1874" s="100" t="s">
        <v>30</v>
      </c>
      <c r="AK1874" s="100" t="s">
        <v>30</v>
      </c>
      <c r="AL1874" s="114"/>
      <c r="AM1874" s="360"/>
      <c r="AV1874" s="109"/>
    </row>
    <row r="1875" spans="1:48">
      <c r="A1875" s="358" t="s">
        <v>24</v>
      </c>
      <c r="B1875" s="369">
        <v>1872</v>
      </c>
      <c r="C1875" s="372" t="s">
        <v>2751</v>
      </c>
      <c r="D1875" s="372" t="s">
        <v>374</v>
      </c>
      <c r="E1875" s="373">
        <v>46018</v>
      </c>
      <c r="F1875" s="372" t="s">
        <v>206</v>
      </c>
      <c r="G1875" s="372">
        <v>14</v>
      </c>
      <c r="H1875" s="372" t="s">
        <v>127</v>
      </c>
      <c r="I1875" s="372" t="s">
        <v>178</v>
      </c>
      <c r="J1875" s="372"/>
      <c r="K1875" s="360" t="s">
        <v>2126</v>
      </c>
      <c r="L1875" s="360" t="s">
        <v>2592</v>
      </c>
      <c r="M1875" s="360" t="s">
        <v>2734</v>
      </c>
      <c r="N1875" s="360" t="s">
        <v>2248</v>
      </c>
      <c r="O1875" s="360"/>
      <c r="P1875" s="385" t="s">
        <v>30</v>
      </c>
      <c r="Q1875" s="380">
        <v>46051</v>
      </c>
      <c r="R1875" s="24" t="s">
        <v>2707</v>
      </c>
      <c r="S1875" s="358" t="s">
        <v>32</v>
      </c>
      <c r="T1875" s="358">
        <v>4</v>
      </c>
      <c r="U1875" s="24" t="s">
        <v>2707</v>
      </c>
      <c r="V1875" s="380">
        <v>46051</v>
      </c>
      <c r="W1875" s="94" t="s">
        <v>30</v>
      </c>
      <c r="X1875" s="95" t="s">
        <v>32</v>
      </c>
      <c r="Y1875" s="94" t="s">
        <v>30</v>
      </c>
      <c r="Z1875" s="100" t="s">
        <v>30</v>
      </c>
      <c r="AA1875" s="100" t="s">
        <v>30</v>
      </c>
      <c r="AB1875" s="100" t="s">
        <v>30</v>
      </c>
      <c r="AC1875" s="100" t="s">
        <v>30</v>
      </c>
      <c r="AD1875" s="100" t="s">
        <v>30</v>
      </c>
      <c r="AE1875" s="100" t="s">
        <v>30</v>
      </c>
      <c r="AF1875" s="100" t="s">
        <v>30</v>
      </c>
      <c r="AG1875" s="100" t="s">
        <v>30</v>
      </c>
      <c r="AH1875" s="100" t="s">
        <v>30</v>
      </c>
      <c r="AI1875" s="100" t="s">
        <v>30</v>
      </c>
      <c r="AJ1875" s="100" t="s">
        <v>30</v>
      </c>
      <c r="AK1875" s="100" t="s">
        <v>30</v>
      </c>
      <c r="AL1875" s="114"/>
      <c r="AM1875" s="360"/>
      <c r="AN1875" s="6"/>
      <c r="AO1875" s="6"/>
      <c r="AP1875" s="6"/>
      <c r="AQ1875" s="6"/>
      <c r="AR1875" s="6"/>
      <c r="AS1875" s="108"/>
      <c r="AT1875" s="109"/>
      <c r="AU1875" s="109"/>
      <c r="AV1875" s="109"/>
    </row>
    <row r="1876" spans="1:48">
      <c r="A1876" s="358" t="s">
        <v>24</v>
      </c>
      <c r="B1876" s="369">
        <v>1873</v>
      </c>
      <c r="C1876" s="372" t="s">
        <v>2752</v>
      </c>
      <c r="D1876" s="372" t="s">
        <v>34</v>
      </c>
      <c r="E1876" s="373">
        <v>46018</v>
      </c>
      <c r="F1876" s="372" t="s">
        <v>206</v>
      </c>
      <c r="G1876" s="372">
        <v>12</v>
      </c>
      <c r="H1876" s="372" t="s">
        <v>127</v>
      </c>
      <c r="I1876" s="372" t="s">
        <v>178</v>
      </c>
      <c r="J1876" s="372"/>
      <c r="K1876" s="360" t="s">
        <v>2123</v>
      </c>
      <c r="L1876" s="360" t="s">
        <v>2706</v>
      </c>
      <c r="M1876" s="360" t="s">
        <v>2734</v>
      </c>
      <c r="N1876" s="360" t="s">
        <v>2248</v>
      </c>
      <c r="O1876" s="360"/>
      <c r="P1876" s="385" t="s">
        <v>30</v>
      </c>
      <c r="Q1876" s="23">
        <v>46052</v>
      </c>
      <c r="R1876" s="24" t="s">
        <v>67</v>
      </c>
      <c r="S1876" s="24" t="s">
        <v>32</v>
      </c>
      <c r="T1876" s="22">
        <v>12</v>
      </c>
      <c r="U1876" s="24" t="s">
        <v>67</v>
      </c>
      <c r="V1876" s="23">
        <v>46052</v>
      </c>
      <c r="W1876" s="100" t="s">
        <v>30</v>
      </c>
      <c r="X1876" s="100" t="s">
        <v>30</v>
      </c>
      <c r="Y1876" s="100" t="s">
        <v>30</v>
      </c>
      <c r="Z1876" s="100" t="s">
        <v>30</v>
      </c>
      <c r="AA1876" s="100" t="s">
        <v>30</v>
      </c>
      <c r="AB1876" s="100" t="s">
        <v>30</v>
      </c>
      <c r="AC1876" s="100" t="s">
        <v>30</v>
      </c>
      <c r="AD1876" s="100" t="s">
        <v>30</v>
      </c>
      <c r="AE1876" s="100" t="s">
        <v>30</v>
      </c>
      <c r="AF1876" s="100" t="s">
        <v>30</v>
      </c>
      <c r="AG1876" s="100" t="s">
        <v>30</v>
      </c>
      <c r="AH1876" s="100" t="s">
        <v>30</v>
      </c>
      <c r="AI1876" s="100" t="s">
        <v>30</v>
      </c>
      <c r="AJ1876" s="100" t="s">
        <v>30</v>
      </c>
      <c r="AK1876" s="100" t="s">
        <v>30</v>
      </c>
      <c r="AL1876" s="114"/>
      <c r="AM1876" s="360"/>
      <c r="AV1876" s="109"/>
    </row>
    <row r="1877" spans="1:48">
      <c r="A1877" s="358" t="s">
        <v>24</v>
      </c>
      <c r="B1877" s="369">
        <v>1874</v>
      </c>
      <c r="C1877" s="372" t="s">
        <v>2753</v>
      </c>
      <c r="D1877" s="372" t="s">
        <v>34</v>
      </c>
      <c r="E1877" s="373">
        <v>46018</v>
      </c>
      <c r="F1877" s="372" t="s">
        <v>2754</v>
      </c>
      <c r="G1877" s="372">
        <v>20</v>
      </c>
      <c r="H1877" s="372" t="s">
        <v>67</v>
      </c>
      <c r="I1877" s="372" t="s">
        <v>47</v>
      </c>
      <c r="J1877" s="372"/>
      <c r="K1877" s="360" t="s">
        <v>2098</v>
      </c>
      <c r="L1877" s="360" t="s">
        <v>2706</v>
      </c>
      <c r="M1877" s="360" t="s">
        <v>2706</v>
      </c>
      <c r="N1877" s="385" t="s">
        <v>2050</v>
      </c>
      <c r="O1877" s="117" t="s">
        <v>31</v>
      </c>
      <c r="P1877" s="385" t="s">
        <v>30</v>
      </c>
      <c r="Q1877" s="121">
        <v>46049</v>
      </c>
      <c r="R1877" s="24" t="s">
        <v>1138</v>
      </c>
      <c r="S1877" s="24" t="s">
        <v>32</v>
      </c>
      <c r="T1877" s="22">
        <v>20</v>
      </c>
      <c r="U1877" s="24" t="s">
        <v>1138</v>
      </c>
      <c r="V1877" s="121">
        <v>46049</v>
      </c>
      <c r="W1877" s="100" t="s">
        <v>30</v>
      </c>
      <c r="X1877" s="100" t="s">
        <v>30</v>
      </c>
      <c r="Y1877" s="100" t="s">
        <v>30</v>
      </c>
      <c r="Z1877" s="100" t="s">
        <v>30</v>
      </c>
      <c r="AA1877" s="100" t="s">
        <v>30</v>
      </c>
      <c r="AB1877" s="100" t="s">
        <v>30</v>
      </c>
      <c r="AC1877" s="100" t="s">
        <v>30</v>
      </c>
      <c r="AD1877" s="100" t="s">
        <v>30</v>
      </c>
      <c r="AE1877" s="100" t="s">
        <v>30</v>
      </c>
      <c r="AF1877" s="100" t="s">
        <v>30</v>
      </c>
      <c r="AG1877" s="100" t="s">
        <v>30</v>
      </c>
      <c r="AH1877" s="100" t="s">
        <v>30</v>
      </c>
      <c r="AI1877" s="122" t="s">
        <v>30</v>
      </c>
      <c r="AJ1877" s="122" t="s">
        <v>30</v>
      </c>
      <c r="AK1877" s="122" t="s">
        <v>30</v>
      </c>
      <c r="AL1877" s="95" t="s">
        <v>32</v>
      </c>
      <c r="AM1877" s="360" t="s">
        <v>2548</v>
      </c>
      <c r="AN1877" s="91"/>
      <c r="AO1877" s="91"/>
      <c r="AS1877" s="72"/>
      <c r="AT1877" s="96"/>
      <c r="AU1877" s="96"/>
      <c r="AV1877" s="109"/>
    </row>
    <row r="1878" spans="1:48">
      <c r="A1878" s="358" t="s">
        <v>24</v>
      </c>
      <c r="B1878" s="369">
        <v>1875</v>
      </c>
      <c r="C1878" s="372" t="s">
        <v>2755</v>
      </c>
      <c r="D1878" s="372" t="s">
        <v>34</v>
      </c>
      <c r="E1878" s="373">
        <v>46018</v>
      </c>
      <c r="F1878" s="372" t="s">
        <v>272</v>
      </c>
      <c r="G1878" s="372">
        <v>10</v>
      </c>
      <c r="H1878" s="372" t="s">
        <v>67</v>
      </c>
      <c r="I1878" s="372" t="s">
        <v>47</v>
      </c>
      <c r="J1878" s="372"/>
      <c r="K1878" s="360" t="s">
        <v>2130</v>
      </c>
      <c r="L1878" s="360" t="s">
        <v>2734</v>
      </c>
      <c r="M1878" s="360" t="s">
        <v>2734</v>
      </c>
      <c r="N1878" s="385" t="s">
        <v>2050</v>
      </c>
      <c r="O1878" s="360"/>
      <c r="P1878" s="385" t="s">
        <v>30</v>
      </c>
      <c r="Q1878" s="121">
        <v>46049</v>
      </c>
      <c r="R1878" s="24" t="s">
        <v>1138</v>
      </c>
      <c r="S1878" s="24" t="s">
        <v>32</v>
      </c>
      <c r="T1878" s="22">
        <v>10</v>
      </c>
      <c r="U1878" s="24" t="s">
        <v>1138</v>
      </c>
      <c r="V1878" s="121">
        <v>46049</v>
      </c>
      <c r="W1878" s="100" t="s">
        <v>30</v>
      </c>
      <c r="X1878" s="95" t="s">
        <v>32</v>
      </c>
      <c r="Y1878" s="100" t="s">
        <v>30</v>
      </c>
      <c r="Z1878" s="95" t="s">
        <v>32</v>
      </c>
      <c r="AA1878" s="95" t="s">
        <v>32</v>
      </c>
      <c r="AB1878" s="100" t="s">
        <v>30</v>
      </c>
      <c r="AC1878" s="100" t="s">
        <v>30</v>
      </c>
      <c r="AD1878" s="100" t="s">
        <v>30</v>
      </c>
      <c r="AE1878" s="100" t="s">
        <v>30</v>
      </c>
      <c r="AF1878" s="100" t="s">
        <v>30</v>
      </c>
      <c r="AG1878" s="100" t="s">
        <v>30</v>
      </c>
      <c r="AH1878" s="100" t="s">
        <v>30</v>
      </c>
      <c r="AI1878" s="111" t="s">
        <v>30</v>
      </c>
      <c r="AJ1878" s="111" t="s">
        <v>30</v>
      </c>
      <c r="AK1878" s="111" t="s">
        <v>30</v>
      </c>
      <c r="AL1878" s="114"/>
      <c r="AM1878" s="360" t="s">
        <v>2545</v>
      </c>
      <c r="AS1878" s="72"/>
      <c r="AT1878" s="96"/>
      <c r="AU1878" s="96"/>
      <c r="AV1878" s="109"/>
    </row>
    <row r="1879" spans="1:48">
      <c r="A1879" s="358" t="s">
        <v>24</v>
      </c>
      <c r="B1879" s="369">
        <v>1876</v>
      </c>
      <c r="C1879" s="372" t="s">
        <v>2756</v>
      </c>
      <c r="D1879" s="372" t="s">
        <v>34</v>
      </c>
      <c r="E1879" s="373">
        <v>46018</v>
      </c>
      <c r="F1879" s="372" t="s">
        <v>65</v>
      </c>
      <c r="G1879" s="372">
        <v>9</v>
      </c>
      <c r="H1879" s="372" t="s">
        <v>1077</v>
      </c>
      <c r="I1879" s="372" t="s">
        <v>1138</v>
      </c>
      <c r="J1879" s="372"/>
      <c r="K1879" s="358" t="s">
        <v>2052</v>
      </c>
      <c r="L1879" s="360" t="s">
        <v>2745</v>
      </c>
      <c r="M1879" s="358" t="s">
        <v>2745</v>
      </c>
      <c r="N1879" s="358" t="s">
        <v>2166</v>
      </c>
      <c r="O1879" s="358"/>
      <c r="P1879" s="252" t="s">
        <v>30</v>
      </c>
      <c r="Q1879" s="23">
        <v>46036</v>
      </c>
      <c r="R1879" s="384" t="s">
        <v>1138</v>
      </c>
      <c r="S1879" s="22" t="s">
        <v>32</v>
      </c>
      <c r="T1879" s="22">
        <v>9</v>
      </c>
      <c r="U1879" s="24" t="s">
        <v>1138</v>
      </c>
      <c r="V1879" s="23">
        <v>46036</v>
      </c>
      <c r="W1879" s="122" t="s">
        <v>30</v>
      </c>
      <c r="X1879" s="100" t="s">
        <v>30</v>
      </c>
      <c r="Y1879" s="122" t="s">
        <v>30</v>
      </c>
      <c r="Z1879" s="100" t="s">
        <v>30</v>
      </c>
      <c r="AA1879" s="100" t="s">
        <v>30</v>
      </c>
      <c r="AB1879" s="100" t="s">
        <v>30</v>
      </c>
      <c r="AC1879" s="100" t="s">
        <v>30</v>
      </c>
      <c r="AD1879" s="100" t="s">
        <v>30</v>
      </c>
      <c r="AE1879" s="100" t="s">
        <v>30</v>
      </c>
      <c r="AF1879" s="100" t="s">
        <v>30</v>
      </c>
      <c r="AG1879" s="100" t="s">
        <v>30</v>
      </c>
      <c r="AH1879" s="100" t="s">
        <v>30</v>
      </c>
      <c r="AI1879" s="100" t="s">
        <v>30</v>
      </c>
      <c r="AJ1879" s="100" t="s">
        <v>30</v>
      </c>
      <c r="AK1879" s="100" t="s">
        <v>30</v>
      </c>
      <c r="AL1879" s="114"/>
      <c r="AM1879" s="360"/>
      <c r="AN1879" s="91"/>
      <c r="AO1879" s="91"/>
      <c r="AS1879" s="72"/>
      <c r="AT1879" s="96"/>
      <c r="AU1879" s="96"/>
      <c r="AV1879" s="109"/>
    </row>
    <row r="1880" spans="1:48">
      <c r="A1880" s="358" t="s">
        <v>24</v>
      </c>
      <c r="B1880" s="369">
        <v>1877</v>
      </c>
      <c r="C1880" s="372" t="s">
        <v>2757</v>
      </c>
      <c r="D1880" s="372" t="s">
        <v>64</v>
      </c>
      <c r="E1880" s="373">
        <v>46018</v>
      </c>
      <c r="F1880" s="372" t="s">
        <v>197</v>
      </c>
      <c r="G1880" s="372">
        <v>11</v>
      </c>
      <c r="H1880" s="372" t="s">
        <v>1721</v>
      </c>
      <c r="I1880" s="372" t="s">
        <v>1638</v>
      </c>
      <c r="J1880" s="102" t="s">
        <v>2544</v>
      </c>
      <c r="K1880" s="360" t="s">
        <v>2270</v>
      </c>
      <c r="L1880" s="360" t="s">
        <v>2745</v>
      </c>
      <c r="M1880" s="360" t="s">
        <v>2745</v>
      </c>
      <c r="N1880" s="360" t="s">
        <v>2050</v>
      </c>
      <c r="O1880" s="360"/>
      <c r="P1880" s="385"/>
      <c r="Q1880" s="23"/>
      <c r="R1880" s="384" t="s">
        <v>1638</v>
      </c>
      <c r="S1880" s="81"/>
      <c r="T1880" s="22"/>
      <c r="U1880" s="24"/>
      <c r="V1880" s="23"/>
      <c r="W1880" s="95" t="s">
        <v>32</v>
      </c>
      <c r="X1880" s="95" t="s">
        <v>32</v>
      </c>
      <c r="Y1880" s="107"/>
      <c r="Z1880" s="100" t="s">
        <v>30</v>
      </c>
      <c r="AA1880" s="100" t="s">
        <v>30</v>
      </c>
      <c r="AB1880" s="95" t="s">
        <v>32</v>
      </c>
      <c r="AC1880" s="100" t="s">
        <v>30</v>
      </c>
      <c r="AD1880" s="100" t="s">
        <v>30</v>
      </c>
      <c r="AE1880" s="100" t="s">
        <v>30</v>
      </c>
      <c r="AF1880" s="100" t="s">
        <v>30</v>
      </c>
      <c r="AG1880" s="100" t="s">
        <v>30</v>
      </c>
      <c r="AH1880" s="114"/>
      <c r="AI1880" s="100" t="s">
        <v>30</v>
      </c>
      <c r="AJ1880" s="100" t="s">
        <v>30</v>
      </c>
      <c r="AK1880" s="95" t="s">
        <v>32</v>
      </c>
      <c r="AL1880" s="114"/>
      <c r="AM1880" s="360" t="s">
        <v>2545</v>
      </c>
      <c r="AS1880" s="72"/>
      <c r="AT1880" s="96"/>
      <c r="AU1880" s="96"/>
      <c r="AV1880" s="109"/>
    </row>
    <row r="1881" spans="1:48">
      <c r="A1881" s="358" t="s">
        <v>24</v>
      </c>
      <c r="B1881" s="369">
        <v>1878</v>
      </c>
      <c r="C1881" s="372" t="s">
        <v>2758</v>
      </c>
      <c r="D1881" s="372" t="s">
        <v>64</v>
      </c>
      <c r="E1881" s="373">
        <v>46018</v>
      </c>
      <c r="F1881" s="372" t="s">
        <v>2184</v>
      </c>
      <c r="G1881" s="372">
        <v>25</v>
      </c>
      <c r="H1881" s="372" t="s">
        <v>1721</v>
      </c>
      <c r="I1881" s="372" t="s">
        <v>1638</v>
      </c>
      <c r="J1881" s="372"/>
      <c r="K1881" s="360" t="s">
        <v>2102</v>
      </c>
      <c r="L1881" s="360" t="s">
        <v>2666</v>
      </c>
      <c r="M1881" s="360" t="s">
        <v>2666</v>
      </c>
      <c r="N1881" s="360" t="s">
        <v>2340</v>
      </c>
      <c r="O1881" s="117" t="s">
        <v>31</v>
      </c>
      <c r="P1881" s="256" t="s">
        <v>30</v>
      </c>
      <c r="Q1881" s="121">
        <v>46048</v>
      </c>
      <c r="R1881" s="128" t="s">
        <v>1638</v>
      </c>
      <c r="S1881" s="123" t="s">
        <v>32</v>
      </c>
      <c r="T1881" s="22">
        <v>21</v>
      </c>
      <c r="U1881" s="24" t="s">
        <v>1638</v>
      </c>
      <c r="V1881" s="23">
        <v>46048</v>
      </c>
      <c r="W1881" s="100" t="s">
        <v>30</v>
      </c>
      <c r="X1881" s="122" t="s">
        <v>30</v>
      </c>
      <c r="Y1881" s="100" t="s">
        <v>30</v>
      </c>
      <c r="Z1881" s="100" t="s">
        <v>30</v>
      </c>
      <c r="AA1881" s="100" t="s">
        <v>30</v>
      </c>
      <c r="AB1881" s="100" t="s">
        <v>30</v>
      </c>
      <c r="AC1881" s="100" t="s">
        <v>30</v>
      </c>
      <c r="AD1881" s="100" t="s">
        <v>30</v>
      </c>
      <c r="AE1881" s="100" t="s">
        <v>30</v>
      </c>
      <c r="AF1881" s="100" t="s">
        <v>30</v>
      </c>
      <c r="AG1881" s="100" t="s">
        <v>30</v>
      </c>
      <c r="AH1881" s="100" t="s">
        <v>30</v>
      </c>
      <c r="AI1881" s="111" t="s">
        <v>30</v>
      </c>
      <c r="AJ1881" s="111" t="s">
        <v>30</v>
      </c>
      <c r="AK1881" s="111" t="s">
        <v>30</v>
      </c>
      <c r="AL1881" s="114"/>
      <c r="AM1881" s="360" t="s">
        <v>2548</v>
      </c>
      <c r="AV1881" s="109"/>
    </row>
    <row r="1882" spans="1:48">
      <c r="A1882" s="358" t="s">
        <v>24</v>
      </c>
      <c r="B1882" s="369">
        <v>1879</v>
      </c>
      <c r="C1882" s="372" t="s">
        <v>2759</v>
      </c>
      <c r="D1882" s="372" t="s">
        <v>34</v>
      </c>
      <c r="E1882" s="373">
        <v>46018</v>
      </c>
      <c r="F1882" s="372" t="s">
        <v>2715</v>
      </c>
      <c r="G1882" s="372">
        <v>14</v>
      </c>
      <c r="H1882" s="372" t="s">
        <v>1721</v>
      </c>
      <c r="I1882" s="372" t="s">
        <v>1638</v>
      </c>
      <c r="J1882" s="372"/>
      <c r="K1882" s="360" t="s">
        <v>2100</v>
      </c>
      <c r="L1882" s="360" t="s">
        <v>2728</v>
      </c>
      <c r="M1882" s="360" t="s">
        <v>2728</v>
      </c>
      <c r="N1882" s="360" t="s">
        <v>2760</v>
      </c>
      <c r="O1882" s="360"/>
      <c r="P1882" s="256" t="s">
        <v>30</v>
      </c>
      <c r="Q1882" s="23">
        <v>46044</v>
      </c>
      <c r="R1882" s="384" t="s">
        <v>1638</v>
      </c>
      <c r="S1882" s="24" t="s">
        <v>32</v>
      </c>
      <c r="T1882" s="22">
        <v>15</v>
      </c>
      <c r="U1882" s="384" t="s">
        <v>1638</v>
      </c>
      <c r="V1882" s="23">
        <v>46044</v>
      </c>
      <c r="W1882" s="100" t="s">
        <v>30</v>
      </c>
      <c r="X1882" s="100" t="s">
        <v>30</v>
      </c>
      <c r="Y1882" s="100" t="s">
        <v>30</v>
      </c>
      <c r="Z1882" s="100" t="s">
        <v>30</v>
      </c>
      <c r="AA1882" s="100" t="s">
        <v>30</v>
      </c>
      <c r="AB1882" s="100" t="s">
        <v>30</v>
      </c>
      <c r="AC1882" s="100" t="s">
        <v>30</v>
      </c>
      <c r="AD1882" s="100" t="s">
        <v>30</v>
      </c>
      <c r="AE1882" s="100" t="s">
        <v>30</v>
      </c>
      <c r="AF1882" s="100" t="s">
        <v>30</v>
      </c>
      <c r="AG1882" s="100" t="s">
        <v>30</v>
      </c>
      <c r="AH1882" s="100" t="s">
        <v>30</v>
      </c>
      <c r="AI1882" s="100" t="s">
        <v>30</v>
      </c>
      <c r="AJ1882" s="100" t="s">
        <v>30</v>
      </c>
      <c r="AK1882" s="100" t="s">
        <v>30</v>
      </c>
      <c r="AL1882" s="114"/>
      <c r="AM1882" s="360"/>
      <c r="AS1882" s="72"/>
      <c r="AT1882" s="96"/>
      <c r="AU1882" s="96"/>
      <c r="AV1882" s="109"/>
    </row>
    <row r="1883" spans="1:48">
      <c r="A1883" s="358" t="s">
        <v>24</v>
      </c>
      <c r="B1883" s="369">
        <v>1880</v>
      </c>
      <c r="C1883" s="372" t="s">
        <v>2761</v>
      </c>
      <c r="D1883" s="372" t="s">
        <v>178</v>
      </c>
      <c r="E1883" s="373">
        <v>46020</v>
      </c>
      <c r="F1883" s="372" t="s">
        <v>206</v>
      </c>
      <c r="G1883" s="372">
        <v>15</v>
      </c>
      <c r="H1883" s="372" t="s">
        <v>127</v>
      </c>
      <c r="I1883" s="372" t="s">
        <v>178</v>
      </c>
      <c r="J1883" s="372"/>
      <c r="K1883" s="360" t="s">
        <v>2056</v>
      </c>
      <c r="L1883" s="360" t="s">
        <v>2636</v>
      </c>
      <c r="M1883" s="360" t="s">
        <v>2706</v>
      </c>
      <c r="N1883" s="360" t="s">
        <v>2058</v>
      </c>
      <c r="O1883" s="117" t="s">
        <v>31</v>
      </c>
      <c r="P1883" s="385" t="s">
        <v>30</v>
      </c>
      <c r="Q1883" s="23">
        <v>46055</v>
      </c>
      <c r="R1883" s="24" t="s">
        <v>28</v>
      </c>
      <c r="S1883" s="24" t="s">
        <v>1140</v>
      </c>
      <c r="T1883" s="22">
        <v>6</v>
      </c>
      <c r="U1883" s="24" t="s">
        <v>28</v>
      </c>
      <c r="V1883" s="23">
        <v>46055</v>
      </c>
      <c r="W1883" s="100" t="s">
        <v>30</v>
      </c>
      <c r="X1883" s="95" t="s">
        <v>32</v>
      </c>
      <c r="Y1883" s="107"/>
      <c r="Z1883" s="100" t="s">
        <v>30</v>
      </c>
      <c r="AA1883" s="100" t="s">
        <v>30</v>
      </c>
      <c r="AB1883" s="100" t="s">
        <v>30</v>
      </c>
      <c r="AC1883" s="100" t="s">
        <v>30</v>
      </c>
      <c r="AD1883" s="100" t="s">
        <v>30</v>
      </c>
      <c r="AE1883" s="100" t="s">
        <v>30</v>
      </c>
      <c r="AF1883" s="100" t="s">
        <v>30</v>
      </c>
      <c r="AG1883" s="100" t="s">
        <v>30</v>
      </c>
      <c r="AH1883" s="100" t="s">
        <v>30</v>
      </c>
      <c r="AI1883" s="100" t="s">
        <v>30</v>
      </c>
      <c r="AJ1883" s="100" t="s">
        <v>30</v>
      </c>
      <c r="AK1883" s="100" t="s">
        <v>30</v>
      </c>
      <c r="AL1883" s="114"/>
      <c r="AM1883" s="360" t="s">
        <v>2545</v>
      </c>
      <c r="AS1883" s="72"/>
      <c r="AT1883" s="96"/>
      <c r="AU1883" s="96"/>
      <c r="AV1883" s="109"/>
    </row>
    <row r="1884" spans="1:48">
      <c r="A1884" s="358" t="s">
        <v>24</v>
      </c>
      <c r="B1884" s="369">
        <v>1881</v>
      </c>
      <c r="C1884" s="372" t="s">
        <v>2762</v>
      </c>
      <c r="D1884" s="372" t="s">
        <v>34</v>
      </c>
      <c r="E1884" s="373">
        <v>46020</v>
      </c>
      <c r="F1884" s="372" t="s">
        <v>97</v>
      </c>
      <c r="G1884" s="372">
        <v>16</v>
      </c>
      <c r="H1884" s="372" t="s">
        <v>127</v>
      </c>
      <c r="I1884" s="372" t="s">
        <v>178</v>
      </c>
      <c r="J1884" s="257"/>
      <c r="K1884" s="360" t="s">
        <v>2312</v>
      </c>
      <c r="L1884" s="360" t="s">
        <v>2706</v>
      </c>
      <c r="M1884" s="360" t="s">
        <v>2706</v>
      </c>
      <c r="N1884" s="360" t="s">
        <v>2083</v>
      </c>
      <c r="O1884" s="117" t="s">
        <v>31</v>
      </c>
      <c r="P1884" s="385" t="s">
        <v>30</v>
      </c>
      <c r="Q1884" s="23">
        <v>46054</v>
      </c>
      <c r="R1884" s="24" t="s">
        <v>127</v>
      </c>
      <c r="S1884" s="24" t="s">
        <v>30</v>
      </c>
      <c r="T1884" s="22">
        <v>9</v>
      </c>
      <c r="U1884" s="24" t="s">
        <v>127</v>
      </c>
      <c r="V1884" s="23">
        <v>46054</v>
      </c>
      <c r="W1884" s="100" t="s">
        <v>30</v>
      </c>
      <c r="X1884" s="100" t="s">
        <v>30</v>
      </c>
      <c r="Y1884" s="122" t="s">
        <v>30</v>
      </c>
      <c r="Z1884" s="100" t="s">
        <v>30</v>
      </c>
      <c r="AA1884" s="100" t="s">
        <v>30</v>
      </c>
      <c r="AB1884" s="100" t="s">
        <v>30</v>
      </c>
      <c r="AC1884" s="100" t="s">
        <v>30</v>
      </c>
      <c r="AD1884" s="100" t="s">
        <v>30</v>
      </c>
      <c r="AE1884" s="100" t="s">
        <v>30</v>
      </c>
      <c r="AF1884" s="100" t="s">
        <v>30</v>
      </c>
      <c r="AG1884" s="100" t="s">
        <v>30</v>
      </c>
      <c r="AH1884" s="100" t="s">
        <v>30</v>
      </c>
      <c r="AI1884" s="100" t="s">
        <v>30</v>
      </c>
      <c r="AJ1884" s="100" t="s">
        <v>30</v>
      </c>
      <c r="AK1884" s="100" t="s">
        <v>30</v>
      </c>
      <c r="AL1884" s="114"/>
      <c r="AM1884" s="360"/>
      <c r="AS1884" s="72"/>
      <c r="AT1884" s="96"/>
      <c r="AU1884" s="96"/>
      <c r="AV1884" s="109"/>
    </row>
    <row r="1885" spans="1:48">
      <c r="A1885" s="358" t="s">
        <v>24</v>
      </c>
      <c r="B1885" s="369">
        <v>1882</v>
      </c>
      <c r="C1885" s="372" t="s">
        <v>2763</v>
      </c>
      <c r="D1885" s="372" t="s">
        <v>34</v>
      </c>
      <c r="E1885" s="373">
        <v>46020</v>
      </c>
      <c r="F1885" s="372" t="s">
        <v>1165</v>
      </c>
      <c r="G1885" s="372">
        <v>15</v>
      </c>
      <c r="H1885" s="372" t="s">
        <v>127</v>
      </c>
      <c r="I1885" s="372" t="s">
        <v>178</v>
      </c>
      <c r="J1885" s="372"/>
      <c r="K1885" s="360" t="s">
        <v>2180</v>
      </c>
      <c r="L1885" s="360" t="s">
        <v>2728</v>
      </c>
      <c r="M1885" s="360" t="s">
        <v>2728</v>
      </c>
      <c r="N1885" s="360" t="s">
        <v>2764</v>
      </c>
      <c r="O1885" s="117" t="s">
        <v>31</v>
      </c>
      <c r="P1885" s="385" t="s">
        <v>30</v>
      </c>
      <c r="Q1885" s="23">
        <v>46051</v>
      </c>
      <c r="R1885" s="24" t="s">
        <v>1638</v>
      </c>
      <c r="S1885" s="24" t="s">
        <v>32</v>
      </c>
      <c r="T1885" s="22">
        <v>13</v>
      </c>
      <c r="U1885" s="24" t="s">
        <v>1638</v>
      </c>
      <c r="V1885" s="23">
        <v>46051</v>
      </c>
      <c r="W1885" s="122" t="s">
        <v>30</v>
      </c>
      <c r="X1885" s="100" t="s">
        <v>30</v>
      </c>
      <c r="Y1885" s="122" t="s">
        <v>30</v>
      </c>
      <c r="Z1885" s="124"/>
      <c r="AA1885" s="124"/>
      <c r="AB1885" s="124"/>
      <c r="AC1885" s="111" t="s">
        <v>30</v>
      </c>
      <c r="AD1885" s="111" t="s">
        <v>30</v>
      </c>
      <c r="AE1885" s="111" t="s">
        <v>30</v>
      </c>
      <c r="AF1885" s="111" t="s">
        <v>30</v>
      </c>
      <c r="AG1885" s="111" t="s">
        <v>30</v>
      </c>
      <c r="AH1885" s="100" t="s">
        <v>30</v>
      </c>
      <c r="AI1885" s="100" t="s">
        <v>30</v>
      </c>
      <c r="AJ1885" s="100" t="s">
        <v>30</v>
      </c>
      <c r="AK1885" s="111" t="s">
        <v>30</v>
      </c>
      <c r="AL1885" s="114"/>
      <c r="AM1885" s="360"/>
      <c r="AS1885" s="96"/>
      <c r="AT1885" s="96"/>
      <c r="AU1885" s="96"/>
      <c r="AV1885" s="109"/>
    </row>
    <row r="1886" spans="1:48">
      <c r="A1886" s="358" t="s">
        <v>24</v>
      </c>
      <c r="B1886" s="369">
        <v>1883</v>
      </c>
      <c r="C1886" s="372" t="s">
        <v>2765</v>
      </c>
      <c r="D1886" s="372" t="s">
        <v>34</v>
      </c>
      <c r="E1886" s="373">
        <v>46020</v>
      </c>
      <c r="F1886" s="372" t="s">
        <v>202</v>
      </c>
      <c r="G1886" s="372">
        <v>17</v>
      </c>
      <c r="H1886" s="372" t="s">
        <v>127</v>
      </c>
      <c r="I1886" s="372" t="s">
        <v>178</v>
      </c>
      <c r="J1886" s="372"/>
      <c r="K1886" s="360" t="s">
        <v>2087</v>
      </c>
      <c r="L1886" s="360" t="s">
        <v>2745</v>
      </c>
      <c r="M1886" s="360" t="s">
        <v>2745</v>
      </c>
      <c r="N1886" s="360" t="s">
        <v>2766</v>
      </c>
      <c r="O1886" s="117" t="s">
        <v>31</v>
      </c>
      <c r="P1886" s="385" t="s">
        <v>30</v>
      </c>
      <c r="Q1886" s="123">
        <v>46386</v>
      </c>
      <c r="R1886" s="24" t="s">
        <v>1077</v>
      </c>
      <c r="S1886" s="24" t="s">
        <v>32</v>
      </c>
      <c r="T1886" s="22">
        <v>12</v>
      </c>
      <c r="U1886" s="24" t="s">
        <v>1077</v>
      </c>
      <c r="V1886" s="123">
        <v>46386</v>
      </c>
      <c r="W1886" s="100" t="s">
        <v>30</v>
      </c>
      <c r="X1886" s="100" t="s">
        <v>30</v>
      </c>
      <c r="Y1886" s="100" t="s">
        <v>30</v>
      </c>
      <c r="Z1886" s="124"/>
      <c r="AA1886" s="124"/>
      <c r="AB1886" s="124"/>
      <c r="AC1886" s="100" t="s">
        <v>30</v>
      </c>
      <c r="AD1886" s="100" t="s">
        <v>30</v>
      </c>
      <c r="AE1886" s="100" t="s">
        <v>30</v>
      </c>
      <c r="AF1886" s="100" t="s">
        <v>30</v>
      </c>
      <c r="AG1886" s="100" t="s">
        <v>30</v>
      </c>
      <c r="AH1886" s="100" t="s">
        <v>30</v>
      </c>
      <c r="AI1886" s="100" t="s">
        <v>30</v>
      </c>
      <c r="AJ1886" s="100" t="s">
        <v>30</v>
      </c>
      <c r="AK1886" s="100" t="s">
        <v>30</v>
      </c>
      <c r="AL1886" s="114"/>
      <c r="AM1886" s="360"/>
      <c r="AS1886" s="96"/>
      <c r="AT1886" s="96"/>
      <c r="AU1886" s="96"/>
      <c r="AV1886" s="109"/>
    </row>
    <row r="1887" spans="1:48">
      <c r="A1887" s="358" t="s">
        <v>24</v>
      </c>
      <c r="B1887" s="369">
        <v>1884</v>
      </c>
      <c r="C1887" s="372" t="s">
        <v>2767</v>
      </c>
      <c r="D1887" s="372" t="s">
        <v>34</v>
      </c>
      <c r="E1887" s="373">
        <v>46020</v>
      </c>
      <c r="F1887" s="372" t="s">
        <v>2694</v>
      </c>
      <c r="G1887" s="372">
        <v>14</v>
      </c>
      <c r="H1887" s="372" t="s">
        <v>127</v>
      </c>
      <c r="I1887" s="372" t="s">
        <v>178</v>
      </c>
      <c r="J1887" s="372"/>
      <c r="K1887" s="360" t="s">
        <v>2092</v>
      </c>
      <c r="L1887" s="360" t="s">
        <v>2592</v>
      </c>
      <c r="M1887" s="360" t="s">
        <v>2734</v>
      </c>
      <c r="N1887" s="360" t="s">
        <v>2696</v>
      </c>
      <c r="O1887" s="360"/>
      <c r="P1887" s="385" t="s">
        <v>30</v>
      </c>
      <c r="Q1887" s="380">
        <v>46051</v>
      </c>
      <c r="R1887" s="24" t="s">
        <v>1077</v>
      </c>
      <c r="S1887" s="358" t="s">
        <v>32</v>
      </c>
      <c r="T1887" s="358">
        <v>28</v>
      </c>
      <c r="U1887" s="24" t="s">
        <v>1077</v>
      </c>
      <c r="V1887" s="380">
        <v>46051</v>
      </c>
      <c r="W1887" s="100" t="s">
        <v>30</v>
      </c>
      <c r="X1887" s="100" t="s">
        <v>30</v>
      </c>
      <c r="Y1887" s="100" t="s">
        <v>30</v>
      </c>
      <c r="Z1887" s="124"/>
      <c r="AA1887" s="124"/>
      <c r="AB1887" s="124"/>
      <c r="AC1887" s="100" t="s">
        <v>30</v>
      </c>
      <c r="AD1887" s="100" t="s">
        <v>30</v>
      </c>
      <c r="AE1887" s="100" t="s">
        <v>30</v>
      </c>
      <c r="AF1887" s="100" t="s">
        <v>30</v>
      </c>
      <c r="AG1887" s="100" t="s">
        <v>30</v>
      </c>
      <c r="AH1887" s="100" t="s">
        <v>30</v>
      </c>
      <c r="AI1887" s="100" t="s">
        <v>30</v>
      </c>
      <c r="AJ1887" s="100" t="s">
        <v>30</v>
      </c>
      <c r="AK1887" s="100" t="s">
        <v>30</v>
      </c>
      <c r="AL1887" s="95"/>
      <c r="AM1887" s="360"/>
      <c r="AN1887" s="6"/>
      <c r="AO1887" s="6"/>
      <c r="AP1887" s="6"/>
      <c r="AQ1887" s="6"/>
      <c r="AR1887" s="6"/>
      <c r="AS1887" s="108"/>
      <c r="AT1887" s="109"/>
      <c r="AU1887" s="109"/>
      <c r="AV1887" s="109"/>
    </row>
    <row r="1888" spans="1:48">
      <c r="A1888" s="358" t="s">
        <v>24</v>
      </c>
      <c r="B1888" s="369">
        <v>1885</v>
      </c>
      <c r="C1888" s="372" t="s">
        <v>2768</v>
      </c>
      <c r="D1888" s="372" t="s">
        <v>34</v>
      </c>
      <c r="E1888" s="373">
        <v>46020</v>
      </c>
      <c r="F1888" s="372" t="s">
        <v>506</v>
      </c>
      <c r="G1888" s="372">
        <v>14</v>
      </c>
      <c r="H1888" s="372" t="s">
        <v>127</v>
      </c>
      <c r="I1888" s="372" t="s">
        <v>178</v>
      </c>
      <c r="J1888" s="372"/>
      <c r="K1888" s="360" t="s">
        <v>2085</v>
      </c>
      <c r="L1888" s="360" t="s">
        <v>2728</v>
      </c>
      <c r="M1888" s="360" t="s">
        <v>2734</v>
      </c>
      <c r="N1888" s="360" t="s">
        <v>2050</v>
      </c>
      <c r="O1888" s="360"/>
      <c r="P1888" s="385" t="s">
        <v>30</v>
      </c>
      <c r="Q1888" s="380">
        <v>46051</v>
      </c>
      <c r="R1888" s="24" t="s">
        <v>47</v>
      </c>
      <c r="S1888" s="358" t="s">
        <v>2769</v>
      </c>
      <c r="T1888" s="358">
        <v>7</v>
      </c>
      <c r="U1888" s="24" t="s">
        <v>47</v>
      </c>
      <c r="V1888" s="380">
        <v>46051</v>
      </c>
      <c r="W1888" s="100" t="s">
        <v>30</v>
      </c>
      <c r="X1888" s="100" t="s">
        <v>30</v>
      </c>
      <c r="Y1888" s="100" t="s">
        <v>30</v>
      </c>
      <c r="Z1888" s="100" t="s">
        <v>30</v>
      </c>
      <c r="AA1888" s="100" t="s">
        <v>30</v>
      </c>
      <c r="AB1888" s="100" t="s">
        <v>30</v>
      </c>
      <c r="AC1888" s="100" t="s">
        <v>30</v>
      </c>
      <c r="AD1888" s="100" t="s">
        <v>30</v>
      </c>
      <c r="AE1888" s="100" t="s">
        <v>30</v>
      </c>
      <c r="AF1888" s="100" t="s">
        <v>30</v>
      </c>
      <c r="AG1888" s="100" t="s">
        <v>30</v>
      </c>
      <c r="AH1888" s="100" t="s">
        <v>30</v>
      </c>
      <c r="AI1888" s="111" t="s">
        <v>30</v>
      </c>
      <c r="AJ1888" s="111" t="s">
        <v>30</v>
      </c>
      <c r="AK1888" s="111" t="s">
        <v>30</v>
      </c>
      <c r="AL1888" s="95"/>
      <c r="AM1888" s="360"/>
      <c r="AO1888" s="412"/>
      <c r="AP1888" s="412"/>
      <c r="AQ1888" s="412"/>
      <c r="AR1888" s="412"/>
    </row>
    <row r="1889" spans="1:48">
      <c r="A1889" s="358" t="s">
        <v>24</v>
      </c>
      <c r="B1889" s="369">
        <v>1886</v>
      </c>
      <c r="C1889" s="372" t="s">
        <v>2770</v>
      </c>
      <c r="D1889" s="372" t="s">
        <v>34</v>
      </c>
      <c r="E1889" s="373">
        <v>46020</v>
      </c>
      <c r="F1889" s="372" t="s">
        <v>89</v>
      </c>
      <c r="G1889" s="372">
        <v>5</v>
      </c>
      <c r="H1889" s="372" t="s">
        <v>1721</v>
      </c>
      <c r="I1889" s="372" t="s">
        <v>1638</v>
      </c>
      <c r="J1889" s="372"/>
      <c r="K1889" s="360" t="s">
        <v>2126</v>
      </c>
      <c r="L1889" s="360" t="s">
        <v>2734</v>
      </c>
      <c r="M1889" s="360" t="s">
        <v>2734</v>
      </c>
      <c r="N1889" s="360" t="s">
        <v>2771</v>
      </c>
      <c r="O1889" s="360"/>
      <c r="P1889" s="385" t="s">
        <v>30</v>
      </c>
      <c r="Q1889" s="380">
        <v>46042</v>
      </c>
      <c r="R1889" s="384" t="s">
        <v>1638</v>
      </c>
      <c r="S1889" s="358" t="s">
        <v>32</v>
      </c>
      <c r="T1889" s="358">
        <v>5</v>
      </c>
      <c r="U1889" s="384" t="s">
        <v>1638</v>
      </c>
      <c r="V1889" s="380">
        <v>46042</v>
      </c>
      <c r="W1889" s="100" t="s">
        <v>30</v>
      </c>
      <c r="X1889" s="100" t="s">
        <v>30</v>
      </c>
      <c r="Y1889" s="100" t="s">
        <v>30</v>
      </c>
      <c r="Z1889" s="100" t="s">
        <v>30</v>
      </c>
      <c r="AA1889" s="100" t="s">
        <v>30</v>
      </c>
      <c r="AB1889" s="100" t="s">
        <v>30</v>
      </c>
      <c r="AC1889" s="100" t="s">
        <v>30</v>
      </c>
      <c r="AD1889" s="100" t="s">
        <v>30</v>
      </c>
      <c r="AE1889" s="100" t="s">
        <v>30</v>
      </c>
      <c r="AF1889" s="100" t="s">
        <v>30</v>
      </c>
      <c r="AG1889" s="100" t="s">
        <v>30</v>
      </c>
      <c r="AH1889" s="100" t="s">
        <v>30</v>
      </c>
      <c r="AI1889" s="100" t="s">
        <v>30</v>
      </c>
      <c r="AJ1889" s="100" t="s">
        <v>30</v>
      </c>
      <c r="AK1889" s="100" t="s">
        <v>30</v>
      </c>
      <c r="AL1889" s="95"/>
      <c r="AM1889" s="360"/>
      <c r="AO1889" s="412"/>
      <c r="AP1889" s="412"/>
      <c r="AQ1889" s="412"/>
      <c r="AR1889" s="412"/>
    </row>
    <row r="1890" spans="1:48">
      <c r="A1890" s="358" t="s">
        <v>24</v>
      </c>
      <c r="B1890" s="369">
        <v>1887</v>
      </c>
      <c r="C1890" s="372" t="s">
        <v>2772</v>
      </c>
      <c r="D1890" s="372" t="s">
        <v>34</v>
      </c>
      <c r="E1890" s="373">
        <v>46020</v>
      </c>
      <c r="F1890" s="372" t="s">
        <v>401</v>
      </c>
      <c r="G1890" s="372">
        <v>15</v>
      </c>
      <c r="H1890" s="372" t="s">
        <v>127</v>
      </c>
      <c r="I1890" s="372" t="s">
        <v>178</v>
      </c>
      <c r="J1890" s="372"/>
      <c r="K1890" s="360" t="s">
        <v>2126</v>
      </c>
      <c r="L1890" s="360" t="s">
        <v>2734</v>
      </c>
      <c r="M1890" s="360" t="s">
        <v>2734</v>
      </c>
      <c r="N1890" s="360" t="s">
        <v>2771</v>
      </c>
      <c r="O1890" s="117" t="s">
        <v>31</v>
      </c>
      <c r="P1890" s="385" t="s">
        <v>30</v>
      </c>
      <c r="Q1890" s="380">
        <v>46052</v>
      </c>
      <c r="R1890" s="24" t="s">
        <v>67</v>
      </c>
      <c r="S1890" s="358" t="s">
        <v>32</v>
      </c>
      <c r="T1890" s="358">
        <v>14</v>
      </c>
      <c r="U1890" s="24" t="s">
        <v>67</v>
      </c>
      <c r="V1890" s="380">
        <v>46052</v>
      </c>
      <c r="W1890" s="94" t="s">
        <v>30</v>
      </c>
      <c r="X1890" s="94" t="s">
        <v>30</v>
      </c>
      <c r="Y1890" s="100" t="s">
        <v>30</v>
      </c>
      <c r="Z1890" s="100" t="s">
        <v>30</v>
      </c>
      <c r="AA1890" s="100" t="s">
        <v>30</v>
      </c>
      <c r="AB1890" s="100" t="s">
        <v>30</v>
      </c>
      <c r="AC1890" s="100" t="s">
        <v>30</v>
      </c>
      <c r="AD1890" s="100" t="s">
        <v>30</v>
      </c>
      <c r="AE1890" s="100" t="s">
        <v>30</v>
      </c>
      <c r="AF1890" s="100" t="s">
        <v>30</v>
      </c>
      <c r="AG1890" s="100" t="s">
        <v>30</v>
      </c>
      <c r="AH1890" s="100" t="s">
        <v>30</v>
      </c>
      <c r="AI1890" s="94" t="s">
        <v>30</v>
      </c>
      <c r="AJ1890" s="94" t="s">
        <v>30</v>
      </c>
      <c r="AK1890" s="94" t="s">
        <v>30</v>
      </c>
      <c r="AL1890" s="95"/>
      <c r="AM1890" s="360"/>
      <c r="AO1890" s="412"/>
      <c r="AP1890" s="412"/>
      <c r="AQ1890" s="412"/>
      <c r="AR1890" s="412"/>
    </row>
    <row r="1891" spans="1:48">
      <c r="A1891" s="358" t="s">
        <v>24</v>
      </c>
      <c r="B1891" s="369">
        <v>1888</v>
      </c>
      <c r="C1891" s="372" t="s">
        <v>2773</v>
      </c>
      <c r="D1891" s="372" t="s">
        <v>374</v>
      </c>
      <c r="E1891" s="373">
        <v>46020</v>
      </c>
      <c r="F1891" s="372" t="s">
        <v>202</v>
      </c>
      <c r="G1891" s="372">
        <v>17</v>
      </c>
      <c r="H1891" s="372" t="s">
        <v>127</v>
      </c>
      <c r="I1891" s="372" t="s">
        <v>178</v>
      </c>
      <c r="J1891" s="257"/>
      <c r="K1891" s="360" t="s">
        <v>2244</v>
      </c>
      <c r="L1891" s="360" t="s">
        <v>2661</v>
      </c>
      <c r="M1891" s="360" t="s">
        <v>2661</v>
      </c>
      <c r="N1891" s="360" t="s">
        <v>2050</v>
      </c>
      <c r="O1891" s="117" t="s">
        <v>31</v>
      </c>
      <c r="P1891" s="252" t="s">
        <v>30</v>
      </c>
      <c r="Q1891" s="380">
        <v>46045</v>
      </c>
      <c r="R1891" s="24" t="s">
        <v>2707</v>
      </c>
      <c r="S1891" s="358" t="s">
        <v>30</v>
      </c>
      <c r="T1891" s="358">
        <v>16</v>
      </c>
      <c r="U1891" s="24" t="s">
        <v>2707</v>
      </c>
      <c r="V1891" s="380">
        <v>46045</v>
      </c>
      <c r="W1891" s="100" t="s">
        <v>30</v>
      </c>
      <c r="X1891" s="94" t="s">
        <v>30</v>
      </c>
      <c r="Y1891" s="100" t="s">
        <v>30</v>
      </c>
      <c r="Z1891" s="100" t="s">
        <v>30</v>
      </c>
      <c r="AA1891" s="100" t="s">
        <v>30</v>
      </c>
      <c r="AB1891" s="100" t="s">
        <v>30</v>
      </c>
      <c r="AC1891" s="100" t="s">
        <v>30</v>
      </c>
      <c r="AD1891" s="100" t="s">
        <v>30</v>
      </c>
      <c r="AE1891" s="100" t="s">
        <v>30</v>
      </c>
      <c r="AF1891" s="100" t="s">
        <v>30</v>
      </c>
      <c r="AG1891" s="100" t="s">
        <v>30</v>
      </c>
      <c r="AH1891" s="100" t="s">
        <v>30</v>
      </c>
      <c r="AI1891" s="94" t="s">
        <v>30</v>
      </c>
      <c r="AJ1891" s="94" t="s">
        <v>30</v>
      </c>
      <c r="AK1891" s="94" t="s">
        <v>30</v>
      </c>
      <c r="AL1891" s="95"/>
      <c r="AM1891" s="360"/>
      <c r="AN1891" s="6"/>
      <c r="AO1891" s="6"/>
      <c r="AP1891" s="6"/>
      <c r="AQ1891" s="6"/>
      <c r="AR1891" s="6"/>
      <c r="AS1891" s="108"/>
      <c r="AT1891" s="109"/>
      <c r="AU1891" s="109"/>
      <c r="AV1891" s="109"/>
    </row>
    <row r="1892" spans="1:48">
      <c r="A1892" s="358" t="s">
        <v>24</v>
      </c>
      <c r="B1892" s="369">
        <v>1889</v>
      </c>
      <c r="C1892" s="372" t="s">
        <v>2774</v>
      </c>
      <c r="D1892" s="372" t="s">
        <v>446</v>
      </c>
      <c r="E1892" s="373">
        <v>46020</v>
      </c>
      <c r="F1892" s="372" t="s">
        <v>202</v>
      </c>
      <c r="G1892" s="372">
        <v>13</v>
      </c>
      <c r="H1892" s="372" t="s">
        <v>127</v>
      </c>
      <c r="I1892" s="372" t="s">
        <v>178</v>
      </c>
      <c r="J1892" s="372"/>
      <c r="K1892" s="360" t="s">
        <v>2695</v>
      </c>
      <c r="L1892" s="360" t="s">
        <v>2661</v>
      </c>
      <c r="M1892" s="360" t="s">
        <v>2706</v>
      </c>
      <c r="N1892" s="360" t="s">
        <v>401</v>
      </c>
      <c r="O1892" s="360"/>
      <c r="P1892" s="385" t="s">
        <v>30</v>
      </c>
      <c r="Q1892" s="380">
        <v>46045</v>
      </c>
      <c r="R1892" s="24" t="s">
        <v>2707</v>
      </c>
      <c r="S1892" s="358" t="s">
        <v>32</v>
      </c>
      <c r="T1892" s="358">
        <v>14</v>
      </c>
      <c r="U1892" s="24" t="s">
        <v>2707</v>
      </c>
      <c r="V1892" s="380">
        <v>46045</v>
      </c>
      <c r="W1892" s="94" t="s">
        <v>30</v>
      </c>
      <c r="X1892" s="100" t="s">
        <v>30</v>
      </c>
      <c r="Y1892" s="100" t="s">
        <v>30</v>
      </c>
      <c r="Z1892" s="124"/>
      <c r="AA1892" s="125"/>
      <c r="AB1892" s="124"/>
      <c r="AC1892" s="100" t="s">
        <v>30</v>
      </c>
      <c r="AD1892" s="100" t="s">
        <v>30</v>
      </c>
      <c r="AE1892" s="100" t="s">
        <v>30</v>
      </c>
      <c r="AF1892" s="95" t="s">
        <v>32</v>
      </c>
      <c r="AG1892" s="100" t="s">
        <v>30</v>
      </c>
      <c r="AH1892" s="100" t="s">
        <v>30</v>
      </c>
      <c r="AI1892" s="100" t="s">
        <v>30</v>
      </c>
      <c r="AJ1892" s="100" t="s">
        <v>30</v>
      </c>
      <c r="AK1892" s="111" t="s">
        <v>30</v>
      </c>
      <c r="AL1892" s="95"/>
      <c r="AM1892" s="360"/>
      <c r="AO1892" s="412"/>
      <c r="AP1892" s="412"/>
      <c r="AQ1892" s="412"/>
      <c r="AR1892" s="412"/>
    </row>
    <row r="1893" spans="1:48">
      <c r="A1893" s="358" t="s">
        <v>24</v>
      </c>
      <c r="B1893" s="369">
        <v>1890</v>
      </c>
      <c r="C1893" s="372" t="s">
        <v>2775</v>
      </c>
      <c r="D1893" s="372" t="s">
        <v>34</v>
      </c>
      <c r="E1893" s="373">
        <v>46020</v>
      </c>
      <c r="F1893" s="372" t="s">
        <v>1081</v>
      </c>
      <c r="G1893" s="372">
        <v>18</v>
      </c>
      <c r="H1893" s="372" t="s">
        <v>1721</v>
      </c>
      <c r="I1893" s="372" t="s">
        <v>1638</v>
      </c>
      <c r="J1893" s="372"/>
      <c r="K1893" s="360" t="s">
        <v>2119</v>
      </c>
      <c r="L1893" s="360" t="s">
        <v>2728</v>
      </c>
      <c r="M1893" s="360" t="s">
        <v>2745</v>
      </c>
      <c r="N1893" s="360" t="s">
        <v>2776</v>
      </c>
      <c r="O1893" s="117" t="s">
        <v>31</v>
      </c>
      <c r="P1893" s="385" t="s">
        <v>30</v>
      </c>
      <c r="Q1893" s="380">
        <v>46048</v>
      </c>
      <c r="R1893" s="384" t="s">
        <v>1638</v>
      </c>
      <c r="S1893" s="358" t="s">
        <v>1055</v>
      </c>
      <c r="T1893" s="358">
        <v>16</v>
      </c>
      <c r="U1893" s="358" t="s">
        <v>1638</v>
      </c>
      <c r="V1893" s="380">
        <v>46048</v>
      </c>
      <c r="W1893" s="100" t="s">
        <v>30</v>
      </c>
      <c r="X1893" s="100" t="s">
        <v>30</v>
      </c>
      <c r="Y1893" s="100" t="s">
        <v>30</v>
      </c>
      <c r="Z1893" s="95" t="s">
        <v>32</v>
      </c>
      <c r="AA1893" s="95" t="s">
        <v>32</v>
      </c>
      <c r="AB1893" s="95" t="s">
        <v>32</v>
      </c>
      <c r="AC1893" s="100" t="s">
        <v>30</v>
      </c>
      <c r="AD1893" s="100" t="s">
        <v>30</v>
      </c>
      <c r="AE1893" s="100" t="s">
        <v>30</v>
      </c>
      <c r="AF1893" s="100" t="s">
        <v>30</v>
      </c>
      <c r="AG1893" s="100" t="s">
        <v>30</v>
      </c>
      <c r="AH1893" s="100" t="s">
        <v>30</v>
      </c>
      <c r="AI1893" s="100" t="s">
        <v>30</v>
      </c>
      <c r="AJ1893" s="100" t="s">
        <v>30</v>
      </c>
      <c r="AK1893" s="100" t="s">
        <v>30</v>
      </c>
      <c r="AL1893" s="95"/>
      <c r="AM1893" s="360" t="s">
        <v>2548</v>
      </c>
      <c r="AO1893" s="412"/>
      <c r="AP1893" s="412"/>
      <c r="AQ1893" s="412"/>
      <c r="AR1893" s="412"/>
    </row>
    <row r="1894" spans="1:48">
      <c r="A1894" s="358" t="s">
        <v>24</v>
      </c>
      <c r="B1894" s="369">
        <v>1891</v>
      </c>
      <c r="C1894" s="372" t="s">
        <v>2777</v>
      </c>
      <c r="D1894" s="372" t="s">
        <v>50</v>
      </c>
      <c r="E1894" s="373">
        <v>46020</v>
      </c>
      <c r="F1894" s="372" t="s">
        <v>35</v>
      </c>
      <c r="G1894" s="372">
        <v>28</v>
      </c>
      <c r="H1894" s="372" t="s">
        <v>1721</v>
      </c>
      <c r="I1894" s="372" t="s">
        <v>1638</v>
      </c>
      <c r="J1894" s="372"/>
      <c r="K1894" s="360" t="s">
        <v>2113</v>
      </c>
      <c r="L1894" s="360" t="s">
        <v>2706</v>
      </c>
      <c r="M1894" s="360" t="s">
        <v>2706</v>
      </c>
      <c r="N1894" s="360" t="s">
        <v>2050</v>
      </c>
      <c r="O1894" s="117" t="s">
        <v>31</v>
      </c>
      <c r="P1894" s="385" t="s">
        <v>30</v>
      </c>
      <c r="Q1894" s="380">
        <v>46045</v>
      </c>
      <c r="R1894" s="384" t="s">
        <v>1638</v>
      </c>
      <c r="S1894" s="358" t="s">
        <v>32</v>
      </c>
      <c r="T1894" s="358">
        <v>11</v>
      </c>
      <c r="U1894" s="384" t="s">
        <v>1638</v>
      </c>
      <c r="V1894" s="380">
        <v>46045</v>
      </c>
      <c r="W1894" s="100" t="s">
        <v>30</v>
      </c>
      <c r="X1894" s="100" t="s">
        <v>30</v>
      </c>
      <c r="Y1894" s="100" t="s">
        <v>30</v>
      </c>
      <c r="Z1894" s="100" t="s">
        <v>30</v>
      </c>
      <c r="AA1894" s="100" t="s">
        <v>30</v>
      </c>
      <c r="AB1894" s="100" t="s">
        <v>30</v>
      </c>
      <c r="AC1894" s="100" t="s">
        <v>30</v>
      </c>
      <c r="AD1894" s="100" t="s">
        <v>30</v>
      </c>
      <c r="AE1894" s="100" t="s">
        <v>30</v>
      </c>
      <c r="AF1894" s="100" t="s">
        <v>30</v>
      </c>
      <c r="AG1894" s="100" t="s">
        <v>30</v>
      </c>
      <c r="AH1894" s="100" t="s">
        <v>30</v>
      </c>
      <c r="AI1894" s="111" t="s">
        <v>30</v>
      </c>
      <c r="AJ1894" s="111" t="s">
        <v>30</v>
      </c>
      <c r="AK1894" s="111" t="s">
        <v>30</v>
      </c>
      <c r="AL1894" s="95"/>
      <c r="AM1894" s="360"/>
      <c r="AO1894" s="412"/>
      <c r="AP1894" s="412"/>
      <c r="AQ1894" s="412"/>
      <c r="AR1894" s="412"/>
    </row>
    <row r="1895" spans="1:48">
      <c r="A1895" s="358" t="s">
        <v>24</v>
      </c>
      <c r="B1895" s="369">
        <v>1892</v>
      </c>
      <c r="C1895" s="372" t="s">
        <v>2778</v>
      </c>
      <c r="D1895" s="372" t="s">
        <v>34</v>
      </c>
      <c r="E1895" s="373">
        <v>46020</v>
      </c>
      <c r="F1895" s="372" t="s">
        <v>1061</v>
      </c>
      <c r="G1895" s="372">
        <v>15</v>
      </c>
      <c r="H1895" s="372" t="s">
        <v>67</v>
      </c>
      <c r="I1895" s="372" t="s">
        <v>47</v>
      </c>
      <c r="J1895" s="372"/>
      <c r="K1895" s="360" t="s">
        <v>2100</v>
      </c>
      <c r="L1895" s="360" t="s">
        <v>2706</v>
      </c>
      <c r="M1895" s="360" t="s">
        <v>2728</v>
      </c>
      <c r="N1895" s="360" t="s">
        <v>2050</v>
      </c>
      <c r="O1895" s="117" t="s">
        <v>31</v>
      </c>
      <c r="P1895" s="385" t="s">
        <v>30</v>
      </c>
      <c r="Q1895" s="380">
        <v>46045</v>
      </c>
      <c r="R1895" s="24" t="s">
        <v>1138</v>
      </c>
      <c r="S1895" s="358" t="s">
        <v>32</v>
      </c>
      <c r="T1895" s="358">
        <v>12</v>
      </c>
      <c r="U1895" s="24" t="s">
        <v>1138</v>
      </c>
      <c r="V1895" s="380">
        <v>46045</v>
      </c>
      <c r="W1895" s="100" t="s">
        <v>30</v>
      </c>
      <c r="X1895" s="100" t="s">
        <v>30</v>
      </c>
      <c r="Y1895" s="100" t="s">
        <v>30</v>
      </c>
      <c r="Z1895" s="100" t="s">
        <v>30</v>
      </c>
      <c r="AA1895" s="100" t="s">
        <v>30</v>
      </c>
      <c r="AB1895" s="100" t="s">
        <v>30</v>
      </c>
      <c r="AC1895" s="100" t="s">
        <v>30</v>
      </c>
      <c r="AD1895" s="100" t="s">
        <v>30</v>
      </c>
      <c r="AE1895" s="100" t="s">
        <v>30</v>
      </c>
      <c r="AF1895" s="100" t="s">
        <v>30</v>
      </c>
      <c r="AG1895" s="100" t="s">
        <v>30</v>
      </c>
      <c r="AH1895" s="100" t="s">
        <v>30</v>
      </c>
      <c r="AI1895" s="100" t="s">
        <v>30</v>
      </c>
      <c r="AJ1895" s="100" t="s">
        <v>30</v>
      </c>
      <c r="AK1895" s="100" t="s">
        <v>30</v>
      </c>
      <c r="AL1895" s="95"/>
      <c r="AM1895" s="360"/>
    </row>
    <row r="1896" spans="1:48">
      <c r="A1896" s="358" t="s">
        <v>24</v>
      </c>
      <c r="B1896" s="369">
        <v>1893</v>
      </c>
      <c r="C1896" s="372" t="s">
        <v>2779</v>
      </c>
      <c r="D1896" s="372" t="s">
        <v>34</v>
      </c>
      <c r="E1896" s="373">
        <v>46020</v>
      </c>
      <c r="F1896" s="372" t="s">
        <v>1061</v>
      </c>
      <c r="G1896" s="372">
        <v>15</v>
      </c>
      <c r="H1896" s="372" t="s">
        <v>67</v>
      </c>
      <c r="I1896" s="372" t="s">
        <v>47</v>
      </c>
      <c r="J1896" s="372"/>
      <c r="K1896" s="360" t="s">
        <v>2102</v>
      </c>
      <c r="L1896" s="360" t="s">
        <v>2706</v>
      </c>
      <c r="M1896" s="360" t="s">
        <v>2728</v>
      </c>
      <c r="N1896" s="360" t="s">
        <v>2050</v>
      </c>
      <c r="O1896" s="117" t="s">
        <v>31</v>
      </c>
      <c r="P1896" s="385" t="s">
        <v>30</v>
      </c>
      <c r="Q1896" s="380">
        <v>46045</v>
      </c>
      <c r="R1896" s="24" t="s">
        <v>1138</v>
      </c>
      <c r="S1896" s="358" t="s">
        <v>32</v>
      </c>
      <c r="T1896" s="358">
        <v>17</v>
      </c>
      <c r="U1896" s="24" t="s">
        <v>1138</v>
      </c>
      <c r="V1896" s="380">
        <v>46045</v>
      </c>
      <c r="W1896" s="100" t="s">
        <v>30</v>
      </c>
      <c r="X1896" s="100" t="s">
        <v>30</v>
      </c>
      <c r="Y1896" s="100" t="s">
        <v>30</v>
      </c>
      <c r="Z1896" s="100" t="s">
        <v>30</v>
      </c>
      <c r="AA1896" s="100" t="s">
        <v>30</v>
      </c>
      <c r="AB1896" s="100" t="s">
        <v>30</v>
      </c>
      <c r="AC1896" s="100" t="s">
        <v>30</v>
      </c>
      <c r="AD1896" s="100" t="s">
        <v>30</v>
      </c>
      <c r="AE1896" s="100" t="s">
        <v>30</v>
      </c>
      <c r="AF1896" s="100" t="s">
        <v>30</v>
      </c>
      <c r="AG1896" s="100" t="s">
        <v>30</v>
      </c>
      <c r="AH1896" s="100" t="s">
        <v>30</v>
      </c>
      <c r="AI1896" s="111" t="s">
        <v>30</v>
      </c>
      <c r="AJ1896" s="111" t="s">
        <v>30</v>
      </c>
      <c r="AK1896" s="114" t="s">
        <v>32</v>
      </c>
      <c r="AL1896" s="95"/>
      <c r="AM1896" s="360" t="s">
        <v>2548</v>
      </c>
    </row>
    <row r="1897" spans="1:48">
      <c r="A1897" s="358" t="s">
        <v>24</v>
      </c>
      <c r="B1897" s="369">
        <v>1894</v>
      </c>
      <c r="C1897" s="372" t="s">
        <v>2780</v>
      </c>
      <c r="D1897" s="372" t="s">
        <v>34</v>
      </c>
      <c r="E1897" s="373">
        <v>46020</v>
      </c>
      <c r="F1897" s="372" t="s">
        <v>1749</v>
      </c>
      <c r="G1897" s="372">
        <v>19</v>
      </c>
      <c r="H1897" s="372" t="s">
        <v>67</v>
      </c>
      <c r="I1897" s="372" t="s">
        <v>47</v>
      </c>
      <c r="J1897" s="372"/>
      <c r="K1897" s="360" t="s">
        <v>2325</v>
      </c>
      <c r="L1897" s="360" t="s">
        <v>2734</v>
      </c>
      <c r="M1897" s="360" t="s">
        <v>2734</v>
      </c>
      <c r="N1897" s="360" t="s">
        <v>2050</v>
      </c>
      <c r="O1897" s="117" t="s">
        <v>31</v>
      </c>
      <c r="P1897" s="385" t="s">
        <v>30</v>
      </c>
      <c r="Q1897" s="380">
        <v>46045</v>
      </c>
      <c r="R1897" s="24" t="s">
        <v>1138</v>
      </c>
      <c r="S1897" s="358" t="s">
        <v>32</v>
      </c>
      <c r="T1897" s="358">
        <v>18</v>
      </c>
      <c r="U1897" s="24" t="s">
        <v>1138</v>
      </c>
      <c r="V1897" s="380">
        <v>46045</v>
      </c>
      <c r="W1897" s="100" t="s">
        <v>30</v>
      </c>
      <c r="X1897" s="100" t="s">
        <v>30</v>
      </c>
      <c r="Y1897" s="100" t="s">
        <v>30</v>
      </c>
      <c r="Z1897" s="100" t="s">
        <v>30</v>
      </c>
      <c r="AA1897" s="100" t="s">
        <v>30</v>
      </c>
      <c r="AB1897" s="100" t="s">
        <v>30</v>
      </c>
      <c r="AC1897" s="100" t="s">
        <v>30</v>
      </c>
      <c r="AD1897" s="100" t="s">
        <v>30</v>
      </c>
      <c r="AE1897" s="100" t="s">
        <v>30</v>
      </c>
      <c r="AF1897" s="100" t="s">
        <v>30</v>
      </c>
      <c r="AG1897" s="100" t="s">
        <v>30</v>
      </c>
      <c r="AH1897" s="100" t="s">
        <v>30</v>
      </c>
      <c r="AI1897" s="111" t="s">
        <v>30</v>
      </c>
      <c r="AJ1897" s="111" t="s">
        <v>30</v>
      </c>
      <c r="AK1897" s="111" t="s">
        <v>30</v>
      </c>
      <c r="AL1897" s="95"/>
      <c r="AM1897" s="360"/>
    </row>
    <row r="1898" spans="1:48">
      <c r="A1898" s="358" t="s">
        <v>24</v>
      </c>
      <c r="B1898" s="369">
        <v>1895</v>
      </c>
      <c r="C1898" s="372" t="s">
        <v>2781</v>
      </c>
      <c r="D1898" s="372" t="s">
        <v>83</v>
      </c>
      <c r="E1898" s="373">
        <v>46020</v>
      </c>
      <c r="F1898" s="372" t="s">
        <v>688</v>
      </c>
      <c r="G1898" s="372">
        <v>13</v>
      </c>
      <c r="H1898" s="372" t="s">
        <v>67</v>
      </c>
      <c r="I1898" s="372" t="s">
        <v>47</v>
      </c>
      <c r="J1898" s="372"/>
      <c r="K1898" s="360" t="s">
        <v>2703</v>
      </c>
      <c r="L1898" s="360" t="s">
        <v>2728</v>
      </c>
      <c r="M1898" s="360" t="s">
        <v>2728</v>
      </c>
      <c r="N1898" s="360" t="s">
        <v>2782</v>
      </c>
      <c r="O1898" s="360"/>
      <c r="P1898" s="385" t="s">
        <v>30</v>
      </c>
      <c r="Q1898" s="380">
        <v>46048</v>
      </c>
      <c r="R1898" s="24" t="s">
        <v>1138</v>
      </c>
      <c r="S1898" s="358" t="s">
        <v>32</v>
      </c>
      <c r="T1898" s="358">
        <v>11</v>
      </c>
      <c r="U1898" s="24" t="s">
        <v>1138</v>
      </c>
      <c r="V1898" s="380">
        <v>46048</v>
      </c>
      <c r="W1898" s="100" t="s">
        <v>30</v>
      </c>
      <c r="X1898" s="100" t="s">
        <v>30</v>
      </c>
      <c r="Y1898" s="100" t="s">
        <v>30</v>
      </c>
      <c r="Z1898" s="111" t="s">
        <v>30</v>
      </c>
      <c r="AA1898" s="111" t="s">
        <v>30</v>
      </c>
      <c r="AB1898" s="111" t="s">
        <v>30</v>
      </c>
      <c r="AC1898" s="111" t="s">
        <v>30</v>
      </c>
      <c r="AD1898" s="111" t="s">
        <v>30</v>
      </c>
      <c r="AE1898" s="111" t="s">
        <v>30</v>
      </c>
      <c r="AF1898" s="111" t="s">
        <v>30</v>
      </c>
      <c r="AG1898" s="111" t="s">
        <v>30</v>
      </c>
      <c r="AH1898" s="100" t="s">
        <v>30</v>
      </c>
      <c r="AI1898" s="111" t="s">
        <v>30</v>
      </c>
      <c r="AJ1898" s="111" t="s">
        <v>30</v>
      </c>
      <c r="AK1898" s="111" t="s">
        <v>30</v>
      </c>
      <c r="AL1898" s="95"/>
      <c r="AM1898" s="360" t="s">
        <v>2545</v>
      </c>
      <c r="AN1898" s="6"/>
    </row>
    <row r="1899" spans="1:48">
      <c r="A1899" s="358" t="s">
        <v>24</v>
      </c>
      <c r="B1899" s="369">
        <v>1896</v>
      </c>
      <c r="C1899" s="372" t="s">
        <v>2783</v>
      </c>
      <c r="D1899" s="372" t="s">
        <v>178</v>
      </c>
      <c r="E1899" s="373">
        <v>46020</v>
      </c>
      <c r="F1899" s="372" t="s">
        <v>688</v>
      </c>
      <c r="G1899" s="372">
        <v>33</v>
      </c>
      <c r="H1899" s="372" t="s">
        <v>67</v>
      </c>
      <c r="I1899" s="372" t="s">
        <v>47</v>
      </c>
      <c r="J1899" s="372"/>
      <c r="K1899" s="360" t="s">
        <v>2298</v>
      </c>
      <c r="L1899" s="360" t="s">
        <v>2728</v>
      </c>
      <c r="M1899" s="360" t="s">
        <v>2728</v>
      </c>
      <c r="N1899" s="360" t="s">
        <v>2050</v>
      </c>
      <c r="O1899" s="117" t="s">
        <v>31</v>
      </c>
      <c r="P1899" s="385" t="s">
        <v>30</v>
      </c>
      <c r="Q1899" s="380">
        <v>46056</v>
      </c>
      <c r="R1899" s="24" t="s">
        <v>67</v>
      </c>
      <c r="S1899" s="358" t="s">
        <v>32</v>
      </c>
      <c r="T1899" s="358">
        <v>28</v>
      </c>
      <c r="U1899" s="24" t="s">
        <v>67</v>
      </c>
      <c r="V1899" s="380">
        <v>46056</v>
      </c>
      <c r="W1899" s="100" t="s">
        <v>30</v>
      </c>
      <c r="X1899" s="95" t="s">
        <v>32</v>
      </c>
      <c r="Y1899" s="100" t="s">
        <v>30</v>
      </c>
      <c r="Z1899" s="100" t="s">
        <v>30</v>
      </c>
      <c r="AA1899" s="100" t="s">
        <v>30</v>
      </c>
      <c r="AB1899" s="100" t="s">
        <v>30</v>
      </c>
      <c r="AC1899" s="100" t="s">
        <v>30</v>
      </c>
      <c r="AD1899" s="100" t="s">
        <v>30</v>
      </c>
      <c r="AE1899" s="100" t="s">
        <v>30</v>
      </c>
      <c r="AF1899" s="100" t="s">
        <v>30</v>
      </c>
      <c r="AG1899" s="100" t="s">
        <v>30</v>
      </c>
      <c r="AH1899" s="100" t="s">
        <v>30</v>
      </c>
      <c r="AI1899" s="100" t="s">
        <v>30</v>
      </c>
      <c r="AJ1899" s="100" t="s">
        <v>30</v>
      </c>
      <c r="AK1899" s="100" t="s">
        <v>30</v>
      </c>
      <c r="AL1899" s="95"/>
      <c r="AM1899" s="360" t="s">
        <v>2545</v>
      </c>
    </row>
    <row r="1900" spans="1:48">
      <c r="A1900" s="358" t="s">
        <v>24</v>
      </c>
      <c r="B1900" s="369">
        <v>1897</v>
      </c>
      <c r="C1900" s="372" t="s">
        <v>2784</v>
      </c>
      <c r="D1900" s="372" t="s">
        <v>34</v>
      </c>
      <c r="E1900" s="373">
        <v>46020</v>
      </c>
      <c r="F1900" s="372" t="s">
        <v>435</v>
      </c>
      <c r="G1900" s="372">
        <v>25</v>
      </c>
      <c r="H1900" s="372" t="s">
        <v>67</v>
      </c>
      <c r="I1900" s="372" t="s">
        <v>47</v>
      </c>
      <c r="J1900" s="257"/>
      <c r="K1900" s="360" t="s">
        <v>2226</v>
      </c>
      <c r="L1900" s="360" t="s">
        <v>2728</v>
      </c>
      <c r="M1900" s="360" t="s">
        <v>2745</v>
      </c>
      <c r="N1900" s="360" t="s">
        <v>2050</v>
      </c>
      <c r="O1900" s="117" t="s">
        <v>31</v>
      </c>
      <c r="P1900" s="252" t="s">
        <v>30</v>
      </c>
      <c r="Q1900" s="380">
        <v>46049</v>
      </c>
      <c r="R1900" s="24" t="s">
        <v>2785</v>
      </c>
      <c r="S1900" s="358" t="s">
        <v>30</v>
      </c>
      <c r="T1900" s="358">
        <v>20</v>
      </c>
      <c r="U1900" s="24" t="s">
        <v>2785</v>
      </c>
      <c r="V1900" s="380">
        <v>46049</v>
      </c>
      <c r="W1900" s="100" t="s">
        <v>30</v>
      </c>
      <c r="X1900" s="95" t="s">
        <v>32</v>
      </c>
      <c r="Y1900" s="100" t="s">
        <v>30</v>
      </c>
      <c r="Z1900" s="100" t="s">
        <v>30</v>
      </c>
      <c r="AA1900" s="100" t="s">
        <v>30</v>
      </c>
      <c r="AB1900" s="100" t="s">
        <v>30</v>
      </c>
      <c r="AC1900" s="100" t="s">
        <v>30</v>
      </c>
      <c r="AD1900" s="100" t="s">
        <v>30</v>
      </c>
      <c r="AE1900" s="100" t="s">
        <v>30</v>
      </c>
      <c r="AF1900" s="100" t="s">
        <v>30</v>
      </c>
      <c r="AG1900" s="100" t="s">
        <v>30</v>
      </c>
      <c r="AH1900" s="100" t="s">
        <v>30</v>
      </c>
      <c r="AI1900" s="100" t="s">
        <v>30</v>
      </c>
      <c r="AJ1900" s="100" t="s">
        <v>30</v>
      </c>
      <c r="AK1900" s="100" t="s">
        <v>30</v>
      </c>
      <c r="AL1900" s="95"/>
      <c r="AM1900" s="360"/>
    </row>
    <row r="1901" spans="1:48">
      <c r="A1901" s="358" t="s">
        <v>24</v>
      </c>
      <c r="B1901" s="369">
        <v>1898</v>
      </c>
      <c r="C1901" s="372" t="s">
        <v>2786</v>
      </c>
      <c r="D1901" s="372" t="s">
        <v>43</v>
      </c>
      <c r="E1901" s="373">
        <v>46020</v>
      </c>
      <c r="F1901" s="372" t="s">
        <v>631</v>
      </c>
      <c r="G1901" s="372">
        <v>28</v>
      </c>
      <c r="H1901" s="372" t="s">
        <v>67</v>
      </c>
      <c r="I1901" s="372" t="s">
        <v>47</v>
      </c>
      <c r="J1901" s="221" t="s">
        <v>2576</v>
      </c>
      <c r="K1901" s="360" t="s">
        <v>2203</v>
      </c>
      <c r="L1901" s="360" t="s">
        <v>2734</v>
      </c>
      <c r="M1901" s="360" t="s">
        <v>2745</v>
      </c>
      <c r="N1901" s="360" t="s">
        <v>2050</v>
      </c>
      <c r="O1901" s="117" t="s">
        <v>31</v>
      </c>
      <c r="P1901" s="385"/>
      <c r="Q1901" s="380"/>
      <c r="R1901" s="24" t="s">
        <v>1138</v>
      </c>
      <c r="S1901" s="358" t="s">
        <v>32</v>
      </c>
      <c r="T1901" s="358">
        <v>13</v>
      </c>
      <c r="U1901" s="24" t="s">
        <v>1138</v>
      </c>
      <c r="V1901" s="380"/>
      <c r="W1901" s="100" t="s">
        <v>30</v>
      </c>
      <c r="X1901" s="95" t="s">
        <v>32</v>
      </c>
      <c r="Y1901" s="100" t="s">
        <v>30</v>
      </c>
      <c r="Z1901" s="95" t="s">
        <v>32</v>
      </c>
      <c r="AA1901" s="95" t="s">
        <v>32</v>
      </c>
      <c r="AB1901" s="95" t="s">
        <v>32</v>
      </c>
      <c r="AC1901" s="100" t="s">
        <v>30</v>
      </c>
      <c r="AD1901" s="100" t="s">
        <v>30</v>
      </c>
      <c r="AE1901" s="100" t="s">
        <v>30</v>
      </c>
      <c r="AF1901" s="100" t="s">
        <v>30</v>
      </c>
      <c r="AG1901" s="100" t="s">
        <v>30</v>
      </c>
      <c r="AH1901" s="100" t="s">
        <v>30</v>
      </c>
      <c r="AI1901" s="95" t="s">
        <v>32</v>
      </c>
      <c r="AJ1901" s="100" t="s">
        <v>30</v>
      </c>
      <c r="AK1901" s="100" t="s">
        <v>30</v>
      </c>
      <c r="AL1901" s="95"/>
      <c r="AM1901" s="360" t="s">
        <v>2548</v>
      </c>
    </row>
    <row r="1902" spans="1:48">
      <c r="A1902" s="358" t="s">
        <v>24</v>
      </c>
      <c r="B1902" s="369">
        <v>1899</v>
      </c>
      <c r="C1902" s="372" t="s">
        <v>2787</v>
      </c>
      <c r="D1902" s="372" t="s">
        <v>34</v>
      </c>
      <c r="E1902" s="373">
        <v>46020</v>
      </c>
      <c r="F1902" s="372" t="s">
        <v>187</v>
      </c>
      <c r="G1902" s="372">
        <v>20</v>
      </c>
      <c r="H1902" s="372" t="s">
        <v>67</v>
      </c>
      <c r="I1902" s="372" t="s">
        <v>47</v>
      </c>
      <c r="J1902" s="372"/>
      <c r="K1902" s="360" t="s">
        <v>2195</v>
      </c>
      <c r="L1902" s="360" t="s">
        <v>2706</v>
      </c>
      <c r="M1902" s="360" t="s">
        <v>2706</v>
      </c>
      <c r="N1902" s="360" t="s">
        <v>2050</v>
      </c>
      <c r="O1902" s="117" t="s">
        <v>31</v>
      </c>
      <c r="P1902" s="385" t="s">
        <v>30</v>
      </c>
      <c r="Q1902" s="380">
        <v>46051</v>
      </c>
      <c r="R1902" s="24" t="s">
        <v>1138</v>
      </c>
      <c r="S1902" s="358" t="s">
        <v>32</v>
      </c>
      <c r="T1902" s="358">
        <v>19</v>
      </c>
      <c r="U1902" s="384" t="s">
        <v>1138</v>
      </c>
      <c r="V1902" s="380">
        <v>46051</v>
      </c>
      <c r="W1902" s="82" t="s">
        <v>30</v>
      </c>
      <c r="X1902" s="95" t="s">
        <v>32</v>
      </c>
      <c r="Y1902" s="100" t="s">
        <v>30</v>
      </c>
      <c r="Z1902" s="95" t="s">
        <v>32</v>
      </c>
      <c r="AA1902" s="95" t="s">
        <v>32</v>
      </c>
      <c r="AB1902" s="111" t="s">
        <v>30</v>
      </c>
      <c r="AC1902" s="111" t="s">
        <v>30</v>
      </c>
      <c r="AD1902" s="111" t="s">
        <v>30</v>
      </c>
      <c r="AE1902" s="111" t="s">
        <v>30</v>
      </c>
      <c r="AF1902" s="111" t="s">
        <v>30</v>
      </c>
      <c r="AG1902" s="111" t="s">
        <v>30</v>
      </c>
      <c r="AH1902" s="100" t="s">
        <v>30</v>
      </c>
      <c r="AI1902" s="111" t="s">
        <v>30</v>
      </c>
      <c r="AJ1902" s="111" t="s">
        <v>30</v>
      </c>
      <c r="AK1902" s="111" t="s">
        <v>30</v>
      </c>
      <c r="AL1902" s="95"/>
      <c r="AM1902" s="360"/>
    </row>
    <row r="1903" spans="1:48">
      <c r="A1903" s="358" t="s">
        <v>24</v>
      </c>
      <c r="B1903" s="369">
        <v>1900</v>
      </c>
      <c r="C1903" s="372" t="s">
        <v>2788</v>
      </c>
      <c r="D1903" s="372" t="s">
        <v>178</v>
      </c>
      <c r="E1903" s="373">
        <v>46020</v>
      </c>
      <c r="F1903" s="372" t="s">
        <v>718</v>
      </c>
      <c r="G1903" s="372">
        <v>14</v>
      </c>
      <c r="H1903" s="372" t="s">
        <v>67</v>
      </c>
      <c r="I1903" s="372" t="s">
        <v>47</v>
      </c>
      <c r="J1903" s="372"/>
      <c r="K1903" s="360" t="s">
        <v>2264</v>
      </c>
      <c r="L1903" s="360" t="s">
        <v>2745</v>
      </c>
      <c r="M1903" s="360" t="s">
        <v>2745</v>
      </c>
      <c r="N1903" s="360" t="s">
        <v>2789</v>
      </c>
      <c r="O1903" s="360"/>
      <c r="P1903" s="385" t="s">
        <v>30</v>
      </c>
      <c r="Q1903" s="380">
        <v>46050</v>
      </c>
      <c r="R1903" s="24" t="s">
        <v>67</v>
      </c>
      <c r="S1903" s="358" t="s">
        <v>32</v>
      </c>
      <c r="T1903" s="358">
        <v>12</v>
      </c>
      <c r="U1903" s="384" t="s">
        <v>67</v>
      </c>
      <c r="V1903" s="380">
        <v>46050</v>
      </c>
      <c r="W1903" s="100" t="s">
        <v>30</v>
      </c>
      <c r="X1903" s="100" t="s">
        <v>30</v>
      </c>
      <c r="Y1903" s="100" t="s">
        <v>30</v>
      </c>
      <c r="Z1903" s="100" t="s">
        <v>30</v>
      </c>
      <c r="AA1903" s="100" t="s">
        <v>30</v>
      </c>
      <c r="AB1903" s="100" t="s">
        <v>30</v>
      </c>
      <c r="AC1903" s="100" t="s">
        <v>30</v>
      </c>
      <c r="AD1903" s="100" t="s">
        <v>30</v>
      </c>
      <c r="AE1903" s="100" t="s">
        <v>30</v>
      </c>
      <c r="AF1903" s="100" t="s">
        <v>30</v>
      </c>
      <c r="AG1903" s="100" t="s">
        <v>30</v>
      </c>
      <c r="AH1903" s="100" t="s">
        <v>30</v>
      </c>
      <c r="AI1903" s="100" t="s">
        <v>30</v>
      </c>
      <c r="AJ1903" s="100" t="s">
        <v>30</v>
      </c>
      <c r="AK1903" s="100" t="s">
        <v>30</v>
      </c>
      <c r="AL1903" s="95"/>
      <c r="AM1903" s="360"/>
      <c r="AN1903" s="6"/>
      <c r="AO1903" s="6"/>
      <c r="AP1903" s="6"/>
      <c r="AQ1903" s="6"/>
      <c r="AR1903" s="6"/>
      <c r="AS1903" s="108"/>
      <c r="AT1903" s="109"/>
      <c r="AU1903" s="109"/>
      <c r="AV1903" s="109"/>
    </row>
    <row r="1904" spans="1:48">
      <c r="A1904" s="358" t="s">
        <v>24</v>
      </c>
      <c r="B1904" s="369">
        <v>1901</v>
      </c>
      <c r="C1904" s="372" t="s">
        <v>2790</v>
      </c>
      <c r="D1904" s="372" t="s">
        <v>34</v>
      </c>
      <c r="E1904" s="373">
        <v>46020</v>
      </c>
      <c r="F1904" s="372" t="s">
        <v>398</v>
      </c>
      <c r="G1904" s="372">
        <v>21</v>
      </c>
      <c r="H1904" s="372" t="s">
        <v>67</v>
      </c>
      <c r="I1904" s="372" t="s">
        <v>47</v>
      </c>
      <c r="J1904" s="372"/>
      <c r="K1904" s="360" t="s">
        <v>2098</v>
      </c>
      <c r="L1904" s="360" t="s">
        <v>2661</v>
      </c>
      <c r="M1904" s="360" t="s">
        <v>2734</v>
      </c>
      <c r="N1904" s="360" t="s">
        <v>2791</v>
      </c>
      <c r="O1904" s="117" t="s">
        <v>31</v>
      </c>
      <c r="P1904" s="385" t="s">
        <v>30</v>
      </c>
      <c r="Q1904" s="380">
        <v>46043</v>
      </c>
      <c r="R1904" s="24" t="s">
        <v>67</v>
      </c>
      <c r="S1904" s="358" t="s">
        <v>32</v>
      </c>
      <c r="T1904" s="358">
        <v>12</v>
      </c>
      <c r="U1904" s="24" t="s">
        <v>67</v>
      </c>
      <c r="V1904" s="380">
        <v>46043</v>
      </c>
      <c r="W1904" s="100" t="s">
        <v>30</v>
      </c>
      <c r="X1904" s="100" t="s">
        <v>30</v>
      </c>
      <c r="Y1904" s="100" t="s">
        <v>30</v>
      </c>
      <c r="Z1904" s="100" t="s">
        <v>30</v>
      </c>
      <c r="AA1904" s="100" t="s">
        <v>30</v>
      </c>
      <c r="AB1904" s="100" t="s">
        <v>30</v>
      </c>
      <c r="AC1904" s="100" t="s">
        <v>30</v>
      </c>
      <c r="AD1904" s="100" t="s">
        <v>30</v>
      </c>
      <c r="AE1904" s="100" t="s">
        <v>30</v>
      </c>
      <c r="AF1904" s="100" t="s">
        <v>30</v>
      </c>
      <c r="AG1904" s="100" t="s">
        <v>30</v>
      </c>
      <c r="AH1904" s="100" t="s">
        <v>30</v>
      </c>
      <c r="AI1904" s="100" t="s">
        <v>30</v>
      </c>
      <c r="AJ1904" s="100" t="s">
        <v>30</v>
      </c>
      <c r="AK1904" s="100" t="s">
        <v>30</v>
      </c>
      <c r="AL1904" s="95" t="s">
        <v>32</v>
      </c>
      <c r="AM1904" s="360" t="s">
        <v>2548</v>
      </c>
      <c r="AN1904" s="6"/>
      <c r="AO1904" s="6"/>
      <c r="AP1904" s="6"/>
      <c r="AQ1904" s="6"/>
      <c r="AR1904" s="6"/>
      <c r="AS1904" s="108"/>
      <c r="AT1904" s="109"/>
      <c r="AU1904" s="109"/>
      <c r="AV1904" s="109"/>
    </row>
    <row r="1905" spans="1:48">
      <c r="A1905" s="358" t="s">
        <v>24</v>
      </c>
      <c r="B1905" s="369">
        <v>1902</v>
      </c>
      <c r="C1905" s="372" t="s">
        <v>2792</v>
      </c>
      <c r="D1905" s="372" t="s">
        <v>34</v>
      </c>
      <c r="E1905" s="373">
        <v>46020</v>
      </c>
      <c r="F1905" s="372" t="s">
        <v>272</v>
      </c>
      <c r="G1905" s="372">
        <v>12</v>
      </c>
      <c r="H1905" s="372" t="s">
        <v>67</v>
      </c>
      <c r="I1905" s="372" t="s">
        <v>47</v>
      </c>
      <c r="J1905" s="372"/>
      <c r="K1905" s="358" t="s">
        <v>2052</v>
      </c>
      <c r="L1905" s="358" t="s">
        <v>2734</v>
      </c>
      <c r="M1905" s="358" t="s">
        <v>2734</v>
      </c>
      <c r="N1905" s="358" t="s">
        <v>2050</v>
      </c>
      <c r="O1905" s="358"/>
      <c r="P1905" s="380" t="s">
        <v>30</v>
      </c>
      <c r="Q1905" s="380">
        <v>46050</v>
      </c>
      <c r="R1905" s="24" t="s">
        <v>1638</v>
      </c>
      <c r="S1905" s="358" t="s">
        <v>32</v>
      </c>
      <c r="T1905" s="358">
        <v>12</v>
      </c>
      <c r="U1905" s="24" t="s">
        <v>1638</v>
      </c>
      <c r="V1905" s="380">
        <v>46050</v>
      </c>
      <c r="W1905" s="100" t="s">
        <v>30</v>
      </c>
      <c r="X1905" s="100" t="s">
        <v>30</v>
      </c>
      <c r="Y1905" s="100" t="s">
        <v>30</v>
      </c>
      <c r="Z1905" s="100" t="s">
        <v>30</v>
      </c>
      <c r="AA1905" s="100" t="s">
        <v>30</v>
      </c>
      <c r="AB1905" s="100" t="s">
        <v>30</v>
      </c>
      <c r="AC1905" s="100" t="s">
        <v>30</v>
      </c>
      <c r="AD1905" s="100" t="s">
        <v>30</v>
      </c>
      <c r="AE1905" s="100" t="s">
        <v>30</v>
      </c>
      <c r="AF1905" s="100" t="s">
        <v>30</v>
      </c>
      <c r="AG1905" s="100" t="s">
        <v>30</v>
      </c>
      <c r="AH1905" s="100" t="s">
        <v>30</v>
      </c>
      <c r="AI1905" s="100" t="s">
        <v>30</v>
      </c>
      <c r="AJ1905" s="100" t="s">
        <v>30</v>
      </c>
      <c r="AK1905" s="100" t="s">
        <v>30</v>
      </c>
      <c r="AL1905" s="95"/>
      <c r="AM1905" s="360"/>
      <c r="AN1905" s="6"/>
      <c r="AO1905" s="6"/>
      <c r="AP1905" s="6"/>
      <c r="AQ1905" s="6"/>
      <c r="AR1905" s="6"/>
      <c r="AS1905" s="108"/>
      <c r="AT1905" s="109"/>
      <c r="AU1905" s="109"/>
      <c r="AV1905" s="109"/>
    </row>
    <row r="1906" spans="1:48">
      <c r="A1906" s="358" t="s">
        <v>24</v>
      </c>
      <c r="B1906" s="369">
        <v>1903</v>
      </c>
      <c r="C1906" s="372" t="s">
        <v>2793</v>
      </c>
      <c r="D1906" s="372" t="s">
        <v>34</v>
      </c>
      <c r="E1906" s="373">
        <v>46020</v>
      </c>
      <c r="F1906" s="372" t="s">
        <v>2687</v>
      </c>
      <c r="G1906" s="372">
        <v>14</v>
      </c>
      <c r="H1906" s="372" t="s">
        <v>67</v>
      </c>
      <c r="I1906" s="372" t="s">
        <v>47</v>
      </c>
      <c r="J1906" s="372"/>
      <c r="K1906" s="360" t="s">
        <v>2130</v>
      </c>
      <c r="L1906" s="360" t="s">
        <v>2734</v>
      </c>
      <c r="M1906" s="360" t="s">
        <v>2734</v>
      </c>
      <c r="N1906" s="360" t="s">
        <v>2050</v>
      </c>
      <c r="O1906" s="360"/>
      <c r="P1906" s="385" t="s">
        <v>30</v>
      </c>
      <c r="Q1906" s="380">
        <v>46051</v>
      </c>
      <c r="R1906" s="24" t="s">
        <v>47</v>
      </c>
      <c r="S1906" s="358" t="s">
        <v>32</v>
      </c>
      <c r="T1906" s="358">
        <v>19</v>
      </c>
      <c r="U1906" s="384" t="s">
        <v>47</v>
      </c>
      <c r="V1906" s="380">
        <v>46051</v>
      </c>
      <c r="W1906" s="82" t="s">
        <v>30</v>
      </c>
      <c r="X1906" s="95" t="s">
        <v>32</v>
      </c>
      <c r="Y1906" s="100" t="s">
        <v>30</v>
      </c>
      <c r="Z1906" s="95" t="s">
        <v>32</v>
      </c>
      <c r="AA1906" s="95" t="s">
        <v>32</v>
      </c>
      <c r="AB1906" s="100" t="s">
        <v>30</v>
      </c>
      <c r="AC1906" s="100" t="s">
        <v>30</v>
      </c>
      <c r="AD1906" s="100" t="s">
        <v>30</v>
      </c>
      <c r="AE1906" s="100" t="s">
        <v>30</v>
      </c>
      <c r="AF1906" s="100" t="s">
        <v>30</v>
      </c>
      <c r="AG1906" s="100" t="s">
        <v>30</v>
      </c>
      <c r="AH1906" s="100" t="s">
        <v>30</v>
      </c>
      <c r="AI1906" s="111" t="s">
        <v>30</v>
      </c>
      <c r="AJ1906" s="114" t="s">
        <v>32</v>
      </c>
      <c r="AK1906" s="111" t="s">
        <v>30</v>
      </c>
      <c r="AL1906" s="95"/>
      <c r="AM1906" s="360" t="s">
        <v>2545</v>
      </c>
    </row>
    <row r="1907" spans="1:48">
      <c r="A1907" s="358" t="s">
        <v>24</v>
      </c>
      <c r="B1907" s="369">
        <v>1904</v>
      </c>
      <c r="C1907" s="372" t="s">
        <v>2794</v>
      </c>
      <c r="D1907" s="372" t="s">
        <v>178</v>
      </c>
      <c r="E1907" s="373">
        <v>46020</v>
      </c>
      <c r="F1907" s="372" t="s">
        <v>2687</v>
      </c>
      <c r="G1907" s="372">
        <v>14</v>
      </c>
      <c r="H1907" s="372" t="s">
        <v>67</v>
      </c>
      <c r="I1907" s="372" t="s">
        <v>47</v>
      </c>
      <c r="J1907" s="372"/>
      <c r="K1907" s="360" t="s">
        <v>2123</v>
      </c>
      <c r="L1907" s="360" t="s">
        <v>2734</v>
      </c>
      <c r="M1907" s="360" t="s">
        <v>2734</v>
      </c>
      <c r="N1907" s="360" t="s">
        <v>2050</v>
      </c>
      <c r="O1907" s="360"/>
      <c r="P1907" s="385" t="s">
        <v>30</v>
      </c>
      <c r="Q1907" s="380">
        <v>46052</v>
      </c>
      <c r="R1907" s="24" t="s">
        <v>47</v>
      </c>
      <c r="S1907" s="358" t="s">
        <v>32</v>
      </c>
      <c r="T1907" s="358">
        <v>14</v>
      </c>
      <c r="U1907" s="24" t="s">
        <v>47</v>
      </c>
      <c r="V1907" s="380">
        <v>46052</v>
      </c>
      <c r="W1907" s="100" t="s">
        <v>30</v>
      </c>
      <c r="X1907" s="100" t="s">
        <v>30</v>
      </c>
      <c r="Y1907" s="100" t="s">
        <v>30</v>
      </c>
      <c r="Z1907" s="100" t="s">
        <v>30</v>
      </c>
      <c r="AA1907" s="100" t="s">
        <v>30</v>
      </c>
      <c r="AB1907" s="100" t="s">
        <v>30</v>
      </c>
      <c r="AC1907" s="100" t="s">
        <v>30</v>
      </c>
      <c r="AD1907" s="100" t="s">
        <v>30</v>
      </c>
      <c r="AE1907" s="100" t="s">
        <v>30</v>
      </c>
      <c r="AF1907" s="100" t="s">
        <v>30</v>
      </c>
      <c r="AG1907" s="100" t="s">
        <v>30</v>
      </c>
      <c r="AH1907" s="100" t="s">
        <v>30</v>
      </c>
      <c r="AI1907" s="100" t="s">
        <v>30</v>
      </c>
      <c r="AJ1907" s="100" t="s">
        <v>30</v>
      </c>
      <c r="AK1907" s="100" t="s">
        <v>30</v>
      </c>
      <c r="AL1907" s="95"/>
      <c r="AM1907" s="360"/>
    </row>
    <row r="1908" spans="1:48">
      <c r="A1908" s="358" t="s">
        <v>24</v>
      </c>
      <c r="B1908" s="369">
        <v>1905</v>
      </c>
      <c r="C1908" s="372" t="s">
        <v>2795</v>
      </c>
      <c r="D1908" s="372" t="s">
        <v>34</v>
      </c>
      <c r="E1908" s="373">
        <v>46020</v>
      </c>
      <c r="F1908" s="372" t="s">
        <v>2687</v>
      </c>
      <c r="G1908" s="372">
        <v>20</v>
      </c>
      <c r="H1908" s="372" t="s">
        <v>67</v>
      </c>
      <c r="I1908" s="372" t="s">
        <v>47</v>
      </c>
      <c r="J1908" s="372"/>
      <c r="K1908" s="360" t="s">
        <v>2130</v>
      </c>
      <c r="L1908" s="360" t="s">
        <v>2734</v>
      </c>
      <c r="M1908" s="360" t="s">
        <v>2734</v>
      </c>
      <c r="N1908" s="360" t="s">
        <v>2050</v>
      </c>
      <c r="O1908" s="117" t="s">
        <v>31</v>
      </c>
      <c r="P1908" s="385" t="s">
        <v>30</v>
      </c>
      <c r="Q1908" s="380">
        <v>46052</v>
      </c>
      <c r="R1908" s="24" t="s">
        <v>47</v>
      </c>
      <c r="S1908" s="358" t="s">
        <v>1140</v>
      </c>
      <c r="T1908" s="358">
        <v>14</v>
      </c>
      <c r="U1908" s="384" t="s">
        <v>47</v>
      </c>
      <c r="V1908" s="380">
        <v>46052</v>
      </c>
      <c r="W1908" s="82" t="s">
        <v>30</v>
      </c>
      <c r="X1908" s="95" t="s">
        <v>32</v>
      </c>
      <c r="Y1908" s="82" t="s">
        <v>30</v>
      </c>
      <c r="Z1908" s="95" t="s">
        <v>32</v>
      </c>
      <c r="AA1908" s="95" t="s">
        <v>32</v>
      </c>
      <c r="AB1908" s="100" t="s">
        <v>30</v>
      </c>
      <c r="AC1908" s="100" t="s">
        <v>30</v>
      </c>
      <c r="AD1908" s="100" t="s">
        <v>30</v>
      </c>
      <c r="AE1908" s="100" t="s">
        <v>30</v>
      </c>
      <c r="AF1908" s="100" t="s">
        <v>30</v>
      </c>
      <c r="AG1908" s="100" t="s">
        <v>30</v>
      </c>
      <c r="AH1908" s="100" t="s">
        <v>30</v>
      </c>
      <c r="AI1908" s="111" t="s">
        <v>30</v>
      </c>
      <c r="AJ1908" s="114" t="s">
        <v>32</v>
      </c>
      <c r="AK1908" s="111" t="s">
        <v>30</v>
      </c>
      <c r="AL1908" s="95"/>
      <c r="AM1908" s="360" t="s">
        <v>2545</v>
      </c>
    </row>
    <row r="1909" spans="1:48">
      <c r="A1909" s="358" t="s">
        <v>24</v>
      </c>
      <c r="B1909" s="369">
        <v>1906</v>
      </c>
      <c r="C1909" s="372" t="s">
        <v>2796</v>
      </c>
      <c r="D1909" s="372" t="s">
        <v>178</v>
      </c>
      <c r="E1909" s="373">
        <v>46020</v>
      </c>
      <c r="F1909" s="372" t="s">
        <v>2687</v>
      </c>
      <c r="G1909" s="372">
        <v>20</v>
      </c>
      <c r="H1909" s="372" t="s">
        <v>67</v>
      </c>
      <c r="I1909" s="372" t="s">
        <v>47</v>
      </c>
      <c r="J1909" s="372"/>
      <c r="K1909" s="360" t="s">
        <v>2123</v>
      </c>
      <c r="L1909" s="360" t="s">
        <v>2734</v>
      </c>
      <c r="M1909" s="360" t="s">
        <v>2734</v>
      </c>
      <c r="N1909" s="360" t="s">
        <v>2050</v>
      </c>
      <c r="O1909" s="117" t="s">
        <v>31</v>
      </c>
      <c r="P1909" s="385" t="s">
        <v>30</v>
      </c>
      <c r="Q1909" s="380">
        <v>46052</v>
      </c>
      <c r="R1909" s="24" t="s">
        <v>47</v>
      </c>
      <c r="S1909" s="358" t="s">
        <v>32</v>
      </c>
      <c r="T1909" s="358">
        <v>20</v>
      </c>
      <c r="U1909" s="24" t="s">
        <v>47</v>
      </c>
      <c r="V1909" s="380">
        <v>46052</v>
      </c>
      <c r="W1909" s="100" t="s">
        <v>30</v>
      </c>
      <c r="X1909" s="100" t="s">
        <v>30</v>
      </c>
      <c r="Y1909" s="100" t="s">
        <v>30</v>
      </c>
      <c r="Z1909" s="100" t="s">
        <v>30</v>
      </c>
      <c r="AA1909" s="100" t="s">
        <v>30</v>
      </c>
      <c r="AB1909" s="100" t="s">
        <v>30</v>
      </c>
      <c r="AC1909" s="100" t="s">
        <v>30</v>
      </c>
      <c r="AD1909" s="100" t="s">
        <v>30</v>
      </c>
      <c r="AE1909" s="100" t="s">
        <v>30</v>
      </c>
      <c r="AF1909" s="100" t="s">
        <v>30</v>
      </c>
      <c r="AG1909" s="100" t="s">
        <v>30</v>
      </c>
      <c r="AH1909" s="100" t="s">
        <v>30</v>
      </c>
      <c r="AI1909" s="100" t="s">
        <v>30</v>
      </c>
      <c r="AJ1909" s="100" t="s">
        <v>30</v>
      </c>
      <c r="AK1909" s="100" t="s">
        <v>30</v>
      </c>
      <c r="AL1909" s="95"/>
      <c r="AM1909" s="360"/>
      <c r="AN1909" s="6"/>
      <c r="AO1909" s="6"/>
      <c r="AP1909" s="6"/>
      <c r="AQ1909" s="6"/>
      <c r="AR1909" s="6"/>
      <c r="AS1909" s="108"/>
      <c r="AT1909" s="109"/>
      <c r="AU1909" s="109"/>
      <c r="AV1909" s="109"/>
    </row>
    <row r="1910" spans="1:48">
      <c r="A1910" s="358" t="s">
        <v>24</v>
      </c>
      <c r="B1910" s="369">
        <v>1907</v>
      </c>
      <c r="C1910" s="372" t="s">
        <v>2797</v>
      </c>
      <c r="D1910" s="372" t="s">
        <v>34</v>
      </c>
      <c r="E1910" s="373">
        <v>46020</v>
      </c>
      <c r="F1910" s="372" t="s">
        <v>65</v>
      </c>
      <c r="G1910" s="372">
        <v>11</v>
      </c>
      <c r="H1910" s="372" t="s">
        <v>1077</v>
      </c>
      <c r="I1910" s="372" t="s">
        <v>1138</v>
      </c>
      <c r="J1910" s="372"/>
      <c r="K1910" s="360" t="s">
        <v>2115</v>
      </c>
      <c r="L1910" s="360" t="s">
        <v>2745</v>
      </c>
      <c r="M1910" s="360" t="s">
        <v>2745</v>
      </c>
      <c r="N1910" s="360" t="s">
        <v>2166</v>
      </c>
      <c r="O1910" s="360"/>
      <c r="P1910" s="385" t="s">
        <v>30</v>
      </c>
      <c r="Q1910" s="380">
        <v>46037</v>
      </c>
      <c r="R1910" s="384" t="s">
        <v>1138</v>
      </c>
      <c r="S1910" s="358" t="s">
        <v>32</v>
      </c>
      <c r="T1910" s="358">
        <v>9</v>
      </c>
      <c r="U1910" s="384" t="s">
        <v>1138</v>
      </c>
      <c r="V1910" s="380">
        <v>46037</v>
      </c>
      <c r="W1910" s="100" t="s">
        <v>30</v>
      </c>
      <c r="X1910" s="100" t="s">
        <v>30</v>
      </c>
      <c r="Y1910" s="100" t="s">
        <v>30</v>
      </c>
      <c r="Z1910" s="124"/>
      <c r="AA1910" s="125"/>
      <c r="AB1910" s="124"/>
      <c r="AC1910" s="122" t="s">
        <v>30</v>
      </c>
      <c r="AD1910" s="122" t="s">
        <v>30</v>
      </c>
      <c r="AE1910" s="122" t="s">
        <v>30</v>
      </c>
      <c r="AF1910" s="122" t="s">
        <v>30</v>
      </c>
      <c r="AG1910" s="122" t="s">
        <v>30</v>
      </c>
      <c r="AH1910" s="100" t="s">
        <v>30</v>
      </c>
      <c r="AI1910" s="111" t="s">
        <v>30</v>
      </c>
      <c r="AJ1910" s="111" t="s">
        <v>30</v>
      </c>
      <c r="AK1910" s="111" t="s">
        <v>30</v>
      </c>
      <c r="AL1910" s="95"/>
      <c r="AM1910" s="360"/>
    </row>
    <row r="1911" spans="1:48">
      <c r="A1911" s="358" t="s">
        <v>24</v>
      </c>
      <c r="B1911" s="369">
        <v>1908</v>
      </c>
      <c r="C1911" s="372" t="s">
        <v>413</v>
      </c>
      <c r="D1911" s="372" t="s">
        <v>1754</v>
      </c>
      <c r="E1911" s="373">
        <v>46021</v>
      </c>
      <c r="F1911" s="372" t="s">
        <v>110</v>
      </c>
      <c r="G1911" s="372">
        <v>13</v>
      </c>
      <c r="H1911" s="372" t="s">
        <v>1721</v>
      </c>
      <c r="I1911" s="372" t="s">
        <v>1638</v>
      </c>
      <c r="J1911" s="102"/>
      <c r="K1911" s="360" t="s">
        <v>2798</v>
      </c>
      <c r="L1911" s="360" t="s">
        <v>2799</v>
      </c>
      <c r="M1911" s="360" t="s">
        <v>2799</v>
      </c>
      <c r="N1911" s="360" t="s">
        <v>110</v>
      </c>
      <c r="O1911" s="360"/>
      <c r="P1911" s="385" t="s">
        <v>30</v>
      </c>
      <c r="Q1911" s="380">
        <v>46050</v>
      </c>
      <c r="R1911" s="24" t="s">
        <v>48</v>
      </c>
      <c r="S1911" s="23">
        <v>46053</v>
      </c>
      <c r="T1911" s="22">
        <v>13</v>
      </c>
      <c r="U1911" s="24" t="s">
        <v>48</v>
      </c>
      <c r="V1911" s="380">
        <v>46050</v>
      </c>
      <c r="W1911" s="82" t="s">
        <v>113</v>
      </c>
      <c r="X1911" s="95" t="s">
        <v>32</v>
      </c>
      <c r="Y1911" s="95"/>
      <c r="Z1911" s="95"/>
      <c r="AA1911" s="95"/>
      <c r="AB1911" s="95"/>
      <c r="AC1911" s="100"/>
      <c r="AD1911" s="100"/>
      <c r="AE1911" s="100"/>
      <c r="AF1911" s="100"/>
      <c r="AG1911" s="100"/>
      <c r="AH1911" s="114"/>
      <c r="AI1911" s="111"/>
      <c r="AJ1911" s="111"/>
      <c r="AK1911" s="111"/>
      <c r="AL1911" s="95"/>
      <c r="AM1911" s="360" t="s">
        <v>2691</v>
      </c>
    </row>
    <row r="1912" spans="1:48">
      <c r="A1912" s="358" t="s">
        <v>24</v>
      </c>
      <c r="B1912" s="369">
        <v>1909</v>
      </c>
      <c r="C1912" s="372" t="s">
        <v>2800</v>
      </c>
      <c r="D1912" s="372" t="s">
        <v>34</v>
      </c>
      <c r="E1912" s="373">
        <v>46021</v>
      </c>
      <c r="F1912" s="372" t="s">
        <v>2744</v>
      </c>
      <c r="G1912" s="372">
        <v>12</v>
      </c>
      <c r="H1912" s="372" t="s">
        <v>127</v>
      </c>
      <c r="I1912" s="372" t="s">
        <v>178</v>
      </c>
      <c r="J1912" s="372"/>
      <c r="K1912" s="360" t="s">
        <v>2087</v>
      </c>
      <c r="L1912" s="360" t="s">
        <v>2745</v>
      </c>
      <c r="M1912" s="360" t="s">
        <v>2745</v>
      </c>
      <c r="N1912" s="360" t="s">
        <v>2050</v>
      </c>
      <c r="O1912" s="360"/>
      <c r="P1912" s="385" t="s">
        <v>30</v>
      </c>
      <c r="Q1912" s="23">
        <v>46052</v>
      </c>
      <c r="R1912" s="24" t="s">
        <v>2707</v>
      </c>
      <c r="S1912" s="24" t="s">
        <v>32</v>
      </c>
      <c r="T1912" s="22">
        <v>11</v>
      </c>
      <c r="U1912" s="24" t="s">
        <v>1138</v>
      </c>
      <c r="V1912" s="23">
        <v>46053</v>
      </c>
      <c r="W1912" s="100" t="s">
        <v>30</v>
      </c>
      <c r="X1912" s="100" t="s">
        <v>30</v>
      </c>
      <c r="Y1912" s="100" t="s">
        <v>30</v>
      </c>
      <c r="Z1912" s="125"/>
      <c r="AA1912" s="125"/>
      <c r="AB1912" s="125"/>
      <c r="AC1912" s="100" t="s">
        <v>30</v>
      </c>
      <c r="AD1912" s="100" t="s">
        <v>30</v>
      </c>
      <c r="AE1912" s="100" t="s">
        <v>30</v>
      </c>
      <c r="AF1912" s="100" t="s">
        <v>30</v>
      </c>
      <c r="AG1912" s="100" t="s">
        <v>30</v>
      </c>
      <c r="AH1912" s="100" t="s">
        <v>30</v>
      </c>
      <c r="AI1912" s="100" t="s">
        <v>30</v>
      </c>
      <c r="AJ1912" s="100" t="s">
        <v>30</v>
      </c>
      <c r="AK1912" s="100" t="s">
        <v>30</v>
      </c>
      <c r="AL1912" s="95"/>
      <c r="AM1912" s="360"/>
    </row>
    <row r="1913" spans="1:48">
      <c r="A1913" s="358" t="s">
        <v>24</v>
      </c>
      <c r="B1913" s="369">
        <v>1910</v>
      </c>
      <c r="C1913" s="372" t="s">
        <v>2801</v>
      </c>
      <c r="D1913" s="372" t="s">
        <v>34</v>
      </c>
      <c r="E1913" s="373">
        <v>46021</v>
      </c>
      <c r="F1913" s="372" t="s">
        <v>202</v>
      </c>
      <c r="G1913" s="372">
        <v>15</v>
      </c>
      <c r="H1913" s="372" t="s">
        <v>127</v>
      </c>
      <c r="I1913" s="372" t="s">
        <v>178</v>
      </c>
      <c r="J1913" s="372"/>
      <c r="K1913" s="360" t="s">
        <v>2123</v>
      </c>
      <c r="L1913" s="360" t="s">
        <v>2728</v>
      </c>
      <c r="M1913" s="360" t="s">
        <v>2799</v>
      </c>
      <c r="N1913" s="360" t="s">
        <v>2766</v>
      </c>
      <c r="O1913" s="117" t="s">
        <v>31</v>
      </c>
      <c r="P1913" s="360" t="s">
        <v>30</v>
      </c>
      <c r="Q1913" s="380">
        <v>46054</v>
      </c>
      <c r="R1913" s="24" t="s">
        <v>127</v>
      </c>
      <c r="S1913" s="358" t="s">
        <v>32</v>
      </c>
      <c r="T1913" s="358">
        <v>16</v>
      </c>
      <c r="U1913" s="24" t="s">
        <v>127</v>
      </c>
      <c r="V1913" s="380">
        <v>46054</v>
      </c>
      <c r="W1913" s="100" t="s">
        <v>30</v>
      </c>
      <c r="X1913" s="100" t="s">
        <v>30</v>
      </c>
      <c r="Y1913" s="100" t="s">
        <v>30</v>
      </c>
      <c r="Z1913" s="100" t="s">
        <v>30</v>
      </c>
      <c r="AA1913" s="100" t="s">
        <v>30</v>
      </c>
      <c r="AB1913" s="100" t="s">
        <v>30</v>
      </c>
      <c r="AC1913" s="100" t="s">
        <v>30</v>
      </c>
      <c r="AD1913" s="100" t="s">
        <v>30</v>
      </c>
      <c r="AE1913" s="100" t="s">
        <v>30</v>
      </c>
      <c r="AF1913" s="100" t="s">
        <v>30</v>
      </c>
      <c r="AG1913" s="100" t="s">
        <v>30</v>
      </c>
      <c r="AH1913" s="100" t="s">
        <v>30</v>
      </c>
      <c r="AI1913" s="100" t="s">
        <v>30</v>
      </c>
      <c r="AJ1913" s="100" t="s">
        <v>30</v>
      </c>
      <c r="AK1913" s="100" t="s">
        <v>30</v>
      </c>
      <c r="AL1913" s="95"/>
      <c r="AM1913" s="360"/>
      <c r="AO1913" s="412"/>
      <c r="AP1913" s="412"/>
      <c r="AQ1913" s="412"/>
      <c r="AR1913" s="412"/>
    </row>
    <row r="1914" spans="1:48">
      <c r="A1914" s="358" t="s">
        <v>24</v>
      </c>
      <c r="B1914" s="369">
        <v>1911</v>
      </c>
      <c r="C1914" s="372" t="s">
        <v>2802</v>
      </c>
      <c r="D1914" s="372" t="s">
        <v>34</v>
      </c>
      <c r="E1914" s="373">
        <v>46021</v>
      </c>
      <c r="F1914" s="372" t="s">
        <v>126</v>
      </c>
      <c r="G1914" s="372">
        <v>25</v>
      </c>
      <c r="H1914" s="372" t="s">
        <v>127</v>
      </c>
      <c r="I1914" s="372" t="s">
        <v>178</v>
      </c>
      <c r="J1914" s="372"/>
      <c r="K1914" s="360" t="s">
        <v>2312</v>
      </c>
      <c r="L1914" s="360" t="s">
        <v>2728</v>
      </c>
      <c r="M1914" s="360" t="s">
        <v>2728</v>
      </c>
      <c r="N1914" s="360" t="s">
        <v>2749</v>
      </c>
      <c r="O1914" s="117" t="s">
        <v>31</v>
      </c>
      <c r="P1914" s="360" t="s">
        <v>30</v>
      </c>
      <c r="Q1914" s="380">
        <v>46052</v>
      </c>
      <c r="R1914" s="24" t="s">
        <v>1077</v>
      </c>
      <c r="S1914" s="358" t="s">
        <v>1140</v>
      </c>
      <c r="T1914" s="358">
        <v>25</v>
      </c>
      <c r="U1914" s="24" t="s">
        <v>1077</v>
      </c>
      <c r="V1914" s="380">
        <v>46052</v>
      </c>
      <c r="W1914" s="100" t="s">
        <v>30</v>
      </c>
      <c r="X1914" s="100" t="s">
        <v>30</v>
      </c>
      <c r="Y1914" s="100" t="s">
        <v>30</v>
      </c>
      <c r="Z1914" s="100" t="s">
        <v>30</v>
      </c>
      <c r="AA1914" s="100" t="s">
        <v>30</v>
      </c>
      <c r="AB1914" s="100" t="s">
        <v>30</v>
      </c>
      <c r="AC1914" s="100" t="s">
        <v>30</v>
      </c>
      <c r="AD1914" s="100" t="s">
        <v>30</v>
      </c>
      <c r="AE1914" s="100" t="s">
        <v>30</v>
      </c>
      <c r="AF1914" s="100" t="s">
        <v>30</v>
      </c>
      <c r="AG1914" s="100" t="s">
        <v>30</v>
      </c>
      <c r="AH1914" s="100" t="s">
        <v>30</v>
      </c>
      <c r="AI1914" s="100" t="s">
        <v>30</v>
      </c>
      <c r="AJ1914" s="100" t="s">
        <v>30</v>
      </c>
      <c r="AK1914" s="100" t="s">
        <v>30</v>
      </c>
      <c r="AL1914" s="95"/>
      <c r="AM1914" s="360"/>
      <c r="AS1914" s="72"/>
      <c r="AT1914" s="96"/>
      <c r="AU1914" s="96"/>
    </row>
    <row r="1915" spans="1:48">
      <c r="A1915" s="358" t="s">
        <v>24</v>
      </c>
      <c r="B1915" s="369">
        <v>1912</v>
      </c>
      <c r="C1915" s="372" t="s">
        <v>2803</v>
      </c>
      <c r="D1915" s="372" t="s">
        <v>34</v>
      </c>
      <c r="E1915" s="373">
        <v>46021</v>
      </c>
      <c r="F1915" s="372" t="s">
        <v>439</v>
      </c>
      <c r="G1915" s="372">
        <v>17</v>
      </c>
      <c r="H1915" s="372" t="s">
        <v>127</v>
      </c>
      <c r="I1915" s="372" t="s">
        <v>178</v>
      </c>
      <c r="J1915" s="372"/>
      <c r="K1915" s="360" t="s">
        <v>2092</v>
      </c>
      <c r="L1915" s="360" t="s">
        <v>2745</v>
      </c>
      <c r="M1915" s="360" t="s">
        <v>2745</v>
      </c>
      <c r="N1915" s="360" t="s">
        <v>2804</v>
      </c>
      <c r="O1915" s="117" t="s">
        <v>31</v>
      </c>
      <c r="P1915" s="385" t="s">
        <v>30</v>
      </c>
      <c r="Q1915" s="121">
        <v>46021</v>
      </c>
      <c r="R1915" s="24" t="s">
        <v>1138</v>
      </c>
      <c r="S1915" s="24" t="s">
        <v>32</v>
      </c>
      <c r="T1915" s="22">
        <v>10</v>
      </c>
      <c r="U1915" s="24" t="s">
        <v>1138</v>
      </c>
      <c r="V1915" s="121">
        <v>46021</v>
      </c>
      <c r="W1915" s="100" t="s">
        <v>30</v>
      </c>
      <c r="X1915" s="100" t="s">
        <v>30</v>
      </c>
      <c r="Y1915" s="100" t="s">
        <v>30</v>
      </c>
      <c r="Z1915" s="127"/>
      <c r="AA1915" s="127"/>
      <c r="AB1915" s="124"/>
      <c r="AC1915" s="100" t="s">
        <v>30</v>
      </c>
      <c r="AD1915" s="100" t="s">
        <v>30</v>
      </c>
      <c r="AE1915" s="100" t="s">
        <v>30</v>
      </c>
      <c r="AF1915" s="100" t="s">
        <v>30</v>
      </c>
      <c r="AG1915" s="100" t="s">
        <v>30</v>
      </c>
      <c r="AH1915" s="100" t="s">
        <v>30</v>
      </c>
      <c r="AI1915" s="100" t="s">
        <v>30</v>
      </c>
      <c r="AJ1915" s="100" t="s">
        <v>30</v>
      </c>
      <c r="AK1915" s="100" t="s">
        <v>30</v>
      </c>
      <c r="AL1915" s="95"/>
      <c r="AM1915" s="360"/>
      <c r="AO1915" s="412"/>
      <c r="AP1915" s="412"/>
      <c r="AQ1915" s="412"/>
      <c r="AR1915" s="412"/>
    </row>
    <row r="1916" spans="1:48">
      <c r="A1916" s="358" t="s">
        <v>24</v>
      </c>
      <c r="B1916" s="369">
        <v>1913</v>
      </c>
      <c r="C1916" s="372" t="s">
        <v>2805</v>
      </c>
      <c r="D1916" s="372" t="s">
        <v>34</v>
      </c>
      <c r="E1916" s="373">
        <v>46021</v>
      </c>
      <c r="F1916" s="372" t="s">
        <v>1165</v>
      </c>
      <c r="G1916" s="372">
        <v>9</v>
      </c>
      <c r="H1916" s="372" t="s">
        <v>127</v>
      </c>
      <c r="I1916" s="372" t="s">
        <v>178</v>
      </c>
      <c r="J1916" s="372"/>
      <c r="K1916" s="360" t="s">
        <v>2085</v>
      </c>
      <c r="L1916" s="360" t="s">
        <v>2734</v>
      </c>
      <c r="M1916" s="360" t="s">
        <v>2745</v>
      </c>
      <c r="N1916" s="360" t="s">
        <v>2050</v>
      </c>
      <c r="O1916" s="360"/>
      <c r="P1916" s="360" t="s">
        <v>30</v>
      </c>
      <c r="Q1916" s="380">
        <v>46051</v>
      </c>
      <c r="R1916" s="24" t="s">
        <v>2707</v>
      </c>
      <c r="S1916" s="358" t="s">
        <v>32</v>
      </c>
      <c r="T1916" s="358">
        <v>8</v>
      </c>
      <c r="U1916" s="24" t="s">
        <v>2707</v>
      </c>
      <c r="V1916" s="380">
        <v>46051</v>
      </c>
      <c r="W1916" s="100" t="s">
        <v>30</v>
      </c>
      <c r="X1916" s="100" t="s">
        <v>30</v>
      </c>
      <c r="Y1916" s="100" t="s">
        <v>30</v>
      </c>
      <c r="Z1916" s="100" t="s">
        <v>30</v>
      </c>
      <c r="AA1916" s="100" t="s">
        <v>30</v>
      </c>
      <c r="AB1916" s="100" t="s">
        <v>30</v>
      </c>
      <c r="AC1916" s="100" t="s">
        <v>30</v>
      </c>
      <c r="AD1916" s="100" t="s">
        <v>30</v>
      </c>
      <c r="AE1916" s="100" t="s">
        <v>30</v>
      </c>
      <c r="AF1916" s="100" t="s">
        <v>30</v>
      </c>
      <c r="AG1916" s="100" t="s">
        <v>30</v>
      </c>
      <c r="AH1916" s="100" t="s">
        <v>30</v>
      </c>
      <c r="AI1916" s="111" t="s">
        <v>30</v>
      </c>
      <c r="AJ1916" s="111" t="s">
        <v>30</v>
      </c>
      <c r="AK1916" s="111" t="s">
        <v>30</v>
      </c>
      <c r="AL1916" s="95"/>
      <c r="AM1916" s="360"/>
      <c r="AO1916" s="412"/>
      <c r="AP1916" s="412"/>
      <c r="AQ1916" s="412"/>
      <c r="AR1916" s="412"/>
    </row>
    <row r="1917" spans="1:48">
      <c r="A1917" s="358" t="s">
        <v>24</v>
      </c>
      <c r="B1917" s="369">
        <v>1914</v>
      </c>
      <c r="C1917" s="372" t="s">
        <v>2806</v>
      </c>
      <c r="D1917" s="372" t="s">
        <v>43</v>
      </c>
      <c r="E1917" s="373">
        <v>46021</v>
      </c>
      <c r="F1917" s="372" t="s">
        <v>202</v>
      </c>
      <c r="G1917" s="372">
        <v>17</v>
      </c>
      <c r="H1917" s="372" t="s">
        <v>127</v>
      </c>
      <c r="I1917" s="372" t="s">
        <v>178</v>
      </c>
      <c r="J1917" s="257"/>
      <c r="K1917" s="360" t="s">
        <v>2244</v>
      </c>
      <c r="L1917" s="360" t="s">
        <v>2661</v>
      </c>
      <c r="M1917" s="360" t="s">
        <v>2661</v>
      </c>
      <c r="N1917" s="360" t="s">
        <v>2050</v>
      </c>
      <c r="O1917" s="117" t="s">
        <v>31</v>
      </c>
      <c r="P1917" s="252" t="s">
        <v>30</v>
      </c>
      <c r="Q1917" s="380">
        <v>46044</v>
      </c>
      <c r="R1917" s="24" t="s">
        <v>2707</v>
      </c>
      <c r="S1917" s="358" t="s">
        <v>30</v>
      </c>
      <c r="T1917" s="358">
        <v>16</v>
      </c>
      <c r="U1917" s="24" t="s">
        <v>2707</v>
      </c>
      <c r="V1917" s="380">
        <v>46044</v>
      </c>
      <c r="W1917" s="100" t="s">
        <v>30</v>
      </c>
      <c r="X1917" s="94" t="s">
        <v>30</v>
      </c>
      <c r="Y1917" s="100" t="s">
        <v>30</v>
      </c>
      <c r="Z1917" s="100" t="s">
        <v>30</v>
      </c>
      <c r="AA1917" s="100" t="s">
        <v>30</v>
      </c>
      <c r="AB1917" s="100" t="s">
        <v>30</v>
      </c>
      <c r="AC1917" s="100" t="s">
        <v>30</v>
      </c>
      <c r="AD1917" s="100" t="s">
        <v>30</v>
      </c>
      <c r="AE1917" s="100" t="s">
        <v>30</v>
      </c>
      <c r="AF1917" s="100" t="s">
        <v>30</v>
      </c>
      <c r="AG1917" s="100" t="s">
        <v>30</v>
      </c>
      <c r="AH1917" s="100" t="s">
        <v>30</v>
      </c>
      <c r="AI1917" s="94" t="s">
        <v>30</v>
      </c>
      <c r="AJ1917" s="94" t="s">
        <v>30</v>
      </c>
      <c r="AK1917" s="94" t="s">
        <v>30</v>
      </c>
      <c r="AL1917" s="95"/>
      <c r="AM1917" s="360"/>
    </row>
    <row r="1918" spans="1:48">
      <c r="A1918" s="358" t="s">
        <v>24</v>
      </c>
      <c r="B1918" s="369">
        <v>1915</v>
      </c>
      <c r="C1918" s="372" t="s">
        <v>2807</v>
      </c>
      <c r="D1918" s="372" t="s">
        <v>50</v>
      </c>
      <c r="E1918" s="373">
        <v>46021</v>
      </c>
      <c r="F1918" s="372" t="s">
        <v>202</v>
      </c>
      <c r="G1918" s="372">
        <v>13</v>
      </c>
      <c r="H1918" s="372" t="s">
        <v>127</v>
      </c>
      <c r="I1918" s="372" t="s">
        <v>178</v>
      </c>
      <c r="J1918" s="372"/>
      <c r="K1918" s="360" t="s">
        <v>2142</v>
      </c>
      <c r="L1918" s="360" t="s">
        <v>2706</v>
      </c>
      <c r="M1918" s="360" t="s">
        <v>2706</v>
      </c>
      <c r="N1918" s="360" t="s">
        <v>401</v>
      </c>
      <c r="O1918" s="360"/>
      <c r="P1918" s="360" t="s">
        <v>30</v>
      </c>
      <c r="Q1918" s="380">
        <v>46052</v>
      </c>
      <c r="R1918" s="24" t="s">
        <v>1638</v>
      </c>
      <c r="S1918" s="358" t="s">
        <v>32</v>
      </c>
      <c r="T1918" s="358">
        <v>12</v>
      </c>
      <c r="U1918" s="24" t="s">
        <v>1638</v>
      </c>
      <c r="V1918" s="380">
        <v>46052</v>
      </c>
      <c r="W1918" s="100" t="s">
        <v>30</v>
      </c>
      <c r="X1918" s="100" t="s">
        <v>30</v>
      </c>
      <c r="Y1918" s="100" t="s">
        <v>30</v>
      </c>
      <c r="Z1918" s="95" t="s">
        <v>32</v>
      </c>
      <c r="AA1918" s="95" t="s">
        <v>32</v>
      </c>
      <c r="AB1918" s="100" t="s">
        <v>30</v>
      </c>
      <c r="AC1918" s="100" t="s">
        <v>30</v>
      </c>
      <c r="AD1918" s="100" t="s">
        <v>30</v>
      </c>
      <c r="AE1918" s="100" t="s">
        <v>30</v>
      </c>
      <c r="AF1918" s="100" t="s">
        <v>30</v>
      </c>
      <c r="AG1918" s="100" t="s">
        <v>30</v>
      </c>
      <c r="AH1918" s="100" t="s">
        <v>30</v>
      </c>
      <c r="AI1918" s="100" t="s">
        <v>30</v>
      </c>
      <c r="AJ1918" s="100" t="s">
        <v>30</v>
      </c>
      <c r="AK1918" s="95" t="s">
        <v>32</v>
      </c>
      <c r="AL1918" s="95"/>
      <c r="AM1918" s="360" t="s">
        <v>2548</v>
      </c>
    </row>
    <row r="1919" spans="1:48">
      <c r="A1919" s="358" t="s">
        <v>24</v>
      </c>
      <c r="B1919" s="369">
        <v>1916</v>
      </c>
      <c r="C1919" s="372" t="s">
        <v>2808</v>
      </c>
      <c r="D1919" s="372" t="s">
        <v>34</v>
      </c>
      <c r="E1919" s="373">
        <v>46021</v>
      </c>
      <c r="F1919" s="372" t="s">
        <v>272</v>
      </c>
      <c r="G1919" s="372">
        <v>23</v>
      </c>
      <c r="H1919" s="372" t="s">
        <v>67</v>
      </c>
      <c r="I1919" s="372" t="s">
        <v>47</v>
      </c>
      <c r="J1919" s="372"/>
      <c r="K1919" s="360" t="s">
        <v>2119</v>
      </c>
      <c r="L1919" s="360" t="s">
        <v>2799</v>
      </c>
      <c r="M1919" s="360" t="s">
        <v>2799</v>
      </c>
      <c r="N1919" s="360" t="s">
        <v>2050</v>
      </c>
      <c r="O1919" s="117" t="s">
        <v>31</v>
      </c>
      <c r="P1919" s="360" t="s">
        <v>30</v>
      </c>
      <c r="Q1919" s="380">
        <v>46051</v>
      </c>
      <c r="R1919" s="24" t="s">
        <v>1638</v>
      </c>
      <c r="S1919" s="358" t="s">
        <v>32</v>
      </c>
      <c r="T1919" s="358">
        <v>21</v>
      </c>
      <c r="U1919" s="384" t="s">
        <v>1638</v>
      </c>
      <c r="V1919" s="380">
        <v>46051</v>
      </c>
      <c r="W1919" s="100" t="s">
        <v>30</v>
      </c>
      <c r="X1919" s="100" t="s">
        <v>30</v>
      </c>
      <c r="Y1919" s="100" t="s">
        <v>30</v>
      </c>
      <c r="Z1919" s="95" t="s">
        <v>32</v>
      </c>
      <c r="AA1919" s="95" t="s">
        <v>32</v>
      </c>
      <c r="AB1919" s="95" t="s">
        <v>32</v>
      </c>
      <c r="AC1919" s="100" t="s">
        <v>30</v>
      </c>
      <c r="AD1919" s="100" t="s">
        <v>30</v>
      </c>
      <c r="AE1919" s="100" t="s">
        <v>30</v>
      </c>
      <c r="AF1919" s="100" t="s">
        <v>30</v>
      </c>
      <c r="AG1919" s="100" t="s">
        <v>30</v>
      </c>
      <c r="AH1919" s="100" t="s">
        <v>30</v>
      </c>
      <c r="AI1919" s="100" t="s">
        <v>30</v>
      </c>
      <c r="AJ1919" s="111" t="s">
        <v>30</v>
      </c>
      <c r="AK1919" s="111" t="s">
        <v>30</v>
      </c>
      <c r="AL1919" s="95"/>
      <c r="AM1919" s="360" t="s">
        <v>2548</v>
      </c>
    </row>
    <row r="1920" spans="1:48">
      <c r="A1920" s="358" t="s">
        <v>24</v>
      </c>
      <c r="B1920" s="369">
        <v>1917</v>
      </c>
      <c r="C1920" s="372" t="s">
        <v>2809</v>
      </c>
      <c r="D1920" s="372" t="s">
        <v>178</v>
      </c>
      <c r="E1920" s="373">
        <v>46021</v>
      </c>
      <c r="F1920" s="372" t="s">
        <v>688</v>
      </c>
      <c r="G1920" s="372">
        <v>34</v>
      </c>
      <c r="H1920" s="372" t="s">
        <v>67</v>
      </c>
      <c r="I1920" s="372" t="s">
        <v>47</v>
      </c>
      <c r="J1920" s="372"/>
      <c r="K1920" s="360" t="s">
        <v>2102</v>
      </c>
      <c r="L1920" s="360" t="s">
        <v>2706</v>
      </c>
      <c r="M1920" s="360" t="s">
        <v>2728</v>
      </c>
      <c r="N1920" s="360" t="s">
        <v>2050</v>
      </c>
      <c r="O1920" s="117" t="s">
        <v>31</v>
      </c>
      <c r="P1920" s="360" t="s">
        <v>30</v>
      </c>
      <c r="Q1920" s="380">
        <v>46051</v>
      </c>
      <c r="R1920" s="24" t="s">
        <v>1138</v>
      </c>
      <c r="S1920" s="358" t="s">
        <v>32</v>
      </c>
      <c r="T1920" s="22">
        <v>19</v>
      </c>
      <c r="U1920" s="24" t="s">
        <v>1138</v>
      </c>
      <c r="V1920" s="380">
        <v>46051</v>
      </c>
      <c r="W1920" s="100" t="s">
        <v>30</v>
      </c>
      <c r="X1920" s="95" t="s">
        <v>32</v>
      </c>
      <c r="Y1920" s="100" t="s">
        <v>30</v>
      </c>
      <c r="Z1920" s="100" t="s">
        <v>30</v>
      </c>
      <c r="AA1920" s="100" t="s">
        <v>30</v>
      </c>
      <c r="AB1920" s="100" t="s">
        <v>30</v>
      </c>
      <c r="AC1920" s="100" t="s">
        <v>30</v>
      </c>
      <c r="AD1920" s="100" t="s">
        <v>30</v>
      </c>
      <c r="AE1920" s="100" t="s">
        <v>30</v>
      </c>
      <c r="AF1920" s="100" t="s">
        <v>30</v>
      </c>
      <c r="AG1920" s="100" t="s">
        <v>30</v>
      </c>
      <c r="AH1920" s="100" t="s">
        <v>30</v>
      </c>
      <c r="AI1920" s="111" t="s">
        <v>30</v>
      </c>
      <c r="AJ1920" s="111" t="s">
        <v>30</v>
      </c>
      <c r="AK1920" s="114" t="s">
        <v>32</v>
      </c>
      <c r="AL1920" s="95"/>
      <c r="AM1920" s="360" t="s">
        <v>2548</v>
      </c>
      <c r="AN1920" s="6"/>
      <c r="AO1920" s="6"/>
      <c r="AP1920" s="6"/>
      <c r="AQ1920" s="6"/>
      <c r="AR1920" s="6"/>
      <c r="AS1920" s="108"/>
      <c r="AT1920" s="109"/>
      <c r="AU1920" s="109"/>
      <c r="AV1920" s="109"/>
    </row>
    <row r="1921" spans="1:48">
      <c r="A1921" s="358" t="s">
        <v>24</v>
      </c>
      <c r="B1921" s="369">
        <v>1918</v>
      </c>
      <c r="C1921" s="372" t="s">
        <v>2810</v>
      </c>
      <c r="D1921" s="372" t="s">
        <v>374</v>
      </c>
      <c r="E1921" s="373">
        <v>46021</v>
      </c>
      <c r="F1921" s="372" t="s">
        <v>1749</v>
      </c>
      <c r="G1921" s="372">
        <v>19</v>
      </c>
      <c r="H1921" s="372" t="s">
        <v>67</v>
      </c>
      <c r="I1921" s="372" t="s">
        <v>47</v>
      </c>
      <c r="J1921" s="372"/>
      <c r="K1921" s="360" t="s">
        <v>2126</v>
      </c>
      <c r="L1921" s="360" t="s">
        <v>2745</v>
      </c>
      <c r="M1921" s="360" t="s">
        <v>2745</v>
      </c>
      <c r="N1921" s="360" t="s">
        <v>2050</v>
      </c>
      <c r="O1921" s="117" t="s">
        <v>31</v>
      </c>
      <c r="P1921" s="360" t="s">
        <v>30</v>
      </c>
      <c r="Q1921" s="23">
        <v>46050</v>
      </c>
      <c r="R1921" s="24" t="s">
        <v>1138</v>
      </c>
      <c r="S1921" s="22" t="s">
        <v>32</v>
      </c>
      <c r="T1921" s="22">
        <v>13</v>
      </c>
      <c r="U1921" s="24" t="s">
        <v>1138</v>
      </c>
      <c r="V1921" s="23">
        <v>46050</v>
      </c>
      <c r="W1921" s="94" t="s">
        <v>30</v>
      </c>
      <c r="X1921" s="100" t="s">
        <v>30</v>
      </c>
      <c r="Y1921" s="100" t="s">
        <v>30</v>
      </c>
      <c r="Z1921" s="100" t="s">
        <v>30</v>
      </c>
      <c r="AA1921" s="100" t="s">
        <v>30</v>
      </c>
      <c r="AB1921" s="100" t="s">
        <v>30</v>
      </c>
      <c r="AC1921" s="100" t="s">
        <v>30</v>
      </c>
      <c r="AD1921" s="100" t="s">
        <v>30</v>
      </c>
      <c r="AE1921" s="100" t="s">
        <v>30</v>
      </c>
      <c r="AF1921" s="100" t="s">
        <v>30</v>
      </c>
      <c r="AG1921" s="100" t="s">
        <v>30</v>
      </c>
      <c r="AH1921" s="100" t="s">
        <v>30</v>
      </c>
      <c r="AI1921" s="111" t="s">
        <v>30</v>
      </c>
      <c r="AJ1921" s="111" t="s">
        <v>30</v>
      </c>
      <c r="AK1921" s="111" t="s">
        <v>30</v>
      </c>
      <c r="AL1921" s="95"/>
      <c r="AM1921" s="360"/>
    </row>
    <row r="1922" spans="1:48">
      <c r="A1922" s="358" t="s">
        <v>24</v>
      </c>
      <c r="B1922" s="369">
        <v>1919</v>
      </c>
      <c r="C1922" s="372" t="s">
        <v>2811</v>
      </c>
      <c r="D1922" s="372" t="s">
        <v>34</v>
      </c>
      <c r="E1922" s="373">
        <v>46021</v>
      </c>
      <c r="F1922" s="372" t="s">
        <v>668</v>
      </c>
      <c r="G1922" s="372">
        <v>7</v>
      </c>
      <c r="H1922" s="372" t="s">
        <v>67</v>
      </c>
      <c r="I1922" s="372" t="s">
        <v>47</v>
      </c>
      <c r="J1922" s="102"/>
      <c r="K1922" s="360" t="s">
        <v>2056</v>
      </c>
      <c r="L1922" s="360" t="s">
        <v>2799</v>
      </c>
      <c r="M1922" s="360" t="s">
        <v>2799</v>
      </c>
      <c r="N1922" s="360" t="s">
        <v>2058</v>
      </c>
      <c r="O1922" s="360"/>
      <c r="P1922" s="360" t="s">
        <v>30</v>
      </c>
      <c r="Q1922" s="23">
        <v>46057</v>
      </c>
      <c r="R1922" s="24" t="s">
        <v>67</v>
      </c>
      <c r="S1922" s="22" t="s">
        <v>32</v>
      </c>
      <c r="T1922" s="22">
        <v>5</v>
      </c>
      <c r="U1922" s="24" t="s">
        <v>67</v>
      </c>
      <c r="V1922" s="23">
        <v>46057</v>
      </c>
      <c r="W1922" s="100" t="s">
        <v>30</v>
      </c>
      <c r="X1922" s="100" t="s">
        <v>30</v>
      </c>
      <c r="Y1922" s="100" t="s">
        <v>30</v>
      </c>
      <c r="Z1922" s="100" t="s">
        <v>30</v>
      </c>
      <c r="AA1922" s="100" t="s">
        <v>30</v>
      </c>
      <c r="AB1922" s="100" t="s">
        <v>30</v>
      </c>
      <c r="AC1922" s="100" t="s">
        <v>30</v>
      </c>
      <c r="AD1922" s="100" t="s">
        <v>30</v>
      </c>
      <c r="AE1922" s="100" t="s">
        <v>30</v>
      </c>
      <c r="AF1922" s="100" t="s">
        <v>30</v>
      </c>
      <c r="AG1922" s="100" t="s">
        <v>30</v>
      </c>
      <c r="AH1922" s="100" t="s">
        <v>30</v>
      </c>
      <c r="AI1922" s="100" t="s">
        <v>30</v>
      </c>
      <c r="AJ1922" s="100" t="s">
        <v>30</v>
      </c>
      <c r="AK1922" s="100" t="s">
        <v>30</v>
      </c>
      <c r="AL1922" s="95"/>
      <c r="AM1922" s="360"/>
    </row>
    <row r="1923" spans="1:48">
      <c r="A1923" s="358" t="s">
        <v>24</v>
      </c>
      <c r="B1923" s="369">
        <v>1920</v>
      </c>
      <c r="C1923" s="372" t="s">
        <v>2812</v>
      </c>
      <c r="D1923" s="372" t="s">
        <v>469</v>
      </c>
      <c r="E1923" s="373">
        <v>46021</v>
      </c>
      <c r="F1923" s="372" t="s">
        <v>668</v>
      </c>
      <c r="G1923" s="372">
        <v>7</v>
      </c>
      <c r="H1923" s="372" t="s">
        <v>67</v>
      </c>
      <c r="I1923" s="372" t="s">
        <v>47</v>
      </c>
      <c r="J1923" s="102"/>
      <c r="K1923" s="360" t="s">
        <v>2056</v>
      </c>
      <c r="L1923" s="360" t="s">
        <v>2799</v>
      </c>
      <c r="M1923" s="360" t="s">
        <v>2799</v>
      </c>
      <c r="N1923" s="360" t="s">
        <v>2058</v>
      </c>
      <c r="O1923" s="360"/>
      <c r="P1923" s="360" t="s">
        <v>30</v>
      </c>
      <c r="Q1923" s="23">
        <v>46057</v>
      </c>
      <c r="R1923" s="24" t="s">
        <v>67</v>
      </c>
      <c r="S1923" s="22" t="s">
        <v>32</v>
      </c>
      <c r="T1923" s="22">
        <v>5</v>
      </c>
      <c r="U1923" s="24" t="s">
        <v>67</v>
      </c>
      <c r="V1923" s="23">
        <v>46057</v>
      </c>
      <c r="W1923" s="100" t="s">
        <v>30</v>
      </c>
      <c r="X1923" s="95" t="s">
        <v>32</v>
      </c>
      <c r="Y1923" s="100" t="s">
        <v>30</v>
      </c>
      <c r="Z1923" s="100" t="s">
        <v>30</v>
      </c>
      <c r="AA1923" s="100" t="s">
        <v>30</v>
      </c>
      <c r="AB1923" s="100" t="s">
        <v>30</v>
      </c>
      <c r="AC1923" s="100" t="s">
        <v>30</v>
      </c>
      <c r="AD1923" s="100" t="s">
        <v>30</v>
      </c>
      <c r="AE1923" s="100" t="s">
        <v>30</v>
      </c>
      <c r="AF1923" s="114" t="s">
        <v>32</v>
      </c>
      <c r="AG1923" s="114" t="s">
        <v>32</v>
      </c>
      <c r="AH1923" s="100" t="s">
        <v>30</v>
      </c>
      <c r="AI1923" s="100" t="s">
        <v>30</v>
      </c>
      <c r="AJ1923" s="100" t="s">
        <v>30</v>
      </c>
      <c r="AK1923" s="114" t="s">
        <v>32</v>
      </c>
      <c r="AL1923" s="95"/>
      <c r="AM1923" s="360" t="s">
        <v>2545</v>
      </c>
      <c r="AO1923" s="412"/>
      <c r="AP1923" s="412"/>
      <c r="AQ1923" s="412"/>
      <c r="AR1923" s="412"/>
    </row>
    <row r="1924" spans="1:48">
      <c r="A1924" s="358" t="s">
        <v>24</v>
      </c>
      <c r="B1924" s="369">
        <v>1921</v>
      </c>
      <c r="C1924" s="372" t="s">
        <v>2813</v>
      </c>
      <c r="D1924" s="372" t="s">
        <v>34</v>
      </c>
      <c r="E1924" s="373">
        <v>46021</v>
      </c>
      <c r="F1924" s="372" t="s">
        <v>2687</v>
      </c>
      <c r="G1924" s="372">
        <v>14</v>
      </c>
      <c r="H1924" s="372" t="s">
        <v>67</v>
      </c>
      <c r="I1924" s="372" t="s">
        <v>47</v>
      </c>
      <c r="J1924" s="257"/>
      <c r="K1924" s="360" t="s">
        <v>2130</v>
      </c>
      <c r="L1924" s="360" t="s">
        <v>2734</v>
      </c>
      <c r="M1924" s="360" t="s">
        <v>2734</v>
      </c>
      <c r="N1924" s="360" t="s">
        <v>2058</v>
      </c>
      <c r="O1924" s="360"/>
      <c r="P1924" s="360" t="s">
        <v>30</v>
      </c>
      <c r="Q1924" s="23">
        <v>46054</v>
      </c>
      <c r="R1924" s="24" t="s">
        <v>47</v>
      </c>
      <c r="S1924" s="22" t="s">
        <v>30</v>
      </c>
      <c r="T1924" s="22">
        <v>24</v>
      </c>
      <c r="U1924" s="24" t="s">
        <v>47</v>
      </c>
      <c r="V1924" s="23">
        <v>46054</v>
      </c>
      <c r="W1924" s="82" t="s">
        <v>30</v>
      </c>
      <c r="X1924" s="95" t="s">
        <v>32</v>
      </c>
      <c r="Y1924" s="100" t="s">
        <v>30</v>
      </c>
      <c r="Z1924" s="100" t="s">
        <v>30</v>
      </c>
      <c r="AA1924" s="100" t="s">
        <v>30</v>
      </c>
      <c r="AB1924" s="100" t="s">
        <v>30</v>
      </c>
      <c r="AC1924" s="100" t="s">
        <v>30</v>
      </c>
      <c r="AD1924" s="100" t="s">
        <v>30</v>
      </c>
      <c r="AE1924" s="100" t="s">
        <v>30</v>
      </c>
      <c r="AF1924" s="100" t="s">
        <v>30</v>
      </c>
      <c r="AG1924" s="100" t="s">
        <v>30</v>
      </c>
      <c r="AH1924" s="100" t="s">
        <v>30</v>
      </c>
      <c r="AI1924" s="111" t="s">
        <v>30</v>
      </c>
      <c r="AJ1924" s="114" t="s">
        <v>32</v>
      </c>
      <c r="AK1924" s="111" t="s">
        <v>30</v>
      </c>
      <c r="AL1924" s="95"/>
      <c r="AM1924" s="360" t="s">
        <v>2545</v>
      </c>
      <c r="AN1924" s="6"/>
      <c r="AO1924" s="6"/>
      <c r="AP1924" s="6"/>
      <c r="AQ1924" s="6"/>
      <c r="AR1924" s="6"/>
      <c r="AS1924" s="108"/>
      <c r="AT1924" s="109"/>
      <c r="AU1924" s="109"/>
      <c r="AV1924" s="109"/>
    </row>
    <row r="1925" spans="1:48">
      <c r="A1925" s="358" t="s">
        <v>24</v>
      </c>
      <c r="B1925" s="369">
        <v>1922</v>
      </c>
      <c r="C1925" s="372" t="s">
        <v>2814</v>
      </c>
      <c r="D1925" s="372" t="s">
        <v>34</v>
      </c>
      <c r="E1925" s="373">
        <v>46021</v>
      </c>
      <c r="F1925" s="372" t="s">
        <v>2687</v>
      </c>
      <c r="G1925" s="372">
        <v>20</v>
      </c>
      <c r="H1925" s="372" t="s">
        <v>67</v>
      </c>
      <c r="I1925" s="372" t="s">
        <v>47</v>
      </c>
      <c r="J1925" s="257"/>
      <c r="K1925" s="360" t="s">
        <v>2130</v>
      </c>
      <c r="L1925" s="360" t="s">
        <v>2734</v>
      </c>
      <c r="M1925" s="360" t="s">
        <v>2734</v>
      </c>
      <c r="N1925" s="360" t="s">
        <v>401</v>
      </c>
      <c r="O1925" s="117" t="s">
        <v>31</v>
      </c>
      <c r="P1925" s="360" t="s">
        <v>30</v>
      </c>
      <c r="Q1925" s="23">
        <v>46054</v>
      </c>
      <c r="R1925" s="24" t="s">
        <v>47</v>
      </c>
      <c r="S1925" s="22" t="s">
        <v>30</v>
      </c>
      <c r="T1925" s="22">
        <v>12</v>
      </c>
      <c r="U1925" s="24" t="s">
        <v>47</v>
      </c>
      <c r="V1925" s="23">
        <v>46054</v>
      </c>
      <c r="W1925" s="82" t="s">
        <v>30</v>
      </c>
      <c r="X1925" s="95" t="s">
        <v>32</v>
      </c>
      <c r="Y1925" s="100" t="s">
        <v>30</v>
      </c>
      <c r="Z1925" s="95" t="s">
        <v>32</v>
      </c>
      <c r="AA1925" s="95" t="s">
        <v>32</v>
      </c>
      <c r="AB1925" s="100" t="s">
        <v>30</v>
      </c>
      <c r="AC1925" s="100" t="s">
        <v>30</v>
      </c>
      <c r="AD1925" s="100" t="s">
        <v>30</v>
      </c>
      <c r="AE1925" s="100" t="s">
        <v>30</v>
      </c>
      <c r="AF1925" s="100" t="s">
        <v>30</v>
      </c>
      <c r="AG1925" s="100" t="s">
        <v>30</v>
      </c>
      <c r="AH1925" s="100" t="s">
        <v>30</v>
      </c>
      <c r="AI1925" s="111" t="s">
        <v>30</v>
      </c>
      <c r="AJ1925" s="114" t="s">
        <v>32</v>
      </c>
      <c r="AK1925" s="111" t="s">
        <v>30</v>
      </c>
      <c r="AL1925" s="95"/>
      <c r="AM1925" s="360" t="s">
        <v>2545</v>
      </c>
    </row>
    <row r="1926" spans="1:48">
      <c r="A1926" s="358" t="s">
        <v>24</v>
      </c>
      <c r="B1926" s="369">
        <v>1923</v>
      </c>
      <c r="C1926" s="372" t="s">
        <v>2815</v>
      </c>
      <c r="D1926" s="372" t="s">
        <v>178</v>
      </c>
      <c r="E1926" s="373">
        <v>46021</v>
      </c>
      <c r="F1926" s="372" t="s">
        <v>2687</v>
      </c>
      <c r="G1926" s="372">
        <v>14</v>
      </c>
      <c r="H1926" s="372" t="s">
        <v>67</v>
      </c>
      <c r="I1926" s="372" t="s">
        <v>47</v>
      </c>
      <c r="J1926" s="257"/>
      <c r="K1926" s="360" t="s">
        <v>2123</v>
      </c>
      <c r="L1926" s="360" t="s">
        <v>2734</v>
      </c>
      <c r="M1926" s="360" t="s">
        <v>2734</v>
      </c>
      <c r="N1926" s="360" t="s">
        <v>2058</v>
      </c>
      <c r="O1926" s="360"/>
      <c r="P1926" s="360" t="s">
        <v>30</v>
      </c>
      <c r="Q1926" s="23">
        <v>46054</v>
      </c>
      <c r="R1926" s="24" t="s">
        <v>47</v>
      </c>
      <c r="S1926" s="22" t="s">
        <v>30</v>
      </c>
      <c r="T1926" s="22">
        <v>12</v>
      </c>
      <c r="U1926" s="24" t="s">
        <v>47</v>
      </c>
      <c r="V1926" s="23">
        <v>46054</v>
      </c>
      <c r="W1926" s="100" t="s">
        <v>30</v>
      </c>
      <c r="X1926" s="95" t="s">
        <v>32</v>
      </c>
      <c r="Y1926" s="100" t="s">
        <v>30</v>
      </c>
      <c r="Z1926" s="100" t="s">
        <v>30</v>
      </c>
      <c r="AA1926" s="100" t="s">
        <v>30</v>
      </c>
      <c r="AB1926" s="100" t="s">
        <v>30</v>
      </c>
      <c r="AC1926" s="100" t="s">
        <v>30</v>
      </c>
      <c r="AD1926" s="100" t="s">
        <v>30</v>
      </c>
      <c r="AE1926" s="100" t="s">
        <v>30</v>
      </c>
      <c r="AF1926" s="100" t="s">
        <v>30</v>
      </c>
      <c r="AG1926" s="100" t="s">
        <v>30</v>
      </c>
      <c r="AH1926" s="100" t="s">
        <v>30</v>
      </c>
      <c r="AI1926" s="111" t="s">
        <v>30</v>
      </c>
      <c r="AJ1926" s="111" t="s">
        <v>30</v>
      </c>
      <c r="AK1926" s="111" t="s">
        <v>30</v>
      </c>
      <c r="AL1926" s="95"/>
      <c r="AM1926" s="360"/>
    </row>
    <row r="1927" spans="1:48">
      <c r="A1927" s="358" t="s">
        <v>24</v>
      </c>
      <c r="B1927" s="369">
        <v>1924</v>
      </c>
      <c r="C1927" s="372" t="s">
        <v>2816</v>
      </c>
      <c r="D1927" s="372" t="s">
        <v>178</v>
      </c>
      <c r="E1927" s="373">
        <v>46021</v>
      </c>
      <c r="F1927" s="372" t="s">
        <v>2687</v>
      </c>
      <c r="G1927" s="372">
        <v>20</v>
      </c>
      <c r="H1927" s="372" t="s">
        <v>67</v>
      </c>
      <c r="I1927" s="372" t="s">
        <v>47</v>
      </c>
      <c r="J1927" s="102"/>
      <c r="K1927" s="360" t="s">
        <v>2123</v>
      </c>
      <c r="L1927" s="360" t="s">
        <v>2734</v>
      </c>
      <c r="M1927" s="360" t="s">
        <v>2734</v>
      </c>
      <c r="N1927" s="360" t="s">
        <v>401</v>
      </c>
      <c r="O1927" s="117" t="s">
        <v>31</v>
      </c>
      <c r="P1927" s="360" t="s">
        <v>30</v>
      </c>
      <c r="Q1927" s="23">
        <v>46053</v>
      </c>
      <c r="R1927" s="24" t="s">
        <v>47</v>
      </c>
      <c r="S1927" s="22" t="s">
        <v>30</v>
      </c>
      <c r="T1927" s="22">
        <v>23</v>
      </c>
      <c r="U1927" s="24" t="s">
        <v>47</v>
      </c>
      <c r="V1927" s="23">
        <v>46053</v>
      </c>
      <c r="W1927" s="100" t="s">
        <v>30</v>
      </c>
      <c r="X1927" s="95" t="s">
        <v>32</v>
      </c>
      <c r="Y1927" s="100" t="s">
        <v>30</v>
      </c>
      <c r="Z1927" s="100" t="s">
        <v>30</v>
      </c>
      <c r="AA1927" s="100" t="s">
        <v>30</v>
      </c>
      <c r="AB1927" s="100" t="s">
        <v>30</v>
      </c>
      <c r="AC1927" s="100" t="s">
        <v>30</v>
      </c>
      <c r="AD1927" s="100" t="s">
        <v>30</v>
      </c>
      <c r="AE1927" s="100" t="s">
        <v>30</v>
      </c>
      <c r="AF1927" s="100" t="s">
        <v>30</v>
      </c>
      <c r="AG1927" s="100" t="s">
        <v>30</v>
      </c>
      <c r="AH1927" s="100" t="s">
        <v>30</v>
      </c>
      <c r="AI1927" s="111" t="s">
        <v>30</v>
      </c>
      <c r="AJ1927" s="111" t="s">
        <v>30</v>
      </c>
      <c r="AK1927" s="111" t="s">
        <v>30</v>
      </c>
      <c r="AL1927" s="95"/>
      <c r="AM1927" s="360"/>
    </row>
    <row r="1928" spans="1:48">
      <c r="A1928" s="358" t="s">
        <v>24</v>
      </c>
      <c r="B1928" s="369">
        <v>1925</v>
      </c>
      <c r="C1928" s="372" t="s">
        <v>2817</v>
      </c>
      <c r="D1928" s="372" t="s">
        <v>34</v>
      </c>
      <c r="E1928" s="373">
        <v>46021</v>
      </c>
      <c r="F1928" s="372" t="s">
        <v>1081</v>
      </c>
      <c r="G1928" s="372">
        <v>14</v>
      </c>
      <c r="H1928" s="372" t="s">
        <v>1721</v>
      </c>
      <c r="I1928" s="372" t="s">
        <v>1638</v>
      </c>
      <c r="J1928" s="372"/>
      <c r="K1928" s="360" t="s">
        <v>2100</v>
      </c>
      <c r="L1928" s="360" t="s">
        <v>2728</v>
      </c>
      <c r="M1928" s="360" t="s">
        <v>2728</v>
      </c>
      <c r="N1928" s="360" t="s">
        <v>2776</v>
      </c>
      <c r="O1928" s="360"/>
      <c r="P1928" s="360" t="s">
        <v>30</v>
      </c>
      <c r="Q1928" s="23">
        <v>46045</v>
      </c>
      <c r="R1928" s="384" t="s">
        <v>1638</v>
      </c>
      <c r="S1928" s="22" t="s">
        <v>32</v>
      </c>
      <c r="T1928" s="22">
        <v>12</v>
      </c>
      <c r="U1928" s="384" t="s">
        <v>1638</v>
      </c>
      <c r="V1928" s="23">
        <v>46045</v>
      </c>
      <c r="W1928" s="100" t="s">
        <v>30</v>
      </c>
      <c r="X1928" s="100" t="s">
        <v>30</v>
      </c>
      <c r="Y1928" s="100" t="s">
        <v>30</v>
      </c>
      <c r="Z1928" s="100" t="s">
        <v>30</v>
      </c>
      <c r="AA1928" s="100" t="s">
        <v>30</v>
      </c>
      <c r="AB1928" s="100" t="s">
        <v>30</v>
      </c>
      <c r="AC1928" s="100" t="s">
        <v>30</v>
      </c>
      <c r="AD1928" s="100" t="s">
        <v>30</v>
      </c>
      <c r="AE1928" s="100" t="s">
        <v>30</v>
      </c>
      <c r="AF1928" s="100" t="s">
        <v>30</v>
      </c>
      <c r="AG1928" s="100" t="s">
        <v>30</v>
      </c>
      <c r="AH1928" s="100" t="s">
        <v>30</v>
      </c>
      <c r="AI1928" s="111" t="s">
        <v>30</v>
      </c>
      <c r="AJ1928" s="111" t="s">
        <v>30</v>
      </c>
      <c r="AK1928" s="111" t="s">
        <v>30</v>
      </c>
      <c r="AL1928" s="95"/>
      <c r="AM1928" s="360"/>
      <c r="AS1928" s="72"/>
      <c r="AT1928" s="96"/>
      <c r="AU1928" s="96"/>
    </row>
    <row r="1929" spans="1:48">
      <c r="A1929" s="358" t="s">
        <v>24</v>
      </c>
      <c r="B1929" s="369">
        <v>1926</v>
      </c>
      <c r="C1929" s="372" t="s">
        <v>2818</v>
      </c>
      <c r="D1929" s="372" t="s">
        <v>34</v>
      </c>
      <c r="E1929" s="373">
        <v>46021</v>
      </c>
      <c r="F1929" s="372" t="s">
        <v>110</v>
      </c>
      <c r="G1929" s="372">
        <v>16</v>
      </c>
      <c r="H1929" s="372" t="s">
        <v>1721</v>
      </c>
      <c r="I1929" s="372" t="s">
        <v>1638</v>
      </c>
      <c r="J1929" s="372"/>
      <c r="K1929" s="360" t="s">
        <v>2052</v>
      </c>
      <c r="L1929" s="360" t="s">
        <v>2819</v>
      </c>
      <c r="M1929" s="360" t="s">
        <v>2819</v>
      </c>
      <c r="N1929" s="360" t="s">
        <v>110</v>
      </c>
      <c r="O1929" s="117" t="s">
        <v>31</v>
      </c>
      <c r="P1929" s="360" t="s">
        <v>30</v>
      </c>
      <c r="Q1929" s="380">
        <v>46045</v>
      </c>
      <c r="R1929" s="384" t="s">
        <v>1638</v>
      </c>
      <c r="S1929" s="22" t="s">
        <v>32</v>
      </c>
      <c r="T1929" s="22">
        <v>12</v>
      </c>
      <c r="U1929" s="384" t="s">
        <v>1638</v>
      </c>
      <c r="V1929" s="380">
        <v>46045</v>
      </c>
      <c r="W1929" s="82" t="s">
        <v>113</v>
      </c>
      <c r="X1929" s="95" t="s">
        <v>32</v>
      </c>
      <c r="Y1929" s="95"/>
      <c r="Z1929" s="100" t="s">
        <v>30</v>
      </c>
      <c r="AA1929" s="100" t="s">
        <v>30</v>
      </c>
      <c r="AB1929" s="100" t="s">
        <v>30</v>
      </c>
      <c r="AC1929" s="100" t="s">
        <v>30</v>
      </c>
      <c r="AD1929" s="100" t="s">
        <v>30</v>
      </c>
      <c r="AE1929" s="100" t="s">
        <v>30</v>
      </c>
      <c r="AF1929" s="100" t="s">
        <v>30</v>
      </c>
      <c r="AG1929" s="100" t="s">
        <v>30</v>
      </c>
      <c r="AH1929" s="100" t="s">
        <v>30</v>
      </c>
      <c r="AI1929" s="100" t="s">
        <v>30</v>
      </c>
      <c r="AJ1929" s="100" t="s">
        <v>30</v>
      </c>
      <c r="AK1929" s="111" t="s">
        <v>30</v>
      </c>
      <c r="AL1929" s="95"/>
      <c r="AM1929" s="360"/>
    </row>
    <row r="1930" spans="1:48">
      <c r="A1930" s="358" t="s">
        <v>24</v>
      </c>
      <c r="B1930" s="369">
        <v>1927</v>
      </c>
      <c r="C1930" s="372" t="s">
        <v>2820</v>
      </c>
      <c r="D1930" s="372" t="s">
        <v>34</v>
      </c>
      <c r="E1930" s="373">
        <v>46021</v>
      </c>
      <c r="F1930" s="372" t="s">
        <v>1945</v>
      </c>
      <c r="G1930" s="372">
        <v>22</v>
      </c>
      <c r="H1930" s="372" t="s">
        <v>1721</v>
      </c>
      <c r="I1930" s="372" t="s">
        <v>1638</v>
      </c>
      <c r="J1930" s="372"/>
      <c r="K1930" s="360" t="s">
        <v>2180</v>
      </c>
      <c r="L1930" s="360" t="s">
        <v>2799</v>
      </c>
      <c r="M1930" s="360" t="s">
        <v>2799</v>
      </c>
      <c r="N1930" s="360" t="s">
        <v>2050</v>
      </c>
      <c r="O1930" s="117" t="s">
        <v>31</v>
      </c>
      <c r="P1930" s="360" t="s">
        <v>1091</v>
      </c>
      <c r="Q1930" s="23">
        <v>46045</v>
      </c>
      <c r="R1930" s="384" t="s">
        <v>1638</v>
      </c>
      <c r="S1930" s="22" t="s">
        <v>32</v>
      </c>
      <c r="T1930" s="22">
        <v>19</v>
      </c>
      <c r="U1930" s="384" t="s">
        <v>1638</v>
      </c>
      <c r="V1930" s="23">
        <v>46045</v>
      </c>
      <c r="W1930" s="122" t="s">
        <v>30</v>
      </c>
      <c r="X1930" s="100" t="s">
        <v>30</v>
      </c>
      <c r="Y1930" s="100" t="s">
        <v>30</v>
      </c>
      <c r="Z1930" s="125"/>
      <c r="AA1930" s="125"/>
      <c r="AB1930" s="124"/>
      <c r="AC1930" s="111" t="s">
        <v>30</v>
      </c>
      <c r="AD1930" s="111" t="s">
        <v>30</v>
      </c>
      <c r="AE1930" s="111" t="s">
        <v>30</v>
      </c>
      <c r="AF1930" s="111" t="s">
        <v>30</v>
      </c>
      <c r="AG1930" s="111" t="s">
        <v>30</v>
      </c>
      <c r="AH1930" s="100" t="s">
        <v>30</v>
      </c>
      <c r="AI1930" s="100" t="s">
        <v>30</v>
      </c>
      <c r="AJ1930" s="100" t="s">
        <v>30</v>
      </c>
      <c r="AK1930" s="111" t="s">
        <v>30</v>
      </c>
      <c r="AL1930" s="95"/>
      <c r="AM1930" s="360"/>
    </row>
    <row r="1931" spans="1:48">
      <c r="A1931" s="358" t="s">
        <v>24</v>
      </c>
      <c r="B1931" s="369">
        <v>1928</v>
      </c>
      <c r="C1931" s="372" t="s">
        <v>2821</v>
      </c>
      <c r="D1931" s="372" t="s">
        <v>50</v>
      </c>
      <c r="E1931" s="373">
        <v>46021</v>
      </c>
      <c r="F1931" s="372" t="s">
        <v>2701</v>
      </c>
      <c r="G1931" s="372">
        <v>14</v>
      </c>
      <c r="H1931" s="372" t="s">
        <v>1077</v>
      </c>
      <c r="I1931" s="372" t="s">
        <v>1138</v>
      </c>
      <c r="J1931" s="372"/>
      <c r="K1931" s="360" t="s">
        <v>2098</v>
      </c>
      <c r="L1931" s="360" t="s">
        <v>2706</v>
      </c>
      <c r="M1931" s="360" t="s">
        <v>2706</v>
      </c>
      <c r="N1931" s="360" t="s">
        <v>2058</v>
      </c>
      <c r="O1931" s="360"/>
      <c r="P1931" s="252" t="s">
        <v>30</v>
      </c>
      <c r="Q1931" s="23">
        <v>46036</v>
      </c>
      <c r="R1931" s="384" t="s">
        <v>1138</v>
      </c>
      <c r="S1931" s="22" t="s">
        <v>32</v>
      </c>
      <c r="T1931" s="22">
        <v>12</v>
      </c>
      <c r="U1931" s="24" t="s">
        <v>1138</v>
      </c>
      <c r="V1931" s="23">
        <v>46036</v>
      </c>
      <c r="W1931" s="100" t="s">
        <v>30</v>
      </c>
      <c r="X1931" s="100" t="s">
        <v>30</v>
      </c>
      <c r="Y1931" s="122" t="s">
        <v>30</v>
      </c>
      <c r="Z1931" s="100" t="s">
        <v>30</v>
      </c>
      <c r="AA1931" s="100" t="s">
        <v>30</v>
      </c>
      <c r="AB1931" s="100" t="s">
        <v>30</v>
      </c>
      <c r="AC1931" s="100" t="s">
        <v>30</v>
      </c>
      <c r="AD1931" s="100" t="s">
        <v>30</v>
      </c>
      <c r="AE1931" s="100" t="s">
        <v>30</v>
      </c>
      <c r="AF1931" s="100" t="s">
        <v>30</v>
      </c>
      <c r="AG1931" s="100" t="s">
        <v>30</v>
      </c>
      <c r="AH1931" s="100" t="s">
        <v>30</v>
      </c>
      <c r="AI1931" s="100" t="s">
        <v>30</v>
      </c>
      <c r="AJ1931" s="100" t="s">
        <v>30</v>
      </c>
      <c r="AK1931" s="100" t="s">
        <v>30</v>
      </c>
      <c r="AL1931" s="95" t="s">
        <v>32</v>
      </c>
      <c r="AM1931" s="360" t="s">
        <v>2548</v>
      </c>
      <c r="AN1931" s="6"/>
      <c r="AO1931" s="6"/>
      <c r="AP1931" s="6"/>
      <c r="AQ1931" s="6"/>
      <c r="AR1931" s="6"/>
      <c r="AS1931" s="108"/>
      <c r="AT1931" s="109"/>
      <c r="AU1931" s="109"/>
      <c r="AV1931" s="109"/>
    </row>
    <row r="1932" spans="1:48">
      <c r="A1932" s="358" t="s">
        <v>24</v>
      </c>
      <c r="B1932" s="369">
        <v>1929</v>
      </c>
      <c r="C1932" s="372" t="s">
        <v>2822</v>
      </c>
      <c r="D1932" s="372" t="s">
        <v>2823</v>
      </c>
      <c r="E1932" s="373">
        <v>46022</v>
      </c>
      <c r="F1932" s="372" t="s">
        <v>187</v>
      </c>
      <c r="G1932" s="372">
        <v>20</v>
      </c>
      <c r="H1932" s="372" t="s">
        <v>67</v>
      </c>
      <c r="I1932" s="372" t="s">
        <v>47</v>
      </c>
      <c r="J1932" s="372"/>
      <c r="K1932" s="360" t="s">
        <v>2113</v>
      </c>
      <c r="L1932" s="360" t="s">
        <v>2603</v>
      </c>
      <c r="M1932" s="360" t="s">
        <v>2706</v>
      </c>
      <c r="N1932" s="360" t="s">
        <v>2824</v>
      </c>
      <c r="O1932" s="117" t="s">
        <v>31</v>
      </c>
      <c r="P1932" s="360" t="s">
        <v>30</v>
      </c>
      <c r="Q1932" s="380">
        <v>46056</v>
      </c>
      <c r="R1932" s="24" t="s">
        <v>67</v>
      </c>
      <c r="S1932" s="22" t="s">
        <v>1140</v>
      </c>
      <c r="T1932" s="22">
        <v>28</v>
      </c>
      <c r="U1932" s="24" t="s">
        <v>67</v>
      </c>
      <c r="V1932" s="380">
        <v>46056</v>
      </c>
      <c r="W1932" s="95" t="s">
        <v>32</v>
      </c>
      <c r="X1932" s="100" t="s">
        <v>30</v>
      </c>
      <c r="Y1932" s="95"/>
      <c r="Z1932" s="100" t="s">
        <v>30</v>
      </c>
      <c r="AA1932" s="100" t="s">
        <v>30</v>
      </c>
      <c r="AB1932" s="100" t="s">
        <v>30</v>
      </c>
      <c r="AC1932" s="100" t="s">
        <v>30</v>
      </c>
      <c r="AD1932" s="100" t="s">
        <v>30</v>
      </c>
      <c r="AE1932" s="100" t="s">
        <v>30</v>
      </c>
      <c r="AF1932" s="100" t="s">
        <v>30</v>
      </c>
      <c r="AG1932" s="100" t="s">
        <v>30</v>
      </c>
      <c r="AH1932" s="114"/>
      <c r="AI1932" s="100" t="s">
        <v>30</v>
      </c>
      <c r="AJ1932" s="100" t="s">
        <v>30</v>
      </c>
      <c r="AK1932" s="100" t="s">
        <v>30</v>
      </c>
      <c r="AL1932" s="95"/>
      <c r="AM1932" s="360"/>
    </row>
    <row r="1933" spans="1:48">
      <c r="A1933" s="358" t="s">
        <v>24</v>
      </c>
      <c r="B1933" s="369">
        <v>1930</v>
      </c>
      <c r="C1933" s="372" t="s">
        <v>2825</v>
      </c>
      <c r="D1933" s="372" t="s">
        <v>477</v>
      </c>
      <c r="E1933" s="373">
        <v>46022</v>
      </c>
      <c r="F1933" s="372" t="s">
        <v>272</v>
      </c>
      <c r="G1933" s="372">
        <v>24</v>
      </c>
      <c r="H1933" s="372" t="s">
        <v>67</v>
      </c>
      <c r="I1933" s="372" t="s">
        <v>47</v>
      </c>
      <c r="J1933" s="372"/>
      <c r="K1933" s="360" t="s">
        <v>2126</v>
      </c>
      <c r="L1933" s="360" t="s">
        <v>2661</v>
      </c>
      <c r="M1933" s="360" t="s">
        <v>2706</v>
      </c>
      <c r="N1933" s="360" t="s">
        <v>2058</v>
      </c>
      <c r="O1933" s="117" t="s">
        <v>31</v>
      </c>
      <c r="P1933" s="256" t="s">
        <v>30</v>
      </c>
      <c r="Q1933" s="380">
        <v>46050</v>
      </c>
      <c r="R1933" s="24" t="s">
        <v>1138</v>
      </c>
      <c r="S1933" s="22" t="s">
        <v>32</v>
      </c>
      <c r="T1933" s="22">
        <v>20</v>
      </c>
      <c r="U1933" s="24" t="s">
        <v>1138</v>
      </c>
      <c r="V1933" s="380">
        <v>46050</v>
      </c>
      <c r="W1933" s="94" t="s">
        <v>30</v>
      </c>
      <c r="X1933" s="95" t="s">
        <v>32</v>
      </c>
      <c r="Y1933" s="100" t="s">
        <v>30</v>
      </c>
      <c r="Z1933" s="100" t="s">
        <v>30</v>
      </c>
      <c r="AA1933" s="100" t="s">
        <v>30</v>
      </c>
      <c r="AB1933" s="100" t="s">
        <v>30</v>
      </c>
      <c r="AC1933" s="100" t="s">
        <v>30</v>
      </c>
      <c r="AD1933" s="100" t="s">
        <v>30</v>
      </c>
      <c r="AE1933" s="100" t="s">
        <v>30</v>
      </c>
      <c r="AF1933" s="95" t="s">
        <v>32</v>
      </c>
      <c r="AG1933" s="95" t="s">
        <v>32</v>
      </c>
      <c r="AH1933" s="100" t="s">
        <v>30</v>
      </c>
      <c r="AI1933" s="100" t="s">
        <v>30</v>
      </c>
      <c r="AJ1933" s="100" t="s">
        <v>30</v>
      </c>
      <c r="AK1933" s="100" t="s">
        <v>30</v>
      </c>
      <c r="AL1933" s="95"/>
      <c r="AM1933" s="360"/>
    </row>
    <row r="1934" spans="1:48">
      <c r="A1934" s="358" t="s">
        <v>2342</v>
      </c>
      <c r="B1934" s="369">
        <v>1931</v>
      </c>
      <c r="C1934" s="358" t="s">
        <v>2537</v>
      </c>
      <c r="D1934" s="358" t="s">
        <v>2506</v>
      </c>
      <c r="E1934" s="373">
        <v>45992.375</v>
      </c>
      <c r="F1934" s="372" t="s">
        <v>140</v>
      </c>
      <c r="G1934" s="372">
        <v>1</v>
      </c>
      <c r="H1934" s="372" t="s">
        <v>1721</v>
      </c>
      <c r="I1934" s="372"/>
      <c r="J1934" s="372"/>
      <c r="K1934" s="360"/>
      <c r="L1934" s="360"/>
      <c r="M1934" s="360"/>
      <c r="N1934" s="360"/>
      <c r="O1934" s="360"/>
      <c r="P1934" s="385" t="s">
        <v>30</v>
      </c>
      <c r="Q1934" s="23">
        <v>46054</v>
      </c>
      <c r="R1934" s="24" t="s">
        <v>67</v>
      </c>
      <c r="S1934" s="22" t="s">
        <v>32</v>
      </c>
      <c r="T1934" s="22">
        <v>4</v>
      </c>
      <c r="U1934" s="24" t="s">
        <v>67</v>
      </c>
      <c r="V1934" s="23">
        <v>46054</v>
      </c>
      <c r="W1934" s="100" t="s">
        <v>113</v>
      </c>
      <c r="X1934" s="100"/>
      <c r="Y1934" s="95"/>
      <c r="Z1934" s="100"/>
      <c r="AA1934" s="100"/>
      <c r="AB1934" s="100"/>
      <c r="AC1934" s="100"/>
      <c r="AD1934" s="100"/>
      <c r="AE1934" s="100"/>
      <c r="AF1934" s="100"/>
      <c r="AG1934" s="100"/>
      <c r="AH1934" s="114"/>
      <c r="AI1934" s="100"/>
      <c r="AJ1934" s="100"/>
      <c r="AK1934" s="100"/>
      <c r="AL1934" s="95"/>
      <c r="AM1934" s="360"/>
    </row>
    <row r="1935" spans="1:48">
      <c r="A1935" s="358" t="s">
        <v>2342</v>
      </c>
      <c r="B1935" s="369">
        <v>1932</v>
      </c>
      <c r="C1935" s="358" t="s">
        <v>2826</v>
      </c>
      <c r="D1935" s="358" t="s">
        <v>2827</v>
      </c>
      <c r="E1935" s="373">
        <v>45992.041666666664</v>
      </c>
      <c r="F1935" s="372" t="s">
        <v>140</v>
      </c>
      <c r="G1935" s="372">
        <v>3</v>
      </c>
      <c r="H1935" s="372" t="s">
        <v>127</v>
      </c>
      <c r="I1935" s="372"/>
      <c r="J1935" s="372"/>
      <c r="K1935" s="360"/>
      <c r="L1935" s="360"/>
      <c r="M1935" s="360"/>
      <c r="N1935" s="360"/>
      <c r="O1935" s="385"/>
      <c r="P1935" s="385" t="s">
        <v>30</v>
      </c>
      <c r="Q1935" s="23">
        <v>46054</v>
      </c>
      <c r="R1935" s="24" t="s">
        <v>67</v>
      </c>
      <c r="S1935" s="22" t="s">
        <v>32</v>
      </c>
      <c r="T1935" s="22">
        <v>3</v>
      </c>
      <c r="U1935" s="24" t="s">
        <v>67</v>
      </c>
      <c r="V1935" s="23">
        <v>46054</v>
      </c>
      <c r="W1935" s="100" t="s">
        <v>113</v>
      </c>
      <c r="X1935" s="100"/>
      <c r="Y1935" s="95"/>
      <c r="Z1935" s="100"/>
      <c r="AA1935" s="100"/>
      <c r="AB1935" s="100"/>
      <c r="AC1935" s="100"/>
      <c r="AD1935" s="100"/>
      <c r="AE1935" s="100"/>
      <c r="AF1935" s="100"/>
      <c r="AG1935" s="100"/>
      <c r="AH1935" s="114"/>
      <c r="AI1935" s="114"/>
      <c r="AJ1935" s="114"/>
      <c r="AK1935" s="114"/>
      <c r="AL1935" s="95"/>
      <c r="AM1935" s="360"/>
    </row>
    <row r="1936" spans="1:48">
      <c r="A1936" s="358" t="s">
        <v>2342</v>
      </c>
      <c r="B1936" s="369">
        <v>1933</v>
      </c>
      <c r="C1936" s="358" t="s">
        <v>2828</v>
      </c>
      <c r="D1936" s="358" t="s">
        <v>2829</v>
      </c>
      <c r="E1936" s="373">
        <v>45992.041666666664</v>
      </c>
      <c r="F1936" s="372" t="s">
        <v>140</v>
      </c>
      <c r="G1936" s="372">
        <v>2</v>
      </c>
      <c r="H1936" s="372" t="s">
        <v>127</v>
      </c>
      <c r="I1936" s="372"/>
      <c r="J1936" s="372"/>
      <c r="K1936" s="360"/>
      <c r="L1936" s="360"/>
      <c r="M1936" s="360"/>
      <c r="N1936" s="360"/>
      <c r="O1936" s="255"/>
      <c r="P1936" s="385" t="s">
        <v>30</v>
      </c>
      <c r="Q1936" s="23">
        <v>46054</v>
      </c>
      <c r="R1936" s="24" t="s">
        <v>67</v>
      </c>
      <c r="S1936" s="22" t="s">
        <v>32</v>
      </c>
      <c r="T1936" s="22">
        <v>2</v>
      </c>
      <c r="U1936" s="24" t="s">
        <v>67</v>
      </c>
      <c r="V1936" s="23">
        <v>46054</v>
      </c>
      <c r="W1936" s="100" t="s">
        <v>113</v>
      </c>
      <c r="X1936" s="100"/>
      <c r="Y1936" s="95"/>
      <c r="Z1936" s="100"/>
      <c r="AA1936" s="100"/>
      <c r="AB1936" s="100"/>
      <c r="AC1936" s="100"/>
      <c r="AD1936" s="100"/>
      <c r="AE1936" s="100"/>
      <c r="AF1936" s="100"/>
      <c r="AG1936" s="100"/>
      <c r="AH1936" s="114"/>
      <c r="AI1936" s="114"/>
      <c r="AJ1936" s="114"/>
      <c r="AK1936" s="114"/>
      <c r="AL1936" s="95"/>
      <c r="AM1936" s="360"/>
      <c r="AR1936" s="88"/>
      <c r="AS1936" s="72"/>
      <c r="AT1936" s="72"/>
      <c r="AU1936" s="72"/>
    </row>
    <row r="1937" spans="1:48">
      <c r="A1937" s="358" t="s">
        <v>2342</v>
      </c>
      <c r="B1937" s="369">
        <v>1934</v>
      </c>
      <c r="C1937" s="358" t="s">
        <v>2830</v>
      </c>
      <c r="D1937" s="358" t="s">
        <v>2831</v>
      </c>
      <c r="E1937" s="373">
        <v>45992.041666666664</v>
      </c>
      <c r="F1937" s="372" t="s">
        <v>140</v>
      </c>
      <c r="G1937" s="372">
        <v>6</v>
      </c>
      <c r="H1937" s="372" t="s">
        <v>127</v>
      </c>
      <c r="I1937" s="372"/>
      <c r="J1937" s="372"/>
      <c r="K1937" s="360"/>
      <c r="L1937" s="360"/>
      <c r="M1937" s="360"/>
      <c r="N1937" s="360"/>
      <c r="O1937" s="385"/>
      <c r="P1937" s="385" t="s">
        <v>30</v>
      </c>
      <c r="Q1937" s="23">
        <v>46054</v>
      </c>
      <c r="R1937" s="24" t="s">
        <v>67</v>
      </c>
      <c r="S1937" s="22" t="s">
        <v>32</v>
      </c>
      <c r="T1937" s="22">
        <v>6</v>
      </c>
      <c r="U1937" s="24" t="s">
        <v>67</v>
      </c>
      <c r="V1937" s="23">
        <v>46054</v>
      </c>
      <c r="W1937" s="100" t="s">
        <v>113</v>
      </c>
      <c r="X1937" s="100"/>
      <c r="Y1937" s="95"/>
      <c r="Z1937" s="95"/>
      <c r="AA1937" s="95"/>
      <c r="AB1937" s="95"/>
      <c r="AC1937" s="100"/>
      <c r="AD1937" s="100"/>
      <c r="AE1937" s="100"/>
      <c r="AF1937" s="100"/>
      <c r="AG1937" s="100"/>
      <c r="AH1937" s="114"/>
      <c r="AI1937" s="100"/>
      <c r="AJ1937" s="100"/>
      <c r="AK1937" s="100"/>
      <c r="AL1937" s="95"/>
      <c r="AM1937" s="360"/>
    </row>
    <row r="1938" spans="1:48">
      <c r="A1938" s="358" t="s">
        <v>2342</v>
      </c>
      <c r="B1938" s="369">
        <v>1935</v>
      </c>
      <c r="C1938" s="358" t="s">
        <v>2832</v>
      </c>
      <c r="D1938" s="358" t="s">
        <v>989</v>
      </c>
      <c r="E1938" s="373">
        <v>45992</v>
      </c>
      <c r="F1938" s="372" t="s">
        <v>140</v>
      </c>
      <c r="G1938" s="372">
        <v>3</v>
      </c>
      <c r="H1938" s="372" t="s">
        <v>67</v>
      </c>
      <c r="I1938" s="372"/>
      <c r="J1938" s="372"/>
      <c r="K1938" s="360"/>
      <c r="L1938" s="360"/>
      <c r="M1938" s="360"/>
      <c r="N1938" s="360"/>
      <c r="O1938" s="385"/>
      <c r="P1938" s="385" t="s">
        <v>30</v>
      </c>
      <c r="Q1938" s="23">
        <v>46054</v>
      </c>
      <c r="R1938" s="24" t="s">
        <v>67</v>
      </c>
      <c r="S1938" s="22" t="s">
        <v>32</v>
      </c>
      <c r="T1938" s="22">
        <v>3</v>
      </c>
      <c r="U1938" s="24" t="s">
        <v>67</v>
      </c>
      <c r="V1938" s="23">
        <v>46054</v>
      </c>
      <c r="W1938" s="100" t="s">
        <v>113</v>
      </c>
      <c r="X1938" s="100"/>
      <c r="Y1938" s="95"/>
      <c r="Z1938" s="100"/>
      <c r="AA1938" s="100"/>
      <c r="AB1938" s="100"/>
      <c r="AC1938" s="100"/>
      <c r="AD1938" s="100"/>
      <c r="AE1938" s="100"/>
      <c r="AF1938" s="100"/>
      <c r="AG1938" s="100"/>
      <c r="AH1938" s="114"/>
      <c r="AI1938" s="100"/>
      <c r="AJ1938" s="100"/>
      <c r="AK1938" s="100"/>
      <c r="AL1938" s="95"/>
      <c r="AM1938" s="360"/>
    </row>
    <row r="1939" spans="1:48">
      <c r="A1939" s="358" t="s">
        <v>2342</v>
      </c>
      <c r="B1939" s="369">
        <v>1936</v>
      </c>
      <c r="C1939" s="358" t="s">
        <v>2833</v>
      </c>
      <c r="D1939" s="358" t="s">
        <v>2834</v>
      </c>
      <c r="E1939" s="373">
        <v>45999.375</v>
      </c>
      <c r="F1939" s="372" t="s">
        <v>140</v>
      </c>
      <c r="G1939" s="372">
        <v>7</v>
      </c>
      <c r="H1939" s="372" t="s">
        <v>2835</v>
      </c>
      <c r="I1939" s="372"/>
      <c r="J1939" s="226" t="s">
        <v>2576</v>
      </c>
      <c r="K1939" s="360"/>
      <c r="L1939" s="360"/>
      <c r="M1939" s="360"/>
      <c r="N1939" s="360"/>
      <c r="O1939" s="255"/>
      <c r="P1939" s="385"/>
      <c r="Q1939" s="23"/>
      <c r="R1939" s="24" t="s">
        <v>28</v>
      </c>
      <c r="S1939" s="22" t="s">
        <v>32</v>
      </c>
      <c r="T1939" s="22">
        <v>1</v>
      </c>
      <c r="U1939" s="24" t="s">
        <v>28</v>
      </c>
      <c r="V1939" s="23"/>
      <c r="W1939" s="100" t="s">
        <v>113</v>
      </c>
      <c r="X1939" s="95"/>
      <c r="Y1939" s="95"/>
      <c r="Z1939" s="100"/>
      <c r="AA1939" s="100"/>
      <c r="AB1939" s="100"/>
      <c r="AC1939" s="100"/>
      <c r="AD1939" s="100"/>
      <c r="AE1939" s="100"/>
      <c r="AF1939" s="100"/>
      <c r="AG1939" s="100"/>
      <c r="AH1939" s="114"/>
      <c r="AI1939" s="100"/>
      <c r="AJ1939" s="100"/>
      <c r="AK1939" s="100"/>
      <c r="AL1939" s="95"/>
      <c r="AM1939" s="360"/>
      <c r="AR1939" s="88"/>
      <c r="AS1939" s="72"/>
      <c r="AT1939" s="72"/>
      <c r="AU1939" s="72"/>
    </row>
    <row r="1940" spans="1:48">
      <c r="A1940" s="358" t="s">
        <v>2342</v>
      </c>
      <c r="B1940" s="369">
        <v>1937</v>
      </c>
      <c r="C1940" s="358" t="s">
        <v>2836</v>
      </c>
      <c r="D1940" s="358" t="s">
        <v>2837</v>
      </c>
      <c r="E1940" s="373">
        <v>45999.375</v>
      </c>
      <c r="F1940" s="372" t="s">
        <v>140</v>
      </c>
      <c r="G1940" s="372">
        <v>6</v>
      </c>
      <c r="H1940" s="372" t="s">
        <v>67</v>
      </c>
      <c r="I1940" s="372"/>
      <c r="J1940" s="226" t="s">
        <v>2576</v>
      </c>
      <c r="K1940" s="360"/>
      <c r="L1940" s="360"/>
      <c r="M1940" s="360"/>
      <c r="N1940" s="360"/>
      <c r="O1940" s="255"/>
      <c r="P1940" s="385"/>
      <c r="Q1940" s="23"/>
      <c r="R1940" s="24" t="s">
        <v>28</v>
      </c>
      <c r="S1940" s="22" t="s">
        <v>32</v>
      </c>
      <c r="T1940" s="22">
        <v>1</v>
      </c>
      <c r="U1940" s="24" t="s">
        <v>28</v>
      </c>
      <c r="V1940" s="23"/>
      <c r="W1940" s="100" t="s">
        <v>113</v>
      </c>
      <c r="X1940" s="95"/>
      <c r="Y1940" s="95"/>
      <c r="Z1940" s="100"/>
      <c r="AA1940" s="100"/>
      <c r="AB1940" s="100"/>
      <c r="AC1940" s="100"/>
      <c r="AD1940" s="100"/>
      <c r="AE1940" s="100"/>
      <c r="AF1940" s="100"/>
      <c r="AG1940" s="100"/>
      <c r="AH1940" s="114"/>
      <c r="AI1940" s="100"/>
      <c r="AJ1940" s="100"/>
      <c r="AK1940" s="100"/>
      <c r="AL1940" s="95"/>
      <c r="AM1940" s="360"/>
      <c r="AR1940" s="88"/>
      <c r="AS1940" s="72"/>
      <c r="AT1940" s="72"/>
      <c r="AU1940" s="72"/>
    </row>
    <row r="1941" spans="1:48">
      <c r="A1941" s="358" t="s">
        <v>2342</v>
      </c>
      <c r="B1941" s="369">
        <v>1938</v>
      </c>
      <c r="C1941" s="358" t="s">
        <v>2838</v>
      </c>
      <c r="D1941" s="358" t="s">
        <v>2839</v>
      </c>
      <c r="E1941" s="373">
        <v>45999</v>
      </c>
      <c r="F1941" s="372" t="s">
        <v>140</v>
      </c>
      <c r="G1941" s="372">
        <v>7</v>
      </c>
      <c r="H1941" s="372" t="s">
        <v>2840</v>
      </c>
      <c r="I1941" s="372"/>
      <c r="J1941" s="372"/>
      <c r="K1941" s="360"/>
      <c r="L1941" s="360"/>
      <c r="M1941" s="360"/>
      <c r="N1941" s="360"/>
      <c r="O1941" s="385"/>
      <c r="P1941" s="385" t="s">
        <v>30</v>
      </c>
      <c r="Q1941" s="23">
        <v>46053</v>
      </c>
      <c r="R1941" s="24" t="s">
        <v>28</v>
      </c>
      <c r="S1941" s="22" t="s">
        <v>32</v>
      </c>
      <c r="T1941" s="22">
        <v>1</v>
      </c>
      <c r="U1941" s="24" t="s">
        <v>28</v>
      </c>
      <c r="V1941" s="23">
        <v>46053</v>
      </c>
      <c r="W1941" s="100" t="s">
        <v>113</v>
      </c>
      <c r="X1941" s="100"/>
      <c r="Y1941" s="95"/>
      <c r="Z1941" s="95"/>
      <c r="AA1941" s="95"/>
      <c r="AB1941" s="95"/>
      <c r="AC1941" s="100"/>
      <c r="AD1941" s="100"/>
      <c r="AE1941" s="100"/>
      <c r="AF1941" s="100"/>
      <c r="AG1941" s="100"/>
      <c r="AH1941" s="114"/>
      <c r="AI1941" s="112"/>
      <c r="AJ1941" s="112"/>
      <c r="AK1941" s="112"/>
      <c r="AL1941" s="95"/>
      <c r="AM1941" s="360"/>
      <c r="AO1941" s="412"/>
      <c r="AP1941" s="412"/>
      <c r="AQ1941" s="412"/>
      <c r="AR1941" s="412"/>
    </row>
    <row r="1942" spans="1:48">
      <c r="A1942" s="358" t="s">
        <v>2342</v>
      </c>
      <c r="B1942" s="369">
        <v>1939</v>
      </c>
      <c r="C1942" s="358" t="s">
        <v>2841</v>
      </c>
      <c r="D1942" s="358" t="s">
        <v>2842</v>
      </c>
      <c r="E1942" s="373">
        <v>45999.375</v>
      </c>
      <c r="F1942" s="372" t="s">
        <v>140</v>
      </c>
      <c r="G1942" s="372">
        <v>15</v>
      </c>
      <c r="H1942" s="372" t="s">
        <v>1721</v>
      </c>
      <c r="I1942" s="372"/>
      <c r="J1942" s="225"/>
      <c r="K1942" s="358"/>
      <c r="L1942" s="358"/>
      <c r="M1942" s="358"/>
      <c r="N1942" s="358"/>
      <c r="O1942" s="117"/>
      <c r="P1942" s="385" t="s">
        <v>30</v>
      </c>
      <c r="Q1942" s="23">
        <v>46056</v>
      </c>
      <c r="R1942" s="24" t="s">
        <v>67</v>
      </c>
      <c r="S1942" s="22" t="s">
        <v>32</v>
      </c>
      <c r="T1942" s="22">
        <v>15</v>
      </c>
      <c r="U1942" s="24" t="s">
        <v>67</v>
      </c>
      <c r="V1942" s="23">
        <v>46056</v>
      </c>
      <c r="W1942" s="100" t="s">
        <v>113</v>
      </c>
      <c r="X1942" s="95"/>
      <c r="Y1942" s="95"/>
      <c r="Z1942" s="100"/>
      <c r="AA1942" s="100"/>
      <c r="AB1942" s="100"/>
      <c r="AC1942" s="100"/>
      <c r="AD1942" s="100"/>
      <c r="AE1942" s="100"/>
      <c r="AF1942" s="100"/>
      <c r="AG1942" s="100"/>
      <c r="AH1942" s="114"/>
      <c r="AI1942" s="100"/>
      <c r="AJ1942" s="100"/>
      <c r="AK1942" s="100"/>
      <c r="AL1942" s="95"/>
      <c r="AM1942" s="360"/>
      <c r="AN1942" s="6"/>
      <c r="AO1942" s="6"/>
      <c r="AP1942" s="6"/>
      <c r="AQ1942" s="6"/>
      <c r="AR1942" s="6"/>
      <c r="AS1942" s="108"/>
      <c r="AT1942" s="109"/>
      <c r="AU1942" s="109"/>
      <c r="AV1942" s="109"/>
    </row>
    <row r="1943" spans="1:48">
      <c r="A1943" s="358" t="s">
        <v>2342</v>
      </c>
      <c r="B1943" s="369">
        <v>1940</v>
      </c>
      <c r="C1943" s="358" t="s">
        <v>2843</v>
      </c>
      <c r="D1943" s="358" t="s">
        <v>2844</v>
      </c>
      <c r="E1943" s="373">
        <v>46013.375</v>
      </c>
      <c r="F1943" s="372" t="s">
        <v>140</v>
      </c>
      <c r="G1943" s="372">
        <v>7</v>
      </c>
      <c r="H1943" s="372" t="s">
        <v>67</v>
      </c>
      <c r="I1943" s="372"/>
      <c r="J1943" s="225"/>
      <c r="K1943" s="358"/>
      <c r="L1943" s="358"/>
      <c r="M1943" s="358"/>
      <c r="N1943" s="358"/>
      <c r="O1943" s="117"/>
      <c r="P1943" s="385" t="s">
        <v>30</v>
      </c>
      <c r="Q1943" s="23">
        <v>46054</v>
      </c>
      <c r="R1943" s="24" t="s">
        <v>67</v>
      </c>
      <c r="S1943" s="22" t="s">
        <v>32</v>
      </c>
      <c r="T1943" s="22">
        <v>7</v>
      </c>
      <c r="U1943" s="24" t="s">
        <v>67</v>
      </c>
      <c r="V1943" s="23">
        <v>46054</v>
      </c>
      <c r="W1943" s="100" t="s">
        <v>113</v>
      </c>
      <c r="X1943" s="100"/>
      <c r="Y1943" s="95"/>
      <c r="Z1943" s="100"/>
      <c r="AA1943" s="100"/>
      <c r="AB1943" s="100"/>
      <c r="AC1943" s="100"/>
      <c r="AD1943" s="100"/>
      <c r="AE1943" s="100"/>
      <c r="AF1943" s="100"/>
      <c r="AG1943" s="100"/>
      <c r="AH1943" s="114"/>
      <c r="AI1943" s="100"/>
      <c r="AJ1943" s="100"/>
      <c r="AK1943" s="100"/>
      <c r="AL1943" s="95"/>
      <c r="AM1943" s="360"/>
      <c r="AN1943" s="6"/>
      <c r="AO1943" s="6"/>
      <c r="AP1943" s="6"/>
      <c r="AQ1943" s="6"/>
      <c r="AR1943" s="6"/>
      <c r="AS1943" s="108"/>
      <c r="AT1943" s="109"/>
      <c r="AU1943" s="109"/>
      <c r="AV1943" s="109"/>
    </row>
    <row r="1944" spans="1:48">
      <c r="A1944" s="358" t="s">
        <v>2342</v>
      </c>
      <c r="B1944" s="369">
        <v>1941</v>
      </c>
      <c r="C1944" s="358" t="s">
        <v>2845</v>
      </c>
      <c r="D1944" s="358" t="s">
        <v>2846</v>
      </c>
      <c r="E1944" s="373"/>
      <c r="F1944" s="372"/>
      <c r="G1944" s="372"/>
      <c r="H1944" s="372"/>
      <c r="I1944" s="372"/>
      <c r="J1944" s="225"/>
      <c r="K1944" s="358"/>
      <c r="L1944" s="358"/>
      <c r="M1944" s="358"/>
      <c r="N1944" s="358"/>
      <c r="O1944" s="117"/>
      <c r="P1944" s="385" t="s">
        <v>30</v>
      </c>
      <c r="Q1944" s="23">
        <v>46056</v>
      </c>
      <c r="R1944" s="24" t="s">
        <v>67</v>
      </c>
      <c r="S1944" s="22" t="s">
        <v>32</v>
      </c>
      <c r="T1944" s="22">
        <v>12</v>
      </c>
      <c r="U1944" s="24" t="s">
        <v>67</v>
      </c>
      <c r="V1944" s="23">
        <v>46056</v>
      </c>
      <c r="W1944" s="100" t="s">
        <v>113</v>
      </c>
      <c r="X1944" s="100"/>
      <c r="Y1944" s="95"/>
      <c r="Z1944" s="100"/>
      <c r="AA1944" s="100"/>
      <c r="AB1944" s="100"/>
      <c r="AC1944" s="100"/>
      <c r="AD1944" s="100"/>
      <c r="AE1944" s="100"/>
      <c r="AF1944" s="100"/>
      <c r="AG1944" s="100"/>
      <c r="AH1944" s="114"/>
      <c r="AI1944" s="100"/>
      <c r="AJ1944" s="100"/>
      <c r="AK1944" s="100"/>
      <c r="AL1944" s="95"/>
      <c r="AM1944" s="360"/>
      <c r="AN1944" s="6"/>
      <c r="AO1944" s="6"/>
      <c r="AP1944" s="6"/>
      <c r="AQ1944" s="6"/>
      <c r="AR1944" s="6"/>
      <c r="AS1944" s="108"/>
      <c r="AT1944" s="109"/>
      <c r="AU1944" s="109"/>
      <c r="AV1944" s="109"/>
    </row>
    <row r="1945" spans="1:48">
      <c r="A1945" s="358" t="s">
        <v>2342</v>
      </c>
      <c r="B1945" s="369">
        <v>1942</v>
      </c>
      <c r="C1945" s="358" t="s">
        <v>2847</v>
      </c>
      <c r="D1945" s="358" t="s">
        <v>2848</v>
      </c>
      <c r="E1945" s="373">
        <v>46006.375</v>
      </c>
      <c r="F1945" s="372" t="s">
        <v>140</v>
      </c>
      <c r="G1945" s="372">
        <v>2</v>
      </c>
      <c r="H1945" s="372" t="s">
        <v>1721</v>
      </c>
      <c r="I1945" s="372"/>
      <c r="J1945" s="225"/>
      <c r="K1945" s="358"/>
      <c r="L1945" s="358"/>
      <c r="M1945" s="358"/>
      <c r="N1945" s="358"/>
      <c r="O1945" s="117"/>
      <c r="P1945" s="385" t="s">
        <v>30</v>
      </c>
      <c r="Q1945" s="23">
        <v>46053</v>
      </c>
      <c r="R1945" s="24" t="s">
        <v>28</v>
      </c>
      <c r="S1945" s="22" t="s">
        <v>32</v>
      </c>
      <c r="T1945" s="22">
        <v>2</v>
      </c>
      <c r="U1945" s="24" t="s">
        <v>28</v>
      </c>
      <c r="V1945" s="23">
        <v>46053</v>
      </c>
      <c r="W1945" s="100" t="s">
        <v>113</v>
      </c>
      <c r="X1945" s="100"/>
      <c r="Y1945" s="95"/>
      <c r="Z1945" s="95"/>
      <c r="AA1945" s="95"/>
      <c r="AB1945" s="95"/>
      <c r="AC1945" s="100"/>
      <c r="AD1945" s="100"/>
      <c r="AE1945" s="100"/>
      <c r="AF1945" s="100"/>
      <c r="AG1945" s="100"/>
      <c r="AH1945" s="114"/>
      <c r="AI1945" s="100"/>
      <c r="AJ1945" s="100"/>
      <c r="AK1945" s="100"/>
      <c r="AL1945" s="95"/>
      <c r="AM1945" s="360"/>
    </row>
    <row r="1946" spans="1:48">
      <c r="A1946" s="358" t="s">
        <v>2342</v>
      </c>
      <c r="B1946" s="369">
        <v>1943</v>
      </c>
      <c r="C1946" s="358" t="s">
        <v>2849</v>
      </c>
      <c r="D1946" s="358" t="s">
        <v>1603</v>
      </c>
      <c r="E1946" s="373">
        <v>45999.375</v>
      </c>
      <c r="F1946" s="372" t="s">
        <v>140</v>
      </c>
      <c r="G1946" s="372">
        <v>5</v>
      </c>
      <c r="H1946" s="372" t="s">
        <v>67</v>
      </c>
      <c r="I1946" s="372"/>
      <c r="J1946" s="372"/>
      <c r="K1946" s="358"/>
      <c r="L1946" s="358"/>
      <c r="M1946" s="358"/>
      <c r="N1946" s="358"/>
      <c r="O1946" s="380"/>
      <c r="P1946" s="385" t="s">
        <v>30</v>
      </c>
      <c r="Q1946" s="23">
        <v>46054</v>
      </c>
      <c r="R1946" s="24" t="s">
        <v>67</v>
      </c>
      <c r="S1946" s="22" t="s">
        <v>32</v>
      </c>
      <c r="T1946" s="22">
        <v>5</v>
      </c>
      <c r="U1946" s="24" t="s">
        <v>67</v>
      </c>
      <c r="V1946" s="23">
        <v>46054</v>
      </c>
      <c r="W1946" s="100" t="s">
        <v>113</v>
      </c>
      <c r="X1946" s="100"/>
      <c r="Y1946" s="95"/>
      <c r="Z1946" s="95"/>
      <c r="AA1946" s="95"/>
      <c r="AB1946" s="95"/>
      <c r="AC1946" s="100"/>
      <c r="AD1946" s="100"/>
      <c r="AE1946" s="100"/>
      <c r="AF1946" s="100"/>
      <c r="AG1946" s="100"/>
      <c r="AH1946" s="114"/>
      <c r="AI1946" s="100"/>
      <c r="AJ1946" s="100"/>
      <c r="AK1946" s="100"/>
      <c r="AL1946" s="95"/>
      <c r="AM1946" s="360"/>
    </row>
    <row r="1947" spans="1:48">
      <c r="A1947" s="358" t="s">
        <v>2342</v>
      </c>
      <c r="B1947" s="369">
        <v>1944</v>
      </c>
      <c r="C1947" s="358" t="s">
        <v>2850</v>
      </c>
      <c r="D1947" s="358" t="s">
        <v>1837</v>
      </c>
      <c r="E1947" s="373">
        <v>45999</v>
      </c>
      <c r="F1947" s="372" t="s">
        <v>140</v>
      </c>
      <c r="G1947" s="372">
        <v>6</v>
      </c>
      <c r="H1947" s="372" t="s">
        <v>1721</v>
      </c>
      <c r="I1947" s="372"/>
      <c r="J1947" s="372"/>
      <c r="K1947" s="358"/>
      <c r="L1947" s="358"/>
      <c r="M1947" s="358"/>
      <c r="N1947" s="358"/>
      <c r="O1947" s="117"/>
      <c r="P1947" s="385" t="s">
        <v>30</v>
      </c>
      <c r="Q1947" s="23">
        <v>46054</v>
      </c>
      <c r="R1947" s="24" t="s">
        <v>67</v>
      </c>
      <c r="S1947" s="22" t="s">
        <v>32</v>
      </c>
      <c r="T1947" s="22">
        <v>6</v>
      </c>
      <c r="U1947" s="24" t="s">
        <v>67</v>
      </c>
      <c r="V1947" s="23">
        <v>46054</v>
      </c>
      <c r="W1947" s="100" t="s">
        <v>113</v>
      </c>
      <c r="X1947" s="100"/>
      <c r="Y1947" s="95"/>
      <c r="Z1947" s="95"/>
      <c r="AA1947" s="95"/>
      <c r="AB1947" s="95"/>
      <c r="AC1947" s="100"/>
      <c r="AD1947" s="100"/>
      <c r="AE1947" s="100"/>
      <c r="AF1947" s="100"/>
      <c r="AG1947" s="100"/>
      <c r="AH1947" s="114"/>
      <c r="AI1947" s="114"/>
      <c r="AJ1947" s="114"/>
      <c r="AK1947" s="100"/>
      <c r="AL1947" s="95"/>
      <c r="AM1947" s="360"/>
    </row>
    <row r="1948" spans="1:48">
      <c r="A1948" s="358" t="s">
        <v>2342</v>
      </c>
      <c r="B1948" s="369">
        <v>1945</v>
      </c>
      <c r="C1948" s="358" t="s">
        <v>2851</v>
      </c>
      <c r="D1948" s="358" t="s">
        <v>1837</v>
      </c>
      <c r="E1948" s="373">
        <v>46006</v>
      </c>
      <c r="F1948" s="372" t="s">
        <v>140</v>
      </c>
      <c r="G1948" s="372">
        <v>3</v>
      </c>
      <c r="H1948" s="372" t="s">
        <v>1721</v>
      </c>
      <c r="I1948" s="372"/>
      <c r="J1948" s="372"/>
      <c r="K1948" s="358"/>
      <c r="L1948" s="358"/>
      <c r="M1948" s="358"/>
      <c r="N1948" s="358"/>
      <c r="O1948" s="117"/>
      <c r="P1948" s="385" t="s">
        <v>30</v>
      </c>
      <c r="Q1948" s="23">
        <v>46054</v>
      </c>
      <c r="R1948" s="24" t="s">
        <v>67</v>
      </c>
      <c r="S1948" s="22" t="s">
        <v>32</v>
      </c>
      <c r="T1948" s="22">
        <v>3</v>
      </c>
      <c r="U1948" s="24" t="s">
        <v>67</v>
      </c>
      <c r="V1948" s="23">
        <v>46054</v>
      </c>
      <c r="W1948" s="100" t="s">
        <v>113</v>
      </c>
      <c r="X1948" s="100"/>
      <c r="Y1948" s="95"/>
      <c r="Z1948" s="100"/>
      <c r="AA1948" s="100"/>
      <c r="AB1948" s="100"/>
      <c r="AC1948" s="100"/>
      <c r="AD1948" s="100"/>
      <c r="AE1948" s="100"/>
      <c r="AF1948" s="100"/>
      <c r="AG1948" s="100"/>
      <c r="AH1948" s="114"/>
      <c r="AI1948" s="114"/>
      <c r="AJ1948" s="114"/>
      <c r="AK1948" s="114"/>
      <c r="AL1948" s="95"/>
      <c r="AM1948" s="360"/>
    </row>
    <row r="1949" spans="1:48">
      <c r="A1949" s="358" t="s">
        <v>2342</v>
      </c>
      <c r="B1949" s="369">
        <v>1946</v>
      </c>
      <c r="C1949" s="358" t="s">
        <v>2852</v>
      </c>
      <c r="D1949" s="358" t="s">
        <v>2853</v>
      </c>
      <c r="E1949" s="373">
        <v>46020</v>
      </c>
      <c r="F1949" s="372" t="s">
        <v>140</v>
      </c>
      <c r="G1949" s="372">
        <v>1</v>
      </c>
      <c r="H1949" s="372" t="s">
        <v>67</v>
      </c>
      <c r="I1949" s="372"/>
      <c r="J1949" s="372"/>
      <c r="K1949" s="358"/>
      <c r="L1949" s="358"/>
      <c r="M1949" s="358"/>
      <c r="N1949" s="358"/>
      <c r="O1949" s="117"/>
      <c r="P1949" s="385" t="s">
        <v>30</v>
      </c>
      <c r="Q1949" s="23">
        <v>46053</v>
      </c>
      <c r="R1949" s="24" t="s">
        <v>28</v>
      </c>
      <c r="S1949" s="22" t="s">
        <v>32</v>
      </c>
      <c r="T1949" s="22">
        <v>1</v>
      </c>
      <c r="U1949" s="24" t="s">
        <v>28</v>
      </c>
      <c r="V1949" s="23">
        <v>46053</v>
      </c>
      <c r="W1949" s="100" t="s">
        <v>113</v>
      </c>
      <c r="X1949" s="100"/>
      <c r="Y1949" s="95"/>
      <c r="Z1949" s="100"/>
      <c r="AA1949" s="100"/>
      <c r="AB1949" s="100"/>
      <c r="AC1949" s="100"/>
      <c r="AD1949" s="100"/>
      <c r="AE1949" s="100"/>
      <c r="AF1949" s="100"/>
      <c r="AG1949" s="100"/>
      <c r="AH1949" s="114"/>
      <c r="AI1949" s="114"/>
      <c r="AJ1949" s="114"/>
      <c r="AK1949" s="111"/>
      <c r="AL1949" s="95"/>
      <c r="AM1949" s="360"/>
      <c r="AN1949" s="91"/>
      <c r="AO1949" s="91"/>
      <c r="AS1949" s="72"/>
      <c r="AT1949" s="96"/>
      <c r="AU1949" s="96"/>
    </row>
    <row r="1950" spans="1:48">
      <c r="A1950" s="358" t="s">
        <v>2342</v>
      </c>
      <c r="B1950" s="369">
        <v>1947</v>
      </c>
      <c r="C1950" s="358" t="s">
        <v>2854</v>
      </c>
      <c r="D1950" s="358" t="s">
        <v>2855</v>
      </c>
      <c r="E1950" s="373">
        <v>46006.375</v>
      </c>
      <c r="F1950" s="372" t="s">
        <v>140</v>
      </c>
      <c r="G1950" s="372">
        <v>5</v>
      </c>
      <c r="H1950" s="372" t="s">
        <v>2856</v>
      </c>
      <c r="I1950" s="372"/>
      <c r="J1950" s="372"/>
      <c r="K1950" s="358"/>
      <c r="L1950" s="358"/>
      <c r="M1950" s="358"/>
      <c r="N1950" s="358"/>
      <c r="O1950" s="380"/>
      <c r="P1950" s="385" t="s">
        <v>30</v>
      </c>
      <c r="Q1950" s="23">
        <v>46054</v>
      </c>
      <c r="R1950" s="24" t="s">
        <v>67</v>
      </c>
      <c r="S1950" s="22" t="s">
        <v>32</v>
      </c>
      <c r="T1950" s="7">
        <v>4</v>
      </c>
      <c r="U1950" s="24" t="s">
        <v>67</v>
      </c>
      <c r="V1950" s="23">
        <v>46054</v>
      </c>
      <c r="W1950" s="100" t="s">
        <v>113</v>
      </c>
      <c r="X1950" s="100"/>
      <c r="Y1950" s="95"/>
      <c r="Z1950" s="100"/>
      <c r="AA1950" s="100"/>
      <c r="AB1950" s="100"/>
      <c r="AC1950" s="100"/>
      <c r="AD1950" s="100"/>
      <c r="AE1950" s="100"/>
      <c r="AF1950" s="100"/>
      <c r="AG1950" s="100"/>
      <c r="AH1950" s="114"/>
      <c r="AI1950" s="100"/>
      <c r="AJ1950" s="100"/>
      <c r="AK1950" s="100"/>
      <c r="AL1950" s="95"/>
      <c r="AM1950" s="360"/>
      <c r="AS1950" s="72"/>
      <c r="AT1950" s="96"/>
      <c r="AU1950" s="96"/>
    </row>
    <row r="1951" spans="1:48">
      <c r="A1951" s="358" t="s">
        <v>2342</v>
      </c>
      <c r="B1951" s="369">
        <v>1948</v>
      </c>
      <c r="C1951" s="358" t="s">
        <v>2857</v>
      </c>
      <c r="D1951" s="358" t="s">
        <v>1250</v>
      </c>
      <c r="E1951" s="373">
        <v>46006</v>
      </c>
      <c r="F1951" s="372" t="s">
        <v>140</v>
      </c>
      <c r="G1951" s="372">
        <v>3</v>
      </c>
      <c r="H1951" s="372" t="s">
        <v>1721</v>
      </c>
      <c r="I1951" s="372"/>
      <c r="J1951" s="372"/>
      <c r="K1951" s="358"/>
      <c r="L1951" s="358"/>
      <c r="M1951" s="358"/>
      <c r="N1951" s="358"/>
      <c r="O1951" s="117"/>
      <c r="P1951" s="385" t="s">
        <v>30</v>
      </c>
      <c r="Q1951" s="23">
        <v>46054</v>
      </c>
      <c r="R1951" s="24" t="s">
        <v>67</v>
      </c>
      <c r="S1951" s="22" t="s">
        <v>32</v>
      </c>
      <c r="T1951" s="22">
        <v>3</v>
      </c>
      <c r="U1951" s="24" t="s">
        <v>67</v>
      </c>
      <c r="V1951" s="23">
        <v>46054</v>
      </c>
      <c r="W1951" s="100" t="s">
        <v>113</v>
      </c>
      <c r="X1951" s="100"/>
      <c r="Y1951" s="95"/>
      <c r="Z1951" s="100"/>
      <c r="AA1951" s="100"/>
      <c r="AB1951" s="100"/>
      <c r="AC1951" s="100"/>
      <c r="AD1951" s="100"/>
      <c r="AE1951" s="100"/>
      <c r="AF1951" s="100"/>
      <c r="AG1951" s="100"/>
      <c r="AH1951" s="114"/>
      <c r="AI1951" s="114"/>
      <c r="AJ1951" s="114"/>
      <c r="AK1951" s="100"/>
      <c r="AL1951" s="95"/>
      <c r="AM1951" s="360"/>
      <c r="AN1951" s="6"/>
      <c r="AO1951" s="6"/>
      <c r="AP1951" s="6"/>
      <c r="AQ1951" s="6"/>
      <c r="AR1951" s="6"/>
      <c r="AS1951" s="108"/>
      <c r="AT1951" s="109"/>
      <c r="AU1951" s="109"/>
      <c r="AV1951" s="109"/>
    </row>
    <row r="1952" spans="1:48">
      <c r="A1952" s="358" t="s">
        <v>2342</v>
      </c>
      <c r="B1952" s="369">
        <v>1949</v>
      </c>
      <c r="C1952" s="358" t="s">
        <v>2858</v>
      </c>
      <c r="D1952" s="358" t="s">
        <v>2859</v>
      </c>
      <c r="E1952" s="373">
        <v>46006.083333333336</v>
      </c>
      <c r="F1952" s="372" t="s">
        <v>140</v>
      </c>
      <c r="G1952" s="372">
        <v>13</v>
      </c>
      <c r="H1952" s="372" t="s">
        <v>1721</v>
      </c>
      <c r="I1952" s="372"/>
      <c r="J1952" s="372"/>
      <c r="K1952" s="358"/>
      <c r="L1952" s="358"/>
      <c r="M1952" s="358"/>
      <c r="N1952" s="358"/>
      <c r="O1952" s="380"/>
      <c r="P1952" s="385" t="s">
        <v>30</v>
      </c>
      <c r="Q1952" s="23">
        <v>46054</v>
      </c>
      <c r="R1952" s="24" t="s">
        <v>67</v>
      </c>
      <c r="S1952" s="22" t="s">
        <v>32</v>
      </c>
      <c r="T1952" s="22">
        <v>13</v>
      </c>
      <c r="U1952" s="24" t="s">
        <v>67</v>
      </c>
      <c r="V1952" s="23">
        <v>46054</v>
      </c>
      <c r="W1952" s="100" t="s">
        <v>113</v>
      </c>
      <c r="X1952" s="100"/>
      <c r="Y1952" s="95"/>
      <c r="Z1952" s="100"/>
      <c r="AA1952" s="100"/>
      <c r="AB1952" s="100"/>
      <c r="AC1952" s="100"/>
      <c r="AD1952" s="100"/>
      <c r="AE1952" s="100"/>
      <c r="AF1952" s="100"/>
      <c r="AG1952" s="100"/>
      <c r="AH1952" s="114"/>
      <c r="AI1952" s="100"/>
      <c r="AJ1952" s="100"/>
      <c r="AK1952" s="100"/>
      <c r="AL1952" s="95"/>
      <c r="AM1952" s="360"/>
      <c r="AS1952" s="72"/>
      <c r="AT1952" s="96"/>
      <c r="AU1952" s="96"/>
    </row>
    <row r="1953" spans="1:48">
      <c r="A1953" s="358" t="s">
        <v>2342</v>
      </c>
      <c r="B1953" s="369">
        <v>1950</v>
      </c>
      <c r="C1953" s="358" t="s">
        <v>2860</v>
      </c>
      <c r="D1953" s="358" t="s">
        <v>2861</v>
      </c>
      <c r="E1953" s="373">
        <v>46013.375</v>
      </c>
      <c r="F1953" s="372" t="s">
        <v>140</v>
      </c>
      <c r="G1953" s="372">
        <v>4</v>
      </c>
      <c r="H1953" s="372" t="s">
        <v>1721</v>
      </c>
      <c r="I1953" s="372"/>
      <c r="J1953" s="372"/>
      <c r="K1953" s="358"/>
      <c r="L1953" s="358"/>
      <c r="M1953" s="358"/>
      <c r="N1953" s="358"/>
      <c r="O1953" s="117"/>
      <c r="P1953" s="385" t="s">
        <v>30</v>
      </c>
      <c r="Q1953" s="23">
        <v>46054</v>
      </c>
      <c r="R1953" s="24" t="s">
        <v>67</v>
      </c>
      <c r="S1953" s="22" t="s">
        <v>32</v>
      </c>
      <c r="T1953" s="22">
        <v>4</v>
      </c>
      <c r="U1953" s="24" t="s">
        <v>67</v>
      </c>
      <c r="V1953" s="23">
        <v>46054</v>
      </c>
      <c r="W1953" s="100" t="s">
        <v>113</v>
      </c>
      <c r="X1953" s="100"/>
      <c r="Y1953" s="95"/>
      <c r="Z1953" s="100"/>
      <c r="AA1953" s="100"/>
      <c r="AB1953" s="100"/>
      <c r="AC1953" s="100"/>
      <c r="AD1953" s="100"/>
      <c r="AE1953" s="100"/>
      <c r="AF1953" s="100"/>
      <c r="AG1953" s="100"/>
      <c r="AH1953" s="114"/>
      <c r="AI1953" s="100"/>
      <c r="AJ1953" s="100"/>
      <c r="AK1953" s="100"/>
      <c r="AL1953" s="95"/>
      <c r="AM1953" s="360"/>
    </row>
    <row r="1954" spans="1:48">
      <c r="A1954" s="358" t="s">
        <v>2342</v>
      </c>
      <c r="B1954" s="369">
        <v>1951</v>
      </c>
      <c r="C1954" s="358" t="s">
        <v>2862</v>
      </c>
      <c r="D1954" s="358" t="s">
        <v>829</v>
      </c>
      <c r="E1954" s="373">
        <v>46013.125</v>
      </c>
      <c r="F1954" s="372" t="s">
        <v>140</v>
      </c>
      <c r="G1954" s="372">
        <v>34</v>
      </c>
      <c r="H1954" s="372" t="s">
        <v>2856</v>
      </c>
      <c r="I1954" s="372"/>
      <c r="J1954" s="372"/>
      <c r="K1954" s="358"/>
      <c r="L1954" s="358"/>
      <c r="M1954" s="358"/>
      <c r="N1954" s="358"/>
      <c r="O1954" s="380" t="s">
        <v>2863</v>
      </c>
      <c r="P1954" s="385" t="s">
        <v>30</v>
      </c>
      <c r="Q1954" s="23">
        <v>46054</v>
      </c>
      <c r="R1954" s="24" t="s">
        <v>67</v>
      </c>
      <c r="S1954" s="22" t="s">
        <v>32</v>
      </c>
      <c r="T1954" s="22">
        <v>34</v>
      </c>
      <c r="U1954" s="24" t="s">
        <v>67</v>
      </c>
      <c r="V1954" s="23">
        <v>46054</v>
      </c>
      <c r="W1954" s="100" t="s">
        <v>113</v>
      </c>
      <c r="X1954" s="100"/>
      <c r="Y1954" s="95"/>
      <c r="Z1954" s="100"/>
      <c r="AA1954" s="100"/>
      <c r="AB1954" s="100"/>
      <c r="AC1954" s="100"/>
      <c r="AD1954" s="100"/>
      <c r="AE1954" s="100"/>
      <c r="AF1954" s="100"/>
      <c r="AG1954" s="100"/>
      <c r="AH1954" s="114"/>
      <c r="AI1954" s="100"/>
      <c r="AJ1954" s="100"/>
      <c r="AK1954" s="100"/>
      <c r="AL1954" s="95"/>
      <c r="AM1954" s="360"/>
      <c r="AN1954" s="6">
        <v>0</v>
      </c>
      <c r="AO1954" s="6">
        <v>7</v>
      </c>
      <c r="AP1954" s="6">
        <v>13</v>
      </c>
      <c r="AQ1954" s="6">
        <v>14</v>
      </c>
      <c r="AR1954" s="6">
        <f>SUM(AN1954:AQ1954)</f>
        <v>34</v>
      </c>
      <c r="AS1954" s="108">
        <f>+AN1954/AR1954*AS$1</f>
        <v>0</v>
      </c>
      <c r="AT1954" s="109">
        <f>+AO1954/AR1954*AT$1</f>
        <v>0</v>
      </c>
      <c r="AU1954" s="109">
        <f>+AP1954/AR1954*AU$1</f>
        <v>0</v>
      </c>
      <c r="AV1954" s="109">
        <f>+AQ1954/AR1954*AV$1</f>
        <v>0</v>
      </c>
    </row>
    <row r="1955" spans="1:48">
      <c r="A1955" s="358" t="s">
        <v>2342</v>
      </c>
      <c r="B1955" s="369">
        <v>1952</v>
      </c>
      <c r="C1955" s="358" t="s">
        <v>2864</v>
      </c>
      <c r="D1955" s="358" t="s">
        <v>937</v>
      </c>
      <c r="E1955" s="373">
        <v>46013.125</v>
      </c>
      <c r="F1955" s="372" t="s">
        <v>140</v>
      </c>
      <c r="G1955" s="372">
        <v>23</v>
      </c>
      <c r="H1955" s="372" t="s">
        <v>2856</v>
      </c>
      <c r="I1955" s="372"/>
      <c r="J1955" s="372"/>
      <c r="K1955" s="358"/>
      <c r="L1955" s="358"/>
      <c r="M1955" s="358"/>
      <c r="N1955" s="358"/>
      <c r="O1955" s="380"/>
      <c r="P1955" s="385" t="s">
        <v>30</v>
      </c>
      <c r="Q1955" s="23">
        <v>46054</v>
      </c>
      <c r="R1955" s="24" t="s">
        <v>67</v>
      </c>
      <c r="S1955" s="22" t="s">
        <v>32</v>
      </c>
      <c r="T1955" s="22">
        <v>23</v>
      </c>
      <c r="U1955" s="24" t="s">
        <v>67</v>
      </c>
      <c r="V1955" s="23">
        <v>46054</v>
      </c>
      <c r="W1955" s="100" t="s">
        <v>113</v>
      </c>
      <c r="X1955" s="100"/>
      <c r="Y1955" s="95"/>
      <c r="Z1955" s="100"/>
      <c r="AA1955" s="100"/>
      <c r="AB1955" s="100"/>
      <c r="AC1955" s="100"/>
      <c r="AD1955" s="100"/>
      <c r="AE1955" s="100"/>
      <c r="AF1955" s="100"/>
      <c r="AG1955" s="100"/>
      <c r="AH1955" s="114"/>
      <c r="AI1955" s="114"/>
      <c r="AJ1955" s="114"/>
      <c r="AK1955" s="114"/>
      <c r="AL1955" s="95"/>
      <c r="AM1955" s="360"/>
      <c r="AS1955" s="72"/>
      <c r="AT1955" s="96"/>
      <c r="AU1955" s="96"/>
    </row>
    <row r="1956" spans="1:48">
      <c r="A1956" s="358" t="s">
        <v>2342</v>
      </c>
      <c r="B1956" s="369">
        <v>1953</v>
      </c>
      <c r="C1956" s="358" t="s">
        <v>2865</v>
      </c>
      <c r="D1956" s="358" t="s">
        <v>1184</v>
      </c>
      <c r="E1956" s="373">
        <v>46013</v>
      </c>
      <c r="F1956" s="372" t="s">
        <v>140</v>
      </c>
      <c r="G1956" s="372">
        <v>10</v>
      </c>
      <c r="H1956" s="372" t="s">
        <v>2840</v>
      </c>
      <c r="I1956" s="372"/>
      <c r="J1956" s="372"/>
      <c r="K1956" s="358"/>
      <c r="L1956" s="358"/>
      <c r="M1956" s="358"/>
      <c r="N1956" s="358"/>
      <c r="O1956" s="117"/>
      <c r="P1956" s="385" t="s">
        <v>30</v>
      </c>
      <c r="Q1956" s="23">
        <v>46053</v>
      </c>
      <c r="R1956" s="24" t="s">
        <v>28</v>
      </c>
      <c r="S1956" s="22" t="s">
        <v>32</v>
      </c>
      <c r="T1956" s="22">
        <v>2</v>
      </c>
      <c r="U1956" s="24" t="s">
        <v>28</v>
      </c>
      <c r="V1956" s="23">
        <v>46053</v>
      </c>
      <c r="W1956" s="100" t="s">
        <v>113</v>
      </c>
      <c r="X1956" s="100"/>
      <c r="Y1956" s="95"/>
      <c r="Z1956" s="100"/>
      <c r="AA1956" s="95"/>
      <c r="AB1956" s="100"/>
      <c r="AC1956" s="100"/>
      <c r="AD1956" s="100"/>
      <c r="AE1956" s="100"/>
      <c r="AF1956" s="100"/>
      <c r="AG1956" s="100"/>
      <c r="AH1956" s="114"/>
      <c r="AI1956" s="100"/>
      <c r="AJ1956" s="100"/>
      <c r="AK1956" s="100"/>
      <c r="AL1956" s="95"/>
      <c r="AM1956" s="360"/>
      <c r="AN1956" s="6"/>
      <c r="AO1956" s="6"/>
      <c r="AP1956" s="6"/>
      <c r="AQ1956" s="6"/>
      <c r="AR1956" s="6"/>
      <c r="AS1956" s="108"/>
      <c r="AT1956" s="109"/>
      <c r="AU1956" s="109"/>
      <c r="AV1956" s="109"/>
    </row>
    <row r="1957" spans="1:48">
      <c r="A1957" s="358" t="s">
        <v>2342</v>
      </c>
      <c r="B1957" s="369">
        <v>1954</v>
      </c>
      <c r="C1957" s="358" t="s">
        <v>2866</v>
      </c>
      <c r="D1957" s="358" t="s">
        <v>779</v>
      </c>
      <c r="E1957" s="373">
        <v>46013</v>
      </c>
      <c r="F1957" s="372" t="s">
        <v>140</v>
      </c>
      <c r="G1957" s="372">
        <v>13</v>
      </c>
      <c r="H1957" s="372" t="s">
        <v>1721</v>
      </c>
      <c r="I1957" s="372"/>
      <c r="J1957" s="372"/>
      <c r="K1957" s="358"/>
      <c r="L1957" s="358"/>
      <c r="M1957" s="358"/>
      <c r="N1957" s="358"/>
      <c r="O1957" s="380"/>
      <c r="P1957" s="385" t="s">
        <v>30</v>
      </c>
      <c r="Q1957" s="23">
        <v>46054</v>
      </c>
      <c r="R1957" s="24" t="s">
        <v>67</v>
      </c>
      <c r="S1957" s="22" t="s">
        <v>32</v>
      </c>
      <c r="T1957" s="22">
        <v>13</v>
      </c>
      <c r="U1957" s="24" t="s">
        <v>67</v>
      </c>
      <c r="V1957" s="23">
        <v>46054</v>
      </c>
      <c r="W1957" s="100" t="s">
        <v>113</v>
      </c>
      <c r="X1957" s="100"/>
      <c r="Y1957" s="95"/>
      <c r="Z1957" s="95"/>
      <c r="AA1957" s="95"/>
      <c r="AB1957" s="100"/>
      <c r="AC1957" s="100"/>
      <c r="AD1957" s="100"/>
      <c r="AE1957" s="100"/>
      <c r="AF1957" s="100"/>
      <c r="AG1957" s="100"/>
      <c r="AH1957" s="114"/>
      <c r="AI1957" s="114"/>
      <c r="AJ1957" s="114"/>
      <c r="AK1957" s="100"/>
      <c r="AL1957" s="95"/>
      <c r="AM1957" s="360"/>
    </row>
    <row r="1958" spans="1:48">
      <c r="A1958" s="358" t="s">
        <v>2342</v>
      </c>
      <c r="B1958" s="369">
        <v>1955</v>
      </c>
      <c r="C1958" s="358" t="s">
        <v>2867</v>
      </c>
      <c r="D1958" s="358" t="s">
        <v>846</v>
      </c>
      <c r="E1958" s="373">
        <v>46013</v>
      </c>
      <c r="F1958" s="372" t="s">
        <v>140</v>
      </c>
      <c r="G1958" s="372">
        <v>6</v>
      </c>
      <c r="H1958" s="372" t="s">
        <v>1721</v>
      </c>
      <c r="I1958" s="372"/>
      <c r="J1958" s="372"/>
      <c r="K1958" s="358"/>
      <c r="L1958" s="358"/>
      <c r="M1958" s="358"/>
      <c r="N1958" s="358"/>
      <c r="O1958" s="117"/>
      <c r="P1958" s="385" t="s">
        <v>30</v>
      </c>
      <c r="Q1958" s="23">
        <v>46054</v>
      </c>
      <c r="R1958" s="24" t="s">
        <v>67</v>
      </c>
      <c r="S1958" s="22" t="s">
        <v>32</v>
      </c>
      <c r="T1958" s="22">
        <v>6</v>
      </c>
      <c r="U1958" s="24" t="s">
        <v>67</v>
      </c>
      <c r="V1958" s="23">
        <v>46054</v>
      </c>
      <c r="W1958" s="100" t="s">
        <v>113</v>
      </c>
      <c r="X1958" s="100"/>
      <c r="Y1958" s="107"/>
      <c r="Z1958" s="100"/>
      <c r="AA1958" s="95"/>
      <c r="AB1958" s="100"/>
      <c r="AC1958" s="100"/>
      <c r="AD1958" s="100"/>
      <c r="AE1958" s="100"/>
      <c r="AF1958" s="100"/>
      <c r="AG1958" s="100"/>
      <c r="AH1958" s="114"/>
      <c r="AI1958" s="114"/>
      <c r="AJ1958" s="114"/>
      <c r="AK1958" s="114"/>
      <c r="AL1958" s="114"/>
      <c r="AM1958" s="360"/>
      <c r="AR1958" s="88"/>
      <c r="AS1958" s="72"/>
      <c r="AT1958" s="72"/>
      <c r="AU1958" s="72"/>
    </row>
    <row r="1959" spans="1:48">
      <c r="A1959" s="358" t="s">
        <v>2342</v>
      </c>
      <c r="B1959" s="369">
        <v>1956</v>
      </c>
      <c r="C1959" s="358" t="s">
        <v>2868</v>
      </c>
      <c r="D1959" s="358" t="s">
        <v>969</v>
      </c>
      <c r="E1959" s="373">
        <v>46013</v>
      </c>
      <c r="F1959" s="372" t="s">
        <v>140</v>
      </c>
      <c r="G1959" s="372">
        <v>2</v>
      </c>
      <c r="H1959" s="372" t="s">
        <v>1721</v>
      </c>
      <c r="I1959" s="372"/>
      <c r="J1959" s="372"/>
      <c r="K1959" s="358"/>
      <c r="L1959" s="358"/>
      <c r="M1959" s="358"/>
      <c r="N1959" s="358"/>
      <c r="O1959" s="117"/>
      <c r="P1959" s="385" t="s">
        <v>30</v>
      </c>
      <c r="Q1959" s="23">
        <v>46054</v>
      </c>
      <c r="R1959" s="24" t="s">
        <v>67</v>
      </c>
      <c r="S1959" s="22" t="s">
        <v>32</v>
      </c>
      <c r="T1959" s="22">
        <v>2</v>
      </c>
      <c r="U1959" s="24" t="s">
        <v>67</v>
      </c>
      <c r="V1959" s="23">
        <v>46054</v>
      </c>
      <c r="W1959" s="100" t="s">
        <v>113</v>
      </c>
      <c r="X1959" s="107"/>
      <c r="Y1959" s="107"/>
      <c r="Z1959" s="100"/>
      <c r="AA1959" s="107"/>
      <c r="AB1959" s="100"/>
      <c r="AC1959" s="100"/>
      <c r="AD1959" s="100"/>
      <c r="AE1959" s="100"/>
      <c r="AF1959" s="100"/>
      <c r="AG1959" s="100"/>
      <c r="AH1959" s="114"/>
      <c r="AI1959" s="114"/>
      <c r="AJ1959" s="114"/>
      <c r="AK1959" s="114"/>
      <c r="AL1959" s="114"/>
      <c r="AM1959" s="360"/>
      <c r="AS1959" s="72"/>
      <c r="AT1959" s="96"/>
      <c r="AU1959" s="96"/>
    </row>
    <row r="1960" spans="1:48">
      <c r="A1960" s="358" t="s">
        <v>2342</v>
      </c>
      <c r="B1960" s="369">
        <v>1957</v>
      </c>
      <c r="C1960" s="358" t="s">
        <v>2869</v>
      </c>
      <c r="D1960" s="358" t="s">
        <v>1516</v>
      </c>
      <c r="E1960" s="373">
        <v>46013.041666666664</v>
      </c>
      <c r="F1960" s="372" t="s">
        <v>140</v>
      </c>
      <c r="G1960" s="372">
        <v>5</v>
      </c>
      <c r="H1960" s="372" t="s">
        <v>1721</v>
      </c>
      <c r="I1960" s="372"/>
      <c r="J1960" s="372"/>
      <c r="K1960" s="358"/>
      <c r="L1960" s="358"/>
      <c r="M1960" s="358"/>
      <c r="N1960" s="358"/>
      <c r="O1960" s="117"/>
      <c r="P1960" s="385" t="s">
        <v>30</v>
      </c>
      <c r="Q1960" s="23">
        <v>46054</v>
      </c>
      <c r="R1960" s="24" t="s">
        <v>67</v>
      </c>
      <c r="S1960" s="22" t="s">
        <v>32</v>
      </c>
      <c r="T1960" s="22">
        <v>5</v>
      </c>
      <c r="U1960" s="24" t="s">
        <v>67</v>
      </c>
      <c r="V1960" s="23">
        <v>46054</v>
      </c>
      <c r="W1960" s="100" t="s">
        <v>113</v>
      </c>
      <c r="X1960" s="100"/>
      <c r="Y1960" s="107"/>
      <c r="Z1960" s="100"/>
      <c r="AA1960" s="100"/>
      <c r="AB1960" s="100"/>
      <c r="AC1960" s="100"/>
      <c r="AD1960" s="100"/>
      <c r="AE1960" s="100"/>
      <c r="AF1960" s="100"/>
      <c r="AG1960" s="100"/>
      <c r="AH1960" s="114"/>
      <c r="AI1960" s="114"/>
      <c r="AJ1960" s="114"/>
      <c r="AK1960" s="114"/>
      <c r="AL1960" s="114"/>
      <c r="AM1960" s="360"/>
    </row>
    <row r="1961" spans="1:48">
      <c r="A1961" s="358" t="s">
        <v>2342</v>
      </c>
      <c r="B1961" s="369">
        <v>1958</v>
      </c>
      <c r="C1961" s="358" t="s">
        <v>2870</v>
      </c>
      <c r="D1961" s="358" t="s">
        <v>1208</v>
      </c>
      <c r="E1961" s="373">
        <v>46013.041666666664</v>
      </c>
      <c r="F1961" s="372" t="s">
        <v>140</v>
      </c>
      <c r="G1961" s="372">
        <v>5</v>
      </c>
      <c r="H1961" s="372" t="s">
        <v>1721</v>
      </c>
      <c r="I1961" s="372"/>
      <c r="J1961" s="372"/>
      <c r="K1961" s="358"/>
      <c r="L1961" s="358"/>
      <c r="M1961" s="358"/>
      <c r="N1961" s="358"/>
      <c r="O1961" s="380"/>
      <c r="P1961" s="385" t="s">
        <v>30</v>
      </c>
      <c r="Q1961" s="23">
        <v>46054</v>
      </c>
      <c r="R1961" s="24" t="s">
        <v>67</v>
      </c>
      <c r="S1961" s="22" t="s">
        <v>32</v>
      </c>
      <c r="T1961" s="22">
        <v>5</v>
      </c>
      <c r="U1961" s="24" t="s">
        <v>67</v>
      </c>
      <c r="V1961" s="23">
        <v>46054</v>
      </c>
      <c r="W1961" s="100" t="s">
        <v>113</v>
      </c>
      <c r="X1961" s="107"/>
      <c r="Y1961" s="95"/>
      <c r="Z1961" s="100"/>
      <c r="AA1961" s="100"/>
      <c r="AB1961" s="100"/>
      <c r="AC1961" s="100"/>
      <c r="AD1961" s="100"/>
      <c r="AE1961" s="100"/>
      <c r="AF1961" s="100"/>
      <c r="AG1961" s="100"/>
      <c r="AH1961" s="114"/>
      <c r="AI1961" s="114"/>
      <c r="AJ1961" s="114"/>
      <c r="AK1961" s="114"/>
      <c r="AL1961" s="114"/>
      <c r="AM1961" s="360"/>
    </row>
    <row r="1962" spans="1:48">
      <c r="A1962" s="358" t="s">
        <v>2342</v>
      </c>
      <c r="B1962" s="369">
        <v>1959</v>
      </c>
      <c r="C1962" s="358" t="s">
        <v>2871</v>
      </c>
      <c r="D1962" s="358" t="s">
        <v>2529</v>
      </c>
      <c r="E1962" s="373">
        <v>46013</v>
      </c>
      <c r="F1962" s="372" t="s">
        <v>140</v>
      </c>
      <c r="G1962" s="372">
        <v>22</v>
      </c>
      <c r="H1962" s="372" t="s">
        <v>2840</v>
      </c>
      <c r="I1962" s="372"/>
      <c r="J1962" s="372"/>
      <c r="K1962" s="358"/>
      <c r="L1962" s="358"/>
      <c r="M1962" s="358"/>
      <c r="N1962" s="358"/>
      <c r="O1962" s="380"/>
      <c r="P1962" s="385" t="s">
        <v>30</v>
      </c>
      <c r="Q1962" s="23">
        <v>46053</v>
      </c>
      <c r="R1962" s="24" t="s">
        <v>28</v>
      </c>
      <c r="S1962" s="22" t="s">
        <v>32</v>
      </c>
      <c r="T1962" s="22">
        <v>1</v>
      </c>
      <c r="U1962" s="24" t="s">
        <v>28</v>
      </c>
      <c r="V1962" s="23">
        <v>46053</v>
      </c>
      <c r="W1962" s="100" t="s">
        <v>113</v>
      </c>
      <c r="X1962" s="100"/>
      <c r="Y1962" s="95"/>
      <c r="Z1962" s="100"/>
      <c r="AA1962" s="100"/>
      <c r="AB1962" s="100"/>
      <c r="AC1962" s="100"/>
      <c r="AD1962" s="100"/>
      <c r="AE1962" s="100"/>
      <c r="AF1962" s="100"/>
      <c r="AG1962" s="100"/>
      <c r="AH1962" s="114"/>
      <c r="AI1962" s="114"/>
      <c r="AJ1962" s="114"/>
      <c r="AK1962" s="114"/>
      <c r="AL1962" s="114"/>
      <c r="AM1962" s="360"/>
      <c r="AO1962" s="412"/>
      <c r="AP1962" s="412"/>
      <c r="AQ1962" s="412"/>
      <c r="AR1962" s="412"/>
      <c r="AV1962" s="109"/>
    </row>
    <row r="1963" spans="1:48">
      <c r="A1963" s="358" t="s">
        <v>2342</v>
      </c>
      <c r="B1963" s="369">
        <v>1960</v>
      </c>
      <c r="C1963" s="358" t="s">
        <v>2872</v>
      </c>
      <c r="D1963" s="358" t="s">
        <v>829</v>
      </c>
      <c r="E1963" s="373">
        <v>46020</v>
      </c>
      <c r="F1963" s="372" t="s">
        <v>140</v>
      </c>
      <c r="G1963" s="372">
        <v>10</v>
      </c>
      <c r="H1963" s="372" t="s">
        <v>67</v>
      </c>
      <c r="I1963" s="372"/>
      <c r="J1963" s="372"/>
      <c r="K1963" s="358"/>
      <c r="L1963" s="358"/>
      <c r="M1963" s="358"/>
      <c r="N1963" s="358"/>
      <c r="O1963" s="380"/>
      <c r="P1963" s="385" t="s">
        <v>30</v>
      </c>
      <c r="Q1963" s="23">
        <v>46056</v>
      </c>
      <c r="R1963" s="24" t="s">
        <v>67</v>
      </c>
      <c r="S1963" s="22" t="s">
        <v>32</v>
      </c>
      <c r="T1963" s="22">
        <v>1</v>
      </c>
      <c r="U1963" s="24" t="s">
        <v>67</v>
      </c>
      <c r="V1963" s="23">
        <v>46056</v>
      </c>
      <c r="W1963" s="100" t="s">
        <v>113</v>
      </c>
      <c r="X1963" s="100"/>
      <c r="Y1963" s="95"/>
      <c r="Z1963" s="100"/>
      <c r="AA1963" s="100"/>
      <c r="AB1963" s="100"/>
      <c r="AC1963" s="100"/>
      <c r="AD1963" s="100"/>
      <c r="AE1963" s="100"/>
      <c r="AF1963" s="100"/>
      <c r="AG1963" s="100"/>
      <c r="AH1963" s="114"/>
      <c r="AI1963" s="114"/>
      <c r="AJ1963" s="114"/>
      <c r="AK1963" s="111"/>
      <c r="AL1963" s="114"/>
      <c r="AM1963" s="360"/>
      <c r="AS1963" s="72"/>
      <c r="AT1963" s="96"/>
      <c r="AU1963" s="96"/>
      <c r="AV1963" s="109"/>
    </row>
    <row r="1964" spans="1:48">
      <c r="A1964" s="358" t="s">
        <v>2342</v>
      </c>
      <c r="B1964" s="369">
        <v>1961</v>
      </c>
      <c r="C1964" s="358" t="s">
        <v>2873</v>
      </c>
      <c r="D1964" s="358" t="s">
        <v>2874</v>
      </c>
      <c r="E1964" s="373">
        <v>46020.375</v>
      </c>
      <c r="F1964" s="372" t="s">
        <v>140</v>
      </c>
      <c r="G1964" s="372">
        <v>1</v>
      </c>
      <c r="H1964" s="372" t="s">
        <v>1077</v>
      </c>
      <c r="I1964" s="372"/>
      <c r="J1964" s="372"/>
      <c r="K1964" s="358"/>
      <c r="L1964" s="358"/>
      <c r="M1964" s="358"/>
      <c r="N1964" s="358"/>
      <c r="O1964" s="380"/>
      <c r="P1964" s="385" t="s">
        <v>30</v>
      </c>
      <c r="Q1964" s="23">
        <v>46055</v>
      </c>
      <c r="R1964" s="24" t="s">
        <v>28</v>
      </c>
      <c r="S1964" s="22" t="s">
        <v>32</v>
      </c>
      <c r="T1964" s="22">
        <v>1</v>
      </c>
      <c r="U1964" s="24" t="s">
        <v>28</v>
      </c>
      <c r="V1964" s="23">
        <v>46055</v>
      </c>
      <c r="W1964" s="100" t="s">
        <v>113</v>
      </c>
      <c r="X1964" s="100"/>
      <c r="Y1964" s="95"/>
      <c r="Z1964" s="100"/>
      <c r="AA1964" s="100"/>
      <c r="AB1964" s="100"/>
      <c r="AC1964" s="100"/>
      <c r="AD1964" s="100"/>
      <c r="AE1964" s="100"/>
      <c r="AF1964" s="100"/>
      <c r="AG1964" s="100"/>
      <c r="AH1964" s="114"/>
      <c r="AI1964" s="114"/>
      <c r="AJ1964" s="114"/>
      <c r="AK1964" s="114"/>
      <c r="AL1964" s="114"/>
      <c r="AM1964" s="360"/>
      <c r="AO1964" s="412"/>
      <c r="AP1964" s="412"/>
      <c r="AQ1964" s="412"/>
      <c r="AR1964" s="412"/>
      <c r="AV1964" s="109"/>
    </row>
    <row r="1965" spans="1:48">
      <c r="A1965" s="358" t="s">
        <v>2342</v>
      </c>
      <c r="B1965" s="369">
        <v>1962</v>
      </c>
      <c r="C1965" s="358" t="s">
        <v>2875</v>
      </c>
      <c r="D1965" s="358" t="s">
        <v>779</v>
      </c>
      <c r="E1965" s="373">
        <v>46020</v>
      </c>
      <c r="F1965" s="372" t="s">
        <v>140</v>
      </c>
      <c r="G1965" s="372">
        <v>1</v>
      </c>
      <c r="H1965" s="372" t="s">
        <v>67</v>
      </c>
      <c r="I1965" s="372"/>
      <c r="J1965" s="372"/>
      <c r="K1965" s="358"/>
      <c r="L1965" s="358"/>
      <c r="M1965" s="358"/>
      <c r="N1965" s="358"/>
      <c r="O1965" s="380"/>
      <c r="P1965" s="385" t="s">
        <v>30</v>
      </c>
      <c r="Q1965" s="23">
        <v>46056</v>
      </c>
      <c r="R1965" s="24" t="s">
        <v>67</v>
      </c>
      <c r="S1965" s="22" t="s">
        <v>32</v>
      </c>
      <c r="T1965" s="22">
        <v>1</v>
      </c>
      <c r="U1965" s="24" t="s">
        <v>67</v>
      </c>
      <c r="V1965" s="23">
        <v>46056</v>
      </c>
      <c r="W1965" s="100" t="s">
        <v>113</v>
      </c>
      <c r="X1965" s="107"/>
      <c r="Y1965" s="107"/>
      <c r="Z1965" s="100"/>
      <c r="AA1965" s="107"/>
      <c r="AB1965" s="100"/>
      <c r="AC1965" s="100"/>
      <c r="AD1965" s="100"/>
      <c r="AE1965" s="100"/>
      <c r="AF1965" s="100"/>
      <c r="AG1965" s="100"/>
      <c r="AH1965" s="114"/>
      <c r="AI1965" s="114"/>
      <c r="AJ1965" s="114"/>
      <c r="AK1965" s="114"/>
      <c r="AL1965" s="114"/>
      <c r="AM1965" s="360"/>
      <c r="AO1965" s="412"/>
      <c r="AP1965" s="412"/>
      <c r="AQ1965" s="412"/>
      <c r="AR1965" s="412"/>
      <c r="AV1965" s="109"/>
    </row>
    <row r="1966" spans="1:48">
      <c r="A1966" s="358" t="s">
        <v>2342</v>
      </c>
      <c r="B1966" s="369">
        <v>1963</v>
      </c>
      <c r="C1966" s="358" t="s">
        <v>2876</v>
      </c>
      <c r="D1966" s="358" t="s">
        <v>1184</v>
      </c>
      <c r="E1966" s="373">
        <v>46020</v>
      </c>
      <c r="F1966" s="372" t="s">
        <v>140</v>
      </c>
      <c r="G1966" s="372">
        <v>4</v>
      </c>
      <c r="H1966" s="372" t="s">
        <v>67</v>
      </c>
      <c r="I1966" s="372"/>
      <c r="J1966" s="372"/>
      <c r="K1966" s="358"/>
      <c r="L1966" s="358"/>
      <c r="M1966" s="358"/>
      <c r="N1966" s="358"/>
      <c r="O1966" s="117"/>
      <c r="P1966" s="385" t="s">
        <v>30</v>
      </c>
      <c r="Q1966" s="23">
        <v>46054</v>
      </c>
      <c r="R1966" s="24" t="s">
        <v>28</v>
      </c>
      <c r="S1966" s="22" t="s">
        <v>32</v>
      </c>
      <c r="T1966" s="22">
        <v>4</v>
      </c>
      <c r="U1966" s="24" t="s">
        <v>28</v>
      </c>
      <c r="V1966" s="23">
        <v>46054</v>
      </c>
      <c r="W1966" s="100" t="s">
        <v>113</v>
      </c>
      <c r="X1966" s="100"/>
      <c r="Y1966" s="100"/>
      <c r="Z1966" s="100"/>
      <c r="AA1966" s="107"/>
      <c r="AB1966" s="100"/>
      <c r="AC1966" s="100"/>
      <c r="AD1966" s="100"/>
      <c r="AE1966" s="100"/>
      <c r="AF1966" s="100"/>
      <c r="AG1966" s="100"/>
      <c r="AH1966" s="114"/>
      <c r="AI1966" s="114"/>
      <c r="AJ1966" s="114"/>
      <c r="AK1966" s="111"/>
      <c r="AL1966" s="114"/>
      <c r="AM1966" s="360"/>
      <c r="AN1966" s="6"/>
      <c r="AO1966" s="6"/>
      <c r="AP1966" s="6"/>
      <c r="AQ1966" s="6"/>
      <c r="AR1966" s="6"/>
      <c r="AS1966" s="108"/>
      <c r="AT1966" s="109"/>
      <c r="AU1966" s="109"/>
      <c r="AV1966" s="109"/>
    </row>
    <row r="1967" spans="1:48">
      <c r="A1967" s="358" t="s">
        <v>2342</v>
      </c>
      <c r="B1967" s="369">
        <v>1964</v>
      </c>
      <c r="C1967" s="358" t="s">
        <v>2877</v>
      </c>
      <c r="D1967" s="358" t="s">
        <v>846</v>
      </c>
      <c r="E1967" s="373">
        <v>46020</v>
      </c>
      <c r="F1967" s="372" t="s">
        <v>140</v>
      </c>
      <c r="G1967" s="372">
        <v>3</v>
      </c>
      <c r="H1967" s="372" t="s">
        <v>67</v>
      </c>
      <c r="I1967" s="372"/>
      <c r="J1967" s="372"/>
      <c r="K1967" s="358"/>
      <c r="L1967" s="358"/>
      <c r="M1967" s="358"/>
      <c r="N1967" s="358"/>
      <c r="O1967" s="380"/>
      <c r="P1967" s="385" t="s">
        <v>30</v>
      </c>
      <c r="Q1967" s="23">
        <v>46054</v>
      </c>
      <c r="R1967" s="24" t="s">
        <v>67</v>
      </c>
      <c r="S1967" s="22" t="s">
        <v>32</v>
      </c>
      <c r="T1967" s="22">
        <v>3</v>
      </c>
      <c r="U1967" s="24" t="s">
        <v>67</v>
      </c>
      <c r="V1967" s="23">
        <v>46054</v>
      </c>
      <c r="W1967" s="100" t="s">
        <v>113</v>
      </c>
      <c r="X1967" s="107"/>
      <c r="Y1967" s="107"/>
      <c r="Z1967" s="100"/>
      <c r="AA1967" s="100"/>
      <c r="AB1967" s="100"/>
      <c r="AC1967" s="100"/>
      <c r="AD1967" s="100"/>
      <c r="AE1967" s="100"/>
      <c r="AF1967" s="100"/>
      <c r="AG1967" s="100"/>
      <c r="AH1967" s="114"/>
      <c r="AI1967" s="114"/>
      <c r="AJ1967" s="114"/>
      <c r="AK1967" s="114"/>
      <c r="AL1967" s="114"/>
      <c r="AM1967" s="360"/>
      <c r="AV1967" s="109"/>
    </row>
    <row r="1968" spans="1:48">
      <c r="A1968" s="358" t="s">
        <v>2342</v>
      </c>
      <c r="B1968" s="369">
        <v>1965</v>
      </c>
      <c r="C1968" s="358" t="s">
        <v>2878</v>
      </c>
      <c r="D1968" s="358" t="s">
        <v>1250</v>
      </c>
      <c r="E1968" s="373">
        <v>46020</v>
      </c>
      <c r="F1968" s="372" t="s">
        <v>140</v>
      </c>
      <c r="G1968" s="372">
        <v>1</v>
      </c>
      <c r="H1968" s="372" t="s">
        <v>67</v>
      </c>
      <c r="I1968" s="372"/>
      <c r="J1968" s="372"/>
      <c r="K1968" s="358"/>
      <c r="L1968" s="358"/>
      <c r="M1968" s="358"/>
      <c r="N1968" s="358"/>
      <c r="O1968" s="117"/>
      <c r="P1968" s="385" t="s">
        <v>30</v>
      </c>
      <c r="Q1968" s="23">
        <v>46056</v>
      </c>
      <c r="R1968" s="24" t="s">
        <v>67</v>
      </c>
      <c r="S1968" s="22" t="s">
        <v>32</v>
      </c>
      <c r="T1968" s="22">
        <v>1</v>
      </c>
      <c r="U1968" s="24" t="s">
        <v>67</v>
      </c>
      <c r="V1968" s="23">
        <v>46056</v>
      </c>
      <c r="W1968" s="100" t="s">
        <v>113</v>
      </c>
      <c r="X1968" s="100"/>
      <c r="Y1968" s="95"/>
      <c r="Z1968" s="95"/>
      <c r="AA1968" s="95"/>
      <c r="AB1968" s="95"/>
      <c r="AC1968" s="100"/>
      <c r="AD1968" s="100"/>
      <c r="AE1968" s="100"/>
      <c r="AF1968" s="100"/>
      <c r="AG1968" s="100"/>
      <c r="AH1968" s="114"/>
      <c r="AI1968" s="111"/>
      <c r="AJ1968" s="111"/>
      <c r="AK1968" s="111"/>
      <c r="AL1968" s="114"/>
      <c r="AM1968" s="360"/>
      <c r="AN1968" s="6"/>
      <c r="AO1968" s="6"/>
      <c r="AP1968" s="6"/>
      <c r="AQ1968" s="6"/>
      <c r="AR1968" s="6"/>
      <c r="AS1968" s="108"/>
      <c r="AT1968" s="109"/>
      <c r="AU1968" s="109"/>
      <c r="AV1968" s="109"/>
    </row>
    <row r="1969" spans="1:48">
      <c r="A1969" s="358" t="s">
        <v>2342</v>
      </c>
      <c r="B1969" s="369">
        <v>1966</v>
      </c>
      <c r="C1969" s="358" t="s">
        <v>2879</v>
      </c>
      <c r="D1969" s="358" t="s">
        <v>1212</v>
      </c>
      <c r="E1969" s="373">
        <v>46020</v>
      </c>
      <c r="F1969" s="372" t="s">
        <v>140</v>
      </c>
      <c r="G1969" s="372">
        <v>4</v>
      </c>
      <c r="H1969" s="372" t="s">
        <v>67</v>
      </c>
      <c r="I1969" s="372"/>
      <c r="J1969" s="372"/>
      <c r="K1969" s="358"/>
      <c r="L1969" s="358"/>
      <c r="M1969" s="358"/>
      <c r="N1969" s="358"/>
      <c r="O1969" s="117"/>
      <c r="P1969" s="385" t="s">
        <v>30</v>
      </c>
      <c r="Q1969" s="23">
        <v>46054</v>
      </c>
      <c r="R1969" s="24" t="s">
        <v>28</v>
      </c>
      <c r="S1969" s="22" t="s">
        <v>32</v>
      </c>
      <c r="T1969" s="22">
        <v>4</v>
      </c>
      <c r="U1969" s="24" t="s">
        <v>28</v>
      </c>
      <c r="V1969" s="23">
        <v>46054</v>
      </c>
      <c r="W1969" s="100" t="s">
        <v>113</v>
      </c>
      <c r="X1969" s="100"/>
      <c r="Y1969" s="95"/>
      <c r="Z1969" s="100"/>
      <c r="AA1969" s="100"/>
      <c r="AB1969" s="100"/>
      <c r="AC1969" s="100"/>
      <c r="AD1969" s="100"/>
      <c r="AE1969" s="100"/>
      <c r="AF1969" s="100"/>
      <c r="AG1969" s="100"/>
      <c r="AH1969" s="114"/>
      <c r="AI1969" s="114"/>
      <c r="AJ1969" s="114"/>
      <c r="AK1969" s="114"/>
      <c r="AL1969" s="114"/>
      <c r="AM1969" s="360"/>
      <c r="AV1969" s="109"/>
    </row>
    <row r="1970" spans="1:48">
      <c r="A1970" s="358" t="s">
        <v>2342</v>
      </c>
      <c r="B1970" s="369">
        <v>1967</v>
      </c>
      <c r="C1970" s="358" t="s">
        <v>2880</v>
      </c>
      <c r="D1970" s="358" t="s">
        <v>1008</v>
      </c>
      <c r="E1970" s="373">
        <v>46020</v>
      </c>
      <c r="F1970" s="372" t="s">
        <v>140</v>
      </c>
      <c r="G1970" s="372">
        <v>1</v>
      </c>
      <c r="H1970" s="372" t="s">
        <v>67</v>
      </c>
      <c r="I1970" s="372"/>
      <c r="J1970" s="372"/>
      <c r="K1970" s="358"/>
      <c r="L1970" s="358"/>
      <c r="M1970" s="358"/>
      <c r="N1970" s="358"/>
      <c r="O1970" s="380"/>
      <c r="P1970" s="385" t="s">
        <v>30</v>
      </c>
      <c r="Q1970" s="23">
        <v>46056</v>
      </c>
      <c r="R1970" s="24" t="s">
        <v>67</v>
      </c>
      <c r="S1970" s="22" t="s">
        <v>32</v>
      </c>
      <c r="T1970" s="22">
        <v>1</v>
      </c>
      <c r="U1970" s="24" t="s">
        <v>67</v>
      </c>
      <c r="V1970" s="23">
        <v>46056</v>
      </c>
      <c r="W1970" s="100" t="s">
        <v>113</v>
      </c>
      <c r="X1970" s="100"/>
      <c r="Y1970" s="95"/>
      <c r="Z1970" s="100"/>
      <c r="AA1970" s="100"/>
      <c r="AB1970" s="100"/>
      <c r="AC1970" s="100"/>
      <c r="AD1970" s="100"/>
      <c r="AE1970" s="100"/>
      <c r="AF1970" s="100"/>
      <c r="AG1970" s="100"/>
      <c r="AH1970" s="114"/>
      <c r="AI1970" s="114"/>
      <c r="AJ1970" s="114"/>
      <c r="AK1970" s="114"/>
      <c r="AL1970" s="114"/>
      <c r="AM1970" s="360"/>
      <c r="AN1970" s="91"/>
      <c r="AO1970" s="91"/>
      <c r="AS1970" s="72"/>
      <c r="AT1970" s="96"/>
      <c r="AU1970" s="96"/>
      <c r="AV1970" s="109"/>
    </row>
    <row r="1971" spans="1:48">
      <c r="A1971" s="358" t="s">
        <v>2342</v>
      </c>
      <c r="B1971" s="369">
        <v>1968</v>
      </c>
      <c r="C1971" s="358" t="s">
        <v>2881</v>
      </c>
      <c r="D1971" s="358" t="s">
        <v>937</v>
      </c>
      <c r="E1971" s="373">
        <v>46020</v>
      </c>
      <c r="F1971" s="372" t="s">
        <v>140</v>
      </c>
      <c r="G1971" s="372">
        <v>1</v>
      </c>
      <c r="H1971" s="372" t="s">
        <v>67</v>
      </c>
      <c r="I1971" s="372"/>
      <c r="J1971" s="372"/>
      <c r="K1971" s="358"/>
      <c r="L1971" s="358"/>
      <c r="M1971" s="358"/>
      <c r="N1971" s="358"/>
      <c r="O1971" s="117"/>
      <c r="P1971" s="385" t="s">
        <v>30</v>
      </c>
      <c r="Q1971" s="23">
        <v>46056</v>
      </c>
      <c r="R1971" s="24" t="s">
        <v>67</v>
      </c>
      <c r="S1971" s="22" t="s">
        <v>32</v>
      </c>
      <c r="T1971" s="22">
        <v>1</v>
      </c>
      <c r="U1971" s="24" t="s">
        <v>67</v>
      </c>
      <c r="V1971" s="23">
        <v>46056</v>
      </c>
      <c r="W1971" s="100" t="s">
        <v>113</v>
      </c>
      <c r="X1971" s="100"/>
      <c r="Y1971" s="95"/>
      <c r="Z1971" s="94"/>
      <c r="AA1971" s="94"/>
      <c r="AB1971" s="94"/>
      <c r="AC1971" s="100"/>
      <c r="AD1971" s="100"/>
      <c r="AE1971" s="100"/>
      <c r="AF1971" s="100"/>
      <c r="AG1971" s="100"/>
      <c r="AH1971" s="114"/>
      <c r="AI1971" s="114"/>
      <c r="AJ1971" s="114"/>
      <c r="AK1971" s="111"/>
      <c r="AL1971" s="114"/>
      <c r="AM1971" s="360"/>
      <c r="AN1971" s="91"/>
      <c r="AO1971" s="91"/>
      <c r="AS1971" s="72"/>
      <c r="AT1971" s="96"/>
      <c r="AU1971" s="96"/>
      <c r="AV1971" s="109"/>
    </row>
    <row r="1972" spans="1:48">
      <c r="A1972" s="358" t="s">
        <v>2342</v>
      </c>
      <c r="B1972" s="369">
        <v>1969</v>
      </c>
      <c r="C1972" s="358" t="s">
        <v>2882</v>
      </c>
      <c r="D1972" s="358" t="s">
        <v>1042</v>
      </c>
      <c r="E1972" s="373"/>
      <c r="F1972" s="372" t="s">
        <v>140</v>
      </c>
      <c r="G1972" s="372">
        <v>1</v>
      </c>
      <c r="H1972" s="372" t="s">
        <v>67</v>
      </c>
      <c r="I1972" s="372"/>
      <c r="J1972" s="372"/>
      <c r="K1972" s="358"/>
      <c r="L1972" s="358"/>
      <c r="M1972" s="358"/>
      <c r="N1972" s="358"/>
      <c r="O1972" s="117"/>
      <c r="P1972" s="385" t="s">
        <v>30</v>
      </c>
      <c r="Q1972" s="23">
        <v>46027</v>
      </c>
      <c r="R1972" s="24" t="s">
        <v>67</v>
      </c>
      <c r="S1972" s="22" t="s">
        <v>32</v>
      </c>
      <c r="T1972" s="22">
        <v>1</v>
      </c>
      <c r="U1972" s="24" t="s">
        <v>67</v>
      </c>
      <c r="V1972" s="23">
        <v>46027</v>
      </c>
      <c r="W1972" s="100" t="s">
        <v>113</v>
      </c>
      <c r="X1972" s="100"/>
      <c r="Y1972" s="95"/>
      <c r="Z1972" s="94"/>
      <c r="AA1972" s="94"/>
      <c r="AB1972" s="94"/>
      <c r="AC1972" s="100"/>
      <c r="AD1972" s="100"/>
      <c r="AE1972" s="100"/>
      <c r="AF1972" s="100"/>
      <c r="AG1972" s="100"/>
      <c r="AH1972" s="114"/>
      <c r="AI1972" s="114"/>
      <c r="AJ1972" s="114"/>
      <c r="AK1972" s="111"/>
      <c r="AL1972" s="114"/>
      <c r="AM1972" s="360"/>
      <c r="AN1972" s="91"/>
      <c r="AO1972" s="91"/>
      <c r="AS1972" s="72"/>
      <c r="AT1972" s="96"/>
      <c r="AU1972" s="96"/>
      <c r="AV1972" s="109"/>
    </row>
    <row r="1973" spans="1:48">
      <c r="A1973" s="358" t="s">
        <v>2342</v>
      </c>
      <c r="B1973" s="369">
        <v>1970</v>
      </c>
      <c r="C1973" s="358" t="s">
        <v>2883</v>
      </c>
      <c r="D1973" s="358" t="s">
        <v>2827</v>
      </c>
      <c r="E1973" s="373">
        <v>46012</v>
      </c>
      <c r="F1973" s="372" t="s">
        <v>140</v>
      </c>
      <c r="G1973" s="372">
        <v>1</v>
      </c>
      <c r="H1973" s="372" t="s">
        <v>67</v>
      </c>
      <c r="I1973" s="372"/>
      <c r="J1973" s="372"/>
      <c r="K1973" s="358"/>
      <c r="L1973" s="358"/>
      <c r="M1973" s="358"/>
      <c r="N1973" s="358"/>
      <c r="O1973" s="117"/>
      <c r="P1973" s="385" t="s">
        <v>30</v>
      </c>
      <c r="Q1973" s="23">
        <v>46055</v>
      </c>
      <c r="R1973" s="24" t="s">
        <v>28</v>
      </c>
      <c r="S1973" s="22" t="s">
        <v>32</v>
      </c>
      <c r="T1973" s="22">
        <v>1</v>
      </c>
      <c r="U1973" s="24" t="s">
        <v>28</v>
      </c>
      <c r="V1973" s="23">
        <v>46055</v>
      </c>
      <c r="W1973" s="100" t="s">
        <v>113</v>
      </c>
      <c r="X1973" s="100"/>
      <c r="Y1973" s="95"/>
      <c r="Z1973" s="94"/>
      <c r="AA1973" s="94"/>
      <c r="AB1973" s="94"/>
      <c r="AC1973" s="100"/>
      <c r="AD1973" s="100"/>
      <c r="AE1973" s="100"/>
      <c r="AF1973" s="100"/>
      <c r="AG1973" s="100"/>
      <c r="AH1973" s="114"/>
      <c r="AI1973" s="114"/>
      <c r="AJ1973" s="114"/>
      <c r="AK1973" s="111"/>
      <c r="AL1973" s="114"/>
      <c r="AM1973" s="360"/>
      <c r="AN1973" s="91"/>
      <c r="AO1973" s="91"/>
      <c r="AS1973" s="72"/>
      <c r="AT1973" s="96"/>
      <c r="AU1973" s="96"/>
      <c r="AV1973" s="109"/>
    </row>
    <row r="1974" spans="1:48">
      <c r="A1974" s="358" t="s">
        <v>2342</v>
      </c>
      <c r="B1974" s="369">
        <v>1971</v>
      </c>
      <c r="C1974" s="358" t="s">
        <v>2884</v>
      </c>
      <c r="D1974" s="358" t="s">
        <v>2885</v>
      </c>
      <c r="E1974" s="373">
        <v>45992.041666666664</v>
      </c>
      <c r="F1974" s="372" t="s">
        <v>140</v>
      </c>
      <c r="G1974" s="372">
        <v>25</v>
      </c>
      <c r="H1974" s="372" t="s">
        <v>127</v>
      </c>
      <c r="I1974" s="372"/>
      <c r="J1974" s="372"/>
      <c r="K1974" s="358"/>
      <c r="L1974" s="358"/>
      <c r="M1974" s="358"/>
      <c r="N1974" s="358"/>
      <c r="O1974" s="380" t="s">
        <v>2863</v>
      </c>
      <c r="P1974" s="23" t="s">
        <v>30</v>
      </c>
      <c r="Q1974" s="23">
        <v>46006</v>
      </c>
      <c r="R1974" s="24" t="s">
        <v>67</v>
      </c>
      <c r="S1974" s="22" t="s">
        <v>32</v>
      </c>
      <c r="T1974" s="22">
        <v>25</v>
      </c>
      <c r="U1974" s="24" t="s">
        <v>67</v>
      </c>
      <c r="V1974" s="23">
        <v>46006</v>
      </c>
      <c r="W1974" s="100" t="s">
        <v>113</v>
      </c>
      <c r="X1974" s="100"/>
      <c r="Y1974" s="95"/>
      <c r="Z1974" s="94"/>
      <c r="AA1974" s="94"/>
      <c r="AB1974" s="94"/>
      <c r="AC1974" s="100"/>
      <c r="AD1974" s="100"/>
      <c r="AE1974" s="100"/>
      <c r="AF1974" s="100"/>
      <c r="AG1974" s="100"/>
      <c r="AH1974" s="114"/>
      <c r="AI1974" s="114"/>
      <c r="AJ1974" s="114"/>
      <c r="AK1974" s="114"/>
      <c r="AL1974" s="114"/>
      <c r="AM1974" s="360"/>
      <c r="AN1974" s="6">
        <v>25</v>
      </c>
      <c r="AO1974" s="6">
        <v>0</v>
      </c>
      <c r="AP1974" s="6">
        <v>0</v>
      </c>
      <c r="AQ1974" s="6">
        <v>0</v>
      </c>
      <c r="AR1974" s="6">
        <f>SUM(AN1974:AQ1974)</f>
        <v>25</v>
      </c>
      <c r="AS1974" s="108">
        <f>+AN1974/AR1974*AS$1</f>
        <v>0</v>
      </c>
      <c r="AT1974" s="109">
        <f>+AO1974/AR1974*AT$1</f>
        <v>0</v>
      </c>
      <c r="AU1974" s="109">
        <f>+AP1974/AR1974*AU$1</f>
        <v>0</v>
      </c>
      <c r="AV1974" s="109">
        <f>+AQ1974/AR1974*AV$1</f>
        <v>0</v>
      </c>
    </row>
    <row r="1975" spans="1:48">
      <c r="A1975" s="358" t="s">
        <v>2342</v>
      </c>
      <c r="B1975" s="369">
        <v>1972</v>
      </c>
      <c r="C1975" s="358" t="s">
        <v>2886</v>
      </c>
      <c r="D1975" s="358" t="s">
        <v>818</v>
      </c>
      <c r="E1975" s="373">
        <v>45992.166666666664</v>
      </c>
      <c r="F1975" s="372" t="s">
        <v>140</v>
      </c>
      <c r="G1975" s="372">
        <v>1</v>
      </c>
      <c r="H1975" s="372" t="s">
        <v>67</v>
      </c>
      <c r="I1975" s="372"/>
      <c r="J1975" s="372"/>
      <c r="K1975" s="358"/>
      <c r="L1975" s="358"/>
      <c r="M1975" s="358"/>
      <c r="N1975" s="358"/>
      <c r="O1975" s="380"/>
      <c r="P1975" s="23" t="s">
        <v>30</v>
      </c>
      <c r="Q1975" s="23">
        <v>46037</v>
      </c>
      <c r="R1975" s="24" t="s">
        <v>67</v>
      </c>
      <c r="S1975" s="22" t="s">
        <v>32</v>
      </c>
      <c r="T1975" s="22">
        <v>1</v>
      </c>
      <c r="U1975" s="24" t="s">
        <v>67</v>
      </c>
      <c r="V1975" s="23">
        <v>46037</v>
      </c>
      <c r="W1975" s="100" t="s">
        <v>113</v>
      </c>
      <c r="X1975" s="107"/>
      <c r="Y1975" s="107"/>
      <c r="Z1975" s="100"/>
      <c r="AA1975" s="100"/>
      <c r="AB1975" s="100"/>
      <c r="AC1975" s="100"/>
      <c r="AD1975" s="100"/>
      <c r="AE1975" s="100"/>
      <c r="AF1975" s="100"/>
      <c r="AG1975" s="100"/>
      <c r="AH1975" s="114"/>
      <c r="AI1975" s="114"/>
      <c r="AJ1975" s="114"/>
      <c r="AK1975" s="114"/>
      <c r="AL1975" s="114"/>
      <c r="AM1975" s="360"/>
      <c r="AR1975" s="88"/>
      <c r="AS1975" s="72"/>
      <c r="AT1975" s="72"/>
      <c r="AU1975" s="72"/>
      <c r="AV1975" s="109"/>
    </row>
    <row r="1976" spans="1:48">
      <c r="A1976" s="358" t="s">
        <v>2342</v>
      </c>
      <c r="B1976" s="369">
        <v>1973</v>
      </c>
      <c r="C1976" s="358" t="s">
        <v>2469</v>
      </c>
      <c r="D1976" s="358" t="s">
        <v>2887</v>
      </c>
      <c r="E1976" s="373"/>
      <c r="F1976" s="372" t="s">
        <v>140</v>
      </c>
      <c r="G1976" s="372">
        <v>1</v>
      </c>
      <c r="H1976" s="372"/>
      <c r="I1976" s="372"/>
      <c r="J1976" s="372"/>
      <c r="K1976" s="358"/>
      <c r="L1976" s="358"/>
      <c r="M1976" s="358"/>
      <c r="N1976" s="358"/>
      <c r="O1976" s="380"/>
      <c r="P1976" s="23" t="s">
        <v>30</v>
      </c>
      <c r="Q1976" s="23">
        <v>46022</v>
      </c>
      <c r="R1976" s="24" t="s">
        <v>67</v>
      </c>
      <c r="S1976" s="22" t="s">
        <v>32</v>
      </c>
      <c r="T1976" s="22">
        <v>1</v>
      </c>
      <c r="U1976" s="24" t="s">
        <v>67</v>
      </c>
      <c r="V1976" s="23">
        <v>46022</v>
      </c>
      <c r="W1976" s="100" t="s">
        <v>113</v>
      </c>
      <c r="X1976" s="107"/>
      <c r="Y1976" s="107"/>
      <c r="Z1976" s="100"/>
      <c r="AA1976" s="100"/>
      <c r="AB1976" s="100"/>
      <c r="AC1976" s="100"/>
      <c r="AD1976" s="100"/>
      <c r="AE1976" s="100"/>
      <c r="AF1976" s="100"/>
      <c r="AG1976" s="100"/>
      <c r="AH1976" s="114"/>
      <c r="AI1976" s="114"/>
      <c r="AJ1976" s="114"/>
      <c r="AK1976" s="114"/>
      <c r="AL1976" s="114"/>
      <c r="AM1976" s="360"/>
      <c r="AR1976" s="88"/>
      <c r="AS1976" s="72"/>
      <c r="AT1976" s="72"/>
      <c r="AU1976" s="72"/>
      <c r="AV1976" s="109"/>
    </row>
    <row r="1977" spans="1:48">
      <c r="A1977" s="358" t="s">
        <v>2342</v>
      </c>
      <c r="B1977" s="369">
        <v>1974</v>
      </c>
      <c r="C1977" s="358" t="s">
        <v>2470</v>
      </c>
      <c r="D1977" s="358" t="s">
        <v>2888</v>
      </c>
      <c r="E1977" s="373"/>
      <c r="F1977" s="372" t="s">
        <v>140</v>
      </c>
      <c r="G1977" s="372">
        <v>4</v>
      </c>
      <c r="H1977" s="372"/>
      <c r="I1977" s="372"/>
      <c r="J1977" s="372"/>
      <c r="K1977" s="358"/>
      <c r="L1977" s="358"/>
      <c r="M1977" s="358"/>
      <c r="N1977" s="358"/>
      <c r="O1977" s="380"/>
      <c r="P1977" s="23" t="s">
        <v>30</v>
      </c>
      <c r="Q1977" s="23">
        <v>46024</v>
      </c>
      <c r="R1977" s="24" t="s">
        <v>67</v>
      </c>
      <c r="S1977" s="22" t="s">
        <v>32</v>
      </c>
      <c r="T1977" s="22">
        <v>4</v>
      </c>
      <c r="U1977" s="24" t="s">
        <v>67</v>
      </c>
      <c r="V1977" s="23">
        <v>46024</v>
      </c>
      <c r="W1977" s="100" t="s">
        <v>113</v>
      </c>
      <c r="X1977" s="107"/>
      <c r="Y1977" s="107"/>
      <c r="Z1977" s="100"/>
      <c r="AA1977" s="100"/>
      <c r="AB1977" s="100"/>
      <c r="AC1977" s="100"/>
      <c r="AD1977" s="100"/>
      <c r="AE1977" s="100"/>
      <c r="AF1977" s="100"/>
      <c r="AG1977" s="100"/>
      <c r="AH1977" s="114"/>
      <c r="AI1977" s="114"/>
      <c r="AJ1977" s="114"/>
      <c r="AK1977" s="114"/>
      <c r="AL1977" s="114"/>
      <c r="AM1977" s="360"/>
      <c r="AR1977" s="88"/>
      <c r="AS1977" s="72"/>
      <c r="AT1977" s="72"/>
      <c r="AU1977" s="72"/>
      <c r="AV1977" s="109"/>
    </row>
    <row r="1978" spans="1:48">
      <c r="A1978" s="358" t="s">
        <v>2342</v>
      </c>
      <c r="B1978" s="369">
        <v>1975</v>
      </c>
      <c r="C1978" s="358" t="s">
        <v>2889</v>
      </c>
      <c r="D1978" s="358" t="s">
        <v>1025</v>
      </c>
      <c r="E1978" s="373">
        <v>45992.166666666664</v>
      </c>
      <c r="F1978" s="372" t="s">
        <v>140</v>
      </c>
      <c r="G1978" s="372">
        <v>1</v>
      </c>
      <c r="H1978" s="372" t="s">
        <v>1077</v>
      </c>
      <c r="I1978" s="372"/>
      <c r="J1978" s="372"/>
      <c r="K1978" s="358"/>
      <c r="L1978" s="358"/>
      <c r="M1978" s="358"/>
      <c r="N1978" s="358"/>
      <c r="O1978" s="380"/>
      <c r="P1978" s="23" t="s">
        <v>30</v>
      </c>
      <c r="Q1978" s="123">
        <v>46037</v>
      </c>
      <c r="R1978" s="24" t="s">
        <v>67</v>
      </c>
      <c r="S1978" s="22" t="s">
        <v>32</v>
      </c>
      <c r="T1978" s="22">
        <v>1</v>
      </c>
      <c r="U1978" s="24" t="s">
        <v>67</v>
      </c>
      <c r="V1978" s="123">
        <v>46037</v>
      </c>
      <c r="W1978" s="100" t="s">
        <v>113</v>
      </c>
      <c r="X1978" s="100"/>
      <c r="Y1978" s="95"/>
      <c r="Z1978" s="100"/>
      <c r="AA1978" s="100"/>
      <c r="AB1978" s="100"/>
      <c r="AC1978" s="100"/>
      <c r="AD1978" s="100"/>
      <c r="AE1978" s="100"/>
      <c r="AF1978" s="100"/>
      <c r="AG1978" s="100"/>
      <c r="AH1978" s="114"/>
      <c r="AI1978" s="114"/>
      <c r="AJ1978" s="114"/>
      <c r="AK1978" s="114"/>
      <c r="AL1978" s="114"/>
      <c r="AM1978" s="360"/>
      <c r="AV1978" s="109"/>
    </row>
    <row r="1979" spans="1:48">
      <c r="A1979" s="358" t="s">
        <v>2342</v>
      </c>
      <c r="B1979" s="369">
        <v>1976</v>
      </c>
      <c r="C1979" s="358" t="s">
        <v>2890</v>
      </c>
      <c r="D1979" s="358" t="s">
        <v>2891</v>
      </c>
      <c r="E1979" s="373">
        <v>45992.375</v>
      </c>
      <c r="F1979" s="372" t="s">
        <v>140</v>
      </c>
      <c r="G1979" s="372">
        <v>4</v>
      </c>
      <c r="H1979" s="372" t="s">
        <v>67</v>
      </c>
      <c r="I1979" s="372"/>
      <c r="J1979" s="372"/>
      <c r="K1979" s="358"/>
      <c r="L1979" s="358"/>
      <c r="M1979" s="358"/>
      <c r="N1979" s="358"/>
      <c r="O1979" s="117"/>
      <c r="P1979" s="23" t="s">
        <v>30</v>
      </c>
      <c r="Q1979" s="23">
        <v>46037</v>
      </c>
      <c r="R1979" s="24" t="s">
        <v>67</v>
      </c>
      <c r="S1979" s="22" t="s">
        <v>32</v>
      </c>
      <c r="T1979" s="22">
        <v>4</v>
      </c>
      <c r="U1979" s="24" t="s">
        <v>67</v>
      </c>
      <c r="V1979" s="23">
        <v>46037</v>
      </c>
      <c r="W1979" s="100" t="s">
        <v>113</v>
      </c>
      <c r="X1979" s="107"/>
      <c r="Y1979" s="107"/>
      <c r="Z1979" s="100"/>
      <c r="AA1979" s="100"/>
      <c r="AB1979" s="100"/>
      <c r="AC1979" s="100"/>
      <c r="AD1979" s="100"/>
      <c r="AE1979" s="100"/>
      <c r="AF1979" s="100"/>
      <c r="AG1979" s="100"/>
      <c r="AH1979" s="114"/>
      <c r="AI1979" s="114"/>
      <c r="AJ1979" s="114"/>
      <c r="AK1979" s="114"/>
      <c r="AL1979" s="114"/>
      <c r="AM1979" s="360"/>
      <c r="AN1979" s="6"/>
      <c r="AO1979" s="6"/>
      <c r="AP1979" s="6"/>
      <c r="AQ1979" s="6"/>
      <c r="AR1979" s="6"/>
      <c r="AS1979" s="108"/>
      <c r="AT1979" s="109"/>
      <c r="AU1979" s="109"/>
      <c r="AV1979" s="109"/>
    </row>
    <row r="1980" spans="1:48">
      <c r="A1980" s="358" t="s">
        <v>2342</v>
      </c>
      <c r="B1980" s="369">
        <v>1977</v>
      </c>
      <c r="C1980" s="358" t="s">
        <v>2892</v>
      </c>
      <c r="D1980" s="358" t="s">
        <v>1008</v>
      </c>
      <c r="E1980" s="373">
        <v>45992</v>
      </c>
      <c r="F1980" s="372" t="s">
        <v>140</v>
      </c>
      <c r="G1980" s="372">
        <v>1</v>
      </c>
      <c r="H1980" s="372" t="s">
        <v>1077</v>
      </c>
      <c r="I1980" s="372"/>
      <c r="J1980" s="372"/>
      <c r="K1980" s="358"/>
      <c r="L1980" s="358"/>
      <c r="M1980" s="358"/>
      <c r="N1980" s="358"/>
      <c r="O1980" s="117"/>
      <c r="P1980" s="23" t="s">
        <v>30</v>
      </c>
      <c r="Q1980" s="23">
        <v>46037</v>
      </c>
      <c r="R1980" s="24" t="s">
        <v>67</v>
      </c>
      <c r="S1980" s="22" t="s">
        <v>32</v>
      </c>
      <c r="T1980" s="22">
        <v>1</v>
      </c>
      <c r="U1980" s="24" t="s">
        <v>67</v>
      </c>
      <c r="V1980" s="23">
        <v>46037</v>
      </c>
      <c r="W1980" s="100" t="s">
        <v>113</v>
      </c>
      <c r="X1980" s="100"/>
      <c r="Y1980" s="95"/>
      <c r="Z1980" s="100"/>
      <c r="AA1980" s="100"/>
      <c r="AB1980" s="100"/>
      <c r="AC1980" s="100"/>
      <c r="AD1980" s="100"/>
      <c r="AE1980" s="100"/>
      <c r="AF1980" s="100"/>
      <c r="AG1980" s="100"/>
      <c r="AH1980" s="114"/>
      <c r="AI1980" s="114"/>
      <c r="AJ1980" s="114"/>
      <c r="AK1980" s="114"/>
      <c r="AL1980" s="114"/>
      <c r="AM1980" s="360"/>
      <c r="AN1980" s="6"/>
      <c r="AO1980" s="6"/>
      <c r="AP1980" s="6"/>
      <c r="AQ1980" s="6"/>
      <c r="AR1980" s="6"/>
      <c r="AS1980" s="108"/>
      <c r="AT1980" s="109"/>
      <c r="AU1980" s="109"/>
      <c r="AV1980" s="109"/>
    </row>
    <row r="1981" spans="1:48">
      <c r="A1981" s="358" t="s">
        <v>2342</v>
      </c>
      <c r="B1981" s="369">
        <v>1978</v>
      </c>
      <c r="C1981" s="358" t="s">
        <v>2893</v>
      </c>
      <c r="D1981" s="358" t="s">
        <v>829</v>
      </c>
      <c r="E1981" s="373">
        <v>45992.375</v>
      </c>
      <c r="F1981" s="372" t="s">
        <v>140</v>
      </c>
      <c r="G1981" s="372">
        <v>47</v>
      </c>
      <c r="H1981" s="372" t="s">
        <v>2894</v>
      </c>
      <c r="I1981" s="372"/>
      <c r="J1981" s="372"/>
      <c r="K1981" s="358"/>
      <c r="L1981" s="358"/>
      <c r="M1981" s="358"/>
      <c r="N1981" s="358"/>
      <c r="O1981" s="380" t="s">
        <v>2863</v>
      </c>
      <c r="P1981" s="23" t="s">
        <v>30</v>
      </c>
      <c r="Q1981" s="23">
        <v>46037</v>
      </c>
      <c r="R1981" s="24" t="s">
        <v>67</v>
      </c>
      <c r="S1981" s="22" t="s">
        <v>32</v>
      </c>
      <c r="T1981" s="22">
        <v>47</v>
      </c>
      <c r="U1981" s="24" t="s">
        <v>67</v>
      </c>
      <c r="V1981" s="23">
        <v>46037</v>
      </c>
      <c r="W1981" s="100" t="s">
        <v>113</v>
      </c>
      <c r="X1981" s="100"/>
      <c r="Y1981" s="95"/>
      <c r="Z1981" s="95"/>
      <c r="AA1981" s="95"/>
      <c r="AB1981" s="100"/>
      <c r="AC1981" s="100"/>
      <c r="AD1981" s="100"/>
      <c r="AE1981" s="100"/>
      <c r="AF1981" s="100"/>
      <c r="AG1981" s="100"/>
      <c r="AH1981" s="114"/>
      <c r="AI1981" s="114"/>
      <c r="AJ1981" s="114"/>
      <c r="AK1981" s="100"/>
      <c r="AL1981" s="114"/>
      <c r="AM1981" s="360"/>
      <c r="AN1981" s="6">
        <v>1</v>
      </c>
      <c r="AO1981" s="6">
        <v>0</v>
      </c>
      <c r="AP1981" s="6">
        <v>5</v>
      </c>
      <c r="AQ1981" s="6">
        <v>41</v>
      </c>
      <c r="AR1981" s="6">
        <f>SUM(AN1981:AQ1981)</f>
        <v>47</v>
      </c>
      <c r="AS1981" s="108">
        <f>+AN1981/AR1981*AS$1</f>
        <v>0</v>
      </c>
      <c r="AT1981" s="109">
        <f>+AO1981/AR1981*AT$1</f>
        <v>0</v>
      </c>
      <c r="AU1981" s="109">
        <f>+AP1981/AR1981*AU$1</f>
        <v>0</v>
      </c>
      <c r="AV1981" s="109">
        <f>+AQ1981/AR1981*AV$1</f>
        <v>0</v>
      </c>
    </row>
    <row r="1982" spans="1:48">
      <c r="A1982" s="358" t="s">
        <v>2342</v>
      </c>
      <c r="B1982" s="369">
        <v>1979</v>
      </c>
      <c r="C1982" s="358" t="s">
        <v>2895</v>
      </c>
      <c r="D1982" s="358" t="s">
        <v>2896</v>
      </c>
      <c r="E1982" s="373">
        <v>45992.208333333336</v>
      </c>
      <c r="F1982" s="372" t="s">
        <v>140</v>
      </c>
      <c r="G1982" s="372">
        <v>13</v>
      </c>
      <c r="H1982" s="372" t="s">
        <v>2897</v>
      </c>
      <c r="I1982" s="372"/>
      <c r="J1982" s="372"/>
      <c r="K1982" s="358"/>
      <c r="L1982" s="358"/>
      <c r="M1982" s="358"/>
      <c r="N1982" s="358"/>
      <c r="O1982" s="117"/>
      <c r="P1982" s="23" t="s">
        <v>30</v>
      </c>
      <c r="Q1982" s="23">
        <v>46042</v>
      </c>
      <c r="R1982" s="24" t="s">
        <v>67</v>
      </c>
      <c r="S1982" s="22" t="s">
        <v>32</v>
      </c>
      <c r="T1982" s="22">
        <v>12</v>
      </c>
      <c r="U1982" s="24" t="s">
        <v>67</v>
      </c>
      <c r="V1982" s="23">
        <v>46042</v>
      </c>
      <c r="W1982" s="100" t="s">
        <v>113</v>
      </c>
      <c r="X1982" s="100"/>
      <c r="Y1982" s="95"/>
      <c r="Z1982" s="100"/>
      <c r="AA1982" s="100"/>
      <c r="AB1982" s="100"/>
      <c r="AC1982" s="100"/>
      <c r="AD1982" s="100"/>
      <c r="AE1982" s="100"/>
      <c r="AF1982" s="100"/>
      <c r="AG1982" s="100"/>
      <c r="AH1982" s="114"/>
      <c r="AI1982" s="100"/>
      <c r="AJ1982" s="100"/>
      <c r="AK1982" s="100"/>
      <c r="AL1982" s="114"/>
      <c r="AM1982" s="360"/>
      <c r="AO1982" s="412"/>
      <c r="AP1982" s="412"/>
      <c r="AQ1982" s="412"/>
      <c r="AR1982" s="412"/>
      <c r="AV1982" s="109"/>
    </row>
    <row r="1983" spans="1:48">
      <c r="A1983" s="358" t="s">
        <v>2342</v>
      </c>
      <c r="B1983" s="369">
        <v>1980</v>
      </c>
      <c r="C1983" s="358" t="s">
        <v>2898</v>
      </c>
      <c r="D1983" s="358" t="s">
        <v>1236</v>
      </c>
      <c r="E1983" s="373">
        <v>45992.041666666664</v>
      </c>
      <c r="F1983" s="372" t="s">
        <v>140</v>
      </c>
      <c r="G1983" s="372">
        <v>1</v>
      </c>
      <c r="H1983" s="372" t="s">
        <v>127</v>
      </c>
      <c r="I1983" s="372"/>
      <c r="J1983" s="372"/>
      <c r="K1983" s="358"/>
      <c r="L1983" s="358"/>
      <c r="M1983" s="358"/>
      <c r="N1983" s="358"/>
      <c r="O1983" s="117"/>
      <c r="P1983" s="23" t="s">
        <v>30</v>
      </c>
      <c r="Q1983" s="23">
        <v>46042</v>
      </c>
      <c r="R1983" s="24" t="s">
        <v>67</v>
      </c>
      <c r="S1983" s="22" t="s">
        <v>32</v>
      </c>
      <c r="T1983" s="22">
        <v>1</v>
      </c>
      <c r="U1983" s="24" t="s">
        <v>67</v>
      </c>
      <c r="V1983" s="23">
        <v>46042</v>
      </c>
      <c r="W1983" s="100" t="s">
        <v>113</v>
      </c>
      <c r="X1983" s="100"/>
      <c r="Y1983" s="95"/>
      <c r="Z1983" s="100"/>
      <c r="AA1983" s="100"/>
      <c r="AB1983" s="100"/>
      <c r="AC1983" s="100"/>
      <c r="AD1983" s="100"/>
      <c r="AE1983" s="100"/>
      <c r="AF1983" s="100"/>
      <c r="AG1983" s="100"/>
      <c r="AH1983" s="114"/>
      <c r="AI1983" s="111"/>
      <c r="AJ1983" s="111"/>
      <c r="AK1983" s="111"/>
      <c r="AL1983" s="114"/>
      <c r="AM1983" s="360"/>
      <c r="AN1983" s="6"/>
      <c r="AO1983" s="6"/>
      <c r="AP1983" s="6"/>
      <c r="AQ1983" s="6"/>
      <c r="AR1983" s="6"/>
      <c r="AS1983" s="108"/>
      <c r="AT1983" s="109"/>
      <c r="AU1983" s="109"/>
      <c r="AV1983" s="109"/>
    </row>
    <row r="1984" spans="1:48">
      <c r="A1984" s="358" t="s">
        <v>2342</v>
      </c>
      <c r="B1984" s="369">
        <v>1981</v>
      </c>
      <c r="C1984" s="358" t="s">
        <v>2899</v>
      </c>
      <c r="D1984" s="358" t="s">
        <v>2900</v>
      </c>
      <c r="E1984" s="373">
        <v>45992</v>
      </c>
      <c r="F1984" s="372" t="s">
        <v>140</v>
      </c>
      <c r="G1984" s="372">
        <v>33</v>
      </c>
      <c r="H1984" s="372" t="s">
        <v>1721</v>
      </c>
      <c r="I1984" s="372"/>
      <c r="J1984" s="372"/>
      <c r="K1984" s="358"/>
      <c r="L1984" s="358"/>
      <c r="M1984" s="358"/>
      <c r="N1984" s="358"/>
      <c r="O1984" s="380" t="s">
        <v>2863</v>
      </c>
      <c r="P1984" s="23" t="s">
        <v>30</v>
      </c>
      <c r="Q1984" s="23">
        <v>46042</v>
      </c>
      <c r="R1984" s="24" t="s">
        <v>67</v>
      </c>
      <c r="S1984" s="22" t="s">
        <v>32</v>
      </c>
      <c r="T1984" s="22">
        <v>33</v>
      </c>
      <c r="U1984" s="24" t="s">
        <v>67</v>
      </c>
      <c r="V1984" s="23">
        <v>46042</v>
      </c>
      <c r="W1984" s="100" t="s">
        <v>113</v>
      </c>
      <c r="X1984" s="100"/>
      <c r="Y1984" s="95"/>
      <c r="Z1984" s="95"/>
      <c r="AA1984" s="95"/>
      <c r="AB1984" s="95"/>
      <c r="AC1984" s="100"/>
      <c r="AD1984" s="100"/>
      <c r="AE1984" s="100"/>
      <c r="AF1984" s="100"/>
      <c r="AG1984" s="100"/>
      <c r="AH1984" s="114"/>
      <c r="AI1984" s="114"/>
      <c r="AJ1984" s="114"/>
      <c r="AK1984" s="111"/>
      <c r="AL1984" s="114"/>
      <c r="AM1984" s="360"/>
      <c r="AN1984" s="6">
        <v>0</v>
      </c>
      <c r="AO1984" s="6">
        <v>0</v>
      </c>
      <c r="AP1984" s="6">
        <v>33</v>
      </c>
      <c r="AQ1984" s="6">
        <v>0</v>
      </c>
      <c r="AR1984" s="6">
        <f>SUM(AN1984:AQ1984)</f>
        <v>33</v>
      </c>
      <c r="AS1984" s="108">
        <f>+AN1984/AR1984*AS$1</f>
        <v>0</v>
      </c>
      <c r="AT1984" s="109">
        <f>+AO1984/AR1984*AT$1</f>
        <v>0</v>
      </c>
      <c r="AU1984" s="109">
        <f>+AP1984/AR1984*AU$1</f>
        <v>0</v>
      </c>
      <c r="AV1984" s="109">
        <f>+AQ1984/AR1984*AV$1</f>
        <v>0</v>
      </c>
    </row>
    <row r="1985" spans="1:48">
      <c r="A1985" s="358" t="s">
        <v>2342</v>
      </c>
      <c r="B1985" s="369">
        <v>1982</v>
      </c>
      <c r="C1985" s="358" t="s">
        <v>2901</v>
      </c>
      <c r="D1985" s="358" t="s">
        <v>1204</v>
      </c>
      <c r="E1985" s="373">
        <v>45992.041666666664</v>
      </c>
      <c r="F1985" s="372" t="s">
        <v>140</v>
      </c>
      <c r="G1985" s="372">
        <v>1</v>
      </c>
      <c r="H1985" s="372" t="s">
        <v>127</v>
      </c>
      <c r="I1985" s="372"/>
      <c r="J1985" s="372"/>
      <c r="K1985" s="358"/>
      <c r="L1985" s="358"/>
      <c r="M1985" s="358"/>
      <c r="N1985" s="358"/>
      <c r="O1985" s="380"/>
      <c r="P1985" s="23" t="s">
        <v>30</v>
      </c>
      <c r="Q1985" s="23">
        <v>46042</v>
      </c>
      <c r="R1985" s="24" t="s">
        <v>67</v>
      </c>
      <c r="S1985" s="22" t="s">
        <v>32</v>
      </c>
      <c r="T1985" s="22">
        <v>1</v>
      </c>
      <c r="U1985" s="24" t="s">
        <v>67</v>
      </c>
      <c r="V1985" s="23">
        <v>46042</v>
      </c>
      <c r="W1985" s="100" t="s">
        <v>113</v>
      </c>
      <c r="X1985" s="100"/>
      <c r="Y1985" s="95"/>
      <c r="Z1985" s="100"/>
      <c r="AA1985" s="100"/>
      <c r="AB1985" s="100"/>
      <c r="AC1985" s="100"/>
      <c r="AD1985" s="100"/>
      <c r="AE1985" s="100"/>
      <c r="AF1985" s="100"/>
      <c r="AG1985" s="100"/>
      <c r="AH1985" s="114"/>
      <c r="AI1985" s="114"/>
      <c r="AJ1985" s="114"/>
      <c r="AK1985" s="114"/>
      <c r="AL1985" s="114"/>
      <c r="AM1985" s="360"/>
      <c r="AN1985" s="6"/>
      <c r="AO1985" s="6"/>
      <c r="AP1985" s="6"/>
      <c r="AQ1985" s="6"/>
      <c r="AR1985" s="6"/>
      <c r="AS1985" s="108"/>
      <c r="AT1985" s="109"/>
      <c r="AU1985" s="109"/>
      <c r="AV1985" s="109"/>
    </row>
    <row r="1986" spans="1:48">
      <c r="A1986" s="358" t="s">
        <v>2342</v>
      </c>
      <c r="B1986" s="369">
        <v>1983</v>
      </c>
      <c r="C1986" s="358" t="s">
        <v>2902</v>
      </c>
      <c r="D1986" s="358" t="s">
        <v>1184</v>
      </c>
      <c r="E1986" s="373">
        <v>45992.041666666664</v>
      </c>
      <c r="F1986" s="372" t="s">
        <v>140</v>
      </c>
      <c r="G1986" s="372">
        <v>26</v>
      </c>
      <c r="H1986" s="372" t="s">
        <v>2903</v>
      </c>
      <c r="I1986" s="372"/>
      <c r="J1986" s="372"/>
      <c r="K1986" s="358"/>
      <c r="L1986" s="358"/>
      <c r="M1986" s="358"/>
      <c r="N1986" s="358"/>
      <c r="O1986" s="380" t="s">
        <v>2863</v>
      </c>
      <c r="P1986" s="23" t="s">
        <v>30</v>
      </c>
      <c r="Q1986" s="23">
        <v>46042</v>
      </c>
      <c r="R1986" s="24" t="s">
        <v>67</v>
      </c>
      <c r="S1986" s="22" t="s">
        <v>32</v>
      </c>
      <c r="T1986" s="22">
        <v>26</v>
      </c>
      <c r="U1986" s="24" t="s">
        <v>67</v>
      </c>
      <c r="V1986" s="121">
        <v>46044</v>
      </c>
      <c r="W1986" s="100" t="s">
        <v>113</v>
      </c>
      <c r="X1986" s="100"/>
      <c r="Y1986" s="95"/>
      <c r="Z1986" s="100"/>
      <c r="AA1986" s="100"/>
      <c r="AB1986" s="100"/>
      <c r="AC1986" s="100"/>
      <c r="AD1986" s="100"/>
      <c r="AE1986" s="100"/>
      <c r="AF1986" s="100"/>
      <c r="AG1986" s="100"/>
      <c r="AH1986" s="114"/>
      <c r="AI1986" s="111"/>
      <c r="AJ1986" s="111"/>
      <c r="AK1986" s="111"/>
      <c r="AL1986" s="114"/>
      <c r="AM1986" s="360"/>
      <c r="AN1986" s="6">
        <v>16</v>
      </c>
      <c r="AO1986" s="6">
        <v>6</v>
      </c>
      <c r="AP1986" s="6">
        <v>0</v>
      </c>
      <c r="AQ1986" s="6">
        <v>4</v>
      </c>
      <c r="AR1986" s="6">
        <f>SUM(AN1986:AQ1986)</f>
        <v>26</v>
      </c>
      <c r="AS1986" s="108">
        <f>+AN1986/AR1986*AS$1</f>
        <v>0</v>
      </c>
      <c r="AT1986" s="109">
        <f>+AO1986/AR1986*AT$1</f>
        <v>0</v>
      </c>
      <c r="AU1986" s="109">
        <f>+AP1986/AR1986*AU$1</f>
        <v>0</v>
      </c>
      <c r="AV1986" s="109">
        <f>+AQ1986/AR1986*AV$1</f>
        <v>0</v>
      </c>
    </row>
    <row r="1987" spans="1:48">
      <c r="A1987" s="358" t="s">
        <v>2342</v>
      </c>
      <c r="B1987" s="369">
        <v>1984</v>
      </c>
      <c r="C1987" s="358" t="s">
        <v>2904</v>
      </c>
      <c r="D1987" s="358" t="s">
        <v>1870</v>
      </c>
      <c r="E1987" s="373">
        <v>45992.041666666664</v>
      </c>
      <c r="F1987" s="372" t="s">
        <v>140</v>
      </c>
      <c r="G1987" s="372">
        <v>1</v>
      </c>
      <c r="H1987" s="372" t="s">
        <v>127</v>
      </c>
      <c r="I1987" s="372"/>
      <c r="J1987" s="372"/>
      <c r="K1987" s="358"/>
      <c r="L1987" s="358"/>
      <c r="M1987" s="358"/>
      <c r="N1987" s="358"/>
      <c r="O1987" s="380"/>
      <c r="P1987" s="23" t="s">
        <v>30</v>
      </c>
      <c r="Q1987" s="121">
        <v>46044</v>
      </c>
      <c r="R1987" s="24" t="s">
        <v>67</v>
      </c>
      <c r="S1987" s="22" t="s">
        <v>32</v>
      </c>
      <c r="T1987" s="22">
        <v>1</v>
      </c>
      <c r="U1987" s="24" t="s">
        <v>67</v>
      </c>
      <c r="V1987" s="121">
        <v>46044</v>
      </c>
      <c r="W1987" s="100" t="s">
        <v>113</v>
      </c>
      <c r="X1987" s="100"/>
      <c r="Y1987" s="95"/>
      <c r="Z1987" s="100"/>
      <c r="AA1987" s="100"/>
      <c r="AB1987" s="100"/>
      <c r="AC1987" s="100"/>
      <c r="AD1987" s="100"/>
      <c r="AE1987" s="100"/>
      <c r="AF1987" s="100"/>
      <c r="AG1987" s="100"/>
      <c r="AH1987" s="114"/>
      <c r="AI1987" s="111"/>
      <c r="AJ1987" s="111"/>
      <c r="AK1987" s="111"/>
      <c r="AL1987" s="114"/>
      <c r="AM1987" s="360"/>
      <c r="AN1987" s="91"/>
      <c r="AO1987" s="91"/>
      <c r="AS1987" s="72"/>
      <c r="AT1987" s="96"/>
      <c r="AU1987" s="96"/>
      <c r="AV1987" s="109"/>
    </row>
    <row r="1988" spans="1:48">
      <c r="A1988" s="358" t="s">
        <v>2342</v>
      </c>
      <c r="B1988" s="369">
        <v>1985</v>
      </c>
      <c r="C1988" s="358" t="s">
        <v>2905</v>
      </c>
      <c r="D1988" s="358" t="s">
        <v>2906</v>
      </c>
      <c r="E1988" s="373">
        <v>45992.041666666664</v>
      </c>
      <c r="F1988" s="372" t="s">
        <v>140</v>
      </c>
      <c r="G1988" s="372">
        <v>4</v>
      </c>
      <c r="H1988" s="372" t="s">
        <v>127</v>
      </c>
      <c r="I1988" s="372"/>
      <c r="J1988" s="372"/>
      <c r="K1988" s="358"/>
      <c r="L1988" s="358"/>
      <c r="M1988" s="358"/>
      <c r="N1988" s="358"/>
      <c r="O1988" s="117"/>
      <c r="P1988" s="23" t="s">
        <v>30</v>
      </c>
      <c r="Q1988" s="121">
        <v>46044</v>
      </c>
      <c r="R1988" s="24" t="s">
        <v>67</v>
      </c>
      <c r="S1988" s="22" t="s">
        <v>32</v>
      </c>
      <c r="T1988" s="7">
        <v>4</v>
      </c>
      <c r="U1988" s="24" t="s">
        <v>67</v>
      </c>
      <c r="V1988" s="121">
        <v>46044</v>
      </c>
      <c r="W1988" s="100" t="s">
        <v>113</v>
      </c>
      <c r="X1988" s="100"/>
      <c r="Y1988" s="95"/>
      <c r="Z1988" s="100"/>
      <c r="AA1988" s="100"/>
      <c r="AB1988" s="100"/>
      <c r="AC1988" s="100"/>
      <c r="AD1988" s="100"/>
      <c r="AE1988" s="100"/>
      <c r="AF1988" s="100"/>
      <c r="AG1988" s="100"/>
      <c r="AH1988" s="114"/>
      <c r="AI1988" s="100"/>
      <c r="AJ1988" s="100"/>
      <c r="AK1988" s="100"/>
      <c r="AL1988" s="114"/>
      <c r="AM1988" s="360"/>
      <c r="AN1988" s="6"/>
      <c r="AO1988" s="6"/>
      <c r="AP1988" s="6"/>
      <c r="AQ1988" s="6"/>
      <c r="AR1988" s="6"/>
      <c r="AS1988" s="108"/>
      <c r="AT1988" s="109"/>
      <c r="AU1988" s="109"/>
      <c r="AV1988" s="109"/>
    </row>
    <row r="1989" spans="1:48">
      <c r="A1989" s="358" t="s">
        <v>2342</v>
      </c>
      <c r="B1989" s="369">
        <v>1986</v>
      </c>
      <c r="C1989" s="358" t="s">
        <v>2907</v>
      </c>
      <c r="D1989" s="358" t="s">
        <v>1406</v>
      </c>
      <c r="E1989" s="373">
        <v>45992</v>
      </c>
      <c r="F1989" s="372" t="s">
        <v>140</v>
      </c>
      <c r="G1989" s="372">
        <v>7</v>
      </c>
      <c r="H1989" s="372" t="s">
        <v>1721</v>
      </c>
      <c r="I1989" s="372"/>
      <c r="J1989" s="372"/>
      <c r="K1989" s="358"/>
      <c r="L1989" s="358"/>
      <c r="M1989" s="358"/>
      <c r="N1989" s="358"/>
      <c r="O1989" s="117"/>
      <c r="P1989" s="23" t="s">
        <v>30</v>
      </c>
      <c r="Q1989" s="121">
        <v>46044</v>
      </c>
      <c r="R1989" s="24" t="s">
        <v>67</v>
      </c>
      <c r="S1989" s="22" t="s">
        <v>32</v>
      </c>
      <c r="T1989" s="22">
        <v>7</v>
      </c>
      <c r="U1989" s="24" t="s">
        <v>67</v>
      </c>
      <c r="V1989" s="121">
        <v>46044</v>
      </c>
      <c r="W1989" s="100" t="s">
        <v>113</v>
      </c>
      <c r="X1989" s="100"/>
      <c r="Y1989" s="95"/>
      <c r="Z1989" s="100"/>
      <c r="AA1989" s="100"/>
      <c r="AB1989" s="100"/>
      <c r="AC1989" s="100"/>
      <c r="AD1989" s="100"/>
      <c r="AE1989" s="100"/>
      <c r="AF1989" s="100"/>
      <c r="AG1989" s="100"/>
      <c r="AH1989" s="114"/>
      <c r="AI1989" s="114"/>
      <c r="AJ1989" s="114"/>
      <c r="AK1989" s="114"/>
      <c r="AL1989" s="114"/>
      <c r="AM1989" s="360"/>
      <c r="AN1989" s="6"/>
      <c r="AO1989" s="6"/>
      <c r="AP1989" s="6"/>
      <c r="AQ1989" s="6"/>
      <c r="AR1989" s="6"/>
      <c r="AS1989" s="108"/>
      <c r="AT1989" s="109"/>
      <c r="AU1989" s="109"/>
      <c r="AV1989" s="109"/>
    </row>
    <row r="1990" spans="1:48">
      <c r="A1990" s="358" t="s">
        <v>2342</v>
      </c>
      <c r="B1990" s="369">
        <v>1987</v>
      </c>
      <c r="C1990" s="358" t="s">
        <v>2908</v>
      </c>
      <c r="D1990" s="358" t="s">
        <v>1887</v>
      </c>
      <c r="E1990" s="373">
        <v>45992</v>
      </c>
      <c r="F1990" s="372" t="s">
        <v>140</v>
      </c>
      <c r="G1990" s="372">
        <v>3</v>
      </c>
      <c r="H1990" s="372" t="s">
        <v>1721</v>
      </c>
      <c r="I1990" s="372"/>
      <c r="J1990" s="372"/>
      <c r="K1990" s="358"/>
      <c r="L1990" s="358"/>
      <c r="M1990" s="358"/>
      <c r="N1990" s="358"/>
      <c r="O1990" s="380"/>
      <c r="P1990" s="23" t="s">
        <v>30</v>
      </c>
      <c r="Q1990" s="121">
        <v>46044</v>
      </c>
      <c r="R1990" s="24" t="s">
        <v>67</v>
      </c>
      <c r="S1990" s="22" t="s">
        <v>32</v>
      </c>
      <c r="T1990" s="22">
        <v>3</v>
      </c>
      <c r="U1990" s="24" t="s">
        <v>67</v>
      </c>
      <c r="V1990" s="121">
        <v>46044</v>
      </c>
      <c r="W1990" s="100" t="s">
        <v>113</v>
      </c>
      <c r="X1990" s="100"/>
      <c r="Y1990" s="95"/>
      <c r="Z1990" s="100"/>
      <c r="AA1990" s="100"/>
      <c r="AB1990" s="100"/>
      <c r="AC1990" s="100"/>
      <c r="AD1990" s="100"/>
      <c r="AE1990" s="100"/>
      <c r="AF1990" s="100"/>
      <c r="AG1990" s="100"/>
      <c r="AH1990" s="114"/>
      <c r="AI1990" s="114"/>
      <c r="AJ1990" s="114"/>
      <c r="AK1990" s="114"/>
      <c r="AL1990" s="114"/>
      <c r="AM1990" s="360"/>
      <c r="AN1990" s="91"/>
      <c r="AO1990" s="91"/>
      <c r="AS1990" s="72"/>
      <c r="AT1990" s="96"/>
      <c r="AU1990" s="96"/>
      <c r="AV1990" s="109"/>
    </row>
    <row r="1991" spans="1:48">
      <c r="A1991" s="358" t="s">
        <v>2342</v>
      </c>
      <c r="B1991" s="369">
        <v>1988</v>
      </c>
      <c r="C1991" s="358" t="s">
        <v>2909</v>
      </c>
      <c r="D1991" s="358" t="s">
        <v>1885</v>
      </c>
      <c r="E1991" s="373">
        <v>45992</v>
      </c>
      <c r="F1991" s="372" t="s">
        <v>140</v>
      </c>
      <c r="G1991" s="372">
        <v>37</v>
      </c>
      <c r="H1991" s="372" t="s">
        <v>1721</v>
      </c>
      <c r="I1991" s="372"/>
      <c r="J1991" s="372"/>
      <c r="K1991" s="358"/>
      <c r="L1991" s="358"/>
      <c r="M1991" s="358"/>
      <c r="N1991" s="358"/>
      <c r="O1991" s="380" t="s">
        <v>2863</v>
      </c>
      <c r="P1991" s="23" t="s">
        <v>30</v>
      </c>
      <c r="Q1991" s="121">
        <v>46044</v>
      </c>
      <c r="R1991" s="24" t="s">
        <v>67</v>
      </c>
      <c r="S1991" s="22" t="s">
        <v>32</v>
      </c>
      <c r="T1991" s="22">
        <v>36</v>
      </c>
      <c r="U1991" s="24" t="s">
        <v>67</v>
      </c>
      <c r="V1991" s="23">
        <v>46045</v>
      </c>
      <c r="W1991" s="100" t="s">
        <v>113</v>
      </c>
      <c r="X1991" s="100"/>
      <c r="Y1991" s="107"/>
      <c r="Z1991" s="100"/>
      <c r="AA1991" s="95"/>
      <c r="AB1991" s="100"/>
      <c r="AC1991" s="100"/>
      <c r="AD1991" s="100"/>
      <c r="AE1991" s="100"/>
      <c r="AF1991" s="100"/>
      <c r="AG1991" s="100"/>
      <c r="AH1991" s="114"/>
      <c r="AI1991" s="114"/>
      <c r="AJ1991" s="114"/>
      <c r="AK1991" s="114"/>
      <c r="AL1991" s="114"/>
      <c r="AM1991" s="360"/>
      <c r="AN1991" s="6">
        <v>0</v>
      </c>
      <c r="AO1991" s="6">
        <v>0</v>
      </c>
      <c r="AP1991" s="6">
        <v>37</v>
      </c>
      <c r="AQ1991" s="6">
        <v>0</v>
      </c>
      <c r="AR1991" s="6">
        <f>SUM(AN1991:AQ1991)</f>
        <v>37</v>
      </c>
      <c r="AS1991" s="108">
        <f>+AN1991/AR1991*AS$1</f>
        <v>0</v>
      </c>
      <c r="AT1991" s="109">
        <f>+AO1991/AR1991*AT$1</f>
        <v>0</v>
      </c>
      <c r="AU1991" s="109">
        <f>+AP1991/AR1991*AU$1</f>
        <v>0</v>
      </c>
      <c r="AV1991" s="109">
        <f>+AQ1991/AR1991*AV$1</f>
        <v>0</v>
      </c>
    </row>
    <row r="1992" spans="1:48">
      <c r="A1992" s="358" t="s">
        <v>2342</v>
      </c>
      <c r="B1992" s="369">
        <v>1989</v>
      </c>
      <c r="C1992" s="358" t="s">
        <v>2910</v>
      </c>
      <c r="D1992" s="358" t="s">
        <v>937</v>
      </c>
      <c r="E1992" s="373">
        <v>45992.041666666664</v>
      </c>
      <c r="F1992" s="372" t="s">
        <v>140</v>
      </c>
      <c r="G1992" s="372">
        <v>11</v>
      </c>
      <c r="H1992" s="372" t="s">
        <v>1811</v>
      </c>
      <c r="I1992" s="372"/>
      <c r="J1992" s="372"/>
      <c r="K1992" s="358"/>
      <c r="L1992" s="358"/>
      <c r="M1992" s="358"/>
      <c r="N1992" s="358"/>
      <c r="O1992" s="380"/>
      <c r="P1992" s="23" t="s">
        <v>30</v>
      </c>
      <c r="Q1992" s="23">
        <v>46045</v>
      </c>
      <c r="R1992" s="24" t="s">
        <v>67</v>
      </c>
      <c r="S1992" s="22" t="s">
        <v>32</v>
      </c>
      <c r="T1992" s="22">
        <v>3</v>
      </c>
      <c r="U1992" s="24" t="s">
        <v>67</v>
      </c>
      <c r="V1992" s="23">
        <v>46045</v>
      </c>
      <c r="W1992" s="100" t="s">
        <v>113</v>
      </c>
      <c r="X1992" s="100"/>
      <c r="Y1992" s="95"/>
      <c r="Z1992" s="100"/>
      <c r="AA1992" s="100"/>
      <c r="AB1992" s="100"/>
      <c r="AC1992" s="100"/>
      <c r="AD1992" s="100"/>
      <c r="AE1992" s="100"/>
      <c r="AF1992" s="100"/>
      <c r="AG1992" s="100"/>
      <c r="AH1992" s="114"/>
      <c r="AI1992" s="114"/>
      <c r="AJ1992" s="111"/>
      <c r="AK1992" s="111"/>
      <c r="AL1992" s="114"/>
      <c r="AM1992" s="360"/>
      <c r="AV1992" s="109"/>
    </row>
    <row r="1993" spans="1:48">
      <c r="A1993" s="358" t="s">
        <v>2342</v>
      </c>
      <c r="B1993" s="369">
        <v>1990</v>
      </c>
      <c r="C1993" s="358" t="s">
        <v>2911</v>
      </c>
      <c r="D1993" s="358" t="s">
        <v>2912</v>
      </c>
      <c r="E1993" s="373">
        <v>45992.375</v>
      </c>
      <c r="F1993" s="372" t="s">
        <v>140</v>
      </c>
      <c r="G1993" s="372">
        <v>9</v>
      </c>
      <c r="H1993" s="372" t="s">
        <v>127</v>
      </c>
      <c r="I1993" s="372"/>
      <c r="J1993" s="372"/>
      <c r="K1993" s="358"/>
      <c r="L1993" s="358"/>
      <c r="M1993" s="358"/>
      <c r="N1993" s="358"/>
      <c r="O1993" s="117"/>
      <c r="P1993" s="23" t="s">
        <v>30</v>
      </c>
      <c r="Q1993" s="23">
        <v>46045</v>
      </c>
      <c r="R1993" s="24" t="s">
        <v>67</v>
      </c>
      <c r="S1993" s="22" t="s">
        <v>32</v>
      </c>
      <c r="T1993" s="22">
        <v>9</v>
      </c>
      <c r="U1993" s="24" t="s">
        <v>67</v>
      </c>
      <c r="V1993" s="23">
        <v>46045</v>
      </c>
      <c r="W1993" s="100" t="s">
        <v>113</v>
      </c>
      <c r="X1993" s="100"/>
      <c r="Y1993" s="95"/>
      <c r="Z1993" s="100"/>
      <c r="AA1993" s="95"/>
      <c r="AB1993" s="100"/>
      <c r="AC1993" s="100"/>
      <c r="AD1993" s="100"/>
      <c r="AE1993" s="100"/>
      <c r="AF1993" s="100"/>
      <c r="AG1993" s="100"/>
      <c r="AH1993" s="114"/>
      <c r="AI1993" s="114"/>
      <c r="AJ1993" s="114"/>
      <c r="AK1993" s="114"/>
      <c r="AL1993" s="114"/>
      <c r="AM1993" s="360"/>
      <c r="AS1993" s="72"/>
      <c r="AT1993" s="96"/>
      <c r="AU1993" s="96"/>
      <c r="AV1993" s="109"/>
    </row>
    <row r="1994" spans="1:48">
      <c r="A1994" s="358" t="s">
        <v>2342</v>
      </c>
      <c r="B1994" s="369">
        <v>1991</v>
      </c>
      <c r="C1994" s="358" t="s">
        <v>2913</v>
      </c>
      <c r="D1994" s="358" t="s">
        <v>816</v>
      </c>
      <c r="E1994" s="373">
        <v>45992.041666666664</v>
      </c>
      <c r="F1994" s="372" t="s">
        <v>140</v>
      </c>
      <c r="G1994" s="372">
        <v>4</v>
      </c>
      <c r="H1994" s="372" t="s">
        <v>1077</v>
      </c>
      <c r="I1994" s="372"/>
      <c r="J1994" s="372"/>
      <c r="K1994" s="358"/>
      <c r="L1994" s="358"/>
      <c r="M1994" s="358"/>
      <c r="N1994" s="358"/>
      <c r="O1994" s="380"/>
      <c r="P1994" s="23" t="s">
        <v>30</v>
      </c>
      <c r="Q1994" s="23">
        <v>46045</v>
      </c>
      <c r="R1994" s="24" t="s">
        <v>67</v>
      </c>
      <c r="S1994" s="22" t="s">
        <v>32</v>
      </c>
      <c r="T1994" s="22">
        <v>4</v>
      </c>
      <c r="U1994" s="24" t="s">
        <v>67</v>
      </c>
      <c r="V1994" s="23">
        <v>46045</v>
      </c>
      <c r="W1994" s="100" t="s">
        <v>113</v>
      </c>
      <c r="X1994" s="100"/>
      <c r="Y1994" s="95"/>
      <c r="Z1994" s="100"/>
      <c r="AA1994" s="100"/>
      <c r="AB1994" s="100"/>
      <c r="AC1994" s="100"/>
      <c r="AD1994" s="100"/>
      <c r="AE1994" s="100"/>
      <c r="AF1994" s="100"/>
      <c r="AG1994" s="100"/>
      <c r="AH1994" s="114"/>
      <c r="AI1994" s="114"/>
      <c r="AJ1994" s="114"/>
      <c r="AK1994" s="111"/>
      <c r="AL1994" s="114"/>
      <c r="AM1994" s="360"/>
      <c r="AS1994" s="72"/>
      <c r="AT1994" s="96"/>
      <c r="AU1994" s="96"/>
      <c r="AV1994" s="109"/>
    </row>
    <row r="1995" spans="1:48">
      <c r="A1995" s="358" t="s">
        <v>2342</v>
      </c>
      <c r="B1995" s="369">
        <v>1992</v>
      </c>
      <c r="C1995" s="358" t="s">
        <v>2914</v>
      </c>
      <c r="D1995" s="358" t="s">
        <v>1567</v>
      </c>
      <c r="E1995" s="373">
        <v>45992</v>
      </c>
      <c r="F1995" s="372" t="s">
        <v>140</v>
      </c>
      <c r="G1995" s="372">
        <v>1</v>
      </c>
      <c r="H1995" s="372" t="s">
        <v>67</v>
      </c>
      <c r="I1995" s="372"/>
      <c r="J1995" s="372"/>
      <c r="K1995" s="358"/>
      <c r="L1995" s="358"/>
      <c r="M1995" s="358"/>
      <c r="N1995" s="358"/>
      <c r="O1995" s="380"/>
      <c r="P1995" s="23" t="s">
        <v>30</v>
      </c>
      <c r="Q1995" s="23">
        <v>46045</v>
      </c>
      <c r="R1995" s="24" t="s">
        <v>67</v>
      </c>
      <c r="S1995" s="22" t="s">
        <v>32</v>
      </c>
      <c r="T1995" s="22">
        <v>1</v>
      </c>
      <c r="U1995" s="24" t="s">
        <v>67</v>
      </c>
      <c r="V1995" s="23">
        <v>46045</v>
      </c>
      <c r="W1995" s="100" t="s">
        <v>113</v>
      </c>
      <c r="X1995" s="107"/>
      <c r="Y1995" s="107"/>
      <c r="Z1995" s="100"/>
      <c r="AA1995" s="100"/>
      <c r="AB1995" s="100"/>
      <c r="AC1995" s="100"/>
      <c r="AD1995" s="100"/>
      <c r="AE1995" s="100"/>
      <c r="AF1995" s="100"/>
      <c r="AG1995" s="100"/>
      <c r="AH1995" s="114"/>
      <c r="AI1995" s="114"/>
      <c r="AJ1995" s="114"/>
      <c r="AK1995" s="114"/>
      <c r="AL1995" s="114"/>
      <c r="AM1995" s="360"/>
      <c r="AV1995" s="109"/>
    </row>
    <row r="1996" spans="1:48">
      <c r="A1996" s="358" t="s">
        <v>2342</v>
      </c>
      <c r="B1996" s="369">
        <v>1993</v>
      </c>
      <c r="C1996" s="358" t="s">
        <v>2915</v>
      </c>
      <c r="D1996" s="358" t="s">
        <v>779</v>
      </c>
      <c r="E1996" s="373">
        <v>45992</v>
      </c>
      <c r="F1996" s="372" t="s">
        <v>140</v>
      </c>
      <c r="G1996" s="372">
        <v>4</v>
      </c>
      <c r="H1996" s="372" t="s">
        <v>127</v>
      </c>
      <c r="I1996" s="372"/>
      <c r="J1996" s="372"/>
      <c r="K1996" s="358"/>
      <c r="L1996" s="358"/>
      <c r="M1996" s="358"/>
      <c r="N1996" s="358"/>
      <c r="O1996" s="117"/>
      <c r="P1996" s="23" t="s">
        <v>30</v>
      </c>
      <c r="Q1996" s="23">
        <v>46045</v>
      </c>
      <c r="R1996" s="24" t="s">
        <v>67</v>
      </c>
      <c r="S1996" s="22" t="s">
        <v>32</v>
      </c>
      <c r="T1996" s="22">
        <v>4</v>
      </c>
      <c r="U1996" s="24" t="s">
        <v>67</v>
      </c>
      <c r="V1996" s="23">
        <v>46045</v>
      </c>
      <c r="W1996" s="100" t="s">
        <v>113</v>
      </c>
      <c r="X1996" s="100"/>
      <c r="Y1996" s="95"/>
      <c r="Z1996" s="95"/>
      <c r="AA1996" s="95"/>
      <c r="AB1996" s="95"/>
      <c r="AC1996" s="100"/>
      <c r="AD1996" s="100"/>
      <c r="AE1996" s="100"/>
      <c r="AF1996" s="100"/>
      <c r="AG1996" s="100"/>
      <c r="AH1996" s="114"/>
      <c r="AI1996" s="100"/>
      <c r="AJ1996" s="100"/>
      <c r="AK1996" s="100"/>
      <c r="AL1996" s="114"/>
      <c r="AM1996" s="360"/>
      <c r="AN1996" s="6"/>
      <c r="AO1996" s="6"/>
      <c r="AP1996" s="6"/>
      <c r="AQ1996" s="6"/>
      <c r="AR1996" s="6"/>
      <c r="AS1996" s="108"/>
      <c r="AT1996" s="109"/>
      <c r="AU1996" s="109"/>
      <c r="AV1996" s="109"/>
    </row>
    <row r="1997" spans="1:48">
      <c r="A1997" s="358" t="s">
        <v>2342</v>
      </c>
      <c r="B1997" s="369">
        <v>1994</v>
      </c>
      <c r="C1997" s="358" t="s">
        <v>2916</v>
      </c>
      <c r="D1997" s="358" t="s">
        <v>2917</v>
      </c>
      <c r="E1997" s="373">
        <v>45992.375</v>
      </c>
      <c r="F1997" s="372" t="s">
        <v>140</v>
      </c>
      <c r="G1997" s="372">
        <v>11</v>
      </c>
      <c r="H1997" s="372" t="s">
        <v>67</v>
      </c>
      <c r="I1997" s="372"/>
      <c r="J1997" s="372"/>
      <c r="K1997" s="358"/>
      <c r="L1997" s="358"/>
      <c r="M1997" s="358"/>
      <c r="N1997" s="358"/>
      <c r="O1997" s="117"/>
      <c r="P1997" s="23" t="s">
        <v>30</v>
      </c>
      <c r="Q1997" s="23">
        <v>46045</v>
      </c>
      <c r="R1997" s="24" t="s">
        <v>67</v>
      </c>
      <c r="S1997" s="22" t="s">
        <v>32</v>
      </c>
      <c r="T1997" s="22">
        <v>11</v>
      </c>
      <c r="U1997" s="24" t="s">
        <v>67</v>
      </c>
      <c r="V1997" s="23">
        <v>46046</v>
      </c>
      <c r="W1997" s="100" t="s">
        <v>113</v>
      </c>
      <c r="X1997" s="100"/>
      <c r="Y1997" s="95"/>
      <c r="Z1997" s="100"/>
      <c r="AA1997" s="100"/>
      <c r="AB1997" s="100"/>
      <c r="AC1997" s="100"/>
      <c r="AD1997" s="100"/>
      <c r="AE1997" s="100"/>
      <c r="AF1997" s="100"/>
      <c r="AG1997" s="100"/>
      <c r="AH1997" s="114"/>
      <c r="AI1997" s="111"/>
      <c r="AJ1997" s="111"/>
      <c r="AK1997" s="111"/>
      <c r="AL1997" s="114"/>
      <c r="AM1997" s="360"/>
      <c r="AR1997" s="88"/>
      <c r="AS1997" s="72"/>
      <c r="AT1997" s="72"/>
      <c r="AU1997" s="72"/>
      <c r="AV1997" s="109"/>
    </row>
    <row r="1998" spans="1:48">
      <c r="A1998" s="358" t="s">
        <v>2342</v>
      </c>
      <c r="B1998" s="369">
        <v>1995</v>
      </c>
      <c r="C1998" s="358" t="s">
        <v>2918</v>
      </c>
      <c r="D1998" s="358" t="s">
        <v>846</v>
      </c>
      <c r="E1998" s="373">
        <v>45992</v>
      </c>
      <c r="F1998" s="372" t="s">
        <v>140</v>
      </c>
      <c r="G1998" s="372">
        <v>1</v>
      </c>
      <c r="H1998" s="372" t="s">
        <v>1721</v>
      </c>
      <c r="I1998" s="372"/>
      <c r="J1998" s="372"/>
      <c r="K1998" s="358"/>
      <c r="L1998" s="358"/>
      <c r="M1998" s="358"/>
      <c r="N1998" s="358"/>
      <c r="O1998" s="380"/>
      <c r="P1998" s="23" t="s">
        <v>30</v>
      </c>
      <c r="Q1998" s="23">
        <v>46046</v>
      </c>
      <c r="R1998" s="24" t="s">
        <v>67</v>
      </c>
      <c r="S1998" s="22" t="s">
        <v>32</v>
      </c>
      <c r="T1998" s="22">
        <v>1</v>
      </c>
      <c r="U1998" s="24" t="s">
        <v>67</v>
      </c>
      <c r="V1998" s="23">
        <v>46046</v>
      </c>
      <c r="W1998" s="100" t="s">
        <v>113</v>
      </c>
      <c r="X1998" s="100"/>
      <c r="Y1998" s="95"/>
      <c r="Z1998" s="100"/>
      <c r="AA1998" s="100"/>
      <c r="AB1998" s="100"/>
      <c r="AC1998" s="100"/>
      <c r="AD1998" s="100"/>
      <c r="AE1998" s="100"/>
      <c r="AF1998" s="100"/>
      <c r="AG1998" s="100"/>
      <c r="AH1998" s="114"/>
      <c r="AI1998" s="114"/>
      <c r="AJ1998" s="114"/>
      <c r="AK1998" s="114"/>
      <c r="AL1998" s="114"/>
      <c r="AM1998" s="360"/>
      <c r="AS1998" s="72"/>
      <c r="AT1998" s="96"/>
      <c r="AU1998" s="96"/>
      <c r="AV1998" s="109"/>
    </row>
    <row r="1999" spans="1:48">
      <c r="A1999" s="358" t="s">
        <v>2342</v>
      </c>
      <c r="B1999" s="369">
        <v>1996</v>
      </c>
      <c r="C1999" s="358" t="s">
        <v>2919</v>
      </c>
      <c r="D1999" s="358" t="s">
        <v>1544</v>
      </c>
      <c r="E1999" s="373">
        <v>45999.041666666664</v>
      </c>
      <c r="F1999" s="372" t="s">
        <v>140</v>
      </c>
      <c r="G1999" s="372">
        <v>2</v>
      </c>
      <c r="H1999" s="372" t="s">
        <v>127</v>
      </c>
      <c r="I1999" s="372"/>
      <c r="J1999" s="372"/>
      <c r="K1999" s="358"/>
      <c r="L1999" s="358"/>
      <c r="M1999" s="358"/>
      <c r="N1999" s="358"/>
      <c r="O1999" s="117"/>
      <c r="P1999" s="23" t="s">
        <v>30</v>
      </c>
      <c r="Q1999" s="23">
        <v>46046</v>
      </c>
      <c r="R1999" s="24" t="s">
        <v>67</v>
      </c>
      <c r="S1999" s="22" t="s">
        <v>32</v>
      </c>
      <c r="T1999" s="22">
        <v>2</v>
      </c>
      <c r="U1999" s="24" t="s">
        <v>67</v>
      </c>
      <c r="V1999" s="23">
        <v>46046</v>
      </c>
      <c r="W1999" s="100" t="s">
        <v>113</v>
      </c>
      <c r="X1999" s="107"/>
      <c r="Y1999" s="107"/>
      <c r="Z1999" s="100"/>
      <c r="AA1999" s="100"/>
      <c r="AB1999" s="100"/>
      <c r="AC1999" s="100"/>
      <c r="AD1999" s="100"/>
      <c r="AE1999" s="100"/>
      <c r="AF1999" s="100"/>
      <c r="AG1999" s="100"/>
      <c r="AH1999" s="114"/>
      <c r="AI1999" s="114"/>
      <c r="AJ1999" s="114"/>
      <c r="AK1999" s="114"/>
      <c r="AL1999" s="114"/>
      <c r="AM1999" s="360"/>
      <c r="AV1999" s="109"/>
    </row>
    <row r="2000" spans="1:48">
      <c r="A2000" s="358" t="s">
        <v>2342</v>
      </c>
      <c r="B2000" s="369">
        <v>1997</v>
      </c>
      <c r="C2000" s="358" t="s">
        <v>2920</v>
      </c>
      <c r="D2000" s="358" t="s">
        <v>758</v>
      </c>
      <c r="E2000" s="373">
        <v>45999.041666666664</v>
      </c>
      <c r="F2000" s="372" t="s">
        <v>140</v>
      </c>
      <c r="G2000" s="372">
        <v>1</v>
      </c>
      <c r="H2000" s="372" t="s">
        <v>127</v>
      </c>
      <c r="I2000" s="372"/>
      <c r="J2000" s="372"/>
      <c r="K2000" s="358"/>
      <c r="L2000" s="358"/>
      <c r="M2000" s="358"/>
      <c r="N2000" s="358"/>
      <c r="O2000" s="380"/>
      <c r="P2000" s="23" t="s">
        <v>30</v>
      </c>
      <c r="Q2000" s="23">
        <v>46046</v>
      </c>
      <c r="R2000" s="24" t="s">
        <v>67</v>
      </c>
      <c r="S2000" s="22" t="s">
        <v>32</v>
      </c>
      <c r="T2000" s="22">
        <v>1</v>
      </c>
      <c r="U2000" s="24" t="s">
        <v>67</v>
      </c>
      <c r="V2000" s="23">
        <v>46046</v>
      </c>
      <c r="W2000" s="100" t="s">
        <v>113</v>
      </c>
      <c r="X2000" s="100"/>
      <c r="Y2000" s="95"/>
      <c r="Z2000" s="100"/>
      <c r="AA2000" s="100"/>
      <c r="AB2000" s="100"/>
      <c r="AC2000" s="100"/>
      <c r="AD2000" s="100"/>
      <c r="AE2000" s="100"/>
      <c r="AF2000" s="100"/>
      <c r="AG2000" s="100"/>
      <c r="AH2000" s="114"/>
      <c r="AI2000" s="111"/>
      <c r="AJ2000" s="111"/>
      <c r="AK2000" s="111"/>
      <c r="AL2000" s="114"/>
      <c r="AM2000" s="360"/>
      <c r="AV2000" s="109"/>
    </row>
    <row r="2001" spans="1:48">
      <c r="A2001" s="358" t="s">
        <v>2342</v>
      </c>
      <c r="B2001" s="369">
        <v>1998</v>
      </c>
      <c r="C2001" s="358" t="s">
        <v>2921</v>
      </c>
      <c r="D2001" s="358" t="s">
        <v>850</v>
      </c>
      <c r="E2001" s="373">
        <v>45999.041666666664</v>
      </c>
      <c r="F2001" s="372" t="s">
        <v>140</v>
      </c>
      <c r="G2001" s="372">
        <v>1</v>
      </c>
      <c r="H2001" s="372" t="s">
        <v>127</v>
      </c>
      <c r="I2001" s="372"/>
      <c r="J2001" s="372"/>
      <c r="K2001" s="358"/>
      <c r="L2001" s="358"/>
      <c r="M2001" s="358"/>
      <c r="N2001" s="358"/>
      <c r="O2001" s="117"/>
      <c r="P2001" s="23" t="s">
        <v>30</v>
      </c>
      <c r="Q2001" s="23">
        <v>46046</v>
      </c>
      <c r="R2001" s="24" t="s">
        <v>67</v>
      </c>
      <c r="S2001" s="22" t="s">
        <v>32</v>
      </c>
      <c r="T2001" s="22">
        <v>1</v>
      </c>
      <c r="U2001" s="24" t="s">
        <v>67</v>
      </c>
      <c r="V2001" s="23">
        <v>46046</v>
      </c>
      <c r="W2001" s="100" t="s">
        <v>113</v>
      </c>
      <c r="X2001" s="107"/>
      <c r="Y2001" s="107"/>
      <c r="Z2001" s="100"/>
      <c r="AA2001" s="100"/>
      <c r="AB2001" s="100"/>
      <c r="AC2001" s="100"/>
      <c r="AD2001" s="100"/>
      <c r="AE2001" s="100"/>
      <c r="AF2001" s="100"/>
      <c r="AG2001" s="100"/>
      <c r="AH2001" s="114"/>
      <c r="AI2001" s="114"/>
      <c r="AJ2001" s="114"/>
      <c r="AK2001" s="114"/>
      <c r="AL2001" s="114"/>
      <c r="AM2001" s="360"/>
      <c r="AN2001" s="6"/>
      <c r="AO2001" s="6"/>
      <c r="AP2001" s="6"/>
      <c r="AQ2001" s="6"/>
      <c r="AR2001" s="6"/>
      <c r="AS2001" s="108"/>
      <c r="AT2001" s="109"/>
      <c r="AU2001" s="109"/>
      <c r="AV2001" s="109"/>
    </row>
    <row r="2002" spans="1:48">
      <c r="A2002" s="358" t="s">
        <v>2342</v>
      </c>
      <c r="B2002" s="369">
        <v>1999</v>
      </c>
      <c r="C2002" s="358" t="s">
        <v>2922</v>
      </c>
      <c r="D2002" s="358" t="s">
        <v>2834</v>
      </c>
      <c r="E2002" s="373">
        <v>45999.166666666664</v>
      </c>
      <c r="F2002" s="372" t="s">
        <v>140</v>
      </c>
      <c r="G2002" s="372">
        <v>7</v>
      </c>
      <c r="H2002" s="372" t="s">
        <v>1077</v>
      </c>
      <c r="I2002" s="372"/>
      <c r="J2002" s="372"/>
      <c r="K2002" s="358"/>
      <c r="L2002" s="358"/>
      <c r="M2002" s="358"/>
      <c r="N2002" s="358"/>
      <c r="O2002" s="117"/>
      <c r="P2002" s="23" t="s">
        <v>30</v>
      </c>
      <c r="Q2002" s="23">
        <v>46046</v>
      </c>
      <c r="R2002" s="24" t="s">
        <v>67</v>
      </c>
      <c r="S2002" s="22" t="s">
        <v>32</v>
      </c>
      <c r="T2002" s="22">
        <v>14</v>
      </c>
      <c r="U2002" s="24" t="s">
        <v>67</v>
      </c>
      <c r="V2002" s="23">
        <v>46046</v>
      </c>
      <c r="W2002" s="100" t="s">
        <v>113</v>
      </c>
      <c r="X2002" s="100"/>
      <c r="Y2002" s="95"/>
      <c r="Z2002" s="100"/>
      <c r="AA2002" s="100"/>
      <c r="AB2002" s="100"/>
      <c r="AC2002" s="100"/>
      <c r="AD2002" s="100"/>
      <c r="AE2002" s="100"/>
      <c r="AF2002" s="100"/>
      <c r="AG2002" s="100"/>
      <c r="AH2002" s="114"/>
      <c r="AI2002" s="114"/>
      <c r="AJ2002" s="114"/>
      <c r="AK2002" s="114"/>
      <c r="AL2002" s="114"/>
      <c r="AM2002" s="360"/>
      <c r="AN2002" s="6"/>
      <c r="AO2002" s="6"/>
      <c r="AP2002" s="6"/>
      <c r="AQ2002" s="6"/>
      <c r="AR2002" s="6"/>
      <c r="AS2002" s="108"/>
      <c r="AT2002" s="109"/>
      <c r="AU2002" s="109"/>
      <c r="AV2002" s="109"/>
    </row>
    <row r="2003" spans="1:48">
      <c r="A2003" s="358" t="s">
        <v>2342</v>
      </c>
      <c r="B2003" s="369">
        <v>2000</v>
      </c>
      <c r="C2003" s="358" t="s">
        <v>2923</v>
      </c>
      <c r="D2003" s="358" t="s">
        <v>779</v>
      </c>
      <c r="E2003" s="373">
        <v>45999.375</v>
      </c>
      <c r="F2003" s="372" t="s">
        <v>140</v>
      </c>
      <c r="G2003" s="372">
        <v>6</v>
      </c>
      <c r="H2003" s="372" t="s">
        <v>1843</v>
      </c>
      <c r="I2003" s="372"/>
      <c r="J2003" s="372"/>
      <c r="K2003" s="358"/>
      <c r="L2003" s="358"/>
      <c r="M2003" s="358"/>
      <c r="N2003" s="358"/>
      <c r="O2003" s="117"/>
      <c r="P2003" s="23" t="s">
        <v>30</v>
      </c>
      <c r="Q2003" s="23">
        <v>46046</v>
      </c>
      <c r="R2003" s="24" t="s">
        <v>67</v>
      </c>
      <c r="S2003" s="22" t="s">
        <v>32</v>
      </c>
      <c r="T2003" s="22">
        <v>6</v>
      </c>
      <c r="U2003" s="24" t="s">
        <v>67</v>
      </c>
      <c r="V2003" s="23">
        <v>46046</v>
      </c>
      <c r="W2003" s="100" t="s">
        <v>113</v>
      </c>
      <c r="X2003" s="100"/>
      <c r="Y2003" s="95"/>
      <c r="Z2003" s="95"/>
      <c r="AA2003" s="95"/>
      <c r="AB2003" s="100"/>
      <c r="AC2003" s="100"/>
      <c r="AD2003" s="100"/>
      <c r="AE2003" s="100"/>
      <c r="AF2003" s="100"/>
      <c r="AG2003" s="100"/>
      <c r="AH2003" s="114"/>
      <c r="AI2003" s="114"/>
      <c r="AJ2003" s="114"/>
      <c r="AK2003" s="100"/>
      <c r="AL2003" s="114"/>
      <c r="AM2003" s="360"/>
      <c r="AO2003" s="412"/>
      <c r="AP2003" s="412"/>
      <c r="AQ2003" s="412"/>
      <c r="AR2003" s="412"/>
      <c r="AV2003" s="109"/>
    </row>
    <row r="2004" spans="1:48">
      <c r="A2004" s="358" t="s">
        <v>2342</v>
      </c>
      <c r="B2004" s="369">
        <v>2001</v>
      </c>
      <c r="C2004" s="358" t="s">
        <v>2924</v>
      </c>
      <c r="D2004" s="358" t="s">
        <v>2925</v>
      </c>
      <c r="E2004" s="373">
        <v>45999.375</v>
      </c>
      <c r="F2004" s="372" t="s">
        <v>140</v>
      </c>
      <c r="G2004" s="372">
        <v>4</v>
      </c>
      <c r="H2004" s="372" t="s">
        <v>2926</v>
      </c>
      <c r="I2004" s="372"/>
      <c r="J2004" s="372"/>
      <c r="K2004" s="358"/>
      <c r="L2004" s="358"/>
      <c r="M2004" s="358"/>
      <c r="N2004" s="358"/>
      <c r="O2004" s="117"/>
      <c r="P2004" s="23" t="s">
        <v>30</v>
      </c>
      <c r="Q2004" s="23">
        <v>46046</v>
      </c>
      <c r="R2004" s="24" t="s">
        <v>67</v>
      </c>
      <c r="S2004" s="22" t="s">
        <v>32</v>
      </c>
      <c r="T2004" s="22">
        <v>4</v>
      </c>
      <c r="U2004" s="24" t="s">
        <v>67</v>
      </c>
      <c r="V2004" s="23">
        <v>46046</v>
      </c>
      <c r="W2004" s="100" t="s">
        <v>113</v>
      </c>
      <c r="X2004" s="100"/>
      <c r="Y2004" s="95"/>
      <c r="Z2004" s="95"/>
      <c r="AA2004" s="95"/>
      <c r="AB2004" s="95"/>
      <c r="AC2004" s="100"/>
      <c r="AD2004" s="100"/>
      <c r="AE2004" s="100"/>
      <c r="AF2004" s="100"/>
      <c r="AG2004" s="100"/>
      <c r="AH2004" s="114"/>
      <c r="AI2004" s="100"/>
      <c r="AJ2004" s="100"/>
      <c r="AK2004" s="100"/>
      <c r="AL2004" s="114"/>
      <c r="AM2004" s="360"/>
      <c r="AN2004" s="6"/>
      <c r="AO2004" s="6"/>
      <c r="AP2004" s="6"/>
      <c r="AQ2004" s="6"/>
      <c r="AR2004" s="6"/>
      <c r="AS2004" s="108"/>
      <c r="AT2004" s="109"/>
      <c r="AU2004" s="109"/>
      <c r="AV2004" s="109"/>
    </row>
    <row r="2005" spans="1:48">
      <c r="A2005" s="358" t="s">
        <v>2342</v>
      </c>
      <c r="B2005" s="369">
        <v>2002</v>
      </c>
      <c r="C2005" s="358" t="s">
        <v>2927</v>
      </c>
      <c r="D2005" s="358" t="s">
        <v>846</v>
      </c>
      <c r="E2005" s="373">
        <v>45999.041666666664</v>
      </c>
      <c r="F2005" s="372" t="s">
        <v>140</v>
      </c>
      <c r="G2005" s="372">
        <v>2</v>
      </c>
      <c r="H2005" s="372" t="s">
        <v>127</v>
      </c>
      <c r="I2005" s="372"/>
      <c r="J2005" s="372"/>
      <c r="K2005" s="358"/>
      <c r="L2005" s="358"/>
      <c r="M2005" s="358"/>
      <c r="N2005" s="358"/>
      <c r="O2005" s="117"/>
      <c r="P2005" s="23" t="s">
        <v>30</v>
      </c>
      <c r="Q2005" s="23">
        <v>46046</v>
      </c>
      <c r="R2005" s="24" t="s">
        <v>67</v>
      </c>
      <c r="S2005" s="22" t="s">
        <v>32</v>
      </c>
      <c r="T2005" s="22">
        <v>2</v>
      </c>
      <c r="U2005" s="24" t="s">
        <v>67</v>
      </c>
      <c r="V2005" s="23">
        <v>46046</v>
      </c>
      <c r="W2005" s="100" t="s">
        <v>113</v>
      </c>
      <c r="X2005" s="100"/>
      <c r="Y2005" s="95"/>
      <c r="Z2005" s="100"/>
      <c r="AA2005" s="100"/>
      <c r="AB2005" s="100"/>
      <c r="AC2005" s="100"/>
      <c r="AD2005" s="100"/>
      <c r="AE2005" s="100"/>
      <c r="AF2005" s="100"/>
      <c r="AG2005" s="100"/>
      <c r="AH2005" s="114"/>
      <c r="AI2005" s="100"/>
      <c r="AJ2005" s="100"/>
      <c r="AK2005" s="100"/>
      <c r="AL2005" s="114"/>
      <c r="AM2005" s="360"/>
      <c r="AO2005" s="412"/>
      <c r="AP2005" s="412"/>
      <c r="AQ2005" s="412"/>
      <c r="AR2005" s="412"/>
      <c r="AV2005" s="109"/>
    </row>
    <row r="2006" spans="1:48">
      <c r="A2006" s="358" t="s">
        <v>2342</v>
      </c>
      <c r="B2006" s="369">
        <v>2003</v>
      </c>
      <c r="C2006" s="358" t="s">
        <v>2928</v>
      </c>
      <c r="D2006" s="358" t="s">
        <v>1198</v>
      </c>
      <c r="E2006" s="373">
        <v>45999</v>
      </c>
      <c r="F2006" s="372" t="s">
        <v>140</v>
      </c>
      <c r="G2006" s="372">
        <v>50</v>
      </c>
      <c r="H2006" s="372" t="s">
        <v>1790</v>
      </c>
      <c r="I2006" s="372"/>
      <c r="J2006" s="372"/>
      <c r="K2006" s="358"/>
      <c r="L2006" s="358"/>
      <c r="M2006" s="358"/>
      <c r="N2006" s="358"/>
      <c r="O2006" s="380" t="s">
        <v>2863</v>
      </c>
      <c r="P2006" s="23" t="s">
        <v>30</v>
      </c>
      <c r="Q2006" s="23">
        <v>46046</v>
      </c>
      <c r="R2006" s="24" t="s">
        <v>67</v>
      </c>
      <c r="S2006" s="22" t="s">
        <v>32</v>
      </c>
      <c r="T2006" s="22">
        <v>50</v>
      </c>
      <c r="U2006" s="24" t="s">
        <v>67</v>
      </c>
      <c r="V2006" s="23">
        <v>46046</v>
      </c>
      <c r="W2006" s="100" t="s">
        <v>113</v>
      </c>
      <c r="X2006" s="100"/>
      <c r="Y2006" s="95"/>
      <c r="Z2006" s="100"/>
      <c r="AA2006" s="100"/>
      <c r="AB2006" s="100"/>
      <c r="AC2006" s="100"/>
      <c r="AD2006" s="100"/>
      <c r="AE2006" s="100"/>
      <c r="AF2006" s="100"/>
      <c r="AG2006" s="100"/>
      <c r="AH2006" s="114"/>
      <c r="AI2006" s="111"/>
      <c r="AJ2006" s="111"/>
      <c r="AK2006" s="111"/>
      <c r="AL2006" s="114"/>
      <c r="AM2006" s="360"/>
      <c r="AN2006" s="6">
        <v>35</v>
      </c>
      <c r="AO2006" s="6">
        <v>0</v>
      </c>
      <c r="AP2006" s="6">
        <v>0</v>
      </c>
      <c r="AQ2006" s="6">
        <v>15</v>
      </c>
      <c r="AR2006" s="6">
        <f>SUM(AN2006:AQ2006)</f>
        <v>50</v>
      </c>
      <c r="AS2006" s="108">
        <f>+AN2006/AR2006*AS$1</f>
        <v>0</v>
      </c>
      <c r="AT2006" s="109">
        <f>+AO2006/AR2006*AT$1</f>
        <v>0</v>
      </c>
      <c r="AU2006" s="109">
        <f>+AP2006/AR2006*AU$1</f>
        <v>0</v>
      </c>
      <c r="AV2006" s="109">
        <f>+AQ2006/AR2006*AV$1</f>
        <v>0</v>
      </c>
    </row>
    <row r="2007" spans="1:48">
      <c r="A2007" s="358" t="s">
        <v>2342</v>
      </c>
      <c r="B2007" s="369">
        <v>2004</v>
      </c>
      <c r="C2007" s="358" t="s">
        <v>2929</v>
      </c>
      <c r="D2007" s="358" t="s">
        <v>989</v>
      </c>
      <c r="E2007" s="373">
        <v>45999</v>
      </c>
      <c r="F2007" s="372" t="s">
        <v>140</v>
      </c>
      <c r="G2007" s="372">
        <v>2</v>
      </c>
      <c r="H2007" s="372" t="s">
        <v>1077</v>
      </c>
      <c r="I2007" s="372"/>
      <c r="J2007" s="372"/>
      <c r="K2007" s="358"/>
      <c r="L2007" s="358"/>
      <c r="M2007" s="358"/>
      <c r="N2007" s="358"/>
      <c r="O2007" s="380"/>
      <c r="P2007" s="23" t="s">
        <v>30</v>
      </c>
      <c r="Q2007" s="23">
        <v>46046</v>
      </c>
      <c r="R2007" s="24" t="s">
        <v>67</v>
      </c>
      <c r="S2007" s="22" t="s">
        <v>32</v>
      </c>
      <c r="T2007" s="22">
        <v>2</v>
      </c>
      <c r="U2007" s="24" t="s">
        <v>67</v>
      </c>
      <c r="V2007" s="23">
        <v>46046</v>
      </c>
      <c r="W2007" s="100" t="s">
        <v>113</v>
      </c>
      <c r="X2007" s="100"/>
      <c r="Y2007" s="95"/>
      <c r="Z2007" s="95"/>
      <c r="AA2007" s="95"/>
      <c r="AB2007" s="95"/>
      <c r="AC2007" s="100"/>
      <c r="AD2007" s="100"/>
      <c r="AE2007" s="100"/>
      <c r="AF2007" s="100"/>
      <c r="AG2007" s="100"/>
      <c r="AH2007" s="114"/>
      <c r="AI2007" s="114"/>
      <c r="AJ2007" s="114"/>
      <c r="AK2007" s="111"/>
      <c r="AL2007" s="114"/>
      <c r="AM2007" s="360"/>
      <c r="AN2007" s="6"/>
      <c r="AO2007" s="6"/>
      <c r="AP2007" s="6"/>
      <c r="AQ2007" s="6"/>
      <c r="AR2007" s="6"/>
      <c r="AS2007" s="108"/>
      <c r="AT2007" s="109"/>
      <c r="AU2007" s="109"/>
      <c r="AV2007" s="109"/>
    </row>
    <row r="2008" spans="1:48">
      <c r="A2008" s="358" t="s">
        <v>2342</v>
      </c>
      <c r="B2008" s="369">
        <v>2005</v>
      </c>
      <c r="C2008" s="358" t="s">
        <v>2930</v>
      </c>
      <c r="D2008" s="358" t="s">
        <v>829</v>
      </c>
      <c r="E2008" s="373">
        <v>45999</v>
      </c>
      <c r="F2008" s="372" t="s">
        <v>140</v>
      </c>
      <c r="G2008" s="372">
        <v>59</v>
      </c>
      <c r="H2008" s="372" t="s">
        <v>1795</v>
      </c>
      <c r="I2008" s="372"/>
      <c r="J2008" s="372"/>
      <c r="K2008" s="358"/>
      <c r="L2008" s="358"/>
      <c r="M2008" s="358"/>
      <c r="N2008" s="358"/>
      <c r="O2008" s="380" t="s">
        <v>2863</v>
      </c>
      <c r="P2008" s="23" t="s">
        <v>30</v>
      </c>
      <c r="Q2008" s="23">
        <v>46046</v>
      </c>
      <c r="R2008" s="24" t="s">
        <v>67</v>
      </c>
      <c r="S2008" s="22" t="s">
        <v>32</v>
      </c>
      <c r="T2008" s="22">
        <v>59</v>
      </c>
      <c r="U2008" s="24" t="s">
        <v>67</v>
      </c>
      <c r="V2008" s="23">
        <v>46046</v>
      </c>
      <c r="W2008" s="100" t="s">
        <v>113</v>
      </c>
      <c r="X2008" s="100"/>
      <c r="Y2008" s="95"/>
      <c r="Z2008" s="100"/>
      <c r="AA2008" s="100"/>
      <c r="AB2008" s="100"/>
      <c r="AC2008" s="100"/>
      <c r="AD2008" s="100"/>
      <c r="AE2008" s="100"/>
      <c r="AF2008" s="100"/>
      <c r="AG2008" s="100"/>
      <c r="AH2008" s="114"/>
      <c r="AI2008" s="114"/>
      <c r="AJ2008" s="114"/>
      <c r="AK2008" s="114"/>
      <c r="AL2008" s="114"/>
      <c r="AM2008" s="360"/>
      <c r="AN2008" s="6">
        <v>44</v>
      </c>
      <c r="AO2008" s="6">
        <v>0</v>
      </c>
      <c r="AP2008" s="6">
        <v>15</v>
      </c>
      <c r="AQ2008" s="6">
        <v>0</v>
      </c>
      <c r="AR2008" s="6">
        <f>SUM(AN2008:AQ2008)</f>
        <v>59</v>
      </c>
      <c r="AS2008" s="108">
        <f>+AN2008/AR2008*AS$1</f>
        <v>0</v>
      </c>
      <c r="AT2008" s="109">
        <f>+AO2008/AR2008*AT$1</f>
        <v>0</v>
      </c>
      <c r="AU2008" s="109">
        <f>+AP2008/AR2008*AU$1</f>
        <v>0</v>
      </c>
      <c r="AV2008" s="109">
        <f>+AQ2008/AR2008*AV$1</f>
        <v>0</v>
      </c>
    </row>
    <row r="2009" spans="1:48">
      <c r="A2009" s="358" t="s">
        <v>2342</v>
      </c>
      <c r="B2009" s="369">
        <v>2006</v>
      </c>
      <c r="C2009" s="358" t="s">
        <v>2931</v>
      </c>
      <c r="D2009" s="358" t="s">
        <v>1887</v>
      </c>
      <c r="E2009" s="373">
        <v>45999</v>
      </c>
      <c r="F2009" s="372" t="s">
        <v>140</v>
      </c>
      <c r="G2009" s="372">
        <v>1</v>
      </c>
      <c r="H2009" s="372" t="s">
        <v>67</v>
      </c>
      <c r="I2009" s="372"/>
      <c r="J2009" s="372"/>
      <c r="K2009" s="358"/>
      <c r="L2009" s="358"/>
      <c r="M2009" s="358"/>
      <c r="N2009" s="358"/>
      <c r="O2009" s="117"/>
      <c r="P2009" s="23" t="s">
        <v>30</v>
      </c>
      <c r="Q2009" s="23">
        <v>46046</v>
      </c>
      <c r="R2009" s="24" t="s">
        <v>67</v>
      </c>
      <c r="S2009" s="22" t="s">
        <v>32</v>
      </c>
      <c r="T2009" s="22">
        <v>1</v>
      </c>
      <c r="U2009" s="24" t="s">
        <v>67</v>
      </c>
      <c r="V2009" s="23">
        <v>46046</v>
      </c>
      <c r="W2009" s="100" t="s">
        <v>113</v>
      </c>
      <c r="X2009" s="100"/>
      <c r="Y2009" s="95"/>
      <c r="Z2009" s="100"/>
      <c r="AA2009" s="100"/>
      <c r="AB2009" s="100"/>
      <c r="AC2009" s="100"/>
      <c r="AD2009" s="100"/>
      <c r="AE2009" s="100"/>
      <c r="AF2009" s="100"/>
      <c r="AG2009" s="100"/>
      <c r="AH2009" s="114"/>
      <c r="AI2009" s="111"/>
      <c r="AJ2009" s="111"/>
      <c r="AK2009" s="111"/>
      <c r="AL2009" s="114"/>
      <c r="AM2009" s="360"/>
      <c r="AN2009" s="6"/>
      <c r="AO2009" s="6"/>
      <c r="AP2009" s="6"/>
      <c r="AQ2009" s="6"/>
      <c r="AR2009" s="6"/>
      <c r="AS2009" s="108"/>
      <c r="AT2009" s="109"/>
      <c r="AU2009" s="109"/>
      <c r="AV2009" s="109"/>
    </row>
    <row r="2010" spans="1:48">
      <c r="A2010" s="358" t="s">
        <v>2342</v>
      </c>
      <c r="B2010" s="369">
        <v>2007</v>
      </c>
      <c r="C2010" s="358" t="s">
        <v>2932</v>
      </c>
      <c r="D2010" s="358" t="s">
        <v>2933</v>
      </c>
      <c r="E2010" s="373">
        <v>45999.375</v>
      </c>
      <c r="F2010" s="372" t="s">
        <v>140</v>
      </c>
      <c r="G2010" s="372">
        <v>26</v>
      </c>
      <c r="H2010" s="372" t="s">
        <v>2934</v>
      </c>
      <c r="I2010" s="372"/>
      <c r="J2010" s="372"/>
      <c r="K2010" s="358"/>
      <c r="L2010" s="358"/>
      <c r="M2010" s="358"/>
      <c r="N2010" s="358"/>
      <c r="O2010" s="380" t="s">
        <v>2863</v>
      </c>
      <c r="P2010" s="23" t="s">
        <v>30</v>
      </c>
      <c r="Q2010" s="23">
        <v>46046</v>
      </c>
      <c r="R2010" s="24" t="s">
        <v>67</v>
      </c>
      <c r="S2010" s="22" t="s">
        <v>32</v>
      </c>
      <c r="T2010" s="22">
        <v>26</v>
      </c>
      <c r="U2010" s="24" t="s">
        <v>67</v>
      </c>
      <c r="V2010" s="23">
        <v>46046</v>
      </c>
      <c r="W2010" s="100" t="s">
        <v>113</v>
      </c>
      <c r="X2010" s="100"/>
      <c r="Y2010" s="95"/>
      <c r="Z2010" s="100"/>
      <c r="AA2010" s="100"/>
      <c r="AB2010" s="100"/>
      <c r="AC2010" s="100"/>
      <c r="AD2010" s="100"/>
      <c r="AE2010" s="100"/>
      <c r="AF2010" s="100"/>
      <c r="AG2010" s="100"/>
      <c r="AH2010" s="114"/>
      <c r="AI2010" s="111"/>
      <c r="AJ2010" s="111"/>
      <c r="AK2010" s="111"/>
      <c r="AL2010" s="114"/>
      <c r="AM2010" s="360"/>
      <c r="AN2010" s="6">
        <v>37</v>
      </c>
      <c r="AO2010" s="6">
        <v>0</v>
      </c>
      <c r="AP2010" s="6">
        <v>2</v>
      </c>
      <c r="AQ2010" s="6">
        <v>8</v>
      </c>
      <c r="AR2010" s="6">
        <f>SUM(AN2010:AQ2010)</f>
        <v>47</v>
      </c>
      <c r="AS2010" s="108">
        <f>+AN2010/AR2010*AS$1</f>
        <v>0</v>
      </c>
      <c r="AT2010" s="109">
        <f>+AO2010/AR2010*AT$1</f>
        <v>0</v>
      </c>
      <c r="AU2010" s="109">
        <f>+AP2010/AR2010*AU$1</f>
        <v>0</v>
      </c>
      <c r="AV2010" s="109">
        <f>+AQ2010/AR2010*AV$1</f>
        <v>0</v>
      </c>
    </row>
    <row r="2011" spans="1:48">
      <c r="A2011" s="358" t="s">
        <v>2342</v>
      </c>
      <c r="B2011" s="369">
        <v>2008</v>
      </c>
      <c r="C2011" s="358" t="s">
        <v>2935</v>
      </c>
      <c r="D2011" s="358" t="s">
        <v>1219</v>
      </c>
      <c r="E2011" s="373">
        <v>45999.041666666664</v>
      </c>
      <c r="F2011" s="372" t="s">
        <v>140</v>
      </c>
      <c r="G2011" s="372">
        <v>1</v>
      </c>
      <c r="H2011" s="372" t="s">
        <v>127</v>
      </c>
      <c r="I2011" s="372"/>
      <c r="J2011" s="372"/>
      <c r="K2011" s="358"/>
      <c r="L2011" s="358"/>
      <c r="M2011" s="358"/>
      <c r="N2011" s="358"/>
      <c r="O2011" s="117"/>
      <c r="P2011" s="23" t="s">
        <v>30</v>
      </c>
      <c r="Q2011" s="23">
        <v>46046</v>
      </c>
      <c r="R2011" s="24" t="s">
        <v>67</v>
      </c>
      <c r="S2011" s="22" t="s">
        <v>32</v>
      </c>
      <c r="T2011" s="7">
        <v>1</v>
      </c>
      <c r="U2011" s="24" t="s">
        <v>67</v>
      </c>
      <c r="V2011" s="23">
        <v>46046</v>
      </c>
      <c r="W2011" s="100" t="s">
        <v>113</v>
      </c>
      <c r="X2011" s="100"/>
      <c r="Y2011" s="95"/>
      <c r="Z2011" s="100"/>
      <c r="AA2011" s="100"/>
      <c r="AB2011" s="100"/>
      <c r="AC2011" s="100"/>
      <c r="AD2011" s="100"/>
      <c r="AE2011" s="100"/>
      <c r="AF2011" s="100"/>
      <c r="AG2011" s="100"/>
      <c r="AH2011" s="114"/>
      <c r="AI2011" s="100"/>
      <c r="AJ2011" s="100"/>
      <c r="AK2011" s="100"/>
      <c r="AL2011" s="114"/>
      <c r="AM2011" s="360"/>
      <c r="AN2011" s="6"/>
      <c r="AO2011" s="6"/>
      <c r="AP2011" s="6"/>
      <c r="AQ2011" s="6"/>
      <c r="AR2011" s="6"/>
      <c r="AS2011" s="108"/>
      <c r="AT2011" s="109"/>
      <c r="AU2011" s="109"/>
      <c r="AV2011" s="109"/>
    </row>
    <row r="2012" spans="1:48">
      <c r="A2012" s="358" t="s">
        <v>2342</v>
      </c>
      <c r="B2012" s="369">
        <v>2009</v>
      </c>
      <c r="C2012" s="358" t="s">
        <v>2936</v>
      </c>
      <c r="D2012" s="358" t="s">
        <v>1393</v>
      </c>
      <c r="E2012" s="373">
        <v>45999.041666666664</v>
      </c>
      <c r="F2012" s="372" t="s">
        <v>140</v>
      </c>
      <c r="G2012" s="372">
        <v>1</v>
      </c>
      <c r="H2012" s="372" t="s">
        <v>127</v>
      </c>
      <c r="I2012" s="372"/>
      <c r="J2012" s="372"/>
      <c r="K2012" s="358"/>
      <c r="L2012" s="358"/>
      <c r="M2012" s="358"/>
      <c r="N2012" s="358"/>
      <c r="O2012" s="117"/>
      <c r="P2012" s="23" t="s">
        <v>30</v>
      </c>
      <c r="Q2012" s="23">
        <v>46046</v>
      </c>
      <c r="R2012" s="24" t="s">
        <v>67</v>
      </c>
      <c r="S2012" s="22" t="s">
        <v>32</v>
      </c>
      <c r="T2012" s="22">
        <v>1</v>
      </c>
      <c r="U2012" s="24" t="s">
        <v>67</v>
      </c>
      <c r="V2012" s="23">
        <v>46046</v>
      </c>
      <c r="W2012" s="100" t="s">
        <v>113</v>
      </c>
      <c r="X2012" s="100"/>
      <c r="Y2012" s="95"/>
      <c r="Z2012" s="100"/>
      <c r="AA2012" s="100"/>
      <c r="AB2012" s="100"/>
      <c r="AC2012" s="100"/>
      <c r="AD2012" s="100"/>
      <c r="AE2012" s="100"/>
      <c r="AF2012" s="100"/>
      <c r="AG2012" s="100"/>
      <c r="AH2012" s="114"/>
      <c r="AI2012" s="114"/>
      <c r="AJ2012" s="114"/>
      <c r="AK2012" s="114"/>
      <c r="AL2012" s="114"/>
      <c r="AM2012" s="360"/>
      <c r="AN2012" s="6"/>
      <c r="AO2012" s="6"/>
      <c r="AP2012" s="6"/>
      <c r="AQ2012" s="6"/>
      <c r="AR2012" s="6"/>
      <c r="AS2012" s="108"/>
      <c r="AT2012" s="109"/>
      <c r="AU2012" s="109"/>
      <c r="AV2012" s="109"/>
    </row>
    <row r="2013" spans="1:48">
      <c r="A2013" s="358" t="s">
        <v>2342</v>
      </c>
      <c r="B2013" s="369">
        <v>2010</v>
      </c>
      <c r="C2013" s="358" t="s">
        <v>2937</v>
      </c>
      <c r="D2013" s="358" t="s">
        <v>1025</v>
      </c>
      <c r="E2013" s="373">
        <v>45999.041666666664</v>
      </c>
      <c r="F2013" s="372" t="s">
        <v>140</v>
      </c>
      <c r="G2013" s="372">
        <v>1</v>
      </c>
      <c r="H2013" s="372" t="s">
        <v>127</v>
      </c>
      <c r="I2013" s="372"/>
      <c r="J2013" s="372"/>
      <c r="K2013" s="358"/>
      <c r="L2013" s="358"/>
      <c r="M2013" s="358"/>
      <c r="N2013" s="358"/>
      <c r="O2013" s="380"/>
      <c r="P2013" s="23" t="s">
        <v>30</v>
      </c>
      <c r="Q2013" s="23">
        <v>46046</v>
      </c>
      <c r="R2013" s="24" t="s">
        <v>67</v>
      </c>
      <c r="S2013" s="22" t="s">
        <v>32</v>
      </c>
      <c r="T2013" s="22">
        <v>1</v>
      </c>
      <c r="U2013" s="24" t="s">
        <v>67</v>
      </c>
      <c r="V2013" s="23">
        <v>46046</v>
      </c>
      <c r="W2013" s="100" t="s">
        <v>113</v>
      </c>
      <c r="X2013" s="100"/>
      <c r="Y2013" s="95"/>
      <c r="Z2013" s="100"/>
      <c r="AA2013" s="100"/>
      <c r="AB2013" s="100"/>
      <c r="AC2013" s="100"/>
      <c r="AD2013" s="100"/>
      <c r="AE2013" s="100"/>
      <c r="AF2013" s="100"/>
      <c r="AG2013" s="100"/>
      <c r="AH2013" s="114"/>
      <c r="AI2013" s="114"/>
      <c r="AJ2013" s="114"/>
      <c r="AK2013" s="114"/>
      <c r="AL2013" s="114"/>
      <c r="AM2013" s="360"/>
      <c r="AN2013" s="91"/>
      <c r="AO2013" s="91"/>
      <c r="AS2013" s="72"/>
      <c r="AT2013" s="96"/>
      <c r="AU2013" s="96"/>
      <c r="AV2013" s="109"/>
    </row>
    <row r="2014" spans="1:48">
      <c r="A2014" s="358" t="s">
        <v>2342</v>
      </c>
      <c r="B2014" s="369">
        <v>2011</v>
      </c>
      <c r="C2014" s="358" t="s">
        <v>2938</v>
      </c>
      <c r="D2014" s="358" t="s">
        <v>1574</v>
      </c>
      <c r="E2014" s="373">
        <v>45999.375</v>
      </c>
      <c r="F2014" s="372" t="s">
        <v>140</v>
      </c>
      <c r="G2014" s="372">
        <v>4</v>
      </c>
      <c r="H2014" s="372" t="s">
        <v>67</v>
      </c>
      <c r="I2014" s="372"/>
      <c r="J2014" s="372"/>
      <c r="K2014" s="358"/>
      <c r="L2014" s="358"/>
      <c r="M2014" s="358"/>
      <c r="N2014" s="358"/>
      <c r="O2014" s="380"/>
      <c r="P2014" s="23" t="s">
        <v>30</v>
      </c>
      <c r="Q2014" s="23">
        <v>46046</v>
      </c>
      <c r="R2014" s="24" t="s">
        <v>67</v>
      </c>
      <c r="S2014" s="22" t="s">
        <v>32</v>
      </c>
      <c r="T2014" s="22">
        <v>4</v>
      </c>
      <c r="U2014" s="24" t="s">
        <v>67</v>
      </c>
      <c r="V2014" s="23">
        <v>46054</v>
      </c>
      <c r="W2014" s="100" t="s">
        <v>113</v>
      </c>
      <c r="X2014" s="100"/>
      <c r="Y2014" s="107"/>
      <c r="Z2014" s="100"/>
      <c r="AA2014" s="95"/>
      <c r="AB2014" s="100"/>
      <c r="AC2014" s="100"/>
      <c r="AD2014" s="100"/>
      <c r="AE2014" s="100"/>
      <c r="AF2014" s="100"/>
      <c r="AG2014" s="100"/>
      <c r="AH2014" s="114"/>
      <c r="AI2014" s="114"/>
      <c r="AJ2014" s="114"/>
      <c r="AK2014" s="114"/>
      <c r="AL2014" s="114"/>
      <c r="AM2014" s="360"/>
      <c r="AS2014" s="72"/>
      <c r="AT2014" s="96"/>
      <c r="AU2014" s="96"/>
      <c r="AV2014" s="109"/>
    </row>
    <row r="2015" spans="1:48">
      <c r="A2015" s="358" t="s">
        <v>2342</v>
      </c>
      <c r="B2015" s="369">
        <v>2012</v>
      </c>
      <c r="C2015" s="358" t="s">
        <v>2939</v>
      </c>
      <c r="D2015" s="358" t="s">
        <v>234</v>
      </c>
      <c r="E2015" s="373">
        <v>45999.375</v>
      </c>
      <c r="F2015" s="372" t="s">
        <v>140</v>
      </c>
      <c r="G2015" s="372">
        <v>5</v>
      </c>
      <c r="H2015" s="372" t="s">
        <v>1790</v>
      </c>
      <c r="I2015" s="372"/>
      <c r="J2015" s="372"/>
      <c r="K2015" s="358"/>
      <c r="L2015" s="358"/>
      <c r="M2015" s="358"/>
      <c r="N2015" s="358"/>
      <c r="O2015" s="380"/>
      <c r="P2015" s="23" t="s">
        <v>30</v>
      </c>
      <c r="Q2015" s="23">
        <v>46054</v>
      </c>
      <c r="R2015" s="24" t="s">
        <v>67</v>
      </c>
      <c r="S2015" s="22" t="s">
        <v>32</v>
      </c>
      <c r="T2015" s="22">
        <v>5</v>
      </c>
      <c r="U2015" s="24" t="s">
        <v>67</v>
      </c>
      <c r="V2015" s="23">
        <v>46046</v>
      </c>
      <c r="W2015" s="100" t="s">
        <v>113</v>
      </c>
      <c r="X2015" s="100"/>
      <c r="Y2015" s="95"/>
      <c r="Z2015" s="100"/>
      <c r="AA2015" s="100"/>
      <c r="AB2015" s="100"/>
      <c r="AC2015" s="100"/>
      <c r="AD2015" s="100"/>
      <c r="AE2015" s="100"/>
      <c r="AF2015" s="100"/>
      <c r="AG2015" s="100"/>
      <c r="AH2015" s="114"/>
      <c r="AI2015" s="114"/>
      <c r="AJ2015" s="111"/>
      <c r="AK2015" s="111"/>
      <c r="AL2015" s="114"/>
      <c r="AM2015" s="360"/>
      <c r="AV2015" s="109"/>
    </row>
    <row r="2016" spans="1:48">
      <c r="A2016" s="358" t="s">
        <v>2342</v>
      </c>
      <c r="B2016" s="369">
        <v>2013</v>
      </c>
      <c r="C2016" s="358" t="s">
        <v>2940</v>
      </c>
      <c r="D2016" s="358" t="s">
        <v>2941</v>
      </c>
      <c r="E2016" s="373">
        <v>45999.375</v>
      </c>
      <c r="F2016" s="372" t="s">
        <v>140</v>
      </c>
      <c r="G2016" s="372">
        <v>3</v>
      </c>
      <c r="H2016" s="372" t="s">
        <v>67</v>
      </c>
      <c r="I2016" s="372"/>
      <c r="J2016" s="372"/>
      <c r="K2016" s="358"/>
      <c r="L2016" s="358"/>
      <c r="M2016" s="358"/>
      <c r="N2016" s="358"/>
      <c r="O2016" s="117"/>
      <c r="P2016" s="23" t="s">
        <v>30</v>
      </c>
      <c r="Q2016" s="23">
        <v>46046</v>
      </c>
      <c r="R2016" s="24" t="s">
        <v>67</v>
      </c>
      <c r="S2016" s="22" t="s">
        <v>32</v>
      </c>
      <c r="T2016" s="22">
        <v>3</v>
      </c>
      <c r="U2016" s="24" t="s">
        <v>67</v>
      </c>
      <c r="V2016" s="23">
        <v>46046</v>
      </c>
      <c r="W2016" s="100" t="s">
        <v>113</v>
      </c>
      <c r="X2016" s="100"/>
      <c r="Y2016" s="95"/>
      <c r="Z2016" s="100"/>
      <c r="AA2016" s="95"/>
      <c r="AB2016" s="100"/>
      <c r="AC2016" s="100"/>
      <c r="AD2016" s="100"/>
      <c r="AE2016" s="100"/>
      <c r="AF2016" s="100"/>
      <c r="AG2016" s="100"/>
      <c r="AH2016" s="114"/>
      <c r="AI2016" s="114"/>
      <c r="AJ2016" s="114"/>
      <c r="AK2016" s="114"/>
      <c r="AL2016" s="114"/>
      <c r="AM2016" s="360"/>
      <c r="AS2016" s="72"/>
      <c r="AT2016" s="96"/>
      <c r="AU2016" s="96"/>
      <c r="AV2016" s="109"/>
    </row>
    <row r="2017" spans="1:48">
      <c r="A2017" s="358" t="s">
        <v>2342</v>
      </c>
      <c r="B2017" s="369">
        <v>2014</v>
      </c>
      <c r="C2017" s="358" t="s">
        <v>2942</v>
      </c>
      <c r="D2017" s="358" t="s">
        <v>1184</v>
      </c>
      <c r="E2017" s="373">
        <v>45999.041666666664</v>
      </c>
      <c r="F2017" s="372" t="s">
        <v>140</v>
      </c>
      <c r="G2017" s="372">
        <v>3</v>
      </c>
      <c r="H2017" s="372" t="s">
        <v>127</v>
      </c>
      <c r="I2017" s="372"/>
      <c r="J2017" s="372"/>
      <c r="K2017" s="358"/>
      <c r="L2017" s="358"/>
      <c r="M2017" s="358"/>
      <c r="N2017" s="358"/>
      <c r="O2017" s="380"/>
      <c r="P2017" s="23" t="s">
        <v>30</v>
      </c>
      <c r="Q2017" s="23">
        <v>46046</v>
      </c>
      <c r="R2017" s="24" t="s">
        <v>67</v>
      </c>
      <c r="S2017" s="22" t="s">
        <v>32</v>
      </c>
      <c r="T2017" s="22">
        <v>3</v>
      </c>
      <c r="U2017" s="24" t="s">
        <v>67</v>
      </c>
      <c r="V2017" s="23">
        <v>46046</v>
      </c>
      <c r="W2017" s="100" t="s">
        <v>113</v>
      </c>
      <c r="X2017" s="100"/>
      <c r="Y2017" s="95"/>
      <c r="Z2017" s="100"/>
      <c r="AA2017" s="100"/>
      <c r="AB2017" s="100"/>
      <c r="AC2017" s="100"/>
      <c r="AD2017" s="100"/>
      <c r="AE2017" s="100"/>
      <c r="AF2017" s="100"/>
      <c r="AG2017" s="100"/>
      <c r="AH2017" s="114"/>
      <c r="AI2017" s="114"/>
      <c r="AJ2017" s="114"/>
      <c r="AK2017" s="111"/>
      <c r="AL2017" s="114"/>
      <c r="AM2017" s="360"/>
      <c r="AS2017" s="72"/>
      <c r="AT2017" s="96"/>
      <c r="AU2017" s="96"/>
      <c r="AV2017" s="109"/>
    </row>
    <row r="2018" spans="1:48">
      <c r="A2018" s="358" t="s">
        <v>2342</v>
      </c>
      <c r="B2018" s="369">
        <v>2015</v>
      </c>
      <c r="C2018" s="358" t="s">
        <v>2943</v>
      </c>
      <c r="D2018" s="358" t="s">
        <v>818</v>
      </c>
      <c r="E2018" s="373">
        <v>45999.041666666664</v>
      </c>
      <c r="F2018" s="372" t="s">
        <v>140</v>
      </c>
      <c r="G2018" s="372">
        <v>1</v>
      </c>
      <c r="H2018" s="372" t="s">
        <v>127</v>
      </c>
      <c r="I2018" s="372"/>
      <c r="J2018" s="372"/>
      <c r="K2018" s="358"/>
      <c r="L2018" s="358"/>
      <c r="M2018" s="358"/>
      <c r="N2018" s="358"/>
      <c r="O2018" s="380"/>
      <c r="P2018" s="23" t="s">
        <v>30</v>
      </c>
      <c r="Q2018" s="23">
        <v>46046</v>
      </c>
      <c r="R2018" s="24" t="s">
        <v>67</v>
      </c>
      <c r="S2018" s="22" t="s">
        <v>32</v>
      </c>
      <c r="T2018" s="22">
        <v>1</v>
      </c>
      <c r="U2018" s="24" t="s">
        <v>67</v>
      </c>
      <c r="V2018" s="23">
        <v>46046</v>
      </c>
      <c r="W2018" s="100" t="s">
        <v>113</v>
      </c>
      <c r="X2018" s="107"/>
      <c r="Y2018" s="107"/>
      <c r="Z2018" s="100"/>
      <c r="AA2018" s="100"/>
      <c r="AB2018" s="100"/>
      <c r="AC2018" s="100"/>
      <c r="AD2018" s="100"/>
      <c r="AE2018" s="100"/>
      <c r="AF2018" s="100"/>
      <c r="AG2018" s="100"/>
      <c r="AH2018" s="114"/>
      <c r="AI2018" s="114"/>
      <c r="AJ2018" s="114"/>
      <c r="AK2018" s="114"/>
      <c r="AL2018" s="114"/>
      <c r="AM2018" s="360"/>
      <c r="AV2018" s="109"/>
    </row>
    <row r="2019" spans="1:48">
      <c r="A2019" s="358" t="s">
        <v>2342</v>
      </c>
      <c r="B2019" s="369">
        <v>2016</v>
      </c>
      <c r="C2019" s="358" t="s">
        <v>2944</v>
      </c>
      <c r="D2019" s="358" t="s">
        <v>1230</v>
      </c>
      <c r="E2019" s="373">
        <v>45999.041666666664</v>
      </c>
      <c r="F2019" s="372" t="s">
        <v>140</v>
      </c>
      <c r="G2019" s="372">
        <v>31</v>
      </c>
      <c r="H2019" s="372" t="s">
        <v>127</v>
      </c>
      <c r="I2019" s="372"/>
      <c r="J2019" s="102" t="s">
        <v>2945</v>
      </c>
      <c r="K2019" s="358"/>
      <c r="L2019" s="358"/>
      <c r="M2019" s="358"/>
      <c r="N2019" s="358"/>
      <c r="O2019" s="380" t="s">
        <v>2863</v>
      </c>
      <c r="P2019" s="252"/>
      <c r="Q2019" s="23"/>
      <c r="R2019" s="81"/>
      <c r="S2019" s="22"/>
      <c r="T2019" s="22"/>
      <c r="U2019" s="24"/>
      <c r="V2019" s="23">
        <v>46046</v>
      </c>
      <c r="W2019" s="100" t="s">
        <v>113</v>
      </c>
      <c r="X2019" s="100"/>
      <c r="Y2019" s="95"/>
      <c r="Z2019" s="95"/>
      <c r="AA2019" s="95"/>
      <c r="AB2019" s="95"/>
      <c r="AC2019" s="100"/>
      <c r="AD2019" s="100"/>
      <c r="AE2019" s="100"/>
      <c r="AF2019" s="100"/>
      <c r="AG2019" s="100"/>
      <c r="AH2019" s="114"/>
      <c r="AI2019" s="100"/>
      <c r="AJ2019" s="100"/>
      <c r="AK2019" s="100"/>
      <c r="AL2019" s="114"/>
      <c r="AM2019" s="360"/>
      <c r="AN2019" s="6">
        <v>31</v>
      </c>
      <c r="AO2019" s="6">
        <v>0</v>
      </c>
      <c r="AP2019" s="6">
        <v>0</v>
      </c>
      <c r="AQ2019" s="6">
        <v>0</v>
      </c>
      <c r="AR2019" s="6">
        <f>SUM(AN2019:AQ2019)</f>
        <v>31</v>
      </c>
      <c r="AS2019" s="108">
        <f>+AN2019/AR2019*AS$1</f>
        <v>0</v>
      </c>
      <c r="AT2019" s="109">
        <f>+AO2019/AR2019*AT$1</f>
        <v>0</v>
      </c>
      <c r="AU2019" s="109">
        <f>+AP2019/AR2019*AU$1</f>
        <v>0</v>
      </c>
      <c r="AV2019" s="109">
        <f>+AQ2019/AR2019*AV$1</f>
        <v>0</v>
      </c>
    </row>
    <row r="2020" spans="1:48">
      <c r="A2020" s="358" t="s">
        <v>2342</v>
      </c>
      <c r="B2020" s="369">
        <v>2017</v>
      </c>
      <c r="C2020" s="358" t="s">
        <v>2946</v>
      </c>
      <c r="D2020" s="358" t="s">
        <v>969</v>
      </c>
      <c r="E2020" s="373">
        <v>45999.041666666664</v>
      </c>
      <c r="F2020" s="372" t="s">
        <v>140</v>
      </c>
      <c r="G2020" s="372">
        <v>31</v>
      </c>
      <c r="H2020" s="372" t="s">
        <v>127</v>
      </c>
      <c r="I2020" s="372"/>
      <c r="J2020" s="102" t="s">
        <v>2945</v>
      </c>
      <c r="K2020" s="358"/>
      <c r="L2020" s="358"/>
      <c r="M2020" s="358"/>
      <c r="N2020" s="358"/>
      <c r="O2020" s="380" t="s">
        <v>2863</v>
      </c>
      <c r="P2020" s="385"/>
      <c r="Q2020" s="23"/>
      <c r="R2020" s="81"/>
      <c r="S2020" s="22"/>
      <c r="T2020" s="22"/>
      <c r="U2020" s="24"/>
      <c r="V2020" s="23">
        <v>46046</v>
      </c>
      <c r="W2020" s="100" t="s">
        <v>113</v>
      </c>
      <c r="X2020" s="100"/>
      <c r="Y2020" s="95"/>
      <c r="Z2020" s="100"/>
      <c r="AA2020" s="100"/>
      <c r="AB2020" s="100"/>
      <c r="AC2020" s="100"/>
      <c r="AD2020" s="100"/>
      <c r="AE2020" s="100"/>
      <c r="AF2020" s="100"/>
      <c r="AG2020" s="100"/>
      <c r="AH2020" s="114"/>
      <c r="AI2020" s="111"/>
      <c r="AJ2020" s="111"/>
      <c r="AK2020" s="111"/>
      <c r="AL2020" s="114"/>
      <c r="AM2020" s="360"/>
      <c r="AN2020" s="6">
        <v>31</v>
      </c>
      <c r="AO2020" s="6">
        <v>0</v>
      </c>
      <c r="AP2020" s="6">
        <v>0</v>
      </c>
      <c r="AQ2020" s="6">
        <v>0</v>
      </c>
      <c r="AR2020" s="6">
        <f>SUM(AN2020:AQ2020)</f>
        <v>31</v>
      </c>
      <c r="AS2020" s="108">
        <f>+AN2020/AR2020*AS$1</f>
        <v>0</v>
      </c>
      <c r="AT2020" s="109">
        <f>+AO2020/AR2020*AT$1</f>
        <v>0</v>
      </c>
      <c r="AU2020" s="109">
        <f>+AP2020/AR2020*AU$1</f>
        <v>0</v>
      </c>
      <c r="AV2020" s="109">
        <f>+AQ2020/AR2020*AV$1</f>
        <v>0</v>
      </c>
    </row>
    <row r="2021" spans="1:48">
      <c r="A2021" s="358" t="s">
        <v>2342</v>
      </c>
      <c r="B2021" s="369">
        <v>2018</v>
      </c>
      <c r="C2021" s="358" t="s">
        <v>2947</v>
      </c>
      <c r="D2021" s="358" t="s">
        <v>1885</v>
      </c>
      <c r="E2021" s="373">
        <v>46006.041666666664</v>
      </c>
      <c r="F2021" s="372" t="s">
        <v>140</v>
      </c>
      <c r="G2021" s="372">
        <v>4</v>
      </c>
      <c r="H2021" s="372" t="s">
        <v>1077</v>
      </c>
      <c r="I2021" s="372"/>
      <c r="J2021" s="372"/>
      <c r="K2021" s="358"/>
      <c r="L2021" s="358"/>
      <c r="M2021" s="358"/>
      <c r="N2021" s="358"/>
      <c r="O2021" s="380"/>
      <c r="P2021" s="385" t="s">
        <v>30</v>
      </c>
      <c r="Q2021" s="23">
        <v>46046</v>
      </c>
      <c r="R2021" s="24" t="s">
        <v>67</v>
      </c>
      <c r="S2021" s="22" t="s">
        <v>32</v>
      </c>
      <c r="T2021" s="22">
        <v>4</v>
      </c>
      <c r="U2021" s="24" t="s">
        <v>67</v>
      </c>
      <c r="V2021" s="23">
        <v>46047</v>
      </c>
      <c r="W2021" s="100" t="s">
        <v>113</v>
      </c>
      <c r="X2021" s="100"/>
      <c r="Y2021" s="95"/>
      <c r="Z2021" s="100"/>
      <c r="AA2021" s="100"/>
      <c r="AB2021" s="100"/>
      <c r="AC2021" s="100"/>
      <c r="AD2021" s="100"/>
      <c r="AE2021" s="100"/>
      <c r="AF2021" s="100"/>
      <c r="AG2021" s="100"/>
      <c r="AH2021" s="114"/>
      <c r="AI2021" s="114"/>
      <c r="AJ2021" s="114"/>
      <c r="AK2021" s="114"/>
      <c r="AL2021" s="114"/>
      <c r="AM2021" s="360"/>
      <c r="AS2021" s="72"/>
      <c r="AT2021" s="96"/>
      <c r="AU2021" s="96"/>
      <c r="AV2021" s="109"/>
    </row>
    <row r="2022" spans="1:48">
      <c r="A2022" s="358" t="s">
        <v>2342</v>
      </c>
      <c r="B2022" s="369">
        <v>2019</v>
      </c>
      <c r="C2022" s="358" t="s">
        <v>2948</v>
      </c>
      <c r="D2022" s="358" t="s">
        <v>1245</v>
      </c>
      <c r="E2022" s="373">
        <v>46006.041666666664</v>
      </c>
      <c r="F2022" s="372" t="s">
        <v>140</v>
      </c>
      <c r="G2022" s="372">
        <v>6</v>
      </c>
      <c r="H2022" s="372" t="s">
        <v>1799</v>
      </c>
      <c r="I2022" s="372"/>
      <c r="J2022" s="372"/>
      <c r="K2022" s="358"/>
      <c r="L2022" s="358"/>
      <c r="M2022" s="358"/>
      <c r="N2022" s="358"/>
      <c r="O2022" s="117"/>
      <c r="P2022" s="385" t="s">
        <v>30</v>
      </c>
      <c r="Q2022" s="23">
        <v>46046</v>
      </c>
      <c r="R2022" s="24" t="s">
        <v>67</v>
      </c>
      <c r="S2022" s="22" t="s">
        <v>32</v>
      </c>
      <c r="T2022" s="22">
        <v>4</v>
      </c>
      <c r="U2022" s="24" t="s">
        <v>67</v>
      </c>
      <c r="V2022" s="23">
        <v>46047</v>
      </c>
      <c r="W2022" s="100" t="s">
        <v>113</v>
      </c>
      <c r="X2022" s="107"/>
      <c r="Y2022" s="107"/>
      <c r="Z2022" s="100"/>
      <c r="AA2022" s="100"/>
      <c r="AB2022" s="100"/>
      <c r="AC2022" s="100"/>
      <c r="AD2022" s="100"/>
      <c r="AE2022" s="100"/>
      <c r="AF2022" s="100"/>
      <c r="AG2022" s="100"/>
      <c r="AH2022" s="114"/>
      <c r="AI2022" s="114"/>
      <c r="AJ2022" s="114"/>
      <c r="AK2022" s="114"/>
      <c r="AL2022" s="114"/>
      <c r="AM2022" s="360"/>
      <c r="AV2022" s="109"/>
    </row>
    <row r="2023" spans="1:48">
      <c r="A2023" s="358" t="s">
        <v>2342</v>
      </c>
      <c r="B2023" s="369">
        <v>2020</v>
      </c>
      <c r="C2023" s="358" t="s">
        <v>2949</v>
      </c>
      <c r="D2023" s="358" t="s">
        <v>1887</v>
      </c>
      <c r="E2023" s="373">
        <v>46006.041666666664</v>
      </c>
      <c r="F2023" s="372" t="s">
        <v>140</v>
      </c>
      <c r="G2023" s="372">
        <v>8</v>
      </c>
      <c r="H2023" s="372" t="s">
        <v>2897</v>
      </c>
      <c r="I2023" s="372"/>
      <c r="J2023" s="372"/>
      <c r="K2023" s="358"/>
      <c r="L2023" s="358"/>
      <c r="M2023" s="358"/>
      <c r="N2023" s="358"/>
      <c r="O2023" s="380"/>
      <c r="P2023" s="385" t="s">
        <v>30</v>
      </c>
      <c r="Q2023" s="23">
        <v>46046</v>
      </c>
      <c r="R2023" s="24" t="s">
        <v>67</v>
      </c>
      <c r="S2023" s="22" t="s">
        <v>32</v>
      </c>
      <c r="T2023" s="22">
        <v>8</v>
      </c>
      <c r="U2023" s="24" t="s">
        <v>67</v>
      </c>
      <c r="V2023" s="23">
        <v>46048</v>
      </c>
      <c r="W2023" s="100" t="s">
        <v>113</v>
      </c>
      <c r="X2023" s="100"/>
      <c r="Y2023" s="95"/>
      <c r="Z2023" s="100"/>
      <c r="AA2023" s="100"/>
      <c r="AB2023" s="100"/>
      <c r="AC2023" s="100"/>
      <c r="AD2023" s="100"/>
      <c r="AE2023" s="100"/>
      <c r="AF2023" s="100"/>
      <c r="AG2023" s="100"/>
      <c r="AH2023" s="114"/>
      <c r="AI2023" s="111"/>
      <c r="AJ2023" s="111"/>
      <c r="AK2023" s="111"/>
      <c r="AL2023" s="114"/>
      <c r="AM2023" s="360"/>
      <c r="AV2023" s="109"/>
    </row>
    <row r="2024" spans="1:48">
      <c r="A2024" s="358" t="s">
        <v>2342</v>
      </c>
      <c r="B2024" s="369">
        <v>2021</v>
      </c>
      <c r="C2024" s="358" t="s">
        <v>2950</v>
      </c>
      <c r="D2024" s="358" t="s">
        <v>937</v>
      </c>
      <c r="E2024" s="373">
        <v>46006</v>
      </c>
      <c r="F2024" s="372" t="s">
        <v>140</v>
      </c>
      <c r="G2024" s="372">
        <v>23</v>
      </c>
      <c r="H2024" s="372" t="s">
        <v>1853</v>
      </c>
      <c r="I2024" s="372"/>
      <c r="J2024" s="372"/>
      <c r="K2024" s="358"/>
      <c r="L2024" s="358"/>
      <c r="M2024" s="358"/>
      <c r="N2024" s="358"/>
      <c r="O2024" s="117"/>
      <c r="P2024" s="380" t="s">
        <v>30</v>
      </c>
      <c r="Q2024" s="23">
        <v>46047</v>
      </c>
      <c r="R2024" s="24" t="s">
        <v>67</v>
      </c>
      <c r="S2024" s="22" t="s">
        <v>32</v>
      </c>
      <c r="T2024" s="22">
        <v>23</v>
      </c>
      <c r="U2024" s="24" t="s">
        <v>67</v>
      </c>
      <c r="V2024" s="23">
        <v>46049</v>
      </c>
      <c r="W2024" s="100" t="s">
        <v>113</v>
      </c>
      <c r="X2024" s="100"/>
      <c r="Y2024" s="95"/>
      <c r="Z2024" s="100"/>
      <c r="AA2024" s="100"/>
      <c r="AB2024" s="100"/>
      <c r="AC2024" s="100"/>
      <c r="AD2024" s="100"/>
      <c r="AE2024" s="100"/>
      <c r="AF2024" s="100"/>
      <c r="AG2024" s="100"/>
      <c r="AH2024" s="114"/>
      <c r="AI2024" s="114"/>
      <c r="AJ2024" s="114"/>
      <c r="AK2024" s="114"/>
      <c r="AL2024" s="114"/>
      <c r="AM2024" s="360"/>
      <c r="AN2024" s="6"/>
      <c r="AO2024" s="6"/>
      <c r="AP2024" s="6"/>
      <c r="AQ2024" s="6"/>
      <c r="AR2024" s="6"/>
      <c r="AS2024" s="108"/>
      <c r="AT2024" s="109"/>
      <c r="AU2024" s="109"/>
      <c r="AV2024" s="109"/>
    </row>
    <row r="2025" spans="1:48">
      <c r="A2025" s="358" t="s">
        <v>2342</v>
      </c>
      <c r="B2025" s="369">
        <v>2022</v>
      </c>
      <c r="C2025" s="358" t="s">
        <v>2951</v>
      </c>
      <c r="D2025" s="358" t="s">
        <v>1198</v>
      </c>
      <c r="E2025" s="373">
        <v>46006.041666666664</v>
      </c>
      <c r="F2025" s="372" t="s">
        <v>140</v>
      </c>
      <c r="G2025" s="372">
        <v>74</v>
      </c>
      <c r="H2025" s="372" t="s">
        <v>1795</v>
      </c>
      <c r="I2025" s="372"/>
      <c r="J2025" s="372"/>
      <c r="K2025" s="358"/>
      <c r="L2025" s="358"/>
      <c r="M2025" s="358"/>
      <c r="N2025" s="358"/>
      <c r="O2025" s="380" t="s">
        <v>2863</v>
      </c>
      <c r="P2025" s="380" t="s">
        <v>30</v>
      </c>
      <c r="Q2025" s="23">
        <v>46047</v>
      </c>
      <c r="R2025" s="24" t="s">
        <v>67</v>
      </c>
      <c r="S2025" s="22" t="s">
        <v>32</v>
      </c>
      <c r="T2025" s="22">
        <v>74</v>
      </c>
      <c r="U2025" s="24" t="s">
        <v>67</v>
      </c>
      <c r="V2025" s="23">
        <v>46050</v>
      </c>
      <c r="W2025" s="100" t="s">
        <v>113</v>
      </c>
      <c r="X2025" s="100"/>
      <c r="Y2025" s="95"/>
      <c r="Z2025" s="95"/>
      <c r="AA2025" s="95"/>
      <c r="AB2025" s="100"/>
      <c r="AC2025" s="100"/>
      <c r="AD2025" s="100"/>
      <c r="AE2025" s="100"/>
      <c r="AF2025" s="100"/>
      <c r="AG2025" s="100"/>
      <c r="AH2025" s="114"/>
      <c r="AI2025" s="114"/>
      <c r="AJ2025" s="114"/>
      <c r="AK2025" s="100"/>
      <c r="AL2025" s="114"/>
      <c r="AM2025" s="360"/>
      <c r="AN2025" s="6">
        <v>3</v>
      </c>
      <c r="AO2025" s="6">
        <v>0</v>
      </c>
      <c r="AP2025" s="6">
        <v>58</v>
      </c>
      <c r="AQ2025" s="6">
        <v>13</v>
      </c>
      <c r="AR2025" s="6">
        <f>SUM(AN2025:AQ2025)</f>
        <v>74</v>
      </c>
      <c r="AS2025" s="108">
        <f>+AN2025/AR2025*AS$1</f>
        <v>0</v>
      </c>
      <c r="AT2025" s="109">
        <f>+AO2025/AR2025*AT$1</f>
        <v>0</v>
      </c>
      <c r="AU2025" s="109">
        <f>+AP2025/AR2025*AU$1</f>
        <v>0</v>
      </c>
      <c r="AV2025" s="109">
        <f>+AQ2025/AR2025*AV$1</f>
        <v>0</v>
      </c>
    </row>
    <row r="2026" spans="1:48">
      <c r="A2026" s="358" t="s">
        <v>2342</v>
      </c>
      <c r="B2026" s="369">
        <v>2023</v>
      </c>
      <c r="C2026" s="358" t="s">
        <v>2952</v>
      </c>
      <c r="D2026" s="358" t="s">
        <v>1912</v>
      </c>
      <c r="E2026" s="373">
        <v>46006.125</v>
      </c>
      <c r="F2026" s="372" t="s">
        <v>140</v>
      </c>
      <c r="G2026" s="372">
        <v>94</v>
      </c>
      <c r="H2026" s="372" t="s">
        <v>2953</v>
      </c>
      <c r="I2026" s="372"/>
      <c r="J2026" s="372"/>
      <c r="K2026" s="358"/>
      <c r="L2026" s="358"/>
      <c r="M2026" s="358"/>
      <c r="N2026" s="358"/>
      <c r="O2026" s="380" t="s">
        <v>2863</v>
      </c>
      <c r="P2026" s="380" t="s">
        <v>30</v>
      </c>
      <c r="Q2026" s="23">
        <v>46048</v>
      </c>
      <c r="R2026" s="24" t="s">
        <v>67</v>
      </c>
      <c r="S2026" s="22" t="s">
        <v>32</v>
      </c>
      <c r="T2026" s="22">
        <v>75</v>
      </c>
      <c r="U2026" s="24" t="s">
        <v>67</v>
      </c>
      <c r="V2026" s="23">
        <v>46049</v>
      </c>
      <c r="W2026" s="100" t="s">
        <v>113</v>
      </c>
      <c r="X2026" s="100"/>
      <c r="Y2026" s="95"/>
      <c r="Z2026" s="95"/>
      <c r="AA2026" s="95"/>
      <c r="AB2026" s="95"/>
      <c r="AC2026" s="100"/>
      <c r="AD2026" s="100"/>
      <c r="AE2026" s="100"/>
      <c r="AF2026" s="100"/>
      <c r="AG2026" s="100"/>
      <c r="AH2026" s="114"/>
      <c r="AI2026" s="100"/>
      <c r="AJ2026" s="100"/>
      <c r="AK2026" s="100"/>
      <c r="AL2026" s="114"/>
      <c r="AM2026" s="360"/>
      <c r="AN2026" s="6">
        <v>21</v>
      </c>
      <c r="AO2026" s="6">
        <v>63</v>
      </c>
      <c r="AP2026" s="6">
        <v>0</v>
      </c>
      <c r="AQ2026" s="6">
        <v>10</v>
      </c>
      <c r="AR2026" s="6">
        <f>SUM(AN2026:AQ2026)</f>
        <v>94</v>
      </c>
      <c r="AS2026" s="108">
        <f>+AN2026/AR2026*AS$1</f>
        <v>0</v>
      </c>
      <c r="AT2026" s="109">
        <f>+AO2026/AR2026*AT$1</f>
        <v>0</v>
      </c>
      <c r="AU2026" s="109">
        <f>+AP2026/AR2026*AU$1</f>
        <v>0</v>
      </c>
      <c r="AV2026" s="109">
        <f>+AQ2026/AR2026*AV$1</f>
        <v>0</v>
      </c>
    </row>
    <row r="2027" spans="1:48">
      <c r="A2027" s="358" t="s">
        <v>2342</v>
      </c>
      <c r="B2027" s="369">
        <v>2024</v>
      </c>
      <c r="C2027" s="358" t="s">
        <v>2954</v>
      </c>
      <c r="D2027" s="358" t="s">
        <v>1184</v>
      </c>
      <c r="E2027" s="373">
        <v>46006</v>
      </c>
      <c r="F2027" s="372" t="s">
        <v>140</v>
      </c>
      <c r="G2027" s="372">
        <v>52</v>
      </c>
      <c r="H2027" s="372" t="s">
        <v>1786</v>
      </c>
      <c r="I2027" s="372"/>
      <c r="J2027" s="372"/>
      <c r="K2027" s="358"/>
      <c r="L2027" s="358"/>
      <c r="M2027" s="358"/>
      <c r="N2027" s="358"/>
      <c r="O2027" s="380" t="s">
        <v>2863</v>
      </c>
      <c r="P2027" s="380" t="s">
        <v>30</v>
      </c>
      <c r="Q2027" s="23">
        <v>46029</v>
      </c>
      <c r="R2027" s="24" t="s">
        <v>67</v>
      </c>
      <c r="S2027" s="22" t="s">
        <v>32</v>
      </c>
      <c r="T2027" s="22">
        <v>52</v>
      </c>
      <c r="U2027" s="24" t="s">
        <v>67</v>
      </c>
      <c r="V2027" s="23">
        <v>46050</v>
      </c>
      <c r="W2027" s="100" t="s">
        <v>113</v>
      </c>
      <c r="X2027" s="100"/>
      <c r="Y2027" s="95"/>
      <c r="Z2027" s="100"/>
      <c r="AA2027" s="100"/>
      <c r="AB2027" s="100"/>
      <c r="AC2027" s="100"/>
      <c r="AD2027" s="100"/>
      <c r="AE2027" s="100"/>
      <c r="AF2027" s="100"/>
      <c r="AG2027" s="100"/>
      <c r="AH2027" s="114"/>
      <c r="AI2027" s="100"/>
      <c r="AJ2027" s="100"/>
      <c r="AK2027" s="100"/>
      <c r="AL2027" s="114"/>
      <c r="AM2027" s="360"/>
      <c r="AN2027" s="6">
        <v>38</v>
      </c>
      <c r="AO2027" s="6">
        <v>0</v>
      </c>
      <c r="AP2027" s="6">
        <v>3</v>
      </c>
      <c r="AQ2027" s="6">
        <v>11</v>
      </c>
      <c r="AR2027" s="6">
        <f>SUM(AN2027:AQ2027)</f>
        <v>52</v>
      </c>
      <c r="AS2027" s="108">
        <f>+AN2027/AR2027*AS$1</f>
        <v>0</v>
      </c>
      <c r="AT2027" s="109">
        <f>+AO2027/AR2027*AT$1</f>
        <v>0</v>
      </c>
      <c r="AU2027" s="109">
        <f>+AP2027/AR2027*AU$1</f>
        <v>0</v>
      </c>
      <c r="AV2027" s="109">
        <f>+AQ2027/AR2027*AV$1</f>
        <v>0</v>
      </c>
    </row>
    <row r="2028" spans="1:48">
      <c r="A2028" s="358" t="s">
        <v>2342</v>
      </c>
      <c r="B2028" s="369">
        <v>2025</v>
      </c>
      <c r="C2028" s="358" t="s">
        <v>2955</v>
      </c>
      <c r="D2028" s="358" t="s">
        <v>829</v>
      </c>
      <c r="E2028" s="373">
        <v>46006.375</v>
      </c>
      <c r="F2028" s="372" t="s">
        <v>140</v>
      </c>
      <c r="G2028" s="372">
        <v>122</v>
      </c>
      <c r="H2028" s="372" t="s">
        <v>2934</v>
      </c>
      <c r="I2028" s="372"/>
      <c r="J2028" s="372"/>
      <c r="K2028" s="358"/>
      <c r="L2028" s="358"/>
      <c r="M2028" s="358"/>
      <c r="N2028" s="358"/>
      <c r="O2028" s="380" t="s">
        <v>2863</v>
      </c>
      <c r="P2028" s="380" t="s">
        <v>30</v>
      </c>
      <c r="Q2028" s="23">
        <v>46049</v>
      </c>
      <c r="R2028" s="24" t="s">
        <v>67</v>
      </c>
      <c r="S2028" s="22" t="s">
        <v>32</v>
      </c>
      <c r="T2028" s="22">
        <f>141-78</f>
        <v>63</v>
      </c>
      <c r="U2028" s="24" t="s">
        <v>67</v>
      </c>
      <c r="V2028" s="23">
        <v>46050</v>
      </c>
      <c r="W2028" s="100" t="s">
        <v>113</v>
      </c>
      <c r="X2028" s="100"/>
      <c r="Y2028" s="95"/>
      <c r="Z2028" s="100"/>
      <c r="AA2028" s="100"/>
      <c r="AB2028" s="100"/>
      <c r="AC2028" s="100"/>
      <c r="AD2028" s="100"/>
      <c r="AE2028" s="100"/>
      <c r="AF2028" s="100"/>
      <c r="AG2028" s="100"/>
      <c r="AH2028" s="114"/>
      <c r="AI2028" s="111"/>
      <c r="AJ2028" s="111"/>
      <c r="AK2028" s="111"/>
      <c r="AL2028" s="114"/>
      <c r="AM2028" s="360"/>
      <c r="AN2028" s="6">
        <v>21</v>
      </c>
      <c r="AO2028" s="6">
        <v>0</v>
      </c>
      <c r="AP2028" s="6">
        <v>5</v>
      </c>
      <c r="AQ2028" s="6">
        <v>96</v>
      </c>
      <c r="AR2028" s="6">
        <f>SUM(AN2028:AQ2028)</f>
        <v>122</v>
      </c>
      <c r="AS2028" s="108">
        <f>+AN2028/AR2028*AS$1</f>
        <v>0</v>
      </c>
      <c r="AT2028" s="109">
        <f>+AO2028/AR2028*AT$1</f>
        <v>0</v>
      </c>
      <c r="AU2028" s="109">
        <f>+AP2028/AR2028*AU$1</f>
        <v>0</v>
      </c>
      <c r="AV2028" s="109">
        <f>+AQ2028/AR2028*AV$1</f>
        <v>0</v>
      </c>
    </row>
    <row r="2029" spans="1:48">
      <c r="A2029" s="358" t="s">
        <v>2342</v>
      </c>
      <c r="B2029" s="369">
        <v>2026</v>
      </c>
      <c r="C2029" s="358" t="s">
        <v>2956</v>
      </c>
      <c r="D2029" s="358" t="s">
        <v>1574</v>
      </c>
      <c r="E2029" s="373">
        <v>46006.375</v>
      </c>
      <c r="F2029" s="372" t="s">
        <v>140</v>
      </c>
      <c r="G2029" s="372">
        <v>1</v>
      </c>
      <c r="H2029" s="372" t="s">
        <v>1077</v>
      </c>
      <c r="I2029" s="372"/>
      <c r="J2029" s="372"/>
      <c r="K2029" s="358"/>
      <c r="L2029" s="358"/>
      <c r="M2029" s="358"/>
      <c r="N2029" s="358"/>
      <c r="O2029" s="380"/>
      <c r="P2029" s="380" t="s">
        <v>30</v>
      </c>
      <c r="Q2029" s="23">
        <v>46050</v>
      </c>
      <c r="R2029" s="24" t="s">
        <v>67</v>
      </c>
      <c r="S2029" s="22" t="s">
        <v>32</v>
      </c>
      <c r="T2029" s="22">
        <v>1</v>
      </c>
      <c r="U2029" s="24" t="s">
        <v>67</v>
      </c>
      <c r="V2029" s="23">
        <v>46050</v>
      </c>
      <c r="W2029" s="100" t="s">
        <v>113</v>
      </c>
      <c r="X2029" s="100"/>
      <c r="Y2029" s="95"/>
      <c r="Z2029" s="95"/>
      <c r="AA2029" s="95"/>
      <c r="AB2029" s="95"/>
      <c r="AC2029" s="100"/>
      <c r="AD2029" s="100"/>
      <c r="AE2029" s="100"/>
      <c r="AF2029" s="100"/>
      <c r="AG2029" s="100"/>
      <c r="AH2029" s="114"/>
      <c r="AI2029" s="114"/>
      <c r="AJ2029" s="114"/>
      <c r="AK2029" s="111"/>
      <c r="AL2029" s="114"/>
      <c r="AM2029" s="360"/>
      <c r="AN2029" s="6"/>
      <c r="AO2029" s="6"/>
      <c r="AP2029" s="6"/>
      <c r="AQ2029" s="6"/>
      <c r="AR2029" s="6"/>
      <c r="AS2029" s="108"/>
      <c r="AT2029" s="109"/>
      <c r="AU2029" s="109"/>
      <c r="AV2029" s="109"/>
    </row>
    <row r="2030" spans="1:48">
      <c r="A2030" s="358" t="s">
        <v>2342</v>
      </c>
      <c r="B2030" s="369">
        <v>2027</v>
      </c>
      <c r="C2030" s="358" t="s">
        <v>2957</v>
      </c>
      <c r="D2030" s="358" t="s">
        <v>1516</v>
      </c>
      <c r="E2030" s="373">
        <v>46006</v>
      </c>
      <c r="F2030" s="372" t="s">
        <v>140</v>
      </c>
      <c r="G2030" s="372">
        <v>1</v>
      </c>
      <c r="H2030" s="372" t="s">
        <v>67</v>
      </c>
      <c r="I2030" s="372"/>
      <c r="J2030" s="372"/>
      <c r="K2030" s="358"/>
      <c r="L2030" s="358"/>
      <c r="M2030" s="358"/>
      <c r="N2030" s="358"/>
      <c r="O2030" s="380"/>
      <c r="P2030" s="380" t="s">
        <v>30</v>
      </c>
      <c r="Q2030" s="23">
        <v>46049</v>
      </c>
      <c r="R2030" s="24" t="s">
        <v>67</v>
      </c>
      <c r="S2030" s="22" t="s">
        <v>32</v>
      </c>
      <c r="T2030" s="22">
        <v>1</v>
      </c>
      <c r="U2030" s="24" t="s">
        <v>67</v>
      </c>
      <c r="V2030" s="23">
        <v>46050</v>
      </c>
      <c r="W2030" s="100" t="s">
        <v>113</v>
      </c>
      <c r="X2030" s="100"/>
      <c r="Y2030" s="95"/>
      <c r="Z2030" s="100"/>
      <c r="AA2030" s="100"/>
      <c r="AB2030" s="100"/>
      <c r="AC2030" s="100"/>
      <c r="AD2030" s="100"/>
      <c r="AE2030" s="100"/>
      <c r="AF2030" s="100"/>
      <c r="AG2030" s="100"/>
      <c r="AH2030" s="114"/>
      <c r="AI2030" s="114"/>
      <c r="AJ2030" s="114"/>
      <c r="AK2030" s="114"/>
      <c r="AL2030" s="114"/>
      <c r="AM2030" s="360"/>
      <c r="AN2030" s="6"/>
      <c r="AO2030" s="6"/>
      <c r="AP2030" s="6"/>
      <c r="AQ2030" s="6"/>
      <c r="AR2030" s="6"/>
      <c r="AS2030" s="108"/>
      <c r="AT2030" s="109"/>
      <c r="AU2030" s="109"/>
      <c r="AV2030" s="109"/>
    </row>
    <row r="2031" spans="1:48">
      <c r="A2031" s="358" t="s">
        <v>2342</v>
      </c>
      <c r="B2031" s="369">
        <v>2028</v>
      </c>
      <c r="C2031" s="358" t="s">
        <v>2958</v>
      </c>
      <c r="D2031" s="358" t="s">
        <v>2959</v>
      </c>
      <c r="E2031" s="373">
        <v>46006.041666666664</v>
      </c>
      <c r="F2031" s="372" t="s">
        <v>140</v>
      </c>
      <c r="G2031" s="372">
        <v>11</v>
      </c>
      <c r="H2031" s="372" t="s">
        <v>127</v>
      </c>
      <c r="I2031" s="372"/>
      <c r="J2031" s="372"/>
      <c r="K2031" s="358"/>
      <c r="L2031" s="358"/>
      <c r="M2031" s="358"/>
      <c r="N2031" s="358"/>
      <c r="O2031" s="117"/>
      <c r="P2031" s="380" t="s">
        <v>30</v>
      </c>
      <c r="Q2031" s="23">
        <v>46050</v>
      </c>
      <c r="R2031" s="24" t="s">
        <v>67</v>
      </c>
      <c r="S2031" s="22" t="s">
        <v>32</v>
      </c>
      <c r="T2031" s="22">
        <v>8</v>
      </c>
      <c r="U2031" s="24" t="s">
        <v>67</v>
      </c>
      <c r="V2031" s="23">
        <v>46050</v>
      </c>
      <c r="W2031" s="100" t="s">
        <v>113</v>
      </c>
      <c r="X2031" s="100"/>
      <c r="Y2031" s="95"/>
      <c r="Z2031" s="100"/>
      <c r="AA2031" s="100"/>
      <c r="AB2031" s="100"/>
      <c r="AC2031" s="100"/>
      <c r="AD2031" s="100"/>
      <c r="AE2031" s="100"/>
      <c r="AF2031" s="100"/>
      <c r="AG2031" s="100"/>
      <c r="AH2031" s="114"/>
      <c r="AI2031" s="111"/>
      <c r="AJ2031" s="111"/>
      <c r="AK2031" s="111"/>
      <c r="AL2031" s="114"/>
      <c r="AM2031" s="360"/>
      <c r="AN2031" s="6"/>
      <c r="AO2031" s="6"/>
      <c r="AP2031" s="6"/>
      <c r="AQ2031" s="6"/>
      <c r="AR2031" s="6"/>
      <c r="AS2031" s="108"/>
      <c r="AT2031" s="109"/>
      <c r="AU2031" s="109"/>
      <c r="AV2031" s="109"/>
    </row>
    <row r="2032" spans="1:48">
      <c r="A2032" s="358" t="s">
        <v>2342</v>
      </c>
      <c r="B2032" s="369">
        <v>2029</v>
      </c>
      <c r="C2032" s="358" t="s">
        <v>2960</v>
      </c>
      <c r="D2032" s="358" t="s">
        <v>989</v>
      </c>
      <c r="E2032" s="373">
        <v>46006</v>
      </c>
      <c r="F2032" s="372" t="s">
        <v>140</v>
      </c>
      <c r="G2032" s="372">
        <v>24</v>
      </c>
      <c r="H2032" s="372" t="s">
        <v>127</v>
      </c>
      <c r="I2032" s="372"/>
      <c r="J2032" s="372"/>
      <c r="K2032" s="358"/>
      <c r="L2032" s="358"/>
      <c r="M2032" s="358"/>
      <c r="N2032" s="358"/>
      <c r="O2032" s="380"/>
      <c r="P2032" s="380" t="s">
        <v>30</v>
      </c>
      <c r="Q2032" s="23">
        <v>46050</v>
      </c>
      <c r="R2032" s="24" t="s">
        <v>67</v>
      </c>
      <c r="S2032" s="22" t="s">
        <v>32</v>
      </c>
      <c r="T2032" s="22">
        <v>24</v>
      </c>
      <c r="U2032" s="24" t="s">
        <v>67</v>
      </c>
      <c r="V2032" s="23">
        <v>46050</v>
      </c>
      <c r="W2032" s="100" t="s">
        <v>113</v>
      </c>
      <c r="X2032" s="100"/>
      <c r="Y2032" s="95"/>
      <c r="Z2032" s="100"/>
      <c r="AA2032" s="100"/>
      <c r="AB2032" s="100"/>
      <c r="AC2032" s="100"/>
      <c r="AD2032" s="100"/>
      <c r="AE2032" s="100"/>
      <c r="AF2032" s="100"/>
      <c r="AG2032" s="100"/>
      <c r="AH2032" s="114"/>
      <c r="AI2032" s="111"/>
      <c r="AJ2032" s="111"/>
      <c r="AK2032" s="111"/>
      <c r="AL2032" s="114"/>
      <c r="AM2032" s="360"/>
      <c r="AN2032" s="91"/>
      <c r="AO2032" s="91"/>
      <c r="AS2032" s="72"/>
      <c r="AT2032" s="96"/>
      <c r="AU2032" s="96"/>
      <c r="AV2032" s="109"/>
    </row>
    <row r="2033" spans="1:48">
      <c r="A2033" s="358" t="s">
        <v>2342</v>
      </c>
      <c r="B2033" s="369">
        <v>2030</v>
      </c>
      <c r="C2033" s="358" t="s">
        <v>2961</v>
      </c>
      <c r="D2033" s="358" t="s">
        <v>1250</v>
      </c>
      <c r="E2033" s="373">
        <v>46006.375</v>
      </c>
      <c r="F2033" s="372" t="s">
        <v>140</v>
      </c>
      <c r="G2033" s="372">
        <v>5</v>
      </c>
      <c r="H2033" s="372" t="s">
        <v>1077</v>
      </c>
      <c r="I2033" s="372"/>
      <c r="J2033" s="372"/>
      <c r="K2033" s="358"/>
      <c r="L2033" s="358"/>
      <c r="M2033" s="358"/>
      <c r="N2033" s="358"/>
      <c r="O2033" s="117"/>
      <c r="P2033" s="380" t="s">
        <v>30</v>
      </c>
      <c r="Q2033" s="23">
        <v>46050</v>
      </c>
      <c r="R2033" s="24" t="s">
        <v>67</v>
      </c>
      <c r="S2033" s="22" t="s">
        <v>32</v>
      </c>
      <c r="T2033" s="7">
        <v>4</v>
      </c>
      <c r="U2033" s="24" t="s">
        <v>67</v>
      </c>
      <c r="V2033" s="23">
        <v>46050</v>
      </c>
      <c r="W2033" s="100" t="s">
        <v>113</v>
      </c>
      <c r="X2033" s="100"/>
      <c r="Y2033" s="95"/>
      <c r="Z2033" s="100"/>
      <c r="AA2033" s="100"/>
      <c r="AB2033" s="100"/>
      <c r="AC2033" s="100"/>
      <c r="AD2033" s="100"/>
      <c r="AE2033" s="100"/>
      <c r="AF2033" s="100"/>
      <c r="AG2033" s="100"/>
      <c r="AH2033" s="114"/>
      <c r="AI2033" s="100"/>
      <c r="AJ2033" s="100"/>
      <c r="AK2033" s="100"/>
      <c r="AL2033" s="114"/>
      <c r="AM2033" s="360"/>
      <c r="AN2033" s="6"/>
      <c r="AO2033" s="6"/>
      <c r="AP2033" s="6"/>
      <c r="AQ2033" s="6"/>
      <c r="AR2033" s="6"/>
      <c r="AS2033" s="108"/>
      <c r="AT2033" s="109"/>
      <c r="AU2033" s="109"/>
      <c r="AV2033" s="109"/>
    </row>
    <row r="2034" spans="1:48">
      <c r="A2034" s="358" t="s">
        <v>2342</v>
      </c>
      <c r="B2034" s="369">
        <v>2031</v>
      </c>
      <c r="C2034" s="358" t="s">
        <v>2962</v>
      </c>
      <c r="D2034" s="358" t="s">
        <v>2963</v>
      </c>
      <c r="E2034" s="373">
        <v>46006</v>
      </c>
      <c r="F2034" s="372" t="s">
        <v>140</v>
      </c>
      <c r="G2034" s="372">
        <v>24</v>
      </c>
      <c r="H2034" s="372" t="s">
        <v>1721</v>
      </c>
      <c r="I2034" s="372"/>
      <c r="J2034" s="372"/>
      <c r="K2034" s="358"/>
      <c r="L2034" s="358"/>
      <c r="M2034" s="358"/>
      <c r="N2034" s="358"/>
      <c r="O2034" s="117"/>
      <c r="P2034" s="380" t="s">
        <v>30</v>
      </c>
      <c r="Q2034" s="23">
        <v>46050</v>
      </c>
      <c r="R2034" s="24" t="s">
        <v>67</v>
      </c>
      <c r="S2034" s="22" t="s">
        <v>32</v>
      </c>
      <c r="T2034" s="22">
        <v>25</v>
      </c>
      <c r="U2034" s="24" t="s">
        <v>67</v>
      </c>
      <c r="V2034" s="23">
        <v>46050</v>
      </c>
      <c r="W2034" s="100" t="s">
        <v>113</v>
      </c>
      <c r="X2034" s="100"/>
      <c r="Y2034" s="95"/>
      <c r="Z2034" s="100"/>
      <c r="AA2034" s="100"/>
      <c r="AB2034" s="100"/>
      <c r="AC2034" s="100"/>
      <c r="AD2034" s="100"/>
      <c r="AE2034" s="100"/>
      <c r="AF2034" s="100"/>
      <c r="AG2034" s="100"/>
      <c r="AH2034" s="114"/>
      <c r="AI2034" s="114"/>
      <c r="AJ2034" s="114"/>
      <c r="AK2034" s="114"/>
      <c r="AL2034" s="114"/>
      <c r="AM2034" s="360"/>
      <c r="AN2034" s="6"/>
      <c r="AO2034" s="6"/>
      <c r="AP2034" s="6"/>
      <c r="AQ2034" s="6"/>
      <c r="AR2034" s="6"/>
      <c r="AS2034" s="108"/>
      <c r="AT2034" s="109"/>
      <c r="AU2034" s="109"/>
      <c r="AV2034" s="109"/>
    </row>
    <row r="2035" spans="1:48">
      <c r="A2035" s="358" t="s">
        <v>2342</v>
      </c>
      <c r="B2035" s="369">
        <v>2032</v>
      </c>
      <c r="C2035" s="358" t="s">
        <v>2964</v>
      </c>
      <c r="D2035" s="358" t="s">
        <v>2965</v>
      </c>
      <c r="E2035" s="373">
        <v>46006.375</v>
      </c>
      <c r="F2035" s="372" t="s">
        <v>140</v>
      </c>
      <c r="G2035" s="372">
        <v>45</v>
      </c>
      <c r="H2035" s="372" t="s">
        <v>2966</v>
      </c>
      <c r="I2035" s="372"/>
      <c r="J2035" s="372"/>
      <c r="K2035" s="358"/>
      <c r="L2035" s="358"/>
      <c r="M2035" s="358"/>
      <c r="N2035" s="358"/>
      <c r="O2035" s="380" t="s">
        <v>2863</v>
      </c>
      <c r="P2035" s="380" t="s">
        <v>30</v>
      </c>
      <c r="Q2035" s="23">
        <v>46050</v>
      </c>
      <c r="R2035" s="24" t="s">
        <v>67</v>
      </c>
      <c r="S2035" s="22" t="s">
        <v>32</v>
      </c>
      <c r="T2035" s="22">
        <v>46</v>
      </c>
      <c r="U2035" s="24" t="s">
        <v>67</v>
      </c>
      <c r="V2035" s="23">
        <v>46051</v>
      </c>
      <c r="W2035" s="100" t="s">
        <v>113</v>
      </c>
      <c r="X2035" s="100"/>
      <c r="Y2035" s="95"/>
      <c r="Z2035" s="100"/>
      <c r="AA2035" s="100"/>
      <c r="AB2035" s="100"/>
      <c r="AC2035" s="100"/>
      <c r="AD2035" s="100"/>
      <c r="AE2035" s="100"/>
      <c r="AF2035" s="100"/>
      <c r="AG2035" s="100"/>
      <c r="AH2035" s="114"/>
      <c r="AI2035" s="114"/>
      <c r="AJ2035" s="114"/>
      <c r="AK2035" s="114"/>
      <c r="AL2035" s="114"/>
      <c r="AM2035" s="360"/>
      <c r="AN2035" s="6">
        <v>0</v>
      </c>
      <c r="AO2035" s="6">
        <v>14</v>
      </c>
      <c r="AP2035" s="6">
        <v>31</v>
      </c>
      <c r="AQ2035" s="6">
        <v>0</v>
      </c>
      <c r="AR2035" s="6">
        <f>SUM(AN2035:AQ2035)</f>
        <v>45</v>
      </c>
      <c r="AS2035" s="108">
        <f>+AN2035/AR2035*AS$1</f>
        <v>0</v>
      </c>
      <c r="AT2035" s="109">
        <f>+AO2035/AR2035*AT$1</f>
        <v>0</v>
      </c>
      <c r="AU2035" s="109">
        <f>+AP2035/AR2035*AU$1</f>
        <v>0</v>
      </c>
      <c r="AV2035" s="109">
        <f>+AQ2035/AR2035*AV$1</f>
        <v>0</v>
      </c>
    </row>
    <row r="2036" spans="1:48">
      <c r="A2036" s="358" t="s">
        <v>2342</v>
      </c>
      <c r="B2036" s="369">
        <v>2033</v>
      </c>
      <c r="C2036" s="358" t="s">
        <v>2967</v>
      </c>
      <c r="D2036" s="358" t="s">
        <v>2968</v>
      </c>
      <c r="E2036" s="373">
        <v>46006</v>
      </c>
      <c r="F2036" s="372" t="s">
        <v>140</v>
      </c>
      <c r="G2036" s="372">
        <v>1</v>
      </c>
      <c r="H2036" s="372" t="s">
        <v>1077</v>
      </c>
      <c r="I2036" s="372"/>
      <c r="J2036" s="372"/>
      <c r="K2036" s="358"/>
      <c r="L2036" s="358"/>
      <c r="M2036" s="358"/>
      <c r="N2036" s="358"/>
      <c r="O2036" s="380"/>
      <c r="P2036" s="380" t="s">
        <v>30</v>
      </c>
      <c r="Q2036" s="23">
        <v>46050</v>
      </c>
      <c r="R2036" s="24" t="s">
        <v>67</v>
      </c>
      <c r="S2036" s="22" t="s">
        <v>32</v>
      </c>
      <c r="T2036" s="22">
        <v>1</v>
      </c>
      <c r="U2036" s="24" t="s">
        <v>67</v>
      </c>
      <c r="V2036" s="23">
        <v>46051</v>
      </c>
      <c r="W2036" s="100" t="s">
        <v>113</v>
      </c>
      <c r="X2036" s="100"/>
      <c r="Y2036" s="107"/>
      <c r="Z2036" s="100"/>
      <c r="AA2036" s="95"/>
      <c r="AB2036" s="100"/>
      <c r="AC2036" s="100"/>
      <c r="AD2036" s="100"/>
      <c r="AE2036" s="100"/>
      <c r="AF2036" s="100"/>
      <c r="AG2036" s="100"/>
      <c r="AH2036" s="114"/>
      <c r="AI2036" s="114"/>
      <c r="AJ2036" s="114"/>
      <c r="AK2036" s="114"/>
      <c r="AL2036" s="114"/>
      <c r="AM2036" s="360"/>
      <c r="AS2036" s="72"/>
      <c r="AT2036" s="96"/>
      <c r="AU2036" s="96"/>
      <c r="AV2036" s="109"/>
    </row>
    <row r="2037" spans="1:48">
      <c r="A2037" s="358" t="s">
        <v>2342</v>
      </c>
      <c r="B2037" s="369">
        <v>2034</v>
      </c>
      <c r="C2037" s="358" t="s">
        <v>2969</v>
      </c>
      <c r="D2037" s="358" t="s">
        <v>1366</v>
      </c>
      <c r="E2037" s="373">
        <v>46006</v>
      </c>
      <c r="F2037" s="372" t="s">
        <v>140</v>
      </c>
      <c r="G2037" s="372">
        <v>1</v>
      </c>
      <c r="H2037" s="372" t="s">
        <v>67</v>
      </c>
      <c r="I2037" s="372"/>
      <c r="J2037" s="372"/>
      <c r="K2037" s="358"/>
      <c r="L2037" s="358"/>
      <c r="M2037" s="358"/>
      <c r="N2037" s="358"/>
      <c r="O2037" s="380"/>
      <c r="P2037" s="380" t="s">
        <v>30</v>
      </c>
      <c r="Q2037" s="23">
        <v>46050</v>
      </c>
      <c r="R2037" s="24" t="s">
        <v>67</v>
      </c>
      <c r="S2037" s="22" t="s">
        <v>32</v>
      </c>
      <c r="T2037" s="22">
        <v>1</v>
      </c>
      <c r="U2037" s="24" t="s">
        <v>67</v>
      </c>
      <c r="V2037" s="23">
        <v>46024</v>
      </c>
      <c r="W2037" s="100" t="s">
        <v>113</v>
      </c>
      <c r="X2037" s="100"/>
      <c r="Y2037" s="95"/>
      <c r="Z2037" s="100"/>
      <c r="AA2037" s="100"/>
      <c r="AB2037" s="100"/>
      <c r="AC2037" s="100"/>
      <c r="AD2037" s="100"/>
      <c r="AE2037" s="100"/>
      <c r="AF2037" s="100"/>
      <c r="AG2037" s="100"/>
      <c r="AH2037" s="114"/>
      <c r="AI2037" s="114"/>
      <c r="AJ2037" s="111"/>
      <c r="AK2037" s="111"/>
      <c r="AL2037" s="114"/>
      <c r="AM2037" s="360"/>
      <c r="AV2037" s="109"/>
    </row>
    <row r="2038" spans="1:48">
      <c r="A2038" s="358" t="s">
        <v>2342</v>
      </c>
      <c r="B2038" s="369">
        <v>2035</v>
      </c>
      <c r="C2038" s="358" t="s">
        <v>2970</v>
      </c>
      <c r="D2038" s="358" t="s">
        <v>2374</v>
      </c>
      <c r="E2038" s="373">
        <v>46006</v>
      </c>
      <c r="F2038" s="372" t="s">
        <v>140</v>
      </c>
      <c r="G2038" s="372">
        <v>3</v>
      </c>
      <c r="H2038" s="372" t="s">
        <v>1721</v>
      </c>
      <c r="I2038" s="372"/>
      <c r="J2038" s="372"/>
      <c r="K2038" s="358"/>
      <c r="L2038" s="358"/>
      <c r="M2038" s="358"/>
      <c r="N2038" s="358"/>
      <c r="O2038" s="117"/>
      <c r="P2038" s="380" t="s">
        <v>30</v>
      </c>
      <c r="Q2038" s="23">
        <v>46050</v>
      </c>
      <c r="R2038" s="24" t="s">
        <v>67</v>
      </c>
      <c r="S2038" s="22" t="s">
        <v>32</v>
      </c>
      <c r="T2038" s="22">
        <v>3</v>
      </c>
      <c r="U2038" s="24" t="s">
        <v>67</v>
      </c>
      <c r="V2038" s="23">
        <v>46051</v>
      </c>
      <c r="W2038" s="100" t="s">
        <v>113</v>
      </c>
      <c r="X2038" s="100"/>
      <c r="Y2038" s="95"/>
      <c r="Z2038" s="100"/>
      <c r="AA2038" s="95"/>
      <c r="AB2038" s="100"/>
      <c r="AC2038" s="100"/>
      <c r="AD2038" s="100"/>
      <c r="AE2038" s="100"/>
      <c r="AF2038" s="100"/>
      <c r="AG2038" s="100"/>
      <c r="AH2038" s="114"/>
      <c r="AI2038" s="114"/>
      <c r="AJ2038" s="114"/>
      <c r="AK2038" s="114"/>
      <c r="AL2038" s="114"/>
      <c r="AM2038" s="360"/>
      <c r="AS2038" s="72"/>
      <c r="AT2038" s="96"/>
      <c r="AU2038" s="96"/>
      <c r="AV2038" s="109"/>
    </row>
    <row r="2039" spans="1:48">
      <c r="A2039" s="358" t="s">
        <v>2342</v>
      </c>
      <c r="B2039" s="369">
        <v>2036</v>
      </c>
      <c r="C2039" s="358" t="s">
        <v>2971</v>
      </c>
      <c r="D2039" s="358" t="s">
        <v>1025</v>
      </c>
      <c r="E2039" s="373">
        <v>46006</v>
      </c>
      <c r="F2039" s="372" t="s">
        <v>140</v>
      </c>
      <c r="G2039" s="372">
        <v>1</v>
      </c>
      <c r="H2039" s="372" t="s">
        <v>1077</v>
      </c>
      <c r="I2039" s="372"/>
      <c r="J2039" s="372"/>
      <c r="K2039" s="358"/>
      <c r="L2039" s="358"/>
      <c r="M2039" s="358"/>
      <c r="N2039" s="358"/>
      <c r="O2039" s="380"/>
      <c r="P2039" s="380" t="s">
        <v>30</v>
      </c>
      <c r="Q2039" s="23">
        <v>46051</v>
      </c>
      <c r="R2039" s="24" t="s">
        <v>67</v>
      </c>
      <c r="S2039" s="22" t="s">
        <v>32</v>
      </c>
      <c r="T2039" s="22">
        <v>1</v>
      </c>
      <c r="U2039" s="24" t="s">
        <v>67</v>
      </c>
      <c r="V2039" s="23">
        <v>46051</v>
      </c>
      <c r="W2039" s="100" t="s">
        <v>113</v>
      </c>
      <c r="X2039" s="100"/>
      <c r="Y2039" s="95"/>
      <c r="Z2039" s="100"/>
      <c r="AA2039" s="100"/>
      <c r="AB2039" s="100"/>
      <c r="AC2039" s="100"/>
      <c r="AD2039" s="100"/>
      <c r="AE2039" s="100"/>
      <c r="AF2039" s="100"/>
      <c r="AG2039" s="100"/>
      <c r="AH2039" s="114"/>
      <c r="AI2039" s="114"/>
      <c r="AJ2039" s="114"/>
      <c r="AK2039" s="111"/>
      <c r="AL2039" s="114"/>
      <c r="AM2039" s="360"/>
      <c r="AS2039" s="72"/>
      <c r="AT2039" s="96"/>
      <c r="AU2039" s="96"/>
      <c r="AV2039" s="109"/>
    </row>
    <row r="2040" spans="1:48">
      <c r="A2040" s="358" t="s">
        <v>2342</v>
      </c>
      <c r="B2040" s="369">
        <v>2037</v>
      </c>
      <c r="C2040" s="358" t="s">
        <v>2972</v>
      </c>
      <c r="D2040" s="358" t="s">
        <v>846</v>
      </c>
      <c r="E2040" s="373">
        <v>46006</v>
      </c>
      <c r="F2040" s="372" t="s">
        <v>140</v>
      </c>
      <c r="G2040" s="372">
        <v>4</v>
      </c>
      <c r="H2040" s="372" t="s">
        <v>1077</v>
      </c>
      <c r="I2040" s="372"/>
      <c r="J2040" s="372"/>
      <c r="K2040" s="358"/>
      <c r="L2040" s="358"/>
      <c r="M2040" s="358"/>
      <c r="N2040" s="358"/>
      <c r="O2040" s="380"/>
      <c r="P2040" s="380" t="s">
        <v>30</v>
      </c>
      <c r="Q2040" s="23">
        <v>46051</v>
      </c>
      <c r="R2040" s="24" t="s">
        <v>67</v>
      </c>
      <c r="S2040" s="22" t="s">
        <v>32</v>
      </c>
      <c r="T2040" s="22">
        <v>4</v>
      </c>
      <c r="U2040" s="24" t="s">
        <v>67</v>
      </c>
      <c r="V2040" s="23">
        <v>46051</v>
      </c>
      <c r="W2040" s="100" t="s">
        <v>113</v>
      </c>
      <c r="X2040" s="107"/>
      <c r="Y2040" s="107"/>
      <c r="Z2040" s="100"/>
      <c r="AA2040" s="100"/>
      <c r="AB2040" s="100"/>
      <c r="AC2040" s="100"/>
      <c r="AD2040" s="100"/>
      <c r="AE2040" s="100"/>
      <c r="AF2040" s="100"/>
      <c r="AG2040" s="100"/>
      <c r="AH2040" s="114"/>
      <c r="AI2040" s="114"/>
      <c r="AJ2040" s="114"/>
      <c r="AK2040" s="114"/>
      <c r="AL2040" s="114"/>
      <c r="AM2040" s="360"/>
      <c r="AV2040" s="109"/>
    </row>
    <row r="2041" spans="1:48">
      <c r="A2041" s="358" t="s">
        <v>2342</v>
      </c>
      <c r="B2041" s="369">
        <v>2038</v>
      </c>
      <c r="C2041" s="358" t="s">
        <v>2973</v>
      </c>
      <c r="D2041" s="358" t="s">
        <v>1208</v>
      </c>
      <c r="E2041" s="373">
        <v>46006</v>
      </c>
      <c r="F2041" s="372" t="s">
        <v>140</v>
      </c>
      <c r="G2041" s="372">
        <v>1</v>
      </c>
      <c r="H2041" s="372" t="s">
        <v>1721</v>
      </c>
      <c r="I2041" s="372"/>
      <c r="J2041" s="372"/>
      <c r="K2041" s="358"/>
      <c r="L2041" s="358"/>
      <c r="M2041" s="358"/>
      <c r="N2041" s="358"/>
      <c r="O2041" s="117"/>
      <c r="P2041" s="380" t="s">
        <v>30</v>
      </c>
      <c r="Q2041" s="23">
        <v>46024</v>
      </c>
      <c r="R2041" s="24" t="s">
        <v>67</v>
      </c>
      <c r="S2041" s="22" t="s">
        <v>32</v>
      </c>
      <c r="T2041" s="22">
        <v>1</v>
      </c>
      <c r="U2041" s="24" t="s">
        <v>67</v>
      </c>
      <c r="V2041" s="23">
        <v>46051</v>
      </c>
      <c r="W2041" s="100" t="s">
        <v>113</v>
      </c>
      <c r="X2041" s="100"/>
      <c r="Y2041" s="95"/>
      <c r="Z2041" s="95"/>
      <c r="AA2041" s="95"/>
      <c r="AB2041" s="95"/>
      <c r="AC2041" s="100"/>
      <c r="AD2041" s="100"/>
      <c r="AE2041" s="100"/>
      <c r="AF2041" s="100"/>
      <c r="AG2041" s="100"/>
      <c r="AH2041" s="114"/>
      <c r="AI2041" s="100"/>
      <c r="AJ2041" s="100"/>
      <c r="AK2041" s="100"/>
      <c r="AL2041" s="114"/>
      <c r="AM2041" s="360"/>
      <c r="AN2041" s="6"/>
      <c r="AO2041" s="6"/>
      <c r="AP2041" s="6"/>
      <c r="AQ2041" s="6"/>
      <c r="AR2041" s="6"/>
      <c r="AS2041" s="108"/>
      <c r="AT2041" s="109"/>
      <c r="AU2041" s="109"/>
      <c r="AV2041" s="109"/>
    </row>
    <row r="2042" spans="1:48">
      <c r="A2042" s="358" t="s">
        <v>2342</v>
      </c>
      <c r="B2042" s="369">
        <v>2039</v>
      </c>
      <c r="C2042" s="358" t="s">
        <v>2974</v>
      </c>
      <c r="D2042" s="358" t="s">
        <v>2975</v>
      </c>
      <c r="E2042" s="373">
        <v>46006</v>
      </c>
      <c r="F2042" s="372" t="s">
        <v>140</v>
      </c>
      <c r="G2042" s="372">
        <v>9</v>
      </c>
      <c r="H2042" s="372" t="s">
        <v>67</v>
      </c>
      <c r="I2042" s="372"/>
      <c r="J2042" s="372"/>
      <c r="K2042" s="358"/>
      <c r="L2042" s="358"/>
      <c r="M2042" s="358"/>
      <c r="N2042" s="358"/>
      <c r="O2042" s="117"/>
      <c r="P2042" s="380" t="s">
        <v>30</v>
      </c>
      <c r="Q2042" s="23">
        <v>46051</v>
      </c>
      <c r="R2042" s="24" t="s">
        <v>67</v>
      </c>
      <c r="S2042" s="22" t="s">
        <v>32</v>
      </c>
      <c r="T2042" s="22">
        <v>9</v>
      </c>
      <c r="U2042" s="24" t="s">
        <v>67</v>
      </c>
      <c r="V2042" s="23">
        <v>46051</v>
      </c>
      <c r="W2042" s="100" t="s">
        <v>113</v>
      </c>
      <c r="X2042" s="100"/>
      <c r="Y2042" s="95"/>
      <c r="Z2042" s="100"/>
      <c r="AA2042" s="100"/>
      <c r="AB2042" s="100"/>
      <c r="AC2042" s="100"/>
      <c r="AD2042" s="100"/>
      <c r="AE2042" s="100"/>
      <c r="AF2042" s="100"/>
      <c r="AG2042" s="100"/>
      <c r="AH2042" s="114"/>
      <c r="AI2042" s="111"/>
      <c r="AJ2042" s="111"/>
      <c r="AK2042" s="111"/>
      <c r="AL2042" s="114"/>
      <c r="AM2042" s="360"/>
      <c r="AR2042" s="88"/>
      <c r="AS2042" s="72"/>
      <c r="AT2042" s="72"/>
      <c r="AU2042" s="72"/>
      <c r="AV2042" s="109"/>
    </row>
    <row r="2043" spans="1:48">
      <c r="A2043" s="358" t="s">
        <v>2342</v>
      </c>
      <c r="B2043" s="369">
        <v>2040</v>
      </c>
      <c r="C2043" s="358" t="s">
        <v>2976</v>
      </c>
      <c r="D2043" s="358" t="s">
        <v>1544</v>
      </c>
      <c r="E2043" s="373">
        <v>46013</v>
      </c>
      <c r="F2043" s="372" t="s">
        <v>140</v>
      </c>
      <c r="G2043" s="372">
        <v>5</v>
      </c>
      <c r="H2043" s="372" t="s">
        <v>2977</v>
      </c>
      <c r="I2043" s="372"/>
      <c r="J2043" s="372"/>
      <c r="K2043" s="358"/>
      <c r="L2043" s="358"/>
      <c r="M2043" s="358"/>
      <c r="N2043" s="358"/>
      <c r="O2043" s="380"/>
      <c r="P2043" s="380" t="s">
        <v>30</v>
      </c>
      <c r="Q2043" s="23">
        <v>46051</v>
      </c>
      <c r="R2043" s="24" t="s">
        <v>67</v>
      </c>
      <c r="S2043" s="22" t="s">
        <v>32</v>
      </c>
      <c r="T2043" s="22">
        <v>3</v>
      </c>
      <c r="U2043" s="24" t="s">
        <v>67</v>
      </c>
      <c r="V2043" s="23">
        <v>46051</v>
      </c>
      <c r="W2043" s="100" t="s">
        <v>113</v>
      </c>
      <c r="X2043" s="100"/>
      <c r="Y2043" s="95"/>
      <c r="Z2043" s="100"/>
      <c r="AA2043" s="100"/>
      <c r="AB2043" s="100"/>
      <c r="AC2043" s="100"/>
      <c r="AD2043" s="100"/>
      <c r="AE2043" s="100"/>
      <c r="AF2043" s="100"/>
      <c r="AG2043" s="100"/>
      <c r="AH2043" s="114"/>
      <c r="AI2043" s="114"/>
      <c r="AJ2043" s="114"/>
      <c r="AK2043" s="114"/>
      <c r="AL2043" s="114"/>
      <c r="AM2043" s="360"/>
      <c r="AS2043" s="72"/>
      <c r="AT2043" s="96"/>
      <c r="AU2043" s="96"/>
      <c r="AV2043" s="109"/>
    </row>
    <row r="2044" spans="1:48">
      <c r="A2044" s="358" t="s">
        <v>2342</v>
      </c>
      <c r="B2044" s="369">
        <v>2041</v>
      </c>
      <c r="C2044" s="358" t="s">
        <v>2978</v>
      </c>
      <c r="D2044" s="358" t="s">
        <v>829</v>
      </c>
      <c r="E2044" s="373">
        <v>46013</v>
      </c>
      <c r="F2044" s="372" t="s">
        <v>140</v>
      </c>
      <c r="G2044" s="372">
        <v>24</v>
      </c>
      <c r="H2044" s="372" t="s">
        <v>2979</v>
      </c>
      <c r="I2044" s="372"/>
      <c r="J2044" s="372"/>
      <c r="K2044" s="358"/>
      <c r="L2044" s="358"/>
      <c r="M2044" s="358"/>
      <c r="N2044" s="358"/>
      <c r="O2044" s="117"/>
      <c r="P2044" s="380" t="s">
        <v>30</v>
      </c>
      <c r="Q2044" s="23">
        <v>46051</v>
      </c>
      <c r="R2044" s="24" t="s">
        <v>67</v>
      </c>
      <c r="S2044" s="22" t="s">
        <v>32</v>
      </c>
      <c r="T2044" s="22">
        <v>24</v>
      </c>
      <c r="U2044" s="24" t="s">
        <v>67</v>
      </c>
      <c r="V2044" s="23">
        <v>46052</v>
      </c>
      <c r="W2044" s="100" t="s">
        <v>113</v>
      </c>
      <c r="X2044" s="107"/>
      <c r="Y2044" s="107"/>
      <c r="Z2044" s="100"/>
      <c r="AA2044" s="100"/>
      <c r="AB2044" s="100"/>
      <c r="AC2044" s="100"/>
      <c r="AD2044" s="100"/>
      <c r="AE2044" s="100"/>
      <c r="AF2044" s="100"/>
      <c r="AG2044" s="100"/>
      <c r="AH2044" s="114"/>
      <c r="AI2044" s="114"/>
      <c r="AJ2044" s="114"/>
      <c r="AK2044" s="114"/>
      <c r="AL2044" s="114"/>
      <c r="AM2044" s="360"/>
      <c r="AV2044" s="109"/>
    </row>
    <row r="2045" spans="1:48">
      <c r="A2045" s="358" t="s">
        <v>2342</v>
      </c>
      <c r="B2045" s="369">
        <v>2042</v>
      </c>
      <c r="C2045" s="358" t="s">
        <v>2980</v>
      </c>
      <c r="D2045" s="358" t="s">
        <v>1208</v>
      </c>
      <c r="E2045" s="373">
        <v>46013.041666666664</v>
      </c>
      <c r="F2045" s="372" t="s">
        <v>140</v>
      </c>
      <c r="G2045" s="372">
        <v>1</v>
      </c>
      <c r="H2045" s="372" t="s">
        <v>127</v>
      </c>
      <c r="I2045" s="372"/>
      <c r="J2045" s="372"/>
      <c r="K2045" s="358"/>
      <c r="L2045" s="358"/>
      <c r="M2045" s="358"/>
      <c r="N2045" s="358"/>
      <c r="O2045" s="380"/>
      <c r="P2045" s="380" t="s">
        <v>30</v>
      </c>
      <c r="Q2045" s="23">
        <v>46051</v>
      </c>
      <c r="R2045" s="24" t="s">
        <v>67</v>
      </c>
      <c r="S2045" s="22" t="s">
        <v>32</v>
      </c>
      <c r="T2045" s="22">
        <v>1</v>
      </c>
      <c r="U2045" s="24" t="s">
        <v>67</v>
      </c>
      <c r="V2045" s="23">
        <v>46053</v>
      </c>
      <c r="W2045" s="100" t="s">
        <v>113</v>
      </c>
      <c r="X2045" s="100"/>
      <c r="Y2045" s="95"/>
      <c r="Z2045" s="100"/>
      <c r="AA2045" s="100"/>
      <c r="AB2045" s="100"/>
      <c r="AC2045" s="100"/>
      <c r="AD2045" s="100"/>
      <c r="AE2045" s="100"/>
      <c r="AF2045" s="100"/>
      <c r="AG2045" s="100"/>
      <c r="AH2045" s="114"/>
      <c r="AI2045" s="111"/>
      <c r="AJ2045" s="111"/>
      <c r="AK2045" s="111"/>
      <c r="AL2045" s="114"/>
      <c r="AM2045" s="360"/>
      <c r="AV2045" s="109"/>
    </row>
    <row r="2046" spans="1:48">
      <c r="A2046" s="358" t="s">
        <v>2342</v>
      </c>
      <c r="B2046" s="369">
        <v>2043</v>
      </c>
      <c r="C2046" s="358" t="s">
        <v>2981</v>
      </c>
      <c r="D2046" s="358" t="s">
        <v>1212</v>
      </c>
      <c r="E2046" s="373">
        <v>46013.041666666664</v>
      </c>
      <c r="F2046" s="372" t="s">
        <v>140</v>
      </c>
      <c r="G2046" s="372">
        <v>8</v>
      </c>
      <c r="H2046" s="372" t="s">
        <v>2982</v>
      </c>
      <c r="I2046" s="372"/>
      <c r="J2046" s="372"/>
      <c r="K2046" s="358"/>
      <c r="L2046" s="358"/>
      <c r="M2046" s="358"/>
      <c r="N2046" s="358"/>
      <c r="O2046" s="380"/>
      <c r="P2046" s="380" t="s">
        <v>30</v>
      </c>
      <c r="Q2046" s="23">
        <v>46051</v>
      </c>
      <c r="R2046" s="24" t="s">
        <v>67</v>
      </c>
      <c r="S2046" s="22" t="s">
        <v>32</v>
      </c>
      <c r="T2046" s="22">
        <v>8</v>
      </c>
      <c r="U2046" s="24" t="s">
        <v>67</v>
      </c>
      <c r="V2046" s="23">
        <v>46053</v>
      </c>
      <c r="W2046" s="100" t="s">
        <v>113</v>
      </c>
      <c r="X2046" s="100"/>
      <c r="Y2046" s="95"/>
      <c r="Z2046" s="100"/>
      <c r="AA2046" s="100"/>
      <c r="AB2046" s="100"/>
      <c r="AC2046" s="100"/>
      <c r="AD2046" s="100"/>
      <c r="AE2046" s="100"/>
      <c r="AF2046" s="100"/>
      <c r="AG2046" s="100"/>
      <c r="AH2046" s="114"/>
      <c r="AI2046" s="114"/>
      <c r="AJ2046" s="114"/>
      <c r="AK2046" s="114"/>
      <c r="AL2046" s="114"/>
      <c r="AM2046" s="360"/>
      <c r="AO2046" s="412"/>
      <c r="AP2046" s="412"/>
      <c r="AQ2046" s="412"/>
      <c r="AR2046" s="412"/>
      <c r="AV2046" s="109"/>
    </row>
    <row r="2047" spans="1:48">
      <c r="A2047" s="358" t="s">
        <v>2342</v>
      </c>
      <c r="B2047" s="369">
        <v>2044</v>
      </c>
      <c r="C2047" s="358" t="s">
        <v>2983</v>
      </c>
      <c r="D2047" s="358" t="s">
        <v>937</v>
      </c>
      <c r="E2047" s="373">
        <v>46013</v>
      </c>
      <c r="F2047" s="372" t="s">
        <v>140</v>
      </c>
      <c r="G2047" s="372">
        <v>29</v>
      </c>
      <c r="H2047" s="372" t="s">
        <v>2984</v>
      </c>
      <c r="I2047" s="372"/>
      <c r="J2047" s="372"/>
      <c r="K2047" s="358"/>
      <c r="L2047" s="358"/>
      <c r="M2047" s="358"/>
      <c r="N2047" s="358"/>
      <c r="O2047" s="380" t="s">
        <v>2863</v>
      </c>
      <c r="P2047" s="380" t="s">
        <v>30</v>
      </c>
      <c r="Q2047" s="23">
        <v>46051</v>
      </c>
      <c r="R2047" s="24" t="s">
        <v>67</v>
      </c>
      <c r="S2047" s="22" t="s">
        <v>32</v>
      </c>
      <c r="T2047" s="22">
        <v>29</v>
      </c>
      <c r="U2047" s="24" t="s">
        <v>67</v>
      </c>
      <c r="V2047" s="23">
        <v>46052</v>
      </c>
      <c r="W2047" s="100" t="s">
        <v>113</v>
      </c>
      <c r="X2047" s="94"/>
      <c r="Y2047" s="95"/>
      <c r="Z2047" s="100"/>
      <c r="AA2047" s="100"/>
      <c r="AB2047" s="100"/>
      <c r="AC2047" s="100"/>
      <c r="AD2047" s="100"/>
      <c r="AE2047" s="100"/>
      <c r="AF2047" s="100"/>
      <c r="AG2047" s="100"/>
      <c r="AH2047" s="114"/>
      <c r="AI2047" s="114"/>
      <c r="AJ2047" s="114"/>
      <c r="AK2047" s="114"/>
      <c r="AL2047" s="114"/>
      <c r="AM2047" s="360"/>
      <c r="AN2047" s="6">
        <v>0</v>
      </c>
      <c r="AO2047" s="6">
        <v>1</v>
      </c>
      <c r="AP2047" s="6">
        <v>3</v>
      </c>
      <c r="AQ2047" s="6">
        <v>0</v>
      </c>
      <c r="AR2047" s="6">
        <v>25</v>
      </c>
      <c r="AS2047" s="108">
        <f>+AN2047/AR2047*AS$1</f>
        <v>0</v>
      </c>
      <c r="AT2047" s="109">
        <f>+AO2047/AR2047*AT$1</f>
        <v>0</v>
      </c>
      <c r="AU2047" s="109">
        <f>+AP2047/AR2047*AU$1</f>
        <v>0</v>
      </c>
      <c r="AV2047" s="109">
        <f>+AQ2047/AR2047*AV$1</f>
        <v>0</v>
      </c>
    </row>
    <row r="2048" spans="1:48">
      <c r="A2048" s="358" t="s">
        <v>2342</v>
      </c>
      <c r="B2048" s="369">
        <v>2045</v>
      </c>
      <c r="C2048" s="358" t="s">
        <v>2985</v>
      </c>
      <c r="D2048" s="358" t="s">
        <v>779</v>
      </c>
      <c r="E2048" s="373">
        <v>46013</v>
      </c>
      <c r="F2048" s="372" t="s">
        <v>140</v>
      </c>
      <c r="G2048" s="372">
        <v>12</v>
      </c>
      <c r="H2048" s="372" t="s">
        <v>2986</v>
      </c>
      <c r="I2048" s="372"/>
      <c r="J2048" s="372"/>
      <c r="K2048" s="358"/>
      <c r="L2048" s="358"/>
      <c r="M2048" s="358"/>
      <c r="N2048" s="358"/>
      <c r="O2048" s="380"/>
      <c r="P2048" s="380" t="s">
        <v>30</v>
      </c>
      <c r="Q2048" s="23">
        <v>46052</v>
      </c>
      <c r="R2048" s="24" t="s">
        <v>67</v>
      </c>
      <c r="S2048" s="22" t="s">
        <v>32</v>
      </c>
      <c r="T2048" s="22">
        <v>12</v>
      </c>
      <c r="U2048" s="24" t="s">
        <v>67</v>
      </c>
      <c r="V2048" s="23">
        <v>46053</v>
      </c>
      <c r="W2048" s="100" t="s">
        <v>113</v>
      </c>
      <c r="X2048" s="100"/>
      <c r="Y2048" s="95"/>
      <c r="Z2048" s="100"/>
      <c r="AA2048" s="100"/>
      <c r="AB2048" s="100"/>
      <c r="AC2048" s="100"/>
      <c r="AD2048" s="100"/>
      <c r="AE2048" s="100"/>
      <c r="AF2048" s="100"/>
      <c r="AG2048" s="100"/>
      <c r="AH2048" s="114"/>
      <c r="AI2048" s="100"/>
      <c r="AJ2048" s="100"/>
      <c r="AK2048" s="100"/>
      <c r="AL2048" s="114"/>
      <c r="AM2048" s="360"/>
      <c r="AO2048" s="412"/>
      <c r="AP2048" s="412"/>
      <c r="AQ2048" s="412"/>
      <c r="AR2048" s="412"/>
      <c r="AV2048" s="109"/>
    </row>
    <row r="2049" spans="1:48">
      <c r="A2049" s="358" t="s">
        <v>2342</v>
      </c>
      <c r="B2049" s="369">
        <v>2046</v>
      </c>
      <c r="C2049" s="358" t="s">
        <v>2987</v>
      </c>
      <c r="D2049" s="358" t="s">
        <v>798</v>
      </c>
      <c r="E2049" s="373">
        <v>46013.041666666664</v>
      </c>
      <c r="F2049" s="372" t="s">
        <v>140</v>
      </c>
      <c r="G2049" s="372">
        <v>5</v>
      </c>
      <c r="H2049" s="372" t="s">
        <v>127</v>
      </c>
      <c r="I2049" s="372"/>
      <c r="J2049" s="372"/>
      <c r="K2049" s="358"/>
      <c r="L2049" s="358"/>
      <c r="M2049" s="358"/>
      <c r="N2049" s="358"/>
      <c r="O2049" s="117"/>
      <c r="P2049" s="380" t="s">
        <v>30</v>
      </c>
      <c r="Q2049" s="23">
        <v>46053</v>
      </c>
      <c r="R2049" s="24" t="s">
        <v>67</v>
      </c>
      <c r="S2049" s="22" t="s">
        <v>32</v>
      </c>
      <c r="T2049" s="22">
        <v>5</v>
      </c>
      <c r="U2049" s="24" t="s">
        <v>67</v>
      </c>
      <c r="V2049" s="23">
        <v>46053</v>
      </c>
      <c r="W2049" s="100" t="s">
        <v>113</v>
      </c>
      <c r="X2049" s="94"/>
      <c r="Y2049" s="107"/>
      <c r="Z2049" s="100"/>
      <c r="AA2049" s="100"/>
      <c r="AB2049" s="100"/>
      <c r="AC2049" s="100"/>
      <c r="AD2049" s="100"/>
      <c r="AE2049" s="100"/>
      <c r="AF2049" s="100"/>
      <c r="AG2049" s="100"/>
      <c r="AH2049" s="114"/>
      <c r="AI2049" s="114"/>
      <c r="AJ2049" s="114"/>
      <c r="AK2049" s="114"/>
      <c r="AL2049" s="114"/>
      <c r="AM2049" s="360"/>
      <c r="AN2049" s="6"/>
      <c r="AO2049" s="6"/>
      <c r="AP2049" s="6"/>
      <c r="AQ2049" s="6"/>
      <c r="AR2049" s="6"/>
      <c r="AS2049" s="108"/>
      <c r="AT2049" s="109"/>
      <c r="AU2049" s="109"/>
      <c r="AV2049" s="109"/>
    </row>
    <row r="2050" spans="1:48">
      <c r="A2050" s="358" t="s">
        <v>2342</v>
      </c>
      <c r="B2050" s="369">
        <v>2047</v>
      </c>
      <c r="C2050" s="358" t="s">
        <v>2988</v>
      </c>
      <c r="D2050" s="358" t="s">
        <v>2989</v>
      </c>
      <c r="E2050" s="373">
        <v>46013.375</v>
      </c>
      <c r="F2050" s="372" t="s">
        <v>140</v>
      </c>
      <c r="G2050" s="372">
        <v>15</v>
      </c>
      <c r="H2050" s="372" t="s">
        <v>1721</v>
      </c>
      <c r="I2050" s="372"/>
      <c r="J2050" s="372"/>
      <c r="K2050" s="358"/>
      <c r="L2050" s="358"/>
      <c r="M2050" s="358"/>
      <c r="N2050" s="358"/>
      <c r="O2050" s="380"/>
      <c r="P2050" s="380" t="s">
        <v>30</v>
      </c>
      <c r="Q2050" s="23">
        <v>46053</v>
      </c>
      <c r="R2050" s="24" t="s">
        <v>67</v>
      </c>
      <c r="S2050" s="22" t="s">
        <v>32</v>
      </c>
      <c r="T2050" s="22">
        <v>15</v>
      </c>
      <c r="U2050" s="24" t="s">
        <v>67</v>
      </c>
      <c r="V2050" s="23">
        <v>46053</v>
      </c>
      <c r="W2050" s="100" t="s">
        <v>113</v>
      </c>
      <c r="X2050" s="107"/>
      <c r="Y2050" s="107"/>
      <c r="Z2050" s="100"/>
      <c r="AA2050" s="100"/>
      <c r="AB2050" s="100"/>
      <c r="AC2050" s="100"/>
      <c r="AD2050" s="100"/>
      <c r="AE2050" s="100"/>
      <c r="AF2050" s="100"/>
      <c r="AG2050" s="100"/>
      <c r="AH2050" s="114"/>
      <c r="AI2050" s="114"/>
      <c r="AJ2050" s="114"/>
      <c r="AK2050" s="114"/>
      <c r="AL2050" s="114"/>
      <c r="AM2050" s="360"/>
      <c r="AV2050" s="109"/>
    </row>
    <row r="2051" spans="1:48">
      <c r="A2051" s="358" t="s">
        <v>2342</v>
      </c>
      <c r="B2051" s="369">
        <v>2048</v>
      </c>
      <c r="C2051" s="358" t="s">
        <v>2990</v>
      </c>
      <c r="D2051" s="358" t="s">
        <v>358</v>
      </c>
      <c r="E2051" s="373">
        <v>46013.375</v>
      </c>
      <c r="F2051" s="372" t="s">
        <v>140</v>
      </c>
      <c r="G2051" s="372">
        <v>7</v>
      </c>
      <c r="H2051" s="372" t="s">
        <v>1721</v>
      </c>
      <c r="I2051" s="372"/>
      <c r="J2051" s="372"/>
      <c r="K2051" s="358"/>
      <c r="L2051" s="358"/>
      <c r="M2051" s="358"/>
      <c r="N2051" s="358"/>
      <c r="O2051" s="117"/>
      <c r="P2051" s="380" t="s">
        <v>30</v>
      </c>
      <c r="Q2051" s="23">
        <v>46052</v>
      </c>
      <c r="R2051" s="24" t="s">
        <v>67</v>
      </c>
      <c r="S2051" s="22" t="s">
        <v>32</v>
      </c>
      <c r="T2051" s="22">
        <v>7</v>
      </c>
      <c r="U2051" s="24" t="s">
        <v>67</v>
      </c>
      <c r="V2051" s="23">
        <v>46053</v>
      </c>
      <c r="W2051" s="100" t="s">
        <v>113</v>
      </c>
      <c r="X2051" s="107"/>
      <c r="Y2051" s="107"/>
      <c r="Z2051" s="100"/>
      <c r="AA2051" s="100"/>
      <c r="AB2051" s="100"/>
      <c r="AC2051" s="100"/>
      <c r="AD2051" s="100"/>
      <c r="AE2051" s="100"/>
      <c r="AF2051" s="100"/>
      <c r="AG2051" s="100"/>
      <c r="AH2051" s="114"/>
      <c r="AI2051" s="114"/>
      <c r="AJ2051" s="114"/>
      <c r="AK2051" s="114"/>
      <c r="AL2051" s="114"/>
      <c r="AM2051" s="360"/>
      <c r="AN2051" s="6"/>
      <c r="AO2051" s="6"/>
      <c r="AP2051" s="6"/>
      <c r="AQ2051" s="6"/>
      <c r="AR2051" s="6"/>
      <c r="AS2051" s="108"/>
      <c r="AT2051" s="109"/>
      <c r="AU2051" s="109"/>
      <c r="AV2051" s="109"/>
    </row>
    <row r="2052" spans="1:48">
      <c r="A2052" s="358" t="s">
        <v>2342</v>
      </c>
      <c r="B2052" s="369">
        <v>2049</v>
      </c>
      <c r="C2052" s="358" t="s">
        <v>2991</v>
      </c>
      <c r="D2052" s="358" t="s">
        <v>526</v>
      </c>
      <c r="E2052" s="373">
        <v>46013.375</v>
      </c>
      <c r="F2052" s="372" t="s">
        <v>140</v>
      </c>
      <c r="G2052" s="372">
        <v>8</v>
      </c>
      <c r="H2052" s="372" t="s">
        <v>2409</v>
      </c>
      <c r="I2052" s="372"/>
      <c r="J2052" s="372"/>
      <c r="K2052" s="358"/>
      <c r="L2052" s="358"/>
      <c r="M2052" s="358"/>
      <c r="N2052" s="358"/>
      <c r="O2052" s="380"/>
      <c r="P2052" s="380" t="s">
        <v>30</v>
      </c>
      <c r="Q2052" s="23">
        <v>46053</v>
      </c>
      <c r="R2052" s="24" t="s">
        <v>67</v>
      </c>
      <c r="S2052" s="22" t="s">
        <v>32</v>
      </c>
      <c r="T2052" s="22">
        <v>15</v>
      </c>
      <c r="U2052" s="24" t="s">
        <v>67</v>
      </c>
      <c r="V2052" s="23">
        <v>46053</v>
      </c>
      <c r="W2052" s="100" t="s">
        <v>113</v>
      </c>
      <c r="X2052" s="107"/>
      <c r="Y2052" s="107"/>
      <c r="Z2052" s="100"/>
      <c r="AA2052" s="100"/>
      <c r="AB2052" s="100"/>
      <c r="AC2052" s="100"/>
      <c r="AD2052" s="100"/>
      <c r="AE2052" s="100"/>
      <c r="AF2052" s="100"/>
      <c r="AG2052" s="100"/>
      <c r="AH2052" s="114"/>
      <c r="AI2052" s="114"/>
      <c r="AJ2052" s="114"/>
      <c r="AK2052" s="114"/>
      <c r="AL2052" s="114"/>
      <c r="AM2052" s="360"/>
      <c r="AN2052" s="6"/>
      <c r="AO2052" s="6"/>
      <c r="AP2052" s="6"/>
      <c r="AQ2052" s="6"/>
      <c r="AR2052" s="6"/>
      <c r="AS2052" s="108"/>
      <c r="AT2052" s="109"/>
      <c r="AU2052" s="109"/>
      <c r="AV2052" s="109"/>
    </row>
    <row r="2053" spans="1:48">
      <c r="A2053" s="358" t="s">
        <v>2342</v>
      </c>
      <c r="B2053" s="369">
        <v>2050</v>
      </c>
      <c r="C2053" s="358" t="s">
        <v>2992</v>
      </c>
      <c r="D2053" s="358" t="s">
        <v>1250</v>
      </c>
      <c r="E2053" s="373">
        <v>46013.375</v>
      </c>
      <c r="F2053" s="372" t="s">
        <v>140</v>
      </c>
      <c r="G2053" s="372">
        <v>2</v>
      </c>
      <c r="H2053" s="372" t="s">
        <v>2835</v>
      </c>
      <c r="I2053" s="372"/>
      <c r="J2053" s="372"/>
      <c r="K2053" s="358"/>
      <c r="L2053" s="358"/>
      <c r="M2053" s="358"/>
      <c r="N2053" s="358"/>
      <c r="O2053" s="380"/>
      <c r="P2053" s="380" t="s">
        <v>30</v>
      </c>
      <c r="Q2053" s="23">
        <v>46053</v>
      </c>
      <c r="R2053" s="24" t="s">
        <v>67</v>
      </c>
      <c r="S2053" s="22" t="s">
        <v>32</v>
      </c>
      <c r="T2053" s="22">
        <v>2</v>
      </c>
      <c r="U2053" s="24" t="s">
        <v>67</v>
      </c>
      <c r="V2053" s="23">
        <v>46054</v>
      </c>
      <c r="W2053" s="100" t="s">
        <v>113</v>
      </c>
      <c r="X2053" s="107"/>
      <c r="Y2053" s="107"/>
      <c r="Z2053" s="100"/>
      <c r="AA2053" s="95"/>
      <c r="AB2053" s="100"/>
      <c r="AC2053" s="100"/>
      <c r="AD2053" s="100"/>
      <c r="AE2053" s="100"/>
      <c r="AF2053" s="100"/>
      <c r="AG2053" s="100"/>
      <c r="AH2053" s="114"/>
      <c r="AI2053" s="114"/>
      <c r="AJ2053" s="114"/>
      <c r="AK2053" s="114"/>
      <c r="AL2053" s="114"/>
      <c r="AM2053" s="360"/>
      <c r="AV2053" s="109"/>
    </row>
    <row r="2054" spans="1:48">
      <c r="A2054" s="358" t="s">
        <v>2342</v>
      </c>
      <c r="B2054" s="369">
        <v>2051</v>
      </c>
      <c r="C2054" s="358" t="s">
        <v>2993</v>
      </c>
      <c r="D2054" s="358" t="s">
        <v>969</v>
      </c>
      <c r="E2054" s="373">
        <v>46013</v>
      </c>
      <c r="F2054" s="372" t="s">
        <v>140</v>
      </c>
      <c r="G2054" s="372">
        <v>10</v>
      </c>
      <c r="H2054" s="372" t="s">
        <v>2994</v>
      </c>
      <c r="I2054" s="372"/>
      <c r="J2054" s="372"/>
      <c r="K2054" s="358"/>
      <c r="L2054" s="358"/>
      <c r="M2054" s="358"/>
      <c r="N2054" s="358"/>
      <c r="O2054" s="117"/>
      <c r="P2054" s="380" t="s">
        <v>30</v>
      </c>
      <c r="Q2054" s="23">
        <v>46053</v>
      </c>
      <c r="R2054" s="24" t="s">
        <v>67</v>
      </c>
      <c r="S2054" s="22" t="s">
        <v>32</v>
      </c>
      <c r="T2054" s="22">
        <v>10</v>
      </c>
      <c r="U2054" s="24" t="s">
        <v>67</v>
      </c>
      <c r="V2054" s="23">
        <v>46053</v>
      </c>
      <c r="W2054" s="100" t="s">
        <v>113</v>
      </c>
      <c r="X2054" s="100"/>
      <c r="Y2054" s="95"/>
      <c r="Z2054" s="100"/>
      <c r="AA2054" s="100"/>
      <c r="AB2054" s="100"/>
      <c r="AC2054" s="100"/>
      <c r="AD2054" s="100"/>
      <c r="AE2054" s="100"/>
      <c r="AF2054" s="100"/>
      <c r="AG2054" s="100"/>
      <c r="AH2054" s="114"/>
      <c r="AI2054" s="100"/>
      <c r="AJ2054" s="100"/>
      <c r="AK2054" s="100"/>
      <c r="AL2054" s="114"/>
      <c r="AM2054" s="360"/>
      <c r="AN2054" s="91"/>
      <c r="AO2054" s="91"/>
      <c r="AS2054" s="72"/>
      <c r="AT2054" s="96"/>
      <c r="AU2054" s="96"/>
      <c r="AV2054" s="109"/>
    </row>
    <row r="2055" spans="1:48">
      <c r="A2055" s="358" t="s">
        <v>2342</v>
      </c>
      <c r="B2055" s="369">
        <v>2052</v>
      </c>
      <c r="C2055" s="358" t="s">
        <v>2995</v>
      </c>
      <c r="D2055" s="358" t="s">
        <v>2855</v>
      </c>
      <c r="E2055" s="373">
        <v>46013.041666666664</v>
      </c>
      <c r="F2055" s="372" t="s">
        <v>140</v>
      </c>
      <c r="G2055" s="372">
        <v>25</v>
      </c>
      <c r="H2055" s="372" t="s">
        <v>2856</v>
      </c>
      <c r="I2055" s="372"/>
      <c r="J2055" s="372"/>
      <c r="K2055" s="358"/>
      <c r="L2055" s="358"/>
      <c r="M2055" s="358"/>
      <c r="N2055" s="358"/>
      <c r="O2055" s="380" t="s">
        <v>2863</v>
      </c>
      <c r="P2055" s="380" t="s">
        <v>30</v>
      </c>
      <c r="Q2055" s="23">
        <v>46053</v>
      </c>
      <c r="R2055" s="24" t="s">
        <v>67</v>
      </c>
      <c r="S2055" s="22" t="s">
        <v>32</v>
      </c>
      <c r="T2055" s="7">
        <v>15</v>
      </c>
      <c r="U2055" s="24" t="s">
        <v>67</v>
      </c>
      <c r="V2055" s="23">
        <v>46053</v>
      </c>
      <c r="W2055" s="100" t="s">
        <v>113</v>
      </c>
      <c r="X2055" s="107"/>
      <c r="Y2055" s="95"/>
      <c r="Z2055" s="100"/>
      <c r="AA2055" s="100"/>
      <c r="AB2055" s="100"/>
      <c r="AC2055" s="100"/>
      <c r="AD2055" s="100"/>
      <c r="AE2055" s="100"/>
      <c r="AF2055" s="100"/>
      <c r="AG2055" s="100"/>
      <c r="AH2055" s="114"/>
      <c r="AI2055" s="114"/>
      <c r="AJ2055" s="114"/>
      <c r="AK2055" s="114"/>
      <c r="AL2055" s="114"/>
      <c r="AM2055" s="360"/>
      <c r="AN2055" s="6">
        <v>0</v>
      </c>
      <c r="AO2055" s="6">
        <v>10</v>
      </c>
      <c r="AP2055" s="6">
        <v>1</v>
      </c>
      <c r="AQ2055" s="6">
        <v>14</v>
      </c>
      <c r="AR2055" s="6">
        <f>SUM(AN2055:AQ2055)</f>
        <v>25</v>
      </c>
      <c r="AS2055" s="108">
        <f>+AN2055/AR2055*AS$1</f>
        <v>0</v>
      </c>
      <c r="AT2055" s="109">
        <f>+AO2055/AR2055*AT$1</f>
        <v>0</v>
      </c>
      <c r="AU2055" s="109">
        <f>+AP2055/AR2055*AU$1</f>
        <v>0</v>
      </c>
      <c r="AV2055" s="109">
        <f>+AQ2055/AR2055*AV$1</f>
        <v>0</v>
      </c>
    </row>
    <row r="2056" spans="1:48">
      <c r="A2056" s="358" t="s">
        <v>2342</v>
      </c>
      <c r="B2056" s="369">
        <v>2053</v>
      </c>
      <c r="C2056" s="358" t="s">
        <v>2996</v>
      </c>
      <c r="D2056" s="358" t="s">
        <v>1184</v>
      </c>
      <c r="E2056" s="373">
        <v>46013</v>
      </c>
      <c r="F2056" s="372" t="s">
        <v>140</v>
      </c>
      <c r="G2056" s="372">
        <v>4</v>
      </c>
      <c r="H2056" s="372" t="s">
        <v>2997</v>
      </c>
      <c r="I2056" s="372"/>
      <c r="J2056" s="372"/>
      <c r="K2056" s="358"/>
      <c r="L2056" s="358"/>
      <c r="M2056" s="358"/>
      <c r="N2056" s="358"/>
      <c r="O2056" s="380"/>
      <c r="P2056" s="380" t="s">
        <v>30</v>
      </c>
      <c r="Q2056" s="23">
        <v>46053</v>
      </c>
      <c r="R2056" s="24" t="s">
        <v>67</v>
      </c>
      <c r="S2056" s="22" t="s">
        <v>32</v>
      </c>
      <c r="T2056" s="22">
        <v>2</v>
      </c>
      <c r="U2056" s="24" t="s">
        <v>67</v>
      </c>
      <c r="V2056" s="23">
        <v>46053</v>
      </c>
      <c r="W2056" s="100" t="s">
        <v>113</v>
      </c>
      <c r="X2056" s="107"/>
      <c r="Y2056" s="107"/>
      <c r="Z2056" s="100"/>
      <c r="AA2056" s="95"/>
      <c r="AB2056" s="100"/>
      <c r="AC2056" s="100"/>
      <c r="AD2056" s="100"/>
      <c r="AE2056" s="100"/>
      <c r="AF2056" s="100"/>
      <c r="AG2056" s="100"/>
      <c r="AH2056" s="114"/>
      <c r="AI2056" s="114"/>
      <c r="AJ2056" s="114"/>
      <c r="AK2056" s="114"/>
      <c r="AL2056" s="114"/>
      <c r="AM2056" s="360"/>
      <c r="AN2056" s="91"/>
      <c r="AO2056" s="91"/>
      <c r="AS2056" s="72"/>
      <c r="AT2056" s="96"/>
      <c r="AU2056" s="96"/>
      <c r="AV2056" s="109"/>
    </row>
    <row r="2057" spans="1:48">
      <c r="A2057" s="358" t="s">
        <v>2342</v>
      </c>
      <c r="B2057" s="369">
        <v>2054</v>
      </c>
      <c r="C2057" s="358" t="s">
        <v>2998</v>
      </c>
      <c r="D2057" s="358" t="s">
        <v>2999</v>
      </c>
      <c r="E2057" s="373">
        <v>46013.041666666664</v>
      </c>
      <c r="F2057" s="372" t="s">
        <v>140</v>
      </c>
      <c r="G2057" s="372">
        <v>11</v>
      </c>
      <c r="H2057" s="372" t="s">
        <v>127</v>
      </c>
      <c r="I2057" s="372"/>
      <c r="J2057" s="372"/>
      <c r="K2057" s="358"/>
      <c r="L2057" s="358"/>
      <c r="M2057" s="358"/>
      <c r="N2057" s="358"/>
      <c r="O2057" s="380"/>
      <c r="P2057" s="380" t="s">
        <v>30</v>
      </c>
      <c r="Q2057" s="23">
        <v>46054</v>
      </c>
      <c r="R2057" s="24" t="s">
        <v>67</v>
      </c>
      <c r="S2057" s="22" t="s">
        <v>32</v>
      </c>
      <c r="T2057" s="22">
        <v>11</v>
      </c>
      <c r="U2057" s="24" t="s">
        <v>67</v>
      </c>
      <c r="V2057" s="23">
        <v>46054</v>
      </c>
      <c r="W2057" s="100" t="s">
        <v>113</v>
      </c>
      <c r="X2057" s="107"/>
      <c r="Y2057" s="107"/>
      <c r="Z2057" s="100"/>
      <c r="AA2057" s="100"/>
      <c r="AB2057" s="100"/>
      <c r="AC2057" s="100"/>
      <c r="AD2057" s="100"/>
      <c r="AE2057" s="100"/>
      <c r="AF2057" s="100"/>
      <c r="AG2057" s="100"/>
      <c r="AH2057" s="114"/>
      <c r="AI2057" s="114"/>
      <c r="AJ2057" s="114"/>
      <c r="AK2057" s="114"/>
      <c r="AL2057" s="114"/>
      <c r="AM2057" s="360"/>
      <c r="AS2057" s="72"/>
      <c r="AT2057" s="96"/>
      <c r="AU2057" s="96"/>
      <c r="AV2057" s="109"/>
    </row>
    <row r="2058" spans="1:48">
      <c r="A2058" s="358" t="s">
        <v>2342</v>
      </c>
      <c r="B2058" s="369">
        <v>2055</v>
      </c>
      <c r="C2058" s="358" t="s">
        <v>3000</v>
      </c>
      <c r="D2058" s="358" t="s">
        <v>3001</v>
      </c>
      <c r="E2058" s="373">
        <v>46013.458333333336</v>
      </c>
      <c r="F2058" s="372" t="s">
        <v>140</v>
      </c>
      <c r="G2058" s="372">
        <v>30</v>
      </c>
      <c r="H2058" s="372" t="s">
        <v>2840</v>
      </c>
      <c r="I2058" s="372"/>
      <c r="J2058" s="372"/>
      <c r="K2058" s="358"/>
      <c r="L2058" s="358"/>
      <c r="M2058" s="358"/>
      <c r="N2058" s="358"/>
      <c r="O2058" s="380" t="s">
        <v>2863</v>
      </c>
      <c r="P2058" s="380" t="s">
        <v>30</v>
      </c>
      <c r="Q2058" s="23">
        <v>46053</v>
      </c>
      <c r="R2058" s="24" t="s">
        <v>67</v>
      </c>
      <c r="S2058" s="22" t="s">
        <v>32</v>
      </c>
      <c r="T2058" s="22">
        <v>30</v>
      </c>
      <c r="U2058" s="24" t="s">
        <v>67</v>
      </c>
      <c r="V2058" s="23">
        <v>46053</v>
      </c>
      <c r="W2058" s="100" t="s">
        <v>113</v>
      </c>
      <c r="X2058" s="107"/>
      <c r="Y2058" s="107"/>
      <c r="Z2058" s="100"/>
      <c r="AA2058" s="100"/>
      <c r="AB2058" s="100"/>
      <c r="AC2058" s="100"/>
      <c r="AD2058" s="100"/>
      <c r="AE2058" s="100"/>
      <c r="AF2058" s="100"/>
      <c r="AG2058" s="100"/>
      <c r="AH2058" s="114"/>
      <c r="AI2058" s="114"/>
      <c r="AJ2058" s="114"/>
      <c r="AK2058" s="114"/>
      <c r="AL2058" s="114"/>
      <c r="AM2058" s="360"/>
      <c r="AN2058" s="6">
        <v>0</v>
      </c>
      <c r="AO2058" s="6">
        <v>22</v>
      </c>
      <c r="AP2058" s="6">
        <v>8</v>
      </c>
      <c r="AQ2058" s="6">
        <v>0</v>
      </c>
      <c r="AR2058" s="6">
        <f>SUM(AN2058:AQ2058)</f>
        <v>30</v>
      </c>
      <c r="AS2058" s="108">
        <f>+AN2058/AR2058*AS$1</f>
        <v>0</v>
      </c>
      <c r="AT2058" s="109">
        <f>+AO2058/AR2058*AT$1</f>
        <v>0</v>
      </c>
      <c r="AU2058" s="109">
        <f>+AP2058/AR2058*AU$1</f>
        <v>0</v>
      </c>
      <c r="AV2058" s="109">
        <f>+AQ2058/AR2058*AV$1</f>
        <v>0</v>
      </c>
    </row>
    <row r="2059" spans="1:48">
      <c r="A2059" s="358" t="s">
        <v>2342</v>
      </c>
      <c r="B2059" s="369">
        <v>2056</v>
      </c>
      <c r="C2059" s="358" t="s">
        <v>3002</v>
      </c>
      <c r="D2059" s="358" t="s">
        <v>992</v>
      </c>
      <c r="E2059" s="373">
        <v>46013.375</v>
      </c>
      <c r="F2059" s="372" t="s">
        <v>140</v>
      </c>
      <c r="G2059" s="372">
        <v>1</v>
      </c>
      <c r="H2059" s="372" t="s">
        <v>1077</v>
      </c>
      <c r="I2059" s="372"/>
      <c r="J2059" s="372"/>
      <c r="K2059" s="358"/>
      <c r="L2059" s="358"/>
      <c r="M2059" s="358"/>
      <c r="N2059" s="358"/>
      <c r="O2059" s="380"/>
      <c r="P2059" s="380" t="s">
        <v>30</v>
      </c>
      <c r="Q2059" s="23">
        <v>46053</v>
      </c>
      <c r="R2059" s="24" t="s">
        <v>67</v>
      </c>
      <c r="S2059" s="22" t="s">
        <v>32</v>
      </c>
      <c r="T2059" s="22">
        <v>1</v>
      </c>
      <c r="U2059" s="24" t="s">
        <v>67</v>
      </c>
      <c r="V2059" s="23">
        <v>46053</v>
      </c>
      <c r="W2059" s="100" t="s">
        <v>113</v>
      </c>
      <c r="X2059" s="107"/>
      <c r="Y2059" s="107"/>
      <c r="Z2059" s="100"/>
      <c r="AA2059" s="95"/>
      <c r="AB2059" s="100"/>
      <c r="AC2059" s="100"/>
      <c r="AD2059" s="100"/>
      <c r="AE2059" s="100"/>
      <c r="AF2059" s="100"/>
      <c r="AG2059" s="100"/>
      <c r="AH2059" s="114"/>
      <c r="AI2059" s="114"/>
      <c r="AJ2059" s="114"/>
      <c r="AK2059" s="114"/>
      <c r="AL2059" s="114"/>
      <c r="AM2059" s="360"/>
      <c r="AS2059" s="72"/>
      <c r="AT2059" s="96"/>
      <c r="AU2059" s="96"/>
      <c r="AV2059" s="109"/>
    </row>
    <row r="2060" spans="1:48">
      <c r="A2060" s="358" t="s">
        <v>2342</v>
      </c>
      <c r="B2060" s="369">
        <v>2057</v>
      </c>
      <c r="C2060" s="358" t="s">
        <v>3003</v>
      </c>
      <c r="D2060" s="358" t="s">
        <v>3004</v>
      </c>
      <c r="E2060" s="373">
        <v>46013.125</v>
      </c>
      <c r="F2060" s="372" t="s">
        <v>140</v>
      </c>
      <c r="G2060" s="372">
        <v>16</v>
      </c>
      <c r="H2060" s="372" t="s">
        <v>67</v>
      </c>
      <c r="I2060" s="372"/>
      <c r="J2060" s="372"/>
      <c r="K2060" s="358"/>
      <c r="L2060" s="358"/>
      <c r="M2060" s="358"/>
      <c r="N2060" s="358"/>
      <c r="O2060" s="380"/>
      <c r="P2060" s="380" t="s">
        <v>30</v>
      </c>
      <c r="Q2060" s="23">
        <v>46053</v>
      </c>
      <c r="R2060" s="24" t="s">
        <v>67</v>
      </c>
      <c r="S2060" s="22" t="s">
        <v>32</v>
      </c>
      <c r="T2060" s="22">
        <v>16</v>
      </c>
      <c r="U2060" s="24" t="s">
        <v>67</v>
      </c>
      <c r="V2060" s="23">
        <v>46053</v>
      </c>
      <c r="W2060" s="100" t="s">
        <v>113</v>
      </c>
      <c r="X2060" s="107"/>
      <c r="Y2060" s="107"/>
      <c r="Z2060" s="107"/>
      <c r="AA2060" s="107"/>
      <c r="AB2060" s="107"/>
      <c r="AC2060" s="100"/>
      <c r="AD2060" s="100"/>
      <c r="AE2060" s="100"/>
      <c r="AF2060" s="100"/>
      <c r="AG2060" s="100"/>
      <c r="AH2060" s="114"/>
      <c r="AI2060" s="114"/>
      <c r="AJ2060" s="114"/>
      <c r="AK2060" s="114"/>
      <c r="AL2060" s="114"/>
      <c r="AM2060" s="360"/>
      <c r="AS2060" s="72"/>
      <c r="AT2060" s="96"/>
      <c r="AU2060" s="96"/>
      <c r="AV2060" s="109"/>
    </row>
    <row r="2061" spans="1:48">
      <c r="A2061" s="358" t="s">
        <v>2342</v>
      </c>
      <c r="B2061" s="369">
        <v>2058</v>
      </c>
      <c r="C2061" s="358" t="s">
        <v>3005</v>
      </c>
      <c r="D2061" s="358" t="s">
        <v>526</v>
      </c>
      <c r="E2061" s="373">
        <v>46020.375</v>
      </c>
      <c r="F2061" s="372" t="s">
        <v>140</v>
      </c>
      <c r="G2061" s="372">
        <v>3</v>
      </c>
      <c r="H2061" s="372" t="s">
        <v>3006</v>
      </c>
      <c r="I2061" s="372"/>
      <c r="J2061" s="372"/>
      <c r="K2061" s="358"/>
      <c r="L2061" s="358"/>
      <c r="M2061" s="358"/>
      <c r="N2061" s="358"/>
      <c r="O2061" s="380"/>
      <c r="P2061" s="380" t="s">
        <v>30</v>
      </c>
      <c r="Q2061" s="23">
        <v>46054</v>
      </c>
      <c r="R2061" s="24" t="s">
        <v>28</v>
      </c>
      <c r="S2061" s="22" t="s">
        <v>32</v>
      </c>
      <c r="T2061" s="22">
        <v>2</v>
      </c>
      <c r="U2061" s="24" t="s">
        <v>28</v>
      </c>
      <c r="V2061" s="23">
        <v>46053</v>
      </c>
      <c r="W2061" s="100" t="s">
        <v>113</v>
      </c>
      <c r="X2061" s="107"/>
      <c r="Y2061" s="107"/>
      <c r="Z2061" s="100"/>
      <c r="AA2061" s="100"/>
      <c r="AB2061" s="100"/>
      <c r="AC2061" s="100"/>
      <c r="AD2061" s="100"/>
      <c r="AE2061" s="100"/>
      <c r="AF2061" s="100"/>
      <c r="AG2061" s="100"/>
      <c r="AH2061" s="114"/>
      <c r="AI2061" s="114"/>
      <c r="AJ2061" s="114"/>
      <c r="AK2061" s="114"/>
      <c r="AL2061" s="114"/>
      <c r="AM2061" s="360"/>
      <c r="AS2061" s="72"/>
      <c r="AT2061" s="96"/>
      <c r="AU2061" s="96"/>
      <c r="AV2061" s="109"/>
    </row>
    <row r="2062" spans="1:48">
      <c r="A2062" s="358" t="s">
        <v>2342</v>
      </c>
      <c r="B2062" s="369">
        <v>2059</v>
      </c>
      <c r="C2062" s="358" t="s">
        <v>3007</v>
      </c>
      <c r="D2062" s="358" t="s">
        <v>829</v>
      </c>
      <c r="E2062" s="373">
        <v>46020</v>
      </c>
      <c r="F2062" s="372" t="s">
        <v>140</v>
      </c>
      <c r="G2062" s="372">
        <v>26</v>
      </c>
      <c r="H2062" s="372" t="s">
        <v>1853</v>
      </c>
      <c r="I2062" s="372"/>
      <c r="J2062" s="372"/>
      <c r="K2062" s="358"/>
      <c r="L2062" s="358"/>
      <c r="M2062" s="358"/>
      <c r="N2062" s="358"/>
      <c r="O2062" s="380" t="s">
        <v>2863</v>
      </c>
      <c r="P2062" s="380" t="s">
        <v>30</v>
      </c>
      <c r="Q2062" s="23">
        <v>46053</v>
      </c>
      <c r="R2062" s="24" t="s">
        <v>67</v>
      </c>
      <c r="S2062" s="22" t="s">
        <v>32</v>
      </c>
      <c r="T2062" s="22">
        <v>17</v>
      </c>
      <c r="U2062" s="24" t="s">
        <v>67</v>
      </c>
      <c r="V2062" s="23">
        <v>46054</v>
      </c>
      <c r="W2062" s="100" t="s">
        <v>113</v>
      </c>
      <c r="X2062" s="100"/>
      <c r="Y2062" s="107"/>
      <c r="Z2062" s="100"/>
      <c r="AA2062" s="100"/>
      <c r="AB2062" s="100"/>
      <c r="AC2062" s="100"/>
      <c r="AD2062" s="100"/>
      <c r="AE2062" s="100"/>
      <c r="AF2062" s="100"/>
      <c r="AG2062" s="100"/>
      <c r="AH2062" s="114"/>
      <c r="AI2062" s="114"/>
      <c r="AJ2062" s="114"/>
      <c r="AK2062" s="114"/>
      <c r="AL2062" s="114"/>
      <c r="AM2062" s="360"/>
      <c r="AN2062" s="6">
        <v>0</v>
      </c>
      <c r="AO2062" s="6">
        <v>0</v>
      </c>
      <c r="AP2062" s="6">
        <v>7</v>
      </c>
      <c r="AQ2062" s="6">
        <v>19</v>
      </c>
      <c r="AR2062" s="6">
        <f>SUM(AN2062:AQ2062)</f>
        <v>26</v>
      </c>
      <c r="AS2062" s="108">
        <f>+AN2062/AR2062*AS$1</f>
        <v>0</v>
      </c>
      <c r="AT2062" s="109">
        <f>+AO2062/AR2062*AT$1</f>
        <v>0</v>
      </c>
      <c r="AU2062" s="109">
        <f>+AP2062/AR2062*AU$1</f>
        <v>0</v>
      </c>
      <c r="AV2062" s="109">
        <f>+AQ2062/AR2062*AV$1</f>
        <v>0</v>
      </c>
    </row>
    <row r="2063" spans="1:48">
      <c r="A2063" s="358" t="s">
        <v>2342</v>
      </c>
      <c r="B2063" s="369">
        <v>2060</v>
      </c>
      <c r="C2063" s="358" t="s">
        <v>3008</v>
      </c>
      <c r="D2063" s="358" t="s">
        <v>1198</v>
      </c>
      <c r="E2063" s="373">
        <v>46020.125</v>
      </c>
      <c r="F2063" s="372" t="s">
        <v>140</v>
      </c>
      <c r="G2063" s="372">
        <v>2</v>
      </c>
      <c r="H2063" s="372" t="s">
        <v>1077</v>
      </c>
      <c r="I2063" s="372"/>
      <c r="J2063" s="102" t="s">
        <v>3009</v>
      </c>
      <c r="K2063" s="358"/>
      <c r="L2063" s="358"/>
      <c r="M2063" s="358"/>
      <c r="N2063" s="358"/>
      <c r="O2063" s="380"/>
      <c r="P2063" s="258"/>
      <c r="Q2063" s="23"/>
      <c r="R2063" s="81"/>
      <c r="S2063" s="22"/>
      <c r="T2063" s="22"/>
      <c r="U2063" s="24"/>
      <c r="V2063" s="23">
        <v>46054</v>
      </c>
      <c r="W2063" s="100" t="s">
        <v>113</v>
      </c>
      <c r="X2063" s="107"/>
      <c r="Y2063" s="107"/>
      <c r="Z2063" s="100"/>
      <c r="AA2063" s="107"/>
      <c r="AB2063" s="100"/>
      <c r="AC2063" s="100"/>
      <c r="AD2063" s="100"/>
      <c r="AE2063" s="100"/>
      <c r="AF2063" s="100"/>
      <c r="AG2063" s="100"/>
      <c r="AH2063" s="114"/>
      <c r="AI2063" s="114"/>
      <c r="AJ2063" s="114"/>
      <c r="AK2063" s="114"/>
      <c r="AL2063" s="114"/>
      <c r="AM2063" s="360"/>
      <c r="AS2063" s="96"/>
      <c r="AT2063" s="96"/>
      <c r="AU2063" s="96"/>
      <c r="AV2063" s="109"/>
    </row>
    <row r="2064" spans="1:48">
      <c r="A2064" s="358" t="s">
        <v>2342</v>
      </c>
      <c r="B2064" s="369">
        <v>2061</v>
      </c>
      <c r="C2064" s="358" t="s">
        <v>3010</v>
      </c>
      <c r="D2064" s="358" t="s">
        <v>523</v>
      </c>
      <c r="E2064" s="373">
        <v>46020.041666666664</v>
      </c>
      <c r="F2064" s="372" t="s">
        <v>140</v>
      </c>
      <c r="G2064" s="372">
        <v>12</v>
      </c>
      <c r="H2064" s="372" t="s">
        <v>1786</v>
      </c>
      <c r="I2064" s="372"/>
      <c r="J2064" s="372"/>
      <c r="K2064" s="358"/>
      <c r="L2064" s="358"/>
      <c r="M2064" s="358"/>
      <c r="N2064" s="358"/>
      <c r="O2064" s="380"/>
      <c r="P2064" s="254" t="s">
        <v>30</v>
      </c>
      <c r="Q2064" s="23">
        <v>46053</v>
      </c>
      <c r="R2064" s="24" t="s">
        <v>67</v>
      </c>
      <c r="S2064" s="22" t="s">
        <v>32</v>
      </c>
      <c r="T2064" s="22">
        <v>11</v>
      </c>
      <c r="U2064" s="24" t="s">
        <v>67</v>
      </c>
      <c r="V2064" s="23">
        <v>46054</v>
      </c>
      <c r="W2064" s="100" t="s">
        <v>113</v>
      </c>
      <c r="X2064" s="107"/>
      <c r="Y2064" s="107"/>
      <c r="Z2064" s="100"/>
      <c r="AA2064" s="100"/>
      <c r="AB2064" s="100"/>
      <c r="AC2064" s="100"/>
      <c r="AD2064" s="100"/>
      <c r="AE2064" s="100"/>
      <c r="AF2064" s="100"/>
      <c r="AG2064" s="100"/>
      <c r="AH2064" s="114"/>
      <c r="AI2064" s="114"/>
      <c r="AJ2064" s="114"/>
      <c r="AK2064" s="114"/>
      <c r="AL2064" s="114"/>
      <c r="AM2064" s="360"/>
      <c r="AO2064" s="89"/>
      <c r="AP2064" s="89"/>
      <c r="AQ2064" s="89"/>
      <c r="AR2064" s="88"/>
      <c r="AS2064" s="96"/>
      <c r="AT2064" s="96"/>
      <c r="AU2064" s="96"/>
      <c r="AV2064" s="109"/>
    </row>
    <row r="2065" spans="1:48">
      <c r="A2065" s="358" t="s">
        <v>2342</v>
      </c>
      <c r="B2065" s="369">
        <v>2062</v>
      </c>
      <c r="C2065" s="358" t="s">
        <v>3011</v>
      </c>
      <c r="D2065" s="358" t="s">
        <v>1245</v>
      </c>
      <c r="E2065" s="373">
        <v>46020.041666666664</v>
      </c>
      <c r="F2065" s="372" t="s">
        <v>140</v>
      </c>
      <c r="G2065" s="372">
        <v>1</v>
      </c>
      <c r="H2065" s="372" t="s">
        <v>127</v>
      </c>
      <c r="I2065" s="372"/>
      <c r="J2065" s="372"/>
      <c r="K2065" s="358"/>
      <c r="L2065" s="358"/>
      <c r="M2065" s="358"/>
      <c r="N2065" s="358"/>
      <c r="O2065" s="380"/>
      <c r="P2065" s="254" t="s">
        <v>30</v>
      </c>
      <c r="Q2065" s="23">
        <v>46053</v>
      </c>
      <c r="R2065" s="24" t="s">
        <v>67</v>
      </c>
      <c r="S2065" s="22" t="s">
        <v>32</v>
      </c>
      <c r="T2065" s="22">
        <v>1</v>
      </c>
      <c r="U2065" s="24" t="s">
        <v>67</v>
      </c>
      <c r="V2065" s="23">
        <v>46054</v>
      </c>
      <c r="W2065" s="100" t="s">
        <v>113</v>
      </c>
      <c r="X2065" s="100"/>
      <c r="Y2065" s="95"/>
      <c r="Z2065" s="100"/>
      <c r="AA2065" s="100"/>
      <c r="AB2065" s="100"/>
      <c r="AC2065" s="100"/>
      <c r="AD2065" s="100"/>
      <c r="AE2065" s="100"/>
      <c r="AF2065" s="100"/>
      <c r="AG2065" s="100"/>
      <c r="AH2065" s="114"/>
      <c r="AI2065" s="111"/>
      <c r="AJ2065" s="111"/>
      <c r="AK2065" s="111"/>
      <c r="AL2065" s="114"/>
      <c r="AM2065" s="360"/>
      <c r="AV2065" s="109"/>
    </row>
    <row r="2066" spans="1:48">
      <c r="A2066" s="358" t="s">
        <v>2342</v>
      </c>
      <c r="B2066" s="369">
        <v>2063</v>
      </c>
      <c r="C2066" s="358" t="s">
        <v>3012</v>
      </c>
      <c r="D2066" s="358" t="s">
        <v>1565</v>
      </c>
      <c r="E2066" s="373">
        <v>46020</v>
      </c>
      <c r="F2066" s="372" t="s">
        <v>140</v>
      </c>
      <c r="G2066" s="372">
        <v>3</v>
      </c>
      <c r="H2066" s="372" t="s">
        <v>1077</v>
      </c>
      <c r="I2066" s="372"/>
      <c r="J2066" s="372"/>
      <c r="K2066" s="358"/>
      <c r="L2066" s="358"/>
      <c r="M2066" s="358"/>
      <c r="N2066" s="358"/>
      <c r="O2066" s="380"/>
      <c r="P2066" s="254" t="s">
        <v>30</v>
      </c>
      <c r="Q2066" s="23">
        <v>46053</v>
      </c>
      <c r="R2066" s="24" t="s">
        <v>67</v>
      </c>
      <c r="S2066" s="22" t="s">
        <v>32</v>
      </c>
      <c r="T2066" s="22">
        <v>3</v>
      </c>
      <c r="U2066" s="24" t="s">
        <v>67</v>
      </c>
      <c r="V2066" s="23">
        <v>46054</v>
      </c>
      <c r="W2066" s="100" t="s">
        <v>113</v>
      </c>
      <c r="X2066" s="100"/>
      <c r="Y2066" s="95"/>
      <c r="Z2066" s="100"/>
      <c r="AA2066" s="100"/>
      <c r="AB2066" s="100"/>
      <c r="AC2066" s="100"/>
      <c r="AD2066" s="100"/>
      <c r="AE2066" s="100"/>
      <c r="AF2066" s="100"/>
      <c r="AG2066" s="100"/>
      <c r="AH2066" s="114"/>
      <c r="AI2066" s="114"/>
      <c r="AJ2066" s="114"/>
      <c r="AK2066" s="114"/>
      <c r="AL2066" s="114"/>
      <c r="AM2066" s="360"/>
      <c r="AO2066" s="412"/>
      <c r="AP2066" s="412"/>
      <c r="AQ2066" s="412"/>
      <c r="AR2066" s="412"/>
      <c r="AV2066" s="109"/>
    </row>
    <row r="2067" spans="1:48">
      <c r="A2067" s="358" t="s">
        <v>2342</v>
      </c>
      <c r="B2067" s="369">
        <v>2064</v>
      </c>
      <c r="C2067" s="358" t="s">
        <v>3013</v>
      </c>
      <c r="D2067" s="358" t="s">
        <v>1184</v>
      </c>
      <c r="E2067" s="373">
        <v>46020</v>
      </c>
      <c r="F2067" s="372" t="s">
        <v>140</v>
      </c>
      <c r="G2067" s="372">
        <v>9</v>
      </c>
      <c r="H2067" s="372" t="s">
        <v>1818</v>
      </c>
      <c r="I2067" s="372"/>
      <c r="J2067" s="372"/>
      <c r="K2067" s="358"/>
      <c r="L2067" s="358"/>
      <c r="M2067" s="358"/>
      <c r="N2067" s="358"/>
      <c r="O2067" s="380"/>
      <c r="P2067" s="254" t="s">
        <v>30</v>
      </c>
      <c r="Q2067" s="23">
        <v>46054</v>
      </c>
      <c r="R2067" s="24" t="s">
        <v>67</v>
      </c>
      <c r="S2067" s="22" t="s">
        <v>32</v>
      </c>
      <c r="T2067" s="22">
        <v>9</v>
      </c>
      <c r="U2067" s="24" t="s">
        <v>67</v>
      </c>
      <c r="V2067" s="23">
        <v>46056</v>
      </c>
      <c r="W2067" s="100" t="s">
        <v>113</v>
      </c>
      <c r="X2067" s="94"/>
      <c r="Y2067" s="95"/>
      <c r="Z2067" s="100"/>
      <c r="AA2067" s="100"/>
      <c r="AB2067" s="100"/>
      <c r="AC2067" s="100"/>
      <c r="AD2067" s="100"/>
      <c r="AE2067" s="100"/>
      <c r="AF2067" s="100"/>
      <c r="AG2067" s="100"/>
      <c r="AH2067" s="114"/>
      <c r="AI2067" s="114"/>
      <c r="AJ2067" s="114"/>
      <c r="AK2067" s="114"/>
      <c r="AL2067" s="114"/>
      <c r="AM2067" s="360"/>
      <c r="AS2067" s="72"/>
      <c r="AT2067" s="96"/>
      <c r="AU2067" s="96"/>
      <c r="AV2067" s="109"/>
    </row>
    <row r="2068" spans="1:48">
      <c r="A2068" s="358" t="s">
        <v>2342</v>
      </c>
      <c r="B2068" s="369">
        <v>2065</v>
      </c>
      <c r="C2068" s="358" t="s">
        <v>3014</v>
      </c>
      <c r="D2068" s="358" t="s">
        <v>3015</v>
      </c>
      <c r="E2068" s="373">
        <v>46020</v>
      </c>
      <c r="F2068" s="372" t="s">
        <v>140</v>
      </c>
      <c r="G2068" s="372">
        <v>3</v>
      </c>
      <c r="H2068" s="372" t="s">
        <v>1721</v>
      </c>
      <c r="I2068" s="372"/>
      <c r="J2068" s="372"/>
      <c r="K2068" s="358"/>
      <c r="L2068" s="358"/>
      <c r="M2068" s="358"/>
      <c r="N2068" s="358"/>
      <c r="O2068" s="380"/>
      <c r="P2068" s="254" t="s">
        <v>30</v>
      </c>
      <c r="Q2068" s="23">
        <v>46054</v>
      </c>
      <c r="R2068" s="24" t="s">
        <v>67</v>
      </c>
      <c r="S2068" s="22" t="s">
        <v>32</v>
      </c>
      <c r="T2068" s="22">
        <v>3</v>
      </c>
      <c r="U2068" s="24" t="s">
        <v>67</v>
      </c>
      <c r="V2068" s="23">
        <v>46054</v>
      </c>
      <c r="W2068" s="100" t="s">
        <v>113</v>
      </c>
      <c r="X2068" s="100"/>
      <c r="Y2068" s="95"/>
      <c r="Z2068" s="100"/>
      <c r="AA2068" s="100"/>
      <c r="AB2068" s="100"/>
      <c r="AC2068" s="100"/>
      <c r="AD2068" s="100"/>
      <c r="AE2068" s="100"/>
      <c r="AF2068" s="100"/>
      <c r="AG2068" s="100"/>
      <c r="AH2068" s="114"/>
      <c r="AI2068" s="100"/>
      <c r="AJ2068" s="100"/>
      <c r="AK2068" s="100"/>
      <c r="AL2068" s="114"/>
      <c r="AM2068" s="360"/>
      <c r="AO2068" s="412"/>
      <c r="AP2068" s="412"/>
      <c r="AQ2068" s="412"/>
      <c r="AR2068" s="412"/>
      <c r="AV2068" s="109"/>
    </row>
    <row r="2069" spans="1:48">
      <c r="A2069" s="358" t="s">
        <v>2342</v>
      </c>
      <c r="B2069" s="369">
        <v>2066</v>
      </c>
      <c r="C2069" s="358" t="s">
        <v>3016</v>
      </c>
      <c r="D2069" s="358" t="s">
        <v>846</v>
      </c>
      <c r="E2069" s="373">
        <v>46020</v>
      </c>
      <c r="F2069" s="372" t="s">
        <v>140</v>
      </c>
      <c r="G2069" s="372">
        <v>6</v>
      </c>
      <c r="H2069" s="372" t="s">
        <v>1795</v>
      </c>
      <c r="I2069" s="372"/>
      <c r="J2069" s="372"/>
      <c r="K2069" s="358"/>
      <c r="L2069" s="358"/>
      <c r="M2069" s="358"/>
      <c r="N2069" s="358"/>
      <c r="O2069" s="117"/>
      <c r="P2069" s="254" t="s">
        <v>30</v>
      </c>
      <c r="Q2069" s="23">
        <v>46054</v>
      </c>
      <c r="R2069" s="24" t="s">
        <v>67</v>
      </c>
      <c r="S2069" s="22" t="s">
        <v>32</v>
      </c>
      <c r="T2069" s="22">
        <v>6</v>
      </c>
      <c r="U2069" s="24" t="s">
        <v>67</v>
      </c>
      <c r="V2069" s="23">
        <v>46054</v>
      </c>
      <c r="W2069" s="100" t="s">
        <v>113</v>
      </c>
      <c r="X2069" s="94"/>
      <c r="Y2069" s="107"/>
      <c r="Z2069" s="100"/>
      <c r="AA2069" s="100"/>
      <c r="AB2069" s="100"/>
      <c r="AC2069" s="100"/>
      <c r="AD2069" s="100"/>
      <c r="AE2069" s="100"/>
      <c r="AF2069" s="100"/>
      <c r="AG2069" s="100"/>
      <c r="AH2069" s="114"/>
      <c r="AI2069" s="114"/>
      <c r="AJ2069" s="114"/>
      <c r="AK2069" s="114"/>
      <c r="AL2069" s="114"/>
      <c r="AM2069" s="360"/>
      <c r="AN2069" s="6"/>
      <c r="AO2069" s="6"/>
      <c r="AP2069" s="6"/>
      <c r="AQ2069" s="6"/>
      <c r="AR2069" s="6"/>
      <c r="AS2069" s="108"/>
      <c r="AT2069" s="109"/>
      <c r="AU2069" s="109"/>
      <c r="AV2069" s="109"/>
    </row>
    <row r="2070" spans="1:48">
      <c r="A2070" s="358" t="s">
        <v>2342</v>
      </c>
      <c r="B2070" s="369">
        <v>2067</v>
      </c>
      <c r="C2070" s="358" t="s">
        <v>3017</v>
      </c>
      <c r="D2070" s="358" t="s">
        <v>308</v>
      </c>
      <c r="E2070" s="373">
        <v>46020.75</v>
      </c>
      <c r="F2070" s="372" t="s">
        <v>140</v>
      </c>
      <c r="G2070" s="372">
        <v>6</v>
      </c>
      <c r="H2070" s="372" t="s">
        <v>1721</v>
      </c>
      <c r="I2070" s="372"/>
      <c r="J2070" s="372"/>
      <c r="K2070" s="358"/>
      <c r="L2070" s="358"/>
      <c r="M2070" s="358"/>
      <c r="N2070" s="358"/>
      <c r="O2070" s="380"/>
      <c r="P2070" s="254" t="s">
        <v>30</v>
      </c>
      <c r="Q2070" s="23">
        <v>46054</v>
      </c>
      <c r="R2070" s="24" t="s">
        <v>67</v>
      </c>
      <c r="S2070" s="22" t="s">
        <v>32</v>
      </c>
      <c r="T2070" s="22">
        <v>5</v>
      </c>
      <c r="U2070" s="24" t="s">
        <v>67</v>
      </c>
      <c r="V2070" s="23">
        <v>46056</v>
      </c>
      <c r="W2070" s="100" t="s">
        <v>113</v>
      </c>
      <c r="X2070" s="107"/>
      <c r="Y2070" s="107"/>
      <c r="Z2070" s="100"/>
      <c r="AA2070" s="100"/>
      <c r="AB2070" s="100"/>
      <c r="AC2070" s="100"/>
      <c r="AD2070" s="100"/>
      <c r="AE2070" s="100"/>
      <c r="AF2070" s="100"/>
      <c r="AG2070" s="100"/>
      <c r="AH2070" s="114"/>
      <c r="AI2070" s="114"/>
      <c r="AJ2070" s="114"/>
      <c r="AK2070" s="114"/>
      <c r="AL2070" s="114"/>
      <c r="AM2070" s="360"/>
      <c r="AV2070" s="109"/>
    </row>
    <row r="2071" spans="1:48">
      <c r="A2071" s="358" t="s">
        <v>2342</v>
      </c>
      <c r="B2071" s="369">
        <v>2068</v>
      </c>
      <c r="C2071" s="358" t="s">
        <v>3018</v>
      </c>
      <c r="D2071" s="358" t="s">
        <v>1245</v>
      </c>
      <c r="E2071" s="373">
        <v>46010</v>
      </c>
      <c r="F2071" s="372" t="s">
        <v>140</v>
      </c>
      <c r="G2071" s="372">
        <v>1</v>
      </c>
      <c r="H2071" s="372" t="s">
        <v>67</v>
      </c>
      <c r="I2071" s="372"/>
      <c r="J2071" s="102" t="s">
        <v>3009</v>
      </c>
      <c r="K2071" s="358"/>
      <c r="L2071" s="358"/>
      <c r="M2071" s="358"/>
      <c r="N2071" s="358"/>
      <c r="O2071" s="117"/>
      <c r="P2071" s="258"/>
      <c r="Q2071" s="23"/>
      <c r="R2071" s="81"/>
      <c r="S2071" s="22"/>
      <c r="T2071" s="22"/>
      <c r="U2071" s="24"/>
      <c r="V2071" s="23"/>
      <c r="W2071" s="100" t="s">
        <v>113</v>
      </c>
      <c r="X2071" s="107"/>
      <c r="Y2071" s="107"/>
      <c r="Z2071" s="100"/>
      <c r="AA2071" s="100"/>
      <c r="AB2071" s="100"/>
      <c r="AC2071" s="100"/>
      <c r="AD2071" s="100"/>
      <c r="AE2071" s="100"/>
      <c r="AF2071" s="100"/>
      <c r="AG2071" s="100"/>
      <c r="AH2071" s="114"/>
      <c r="AI2071" s="114"/>
      <c r="AJ2071" s="114"/>
      <c r="AK2071" s="114"/>
      <c r="AL2071" s="114"/>
      <c r="AM2071" s="360"/>
      <c r="AN2071" s="6"/>
      <c r="AO2071" s="6"/>
      <c r="AP2071" s="6"/>
      <c r="AQ2071" s="6"/>
      <c r="AR2071" s="6"/>
      <c r="AS2071" s="108"/>
      <c r="AT2071" s="109"/>
      <c r="AU2071" s="109"/>
      <c r="AV2071" s="109"/>
    </row>
    <row r="2072" spans="1:48">
      <c r="A2072" s="358" t="s">
        <v>2342</v>
      </c>
      <c r="B2072" s="369">
        <v>2069</v>
      </c>
      <c r="C2072" s="358" t="s">
        <v>3019</v>
      </c>
      <c r="D2072" s="358" t="s">
        <v>2397</v>
      </c>
      <c r="E2072" s="373">
        <v>46010</v>
      </c>
      <c r="F2072" s="372" t="s">
        <v>140</v>
      </c>
      <c r="G2072" s="372">
        <v>1</v>
      </c>
      <c r="H2072" s="372" t="s">
        <v>67</v>
      </c>
      <c r="I2072" s="372"/>
      <c r="J2072" s="102" t="s">
        <v>3009</v>
      </c>
      <c r="K2072" s="358"/>
      <c r="L2072" s="358"/>
      <c r="M2072" s="358"/>
      <c r="N2072" s="358"/>
      <c r="O2072" s="380"/>
      <c r="P2072" s="252"/>
      <c r="Q2072" s="23"/>
      <c r="R2072" s="81"/>
      <c r="S2072" s="22"/>
      <c r="T2072" s="22"/>
      <c r="U2072" s="24"/>
      <c r="V2072" s="23"/>
      <c r="W2072" s="100" t="s">
        <v>113</v>
      </c>
      <c r="X2072" s="107"/>
      <c r="Y2072" s="107"/>
      <c r="Z2072" s="100"/>
      <c r="AA2072" s="100"/>
      <c r="AB2072" s="100"/>
      <c r="AC2072" s="100"/>
      <c r="AD2072" s="100"/>
      <c r="AE2072" s="100"/>
      <c r="AF2072" s="100"/>
      <c r="AG2072" s="100"/>
      <c r="AH2072" s="114"/>
      <c r="AI2072" s="114"/>
      <c r="AJ2072" s="114"/>
      <c r="AK2072" s="114"/>
      <c r="AL2072" s="114"/>
      <c r="AM2072" s="360"/>
      <c r="AN2072" s="6"/>
      <c r="AO2072" s="6"/>
      <c r="AP2072" s="6"/>
      <c r="AQ2072" s="6"/>
      <c r="AR2072" s="6"/>
      <c r="AS2072" s="108"/>
      <c r="AT2072" s="109"/>
      <c r="AU2072" s="109"/>
      <c r="AV2072" s="109"/>
    </row>
    <row r="2073" spans="1:48">
      <c r="A2073" s="358" t="s">
        <v>2342</v>
      </c>
      <c r="B2073" s="369">
        <v>2070</v>
      </c>
      <c r="C2073" s="358" t="s">
        <v>3020</v>
      </c>
      <c r="D2073" s="358" t="s">
        <v>2421</v>
      </c>
      <c r="E2073" s="373">
        <v>46010</v>
      </c>
      <c r="F2073" s="372" t="s">
        <v>140</v>
      </c>
      <c r="G2073" s="372">
        <v>1</v>
      </c>
      <c r="H2073" s="372" t="s">
        <v>67</v>
      </c>
      <c r="I2073" s="372"/>
      <c r="J2073" s="102" t="s">
        <v>3009</v>
      </c>
      <c r="K2073" s="358"/>
      <c r="L2073" s="358"/>
      <c r="M2073" s="358"/>
      <c r="N2073" s="358"/>
      <c r="O2073" s="380"/>
      <c r="P2073" s="252"/>
      <c r="Q2073" s="23"/>
      <c r="R2073" s="81"/>
      <c r="S2073" s="22"/>
      <c r="T2073" s="22"/>
      <c r="U2073" s="24"/>
      <c r="V2073" s="23"/>
      <c r="W2073" s="100" t="s">
        <v>113</v>
      </c>
      <c r="X2073" s="107"/>
      <c r="Y2073" s="107"/>
      <c r="Z2073" s="100"/>
      <c r="AA2073" s="95"/>
      <c r="AB2073" s="100"/>
      <c r="AC2073" s="100"/>
      <c r="AD2073" s="100"/>
      <c r="AE2073" s="100"/>
      <c r="AF2073" s="100"/>
      <c r="AG2073" s="100"/>
      <c r="AH2073" s="114"/>
      <c r="AI2073" s="114"/>
      <c r="AJ2073" s="114"/>
      <c r="AK2073" s="114"/>
      <c r="AL2073" s="114"/>
      <c r="AM2073" s="360"/>
      <c r="AV2073" s="109"/>
    </row>
    <row r="2074" spans="1:48">
      <c r="A2074" s="358" t="s">
        <v>2342</v>
      </c>
      <c r="B2074" s="369">
        <v>2071</v>
      </c>
      <c r="C2074" s="358" t="s">
        <v>3021</v>
      </c>
      <c r="D2074" s="358" t="s">
        <v>2415</v>
      </c>
      <c r="E2074" s="373">
        <v>46010</v>
      </c>
      <c r="F2074" s="372" t="s">
        <v>140</v>
      </c>
      <c r="G2074" s="372">
        <v>2</v>
      </c>
      <c r="H2074" s="372" t="s">
        <v>67</v>
      </c>
      <c r="I2074" s="372"/>
      <c r="J2074" s="102" t="s">
        <v>3009</v>
      </c>
      <c r="K2074" s="358"/>
      <c r="L2074" s="358"/>
      <c r="M2074" s="358"/>
      <c r="N2074" s="358"/>
      <c r="O2074" s="117"/>
      <c r="P2074" s="259"/>
      <c r="Q2074" s="23"/>
      <c r="R2074" s="81"/>
      <c r="S2074" s="22"/>
      <c r="T2074" s="22"/>
      <c r="U2074" s="24"/>
      <c r="V2074" s="23"/>
      <c r="W2074" s="100" t="s">
        <v>113</v>
      </c>
      <c r="X2074" s="100"/>
      <c r="Y2074" s="95"/>
      <c r="Z2074" s="100"/>
      <c r="AA2074" s="100"/>
      <c r="AB2074" s="100"/>
      <c r="AC2074" s="100"/>
      <c r="AD2074" s="100"/>
      <c r="AE2074" s="100"/>
      <c r="AF2074" s="100"/>
      <c r="AG2074" s="100"/>
      <c r="AH2074" s="114"/>
      <c r="AI2074" s="100"/>
      <c r="AJ2074" s="100"/>
      <c r="AK2074" s="100"/>
      <c r="AL2074" s="114"/>
      <c r="AM2074" s="360"/>
      <c r="AN2074" s="91"/>
      <c r="AO2074" s="91"/>
      <c r="AS2074" s="72"/>
      <c r="AT2074" s="96"/>
      <c r="AU2074" s="96"/>
      <c r="AV2074" s="109"/>
    </row>
    <row r="2075" spans="1:48">
      <c r="A2075" s="358" t="s">
        <v>2342</v>
      </c>
      <c r="B2075" s="369">
        <v>2072</v>
      </c>
      <c r="C2075" s="358" t="s">
        <v>3022</v>
      </c>
      <c r="D2075" s="358" t="s">
        <v>1406</v>
      </c>
      <c r="E2075" s="373">
        <v>46010</v>
      </c>
      <c r="F2075" s="372" t="s">
        <v>140</v>
      </c>
      <c r="G2075" s="372">
        <v>2</v>
      </c>
      <c r="H2075" s="372" t="s">
        <v>67</v>
      </c>
      <c r="I2075" s="372"/>
      <c r="J2075" s="102" t="s">
        <v>3009</v>
      </c>
      <c r="K2075" s="358"/>
      <c r="L2075" s="358"/>
      <c r="M2075" s="358"/>
      <c r="N2075" s="358"/>
      <c r="O2075" s="380"/>
      <c r="P2075" s="259"/>
      <c r="Q2075" s="23"/>
      <c r="R2075" s="81"/>
      <c r="S2075" s="22"/>
      <c r="U2075" s="24"/>
      <c r="V2075" s="23"/>
      <c r="W2075" s="100" t="s">
        <v>113</v>
      </c>
      <c r="X2075" s="107"/>
      <c r="Y2075" s="95"/>
      <c r="Z2075" s="100"/>
      <c r="AA2075" s="100"/>
      <c r="AB2075" s="100"/>
      <c r="AC2075" s="100"/>
      <c r="AD2075" s="100"/>
      <c r="AE2075" s="100"/>
      <c r="AF2075" s="100"/>
      <c r="AG2075" s="100"/>
      <c r="AH2075" s="114"/>
      <c r="AI2075" s="114"/>
      <c r="AJ2075" s="114"/>
      <c r="AK2075" s="114"/>
      <c r="AL2075" s="114"/>
      <c r="AM2075" s="360"/>
      <c r="AS2075" s="72"/>
      <c r="AT2075" s="96"/>
      <c r="AU2075" s="96"/>
      <c r="AV2075" s="109"/>
    </row>
    <row r="2076" spans="1:48">
      <c r="A2076" s="358" t="s">
        <v>2342</v>
      </c>
      <c r="B2076" s="369">
        <v>2073</v>
      </c>
      <c r="C2076" s="358" t="s">
        <v>3023</v>
      </c>
      <c r="D2076" s="358" t="s">
        <v>865</v>
      </c>
      <c r="E2076" s="373">
        <v>46010</v>
      </c>
      <c r="F2076" s="372" t="s">
        <v>140</v>
      </c>
      <c r="G2076" s="372">
        <v>1</v>
      </c>
      <c r="H2076" s="372" t="s">
        <v>67</v>
      </c>
      <c r="I2076" s="372"/>
      <c r="J2076" s="102" t="s">
        <v>3009</v>
      </c>
      <c r="K2076" s="358"/>
      <c r="L2076" s="358"/>
      <c r="M2076" s="358"/>
      <c r="N2076" s="358"/>
      <c r="O2076" s="380"/>
      <c r="P2076" s="252"/>
      <c r="Q2076" s="23"/>
      <c r="R2076" s="81"/>
      <c r="S2076" s="22"/>
      <c r="T2076" s="22"/>
      <c r="U2076" s="24"/>
      <c r="V2076" s="23"/>
      <c r="W2076" s="100" t="s">
        <v>113</v>
      </c>
      <c r="X2076" s="107"/>
      <c r="Y2076" s="107"/>
      <c r="Z2076" s="100"/>
      <c r="AA2076" s="95"/>
      <c r="AB2076" s="100"/>
      <c r="AC2076" s="100"/>
      <c r="AD2076" s="100"/>
      <c r="AE2076" s="100"/>
      <c r="AF2076" s="100"/>
      <c r="AG2076" s="100"/>
      <c r="AH2076" s="114"/>
      <c r="AI2076" s="114"/>
      <c r="AJ2076" s="114"/>
      <c r="AK2076" s="114"/>
      <c r="AL2076" s="114"/>
      <c r="AM2076" s="360"/>
      <c r="AN2076" s="91"/>
      <c r="AO2076" s="91"/>
      <c r="AS2076" s="72"/>
      <c r="AT2076" s="96"/>
      <c r="AU2076" s="96"/>
      <c r="AV2076" s="109"/>
    </row>
    <row r="2077" spans="1:48">
      <c r="A2077" s="358" t="s">
        <v>2342</v>
      </c>
      <c r="B2077" s="369">
        <v>2074</v>
      </c>
      <c r="C2077" s="358" t="s">
        <v>3024</v>
      </c>
      <c r="D2077" s="358" t="s">
        <v>953</v>
      </c>
      <c r="E2077" s="373">
        <v>46020.375</v>
      </c>
      <c r="F2077" s="372" t="s">
        <v>140</v>
      </c>
      <c r="G2077" s="372">
        <v>2</v>
      </c>
      <c r="H2077" s="372" t="s">
        <v>67</v>
      </c>
      <c r="I2077" s="372"/>
      <c r="J2077" s="372"/>
      <c r="K2077" s="358"/>
      <c r="L2077" s="358"/>
      <c r="M2077" s="358"/>
      <c r="N2077" s="358"/>
      <c r="O2077" s="380"/>
      <c r="P2077" s="252" t="s">
        <v>30</v>
      </c>
      <c r="Q2077" s="23">
        <v>46054</v>
      </c>
      <c r="R2077" s="24" t="s">
        <v>67</v>
      </c>
      <c r="S2077" s="22" t="s">
        <v>32</v>
      </c>
      <c r="T2077" s="22">
        <v>2</v>
      </c>
      <c r="U2077" s="24" t="s">
        <v>67</v>
      </c>
      <c r="V2077" s="23"/>
      <c r="W2077" s="100" t="s">
        <v>113</v>
      </c>
      <c r="X2077" s="107"/>
      <c r="Y2077" s="107"/>
      <c r="Z2077" s="100"/>
      <c r="AA2077" s="100"/>
      <c r="AB2077" s="100"/>
      <c r="AC2077" s="100"/>
      <c r="AD2077" s="100"/>
      <c r="AE2077" s="100"/>
      <c r="AF2077" s="100"/>
      <c r="AG2077" s="100"/>
      <c r="AH2077" s="114"/>
      <c r="AI2077" s="114"/>
      <c r="AJ2077" s="114"/>
      <c r="AK2077" s="114"/>
      <c r="AL2077" s="114"/>
      <c r="AM2077" s="360"/>
      <c r="AS2077" s="72"/>
      <c r="AT2077" s="96"/>
      <c r="AU2077" s="96"/>
      <c r="AV2077" s="109"/>
    </row>
    <row r="2078" spans="1:48">
      <c r="A2078" s="358" t="s">
        <v>2342</v>
      </c>
      <c r="B2078" s="369">
        <v>2075</v>
      </c>
      <c r="C2078" s="358" t="s">
        <v>3025</v>
      </c>
      <c r="D2078" s="358" t="s">
        <v>1366</v>
      </c>
      <c r="E2078" s="373">
        <v>46020</v>
      </c>
      <c r="F2078" s="372" t="s">
        <v>140</v>
      </c>
      <c r="G2078" s="372">
        <v>1</v>
      </c>
      <c r="H2078" s="372" t="s">
        <v>67</v>
      </c>
      <c r="I2078" s="372"/>
      <c r="J2078" s="372"/>
      <c r="K2078" s="358"/>
      <c r="L2078" s="358"/>
      <c r="M2078" s="358"/>
      <c r="N2078" s="358"/>
      <c r="O2078" s="117"/>
      <c r="P2078" s="252" t="s">
        <v>30</v>
      </c>
      <c r="Q2078" s="23">
        <v>46056</v>
      </c>
      <c r="R2078" s="24" t="s">
        <v>67</v>
      </c>
      <c r="S2078" s="22" t="s">
        <v>32</v>
      </c>
      <c r="T2078" s="22">
        <v>1</v>
      </c>
      <c r="U2078" s="24" t="s">
        <v>67</v>
      </c>
      <c r="V2078" s="23"/>
      <c r="W2078" s="100" t="s">
        <v>113</v>
      </c>
      <c r="X2078" s="107"/>
      <c r="Y2078" s="107"/>
      <c r="Z2078" s="100"/>
      <c r="AA2078" s="100"/>
      <c r="AB2078" s="100"/>
      <c r="AC2078" s="100"/>
      <c r="AD2078" s="100"/>
      <c r="AE2078" s="100"/>
      <c r="AF2078" s="100"/>
      <c r="AG2078" s="100"/>
      <c r="AH2078" s="114"/>
      <c r="AI2078" s="114"/>
      <c r="AJ2078" s="114"/>
      <c r="AK2078" s="114"/>
      <c r="AL2078" s="114"/>
      <c r="AM2078" s="360"/>
      <c r="AV2078" s="109"/>
    </row>
    <row r="2079" spans="1:48">
      <c r="A2079" s="358" t="s">
        <v>2342</v>
      </c>
      <c r="B2079" s="369">
        <v>2076</v>
      </c>
      <c r="C2079" s="358" t="s">
        <v>3026</v>
      </c>
      <c r="D2079" s="358" t="s">
        <v>1042</v>
      </c>
      <c r="E2079" s="373">
        <v>45999.041666666664</v>
      </c>
      <c r="F2079" s="372" t="s">
        <v>140</v>
      </c>
      <c r="G2079" s="372">
        <v>1</v>
      </c>
      <c r="H2079" s="372" t="s">
        <v>127</v>
      </c>
      <c r="I2079" s="372"/>
      <c r="J2079" s="372"/>
      <c r="K2079" s="358"/>
      <c r="L2079" s="358"/>
      <c r="M2079" s="358"/>
      <c r="N2079" s="358"/>
      <c r="O2079" s="380"/>
      <c r="P2079" s="385" t="s">
        <v>30</v>
      </c>
      <c r="Q2079" s="23">
        <v>46054</v>
      </c>
      <c r="R2079" s="24" t="s">
        <v>28</v>
      </c>
      <c r="S2079" s="22" t="s">
        <v>32</v>
      </c>
      <c r="T2079" s="22">
        <v>1</v>
      </c>
      <c r="U2079" s="24" t="s">
        <v>28</v>
      </c>
      <c r="V2079" s="23">
        <v>46054</v>
      </c>
      <c r="W2079" s="100" t="s">
        <v>113</v>
      </c>
      <c r="X2079" s="107"/>
      <c r="Y2079" s="107"/>
      <c r="Z2079" s="100"/>
      <c r="AA2079" s="95"/>
      <c r="AB2079" s="100"/>
      <c r="AC2079" s="100"/>
      <c r="AD2079" s="100"/>
      <c r="AE2079" s="100"/>
      <c r="AF2079" s="100"/>
      <c r="AG2079" s="100"/>
      <c r="AH2079" s="114"/>
      <c r="AI2079" s="114"/>
      <c r="AJ2079" s="114"/>
      <c r="AK2079" s="114"/>
      <c r="AL2079" s="114"/>
      <c r="AM2079" s="360"/>
      <c r="AS2079" s="72"/>
      <c r="AT2079" s="96"/>
      <c r="AU2079" s="96"/>
      <c r="AV2079" s="109"/>
    </row>
    <row r="2080" spans="1:48">
      <c r="A2080" s="358" t="s">
        <v>2342</v>
      </c>
      <c r="B2080" s="369">
        <v>2077</v>
      </c>
      <c r="C2080" s="358" t="s">
        <v>3027</v>
      </c>
      <c r="D2080" s="358" t="s">
        <v>1042</v>
      </c>
      <c r="E2080" s="373">
        <v>46006</v>
      </c>
      <c r="F2080" s="372" t="s">
        <v>140</v>
      </c>
      <c r="G2080" s="372">
        <v>3</v>
      </c>
      <c r="H2080" s="372" t="s">
        <v>2897</v>
      </c>
      <c r="I2080" s="372"/>
      <c r="J2080" s="372"/>
      <c r="K2080" s="358"/>
      <c r="L2080" s="358"/>
      <c r="M2080" s="358"/>
      <c r="N2080" s="358"/>
      <c r="O2080" s="380"/>
      <c r="P2080" s="385" t="s">
        <v>30</v>
      </c>
      <c r="Q2080" s="23">
        <v>46054</v>
      </c>
      <c r="R2080" s="24" t="s">
        <v>28</v>
      </c>
      <c r="S2080" s="22" t="s">
        <v>32</v>
      </c>
      <c r="T2080" s="22">
        <v>1</v>
      </c>
      <c r="U2080" s="24" t="s">
        <v>28</v>
      </c>
      <c r="V2080" s="23">
        <v>46054</v>
      </c>
      <c r="W2080" s="100" t="s">
        <v>113</v>
      </c>
      <c r="X2080" s="107"/>
      <c r="Y2080" s="107"/>
      <c r="Z2080" s="107"/>
      <c r="AA2080" s="107"/>
      <c r="AB2080" s="107"/>
      <c r="AC2080" s="100"/>
      <c r="AD2080" s="100"/>
      <c r="AE2080" s="100"/>
      <c r="AF2080" s="100"/>
      <c r="AG2080" s="100"/>
      <c r="AH2080" s="114"/>
      <c r="AI2080" s="114"/>
      <c r="AJ2080" s="114"/>
      <c r="AK2080" s="114"/>
      <c r="AL2080" s="114"/>
      <c r="AM2080" s="360"/>
      <c r="AS2080" s="72"/>
      <c r="AT2080" s="96"/>
      <c r="AU2080" s="96"/>
      <c r="AV2080" s="109"/>
    </row>
    <row r="2081" spans="1:48">
      <c r="A2081" s="358" t="s">
        <v>2342</v>
      </c>
      <c r="B2081" s="369">
        <v>2078</v>
      </c>
      <c r="C2081" s="358" t="s">
        <v>3028</v>
      </c>
      <c r="D2081" s="358" t="s">
        <v>3029</v>
      </c>
      <c r="E2081" s="373">
        <v>46020</v>
      </c>
      <c r="F2081" s="372" t="s">
        <v>140</v>
      </c>
      <c r="G2081" s="372">
        <v>1</v>
      </c>
      <c r="H2081" s="372" t="s">
        <v>67</v>
      </c>
      <c r="I2081" s="372"/>
      <c r="J2081" s="372"/>
      <c r="K2081" s="358"/>
      <c r="L2081" s="358"/>
      <c r="M2081" s="358"/>
      <c r="N2081" s="358"/>
      <c r="O2081" s="380"/>
      <c r="P2081" s="385" t="s">
        <v>30</v>
      </c>
      <c r="Q2081" s="23">
        <v>46056</v>
      </c>
      <c r="R2081" s="24" t="s">
        <v>67</v>
      </c>
      <c r="S2081" s="22" t="s">
        <v>32</v>
      </c>
      <c r="T2081" s="22">
        <v>1</v>
      </c>
      <c r="U2081" s="24" t="s">
        <v>67</v>
      </c>
      <c r="V2081" s="23"/>
      <c r="W2081" s="100" t="s">
        <v>113</v>
      </c>
      <c r="X2081" s="107"/>
      <c r="Y2081" s="107"/>
      <c r="Z2081" s="100"/>
      <c r="AA2081" s="100"/>
      <c r="AB2081" s="100"/>
      <c r="AC2081" s="100"/>
      <c r="AD2081" s="100"/>
      <c r="AE2081" s="100"/>
      <c r="AF2081" s="100"/>
      <c r="AG2081" s="100"/>
      <c r="AH2081" s="114"/>
      <c r="AI2081" s="114"/>
      <c r="AJ2081" s="114"/>
      <c r="AK2081" s="114"/>
      <c r="AL2081" s="114"/>
      <c r="AM2081" s="360"/>
      <c r="AS2081" s="72"/>
      <c r="AT2081" s="96"/>
      <c r="AU2081" s="96"/>
      <c r="AV2081" s="109"/>
    </row>
    <row r="2082" spans="1:48">
      <c r="A2082" s="365"/>
      <c r="C2082" s="366"/>
      <c r="D2082" s="366"/>
      <c r="E2082" s="386"/>
      <c r="F2082" s="378"/>
      <c r="G2082" s="387"/>
      <c r="H2082" s="388"/>
      <c r="I2082" s="389"/>
      <c r="J2082" s="389"/>
      <c r="K2082" s="389"/>
      <c r="L2082" s="25"/>
      <c r="M2082" s="26"/>
      <c r="N2082" s="27"/>
      <c r="O2082" s="380"/>
      <c r="P2082" s="28"/>
      <c r="Q2082" s="28"/>
      <c r="R2082" s="29"/>
      <c r="S2082" s="7"/>
      <c r="U2082" s="7"/>
      <c r="V2082" s="29"/>
      <c r="W2082" s="280"/>
      <c r="X2082" s="100"/>
      <c r="Y2082" s="100"/>
      <c r="Z2082" s="100"/>
      <c r="AA2082" s="100"/>
      <c r="AB2082" s="100"/>
      <c r="AC2082" s="100"/>
      <c r="AD2082" s="100"/>
      <c r="AE2082" s="100"/>
      <c r="AF2082" s="100"/>
      <c r="AG2082" s="100"/>
      <c r="AH2082" s="111"/>
      <c r="AI2082" s="111"/>
      <c r="AJ2082" s="111"/>
      <c r="AK2082" s="111"/>
      <c r="AL2082" s="100"/>
      <c r="AM2082" s="360"/>
      <c r="AO2082" s="412"/>
      <c r="AP2082" s="412"/>
      <c r="AQ2082" s="412"/>
      <c r="AR2082" s="412"/>
    </row>
    <row r="2083" spans="1:48">
      <c r="A2083" s="365"/>
      <c r="F2083" s="30"/>
      <c r="G2083" s="419"/>
      <c r="H2083" s="420"/>
      <c r="I2083" s="31"/>
      <c r="J2083" s="31"/>
      <c r="K2083" s="31"/>
      <c r="L2083" s="419"/>
      <c r="M2083" s="420"/>
      <c r="N2083" s="32"/>
      <c r="O2083" s="380"/>
      <c r="P2083" s="62"/>
      <c r="Q2083" s="62"/>
      <c r="R2083" s="73"/>
      <c r="S2083" s="73"/>
      <c r="T2083" s="22"/>
      <c r="U2083" s="79"/>
      <c r="V2083" s="118"/>
      <c r="W2083" s="22"/>
      <c r="X2083" s="360"/>
      <c r="Y2083" s="360"/>
      <c r="Z2083" s="360"/>
      <c r="AA2083" s="360"/>
      <c r="AB2083" s="360"/>
      <c r="AC2083" s="360"/>
      <c r="AD2083" s="360"/>
      <c r="AE2083" s="360"/>
      <c r="AF2083" s="360"/>
      <c r="AG2083" s="360"/>
      <c r="AH2083" s="390"/>
      <c r="AI2083" s="390"/>
      <c r="AJ2083" s="390"/>
      <c r="AK2083" s="390"/>
      <c r="AL2083" s="360"/>
      <c r="AM2083" s="360"/>
      <c r="AO2083" s="412"/>
      <c r="AP2083" s="412"/>
      <c r="AQ2083" s="412"/>
      <c r="AR2083" s="412"/>
    </row>
  </sheetData>
  <autoFilter ref="A3:AV2081" xr:uid="{00000000-0009-0000-0000-000000000000}"/>
  <mergeCells count="2">
    <mergeCell ref="G2083:H2083"/>
    <mergeCell ref="L2083:M208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7" tint="0.59999389629810485"/>
  </sheetPr>
  <dimension ref="A1:DS943"/>
  <sheetViews>
    <sheetView showGridLines="0" tabSelected="1" topLeftCell="B1" workbookViewId="0">
      <selection activeCell="C945" sqref="C945"/>
    </sheetView>
  </sheetViews>
  <sheetFormatPr defaultColWidth="8.5" defaultRowHeight="15.95"/>
  <cols>
    <col min="1" max="1" width="16" style="35" hidden="1" customWidth="1"/>
    <col min="2" max="2" width="8.5" style="35"/>
    <col min="3" max="3" width="9.5" style="1" customWidth="1"/>
    <col min="4" max="4" width="8" style="50" customWidth="1"/>
    <col min="5" max="5" width="15.5" style="50" customWidth="1"/>
    <col min="6" max="6" width="25.875" style="50" customWidth="1"/>
    <col min="7" max="7" width="15" style="267" customWidth="1"/>
    <col min="8" max="8" width="24.125" style="50" customWidth="1"/>
    <col min="9" max="17" width="10.5" style="1" customWidth="1"/>
    <col min="18" max="18" width="55.5" style="1" bestFit="1" customWidth="1"/>
    <col min="19" max="28" width="10.5" style="1" customWidth="1"/>
    <col min="29" max="29" width="9" style="50" customWidth="1"/>
    <col min="30" max="30" width="8" style="50" customWidth="1"/>
    <col min="31" max="31" width="40" style="50" customWidth="1"/>
    <col min="32" max="32" width="7.875" style="291" bestFit="1" customWidth="1"/>
    <col min="33" max="33" width="35.125" style="50" customWidth="1"/>
    <col min="34" max="34" width="17.5" style="330" customWidth="1"/>
    <col min="35" max="35" width="15" style="330" customWidth="1"/>
    <col min="36" max="39" width="33.625" style="329" customWidth="1"/>
    <col min="40" max="40" width="11.5" style="227" customWidth="1"/>
    <col min="41" max="41" width="12.5" style="227" customWidth="1"/>
    <col min="42" max="42" width="12.625" style="227" customWidth="1"/>
    <col min="43" max="43" width="9" style="346" customWidth="1"/>
    <col min="44" max="44" width="9.5" style="50" customWidth="1"/>
    <col min="45" max="45" width="9.5" style="7" customWidth="1"/>
    <col min="46" max="46" width="11.5" style="7" customWidth="1"/>
    <col min="47" max="48" width="12.5" style="7" customWidth="1"/>
    <col min="49" max="50" width="10.5" style="85" customWidth="1"/>
    <col min="51" max="51" width="9" style="85" customWidth="1"/>
    <col min="52" max="52" width="18.5" style="85" customWidth="1"/>
    <col min="53" max="53" width="9" style="85" customWidth="1"/>
    <col min="54" max="54" width="15.125" style="85" customWidth="1"/>
    <col min="55" max="55" width="6.5" style="85" customWidth="1"/>
    <col min="56" max="56" width="10.5" style="85" customWidth="1"/>
    <col min="57" max="57" width="12.625" style="85" customWidth="1"/>
    <col min="58" max="58" width="10" style="85" customWidth="1"/>
    <col min="59" max="60" width="19.5" style="339" customWidth="1"/>
    <col min="61" max="61" width="14" style="339" customWidth="1"/>
    <col min="62" max="62" width="7.5" style="339" customWidth="1"/>
    <col min="63" max="63" width="10.5" style="85" customWidth="1"/>
    <col min="64" max="64" width="18.125" style="85" customWidth="1"/>
    <col min="65" max="65" width="9.125" customWidth="1"/>
    <col min="66" max="66" width="13.5" style="10" customWidth="1"/>
    <col min="67" max="70" width="12" style="10" customWidth="1"/>
    <col min="71" max="71" width="10.125" style="96" customWidth="1"/>
    <col min="72" max="72" width="8.875" style="96" bestFit="1" customWidth="1"/>
    <col min="73" max="73" width="9.875" style="96" customWidth="1"/>
    <col min="74" max="74" width="8.625" style="96" customWidth="1"/>
    <col min="75" max="75" width="8.875" bestFit="1" customWidth="1"/>
  </cols>
  <sheetData>
    <row r="1" spans="1:78">
      <c r="C1" s="391"/>
      <c r="D1" s="131"/>
      <c r="E1" s="131"/>
      <c r="F1" s="131"/>
      <c r="G1" s="260"/>
      <c r="H1" s="131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261"/>
      <c r="AD1" s="131"/>
      <c r="AE1" s="131"/>
      <c r="AF1" s="288"/>
      <c r="AG1" s="131"/>
      <c r="AH1" s="392"/>
      <c r="AI1" s="392"/>
      <c r="AJ1" s="393"/>
      <c r="AK1" s="393"/>
      <c r="AL1" s="393"/>
      <c r="AM1" s="393"/>
      <c r="AN1" s="262"/>
      <c r="AO1" s="332"/>
      <c r="AP1" s="332"/>
      <c r="AQ1" s="333"/>
      <c r="AR1" s="334"/>
      <c r="AS1" s="335"/>
      <c r="AT1" s="335"/>
      <c r="AU1" s="336"/>
      <c r="AV1" s="337"/>
      <c r="AW1" s="338"/>
      <c r="AX1" s="338"/>
      <c r="AY1" s="338"/>
      <c r="AZ1" s="338"/>
      <c r="BA1" s="338"/>
      <c r="BB1" s="338"/>
      <c r="BC1" s="338"/>
      <c r="BD1" s="338"/>
      <c r="BE1" s="338"/>
      <c r="BF1" s="338"/>
      <c r="BG1" s="338"/>
      <c r="BH1" s="338"/>
      <c r="BI1" s="338"/>
      <c r="BJ1" s="338"/>
      <c r="BK1" s="338"/>
      <c r="BL1" s="339"/>
      <c r="BM1" s="75">
        <f>SUBTOTAL(9,BS4:BS614)</f>
        <v>0</v>
      </c>
      <c r="BN1" s="75">
        <f>SUBTOTAL(9,BT4:BT614)</f>
        <v>0</v>
      </c>
      <c r="BO1" s="75">
        <f>SUBTOTAL(9,BU4:BU614)</f>
        <v>0</v>
      </c>
      <c r="BP1" s="75">
        <f>SUBTOTAL(9,BV4:BV614)</f>
        <v>0</v>
      </c>
      <c r="BQ1" s="75">
        <f>SUBTOTAL(9,BW4:BW614)</f>
        <v>0</v>
      </c>
      <c r="BR1" s="412"/>
      <c r="BS1" s="96">
        <v>3</v>
      </c>
      <c r="BT1" s="99">
        <v>3</v>
      </c>
      <c r="BU1" s="99">
        <v>3</v>
      </c>
      <c r="BV1" s="99">
        <v>3</v>
      </c>
      <c r="BW1" s="99">
        <v>3</v>
      </c>
    </row>
    <row r="2" spans="1:78">
      <c r="C2" s="269">
        <f>COUNT(9,C4:C1379)</f>
        <v>1</v>
      </c>
      <c r="D2" s="269">
        <f>COUNT(9,D4:D1379)</f>
        <v>936</v>
      </c>
      <c r="E2" s="270"/>
      <c r="F2" s="270"/>
      <c r="G2" s="269">
        <f>SUBTOTAL(9,BZ4:BZ1379)</f>
        <v>0</v>
      </c>
      <c r="H2" s="270"/>
      <c r="I2" s="269">
        <f>SUBTOTAL(9,I4:I1379)</f>
        <v>0</v>
      </c>
      <c r="J2" s="269"/>
      <c r="K2" s="269"/>
      <c r="L2" s="269"/>
      <c r="M2" s="269">
        <f>SUBTOTAL(9,M4:M1379)</f>
        <v>0</v>
      </c>
      <c r="N2" s="269">
        <f>SUBTOTAL(9,N4:N1379)</f>
        <v>0</v>
      </c>
      <c r="O2" s="269"/>
      <c r="P2" s="269">
        <f>SUBTOTAL(9,P4:P1379)</f>
        <v>0</v>
      </c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394"/>
      <c r="AD2" s="395"/>
      <c r="AE2" s="395"/>
      <c r="AF2" s="289"/>
      <c r="AG2" s="395"/>
      <c r="AH2" s="395"/>
      <c r="AI2" s="395"/>
      <c r="AJ2" s="396"/>
      <c r="AK2" s="396"/>
      <c r="AL2" s="396"/>
      <c r="AM2" s="396"/>
      <c r="AN2" s="396"/>
      <c r="AO2" s="397"/>
      <c r="AP2" s="397"/>
      <c r="AQ2" s="340"/>
      <c r="AR2" s="398"/>
      <c r="AS2" s="398"/>
      <c r="AT2" s="398"/>
      <c r="AU2" s="399"/>
      <c r="AV2" s="415" t="s">
        <v>3030</v>
      </c>
      <c r="AW2" s="418"/>
      <c r="AX2" s="418"/>
      <c r="AY2" s="418" t="s">
        <v>11</v>
      </c>
      <c r="AZ2" s="418"/>
      <c r="BA2" s="418"/>
      <c r="BB2" s="418" t="s">
        <v>3031</v>
      </c>
      <c r="BC2" s="418" t="s">
        <v>3032</v>
      </c>
      <c r="BD2" s="418"/>
      <c r="BE2" s="418" t="s">
        <v>3033</v>
      </c>
      <c r="BF2" s="418" t="s">
        <v>3034</v>
      </c>
      <c r="BG2" s="413" t="s">
        <v>3035</v>
      </c>
      <c r="BH2" s="414"/>
      <c r="BI2" s="414"/>
      <c r="BJ2" s="415"/>
      <c r="BK2" s="416" t="s">
        <v>3036</v>
      </c>
      <c r="BL2" s="418" t="s">
        <v>3037</v>
      </c>
      <c r="BM2" t="s">
        <v>0</v>
      </c>
      <c r="BN2" s="412" t="s">
        <v>0</v>
      </c>
      <c r="BO2" s="412" t="s">
        <v>0</v>
      </c>
      <c r="BP2" s="412" t="s">
        <v>0</v>
      </c>
      <c r="BQ2" s="412"/>
      <c r="BR2" s="412"/>
      <c r="BS2" s="96" t="s">
        <v>0</v>
      </c>
      <c r="BT2" s="99" t="s">
        <v>0</v>
      </c>
      <c r="BU2" s="99"/>
      <c r="BV2" s="99" t="s">
        <v>0</v>
      </c>
      <c r="BZ2" t="s">
        <v>3038</v>
      </c>
    </row>
    <row r="3" spans="1:78" s="86" customFormat="1" ht="29.25" customHeight="1">
      <c r="A3" s="361"/>
      <c r="B3" s="363" t="s">
        <v>3039</v>
      </c>
      <c r="C3" s="115" t="s">
        <v>1</v>
      </c>
      <c r="D3" s="116" t="s">
        <v>2</v>
      </c>
      <c r="E3" s="116" t="s">
        <v>3</v>
      </c>
      <c r="F3" s="116" t="s">
        <v>4</v>
      </c>
      <c r="G3" s="263" t="s">
        <v>5</v>
      </c>
      <c r="H3" s="116" t="s">
        <v>6</v>
      </c>
      <c r="I3" s="116" t="s">
        <v>7</v>
      </c>
      <c r="J3" s="357" t="s">
        <v>3040</v>
      </c>
      <c r="K3" s="357" t="s">
        <v>3041</v>
      </c>
      <c r="L3" s="357" t="s">
        <v>4</v>
      </c>
      <c r="M3" s="357" t="s">
        <v>3042</v>
      </c>
      <c r="N3" s="357" t="s">
        <v>3043</v>
      </c>
      <c r="O3" s="357" t="s">
        <v>3044</v>
      </c>
      <c r="P3" s="357" t="s">
        <v>3045</v>
      </c>
      <c r="Q3" s="357" t="s">
        <v>3046</v>
      </c>
      <c r="R3" s="357" t="s">
        <v>3047</v>
      </c>
      <c r="S3" s="357" t="s">
        <v>3048</v>
      </c>
      <c r="T3" s="357" t="s">
        <v>3049</v>
      </c>
      <c r="U3" s="357" t="s">
        <v>3050</v>
      </c>
      <c r="V3" s="357" t="s">
        <v>3051</v>
      </c>
      <c r="W3" s="357" t="s">
        <v>3052</v>
      </c>
      <c r="X3" s="357" t="s">
        <v>3053</v>
      </c>
      <c r="Y3" s="357" t="s">
        <v>3054</v>
      </c>
      <c r="Z3" s="357" t="s">
        <v>3055</v>
      </c>
      <c r="AA3" s="357" t="s">
        <v>3056</v>
      </c>
      <c r="AB3" s="116" t="s">
        <v>3050</v>
      </c>
      <c r="AC3" s="264" t="s">
        <v>8</v>
      </c>
      <c r="AD3" s="116" t="s">
        <v>9</v>
      </c>
      <c r="AE3" s="116" t="s">
        <v>3057</v>
      </c>
      <c r="AF3" s="290" t="s">
        <v>1</v>
      </c>
      <c r="AG3" s="116" t="s">
        <v>11</v>
      </c>
      <c r="AH3" s="115" t="s">
        <v>12</v>
      </c>
      <c r="AI3" s="115" t="s">
        <v>13</v>
      </c>
      <c r="AJ3" s="326" t="s">
        <v>3058</v>
      </c>
      <c r="AK3" s="326" t="s">
        <v>3059</v>
      </c>
      <c r="AL3" s="326" t="s">
        <v>3060</v>
      </c>
      <c r="AM3" s="326" t="s">
        <v>3061</v>
      </c>
      <c r="AN3" s="115" t="s">
        <v>3062</v>
      </c>
      <c r="AO3" s="341" t="s">
        <v>15</v>
      </c>
      <c r="AP3" s="342" t="s">
        <v>14</v>
      </c>
      <c r="AQ3" s="341" t="s">
        <v>16</v>
      </c>
      <c r="AR3" s="341" t="s">
        <v>17</v>
      </c>
      <c r="AS3" s="341" t="s">
        <v>18</v>
      </c>
      <c r="AT3" s="341" t="s">
        <v>16</v>
      </c>
      <c r="AU3" s="341" t="s">
        <v>19</v>
      </c>
      <c r="AV3" s="341" t="s">
        <v>3063</v>
      </c>
      <c r="AW3" s="112" t="s">
        <v>3064</v>
      </c>
      <c r="AX3" s="112" t="s">
        <v>3065</v>
      </c>
      <c r="AY3" s="112" t="s">
        <v>3066</v>
      </c>
      <c r="AZ3" s="112" t="s">
        <v>3067</v>
      </c>
      <c r="BA3" s="112" t="s">
        <v>3068</v>
      </c>
      <c r="BB3" s="418"/>
      <c r="BC3" s="112" t="s">
        <v>3069</v>
      </c>
      <c r="BD3" s="112" t="s">
        <v>3070</v>
      </c>
      <c r="BE3" s="418"/>
      <c r="BF3" s="418"/>
      <c r="BG3" s="112" t="s">
        <v>3071</v>
      </c>
      <c r="BH3" s="112" t="s">
        <v>3072</v>
      </c>
      <c r="BI3" s="112" t="s">
        <v>3073</v>
      </c>
      <c r="BJ3" s="112" t="s">
        <v>3074</v>
      </c>
      <c r="BK3" s="417"/>
      <c r="BL3" s="416"/>
      <c r="BM3" s="86" t="s">
        <v>127</v>
      </c>
      <c r="BN3" s="87" t="s">
        <v>3075</v>
      </c>
      <c r="BO3" s="87" t="s">
        <v>1721</v>
      </c>
      <c r="BP3" s="87" t="s">
        <v>1077</v>
      </c>
      <c r="BQ3" s="87" t="s">
        <v>1076</v>
      </c>
      <c r="BR3" s="87"/>
      <c r="BS3" s="86" t="s">
        <v>127</v>
      </c>
      <c r="BT3" s="87" t="s">
        <v>3075</v>
      </c>
      <c r="BU3" s="87" t="s">
        <v>1721</v>
      </c>
      <c r="BV3" s="87" t="s">
        <v>1077</v>
      </c>
      <c r="BW3" s="87" t="s">
        <v>1076</v>
      </c>
    </row>
    <row r="4" spans="1:78" ht="15.75" hidden="1" customHeight="1">
      <c r="A4" s="35" t="str">
        <f>E4&amp;G4</f>
        <v>M012/2646024</v>
      </c>
      <c r="C4" s="358" t="s">
        <v>24</v>
      </c>
      <c r="D4" s="358">
        <v>1</v>
      </c>
      <c r="E4" s="359" t="s">
        <v>3076</v>
      </c>
      <c r="F4" s="359" t="s">
        <v>34</v>
      </c>
      <c r="G4" s="400">
        <v>46024</v>
      </c>
      <c r="H4" s="359" t="s">
        <v>286</v>
      </c>
      <c r="I4" s="359">
        <v>21</v>
      </c>
      <c r="J4" s="359" t="str">
        <f>IFERROR(VLOOKUP($A4,#REF!,3,0),"")</f>
        <v/>
      </c>
      <c r="K4" s="359" t="str">
        <f>IFERROR(VLOOKUP($A4,#REF!,4,0),AF4)</f>
        <v>INT</v>
      </c>
      <c r="L4" s="359" t="str">
        <f>IFERROR(VLOOKUP($A4,#REF!,5,0),"")</f>
        <v/>
      </c>
      <c r="M4" s="359" t="str">
        <f>IFERROR(VLOOKUP($A4,#REF!,7,0),"")</f>
        <v/>
      </c>
      <c r="N4" s="359"/>
      <c r="O4" s="359" t="str">
        <f>IFERROR(VLOOKUP($A4,#REF!,6,0),"")</f>
        <v/>
      </c>
      <c r="P4" s="359" t="str">
        <f>IFERROR(VLOOKUP($A4,#REF!,9,0),"")</f>
        <v/>
      </c>
      <c r="Q4" s="359" t="str">
        <f>IFERROR(VLOOKUP($A4,#REF!,10,0),"")</f>
        <v/>
      </c>
      <c r="R4" s="359" t="str">
        <f>IFERROR(VLOOKUP($A4,#REF!,11,0),"")</f>
        <v/>
      </c>
      <c r="S4" s="359" t="str">
        <f>IFERROR(VLOOKUP($A4,#REF!,13,0),"")</f>
        <v/>
      </c>
      <c r="T4" s="359" t="str">
        <f>IFERROR(VLOOKUP($A4,#REF!,14,0),"")</f>
        <v/>
      </c>
      <c r="U4" s="359" t="str">
        <f>IFERROR(VLOOKUP($A4,#REF!,15,0),"")</f>
        <v/>
      </c>
      <c r="V4" s="359" t="str">
        <f>IFERROR(VLOOKUP($A4,#REF!,16,0),"")</f>
        <v/>
      </c>
      <c r="W4" s="359" t="str">
        <f>IFERROR(VLOOKUP($A4,#REF!,17,0),"")</f>
        <v/>
      </c>
      <c r="X4" s="359" t="str">
        <f>IFERROR(VLOOKUP($A4,#REF!,18,0),"")</f>
        <v/>
      </c>
      <c r="Y4" s="359" t="str">
        <f>IFERROR(VLOOKUP($A4,#REF!,19,0),"")</f>
        <v/>
      </c>
      <c r="Z4" s="400" t="str">
        <f>IFERROR(VLOOKUP($A4,#REF!,21,0),"")</f>
        <v/>
      </c>
      <c r="AA4" s="359"/>
      <c r="AB4" s="359"/>
      <c r="AC4" s="359" t="s">
        <v>127</v>
      </c>
      <c r="AD4" s="359" t="s">
        <v>178</v>
      </c>
      <c r="AE4" s="102" t="s">
        <v>2110</v>
      </c>
      <c r="AF4" s="141" t="s">
        <v>3077</v>
      </c>
      <c r="AG4" s="358" t="s">
        <v>2087</v>
      </c>
      <c r="AH4" s="359" t="s">
        <v>2745</v>
      </c>
      <c r="AI4" s="359" t="s">
        <v>2745</v>
      </c>
      <c r="AJ4" s="359" t="s">
        <v>2050</v>
      </c>
      <c r="AK4" s="359"/>
      <c r="AL4" s="359"/>
      <c r="AM4" s="359"/>
      <c r="AN4" s="130" t="s">
        <v>31</v>
      </c>
      <c r="AO4" s="380"/>
      <c r="AP4" s="380"/>
      <c r="AQ4" s="384" t="s">
        <v>28</v>
      </c>
      <c r="AR4" s="358" t="s">
        <v>30</v>
      </c>
      <c r="AS4" s="358">
        <v>16</v>
      </c>
      <c r="AT4" s="384" t="s">
        <v>28</v>
      </c>
      <c r="AU4" s="380"/>
      <c r="AV4" s="100" t="s">
        <v>30</v>
      </c>
      <c r="AW4" s="100" t="s">
        <v>30</v>
      </c>
      <c r="AX4" s="100" t="s">
        <v>30</v>
      </c>
      <c r="AY4" s="95" t="s">
        <v>32</v>
      </c>
      <c r="AZ4" s="95" t="s">
        <v>32</v>
      </c>
      <c r="BA4" s="95" t="s">
        <v>32</v>
      </c>
      <c r="BB4" s="100" t="s">
        <v>30</v>
      </c>
      <c r="BC4" s="100" t="s">
        <v>30</v>
      </c>
      <c r="BD4" s="100" t="s">
        <v>30</v>
      </c>
      <c r="BE4" s="100" t="s">
        <v>30</v>
      </c>
      <c r="BF4" s="100" t="s">
        <v>30</v>
      </c>
      <c r="BG4" s="100" t="s">
        <v>30</v>
      </c>
      <c r="BH4" s="100" t="s">
        <v>30</v>
      </c>
      <c r="BI4" s="100" t="s">
        <v>30</v>
      </c>
      <c r="BJ4" s="100" t="s">
        <v>30</v>
      </c>
      <c r="BK4" s="95"/>
      <c r="BL4" s="360"/>
      <c r="BN4" s="412"/>
      <c r="BO4" s="412"/>
      <c r="BP4" s="412"/>
      <c r="BQ4" s="412"/>
      <c r="BR4" s="412"/>
      <c r="BS4"/>
      <c r="BT4"/>
      <c r="BU4"/>
      <c r="BV4"/>
      <c r="BZ4">
        <f>IF(G4&gt;1,1,"")</f>
        <v>1</v>
      </c>
    </row>
    <row r="5" spans="1:78" ht="15.75" hidden="1" customHeight="1">
      <c r="A5" s="35" t="str">
        <f t="shared" ref="A5:A68" si="0">E5&amp;G5</f>
        <v>M028/2646024</v>
      </c>
      <c r="C5" s="358" t="s">
        <v>24</v>
      </c>
      <c r="D5" s="358">
        <v>2</v>
      </c>
      <c r="E5" s="359" t="s">
        <v>3078</v>
      </c>
      <c r="F5" s="359" t="s">
        <v>34</v>
      </c>
      <c r="G5" s="400">
        <v>46024</v>
      </c>
      <c r="H5" s="359" t="s">
        <v>97</v>
      </c>
      <c r="I5" s="359">
        <v>9</v>
      </c>
      <c r="J5" s="359" t="str">
        <f>IFERROR(VLOOKUP($A5,#REF!,3,0),"")</f>
        <v/>
      </c>
      <c r="K5" s="359" t="str">
        <f>IFERROR(VLOOKUP($A5,#REF!,4,0),AF5)</f>
        <v>INT</v>
      </c>
      <c r="L5" s="359" t="str">
        <f>IFERROR(VLOOKUP($A5,#REF!,5,0),"")</f>
        <v/>
      </c>
      <c r="M5" s="359" t="str">
        <f>IFERROR(VLOOKUP($A5,#REF!,7,0),"")</f>
        <v/>
      </c>
      <c r="N5" s="359"/>
      <c r="O5" s="359" t="str">
        <f>IFERROR(VLOOKUP($A5,#REF!,6,0),"")</f>
        <v/>
      </c>
      <c r="P5" s="359" t="str">
        <f>IFERROR(VLOOKUP($A5,#REF!,9,0),"")</f>
        <v/>
      </c>
      <c r="Q5" s="359" t="str">
        <f>IFERROR(VLOOKUP($A5,#REF!,10,0),"")</f>
        <v/>
      </c>
      <c r="R5" s="359" t="str">
        <f>IFERROR(VLOOKUP($A5,#REF!,11,0),"")</f>
        <v/>
      </c>
      <c r="S5" s="359" t="str">
        <f>IFERROR(VLOOKUP($A5,#REF!,13,0),"")</f>
        <v/>
      </c>
      <c r="T5" s="359" t="str">
        <f>IFERROR(VLOOKUP($A5,#REF!,14,0),"")</f>
        <v/>
      </c>
      <c r="U5" s="359" t="str">
        <f>IFERROR(VLOOKUP($A5,#REF!,15,0),"")</f>
        <v/>
      </c>
      <c r="V5" s="359" t="str">
        <f>IFERROR(VLOOKUP($A5,#REF!,16,0),"")</f>
        <v/>
      </c>
      <c r="W5" s="359" t="str">
        <f>IFERROR(VLOOKUP($A5,#REF!,17,0),"")</f>
        <v/>
      </c>
      <c r="X5" s="359" t="str">
        <f>IFERROR(VLOOKUP($A5,#REF!,18,0),"")</f>
        <v/>
      </c>
      <c r="Y5" s="359" t="str">
        <f>IFERROR(VLOOKUP($A5,#REF!,19,0),"")</f>
        <v/>
      </c>
      <c r="Z5" s="400" t="str">
        <f>IFERROR(VLOOKUP($A5,#REF!,21,0),"")</f>
        <v/>
      </c>
      <c r="AA5" s="359"/>
      <c r="AB5" s="359"/>
      <c r="AC5" s="359" t="s">
        <v>1077</v>
      </c>
      <c r="AD5" s="359" t="s">
        <v>1138</v>
      </c>
      <c r="AE5" s="358"/>
      <c r="AF5" s="141" t="s">
        <v>3077</v>
      </c>
      <c r="AG5" s="358" t="s">
        <v>2180</v>
      </c>
      <c r="AH5" s="359" t="s">
        <v>2745</v>
      </c>
      <c r="AI5" s="359" t="s">
        <v>2745</v>
      </c>
      <c r="AJ5" s="359" t="s">
        <v>2050</v>
      </c>
      <c r="AK5" s="359"/>
      <c r="AL5" s="359"/>
      <c r="AM5" s="359"/>
      <c r="AN5" s="359" t="s">
        <v>32</v>
      </c>
      <c r="AO5" s="380" t="s">
        <v>1091</v>
      </c>
      <c r="AP5" s="380">
        <v>46042</v>
      </c>
      <c r="AQ5" s="384" t="s">
        <v>1138</v>
      </c>
      <c r="AR5" s="358" t="s">
        <v>32</v>
      </c>
      <c r="AS5" s="358">
        <v>8</v>
      </c>
      <c r="AT5" s="384" t="s">
        <v>1138</v>
      </c>
      <c r="AU5" s="380">
        <v>46042</v>
      </c>
      <c r="AV5" s="100" t="s">
        <v>30</v>
      </c>
      <c r="AW5" s="82" t="s">
        <v>30</v>
      </c>
      <c r="AX5" s="100" t="s">
        <v>30</v>
      </c>
      <c r="AY5" s="95" t="s">
        <v>32</v>
      </c>
      <c r="AZ5" s="95" t="s">
        <v>32</v>
      </c>
      <c r="BA5" s="95" t="s">
        <v>32</v>
      </c>
      <c r="BB5" s="100" t="s">
        <v>30</v>
      </c>
      <c r="BC5" s="100" t="s">
        <v>30</v>
      </c>
      <c r="BD5" s="100" t="s">
        <v>30</v>
      </c>
      <c r="BE5" s="100" t="s">
        <v>30</v>
      </c>
      <c r="BF5" s="100" t="s">
        <v>30</v>
      </c>
      <c r="BG5" s="100" t="s">
        <v>30</v>
      </c>
      <c r="BH5" s="100" t="s">
        <v>30</v>
      </c>
      <c r="BI5" s="100" t="s">
        <v>30</v>
      </c>
      <c r="BJ5" s="112" t="s">
        <v>30</v>
      </c>
      <c r="BK5" s="95"/>
      <c r="BL5" s="360"/>
      <c r="BN5" s="412"/>
      <c r="BO5" s="412"/>
      <c r="BP5" s="412"/>
      <c r="BQ5" s="412"/>
      <c r="BR5" s="412"/>
      <c r="BS5"/>
      <c r="BT5"/>
      <c r="BU5"/>
      <c r="BV5"/>
      <c r="BZ5">
        <f t="shared" ref="BZ5:BZ68" si="1">IF(G5&gt;1,1,"")</f>
        <v>1</v>
      </c>
    </row>
    <row r="6" spans="1:78" ht="15.75" hidden="1" customHeight="1">
      <c r="A6" s="35" t="str">
        <f t="shared" si="0"/>
        <v>005/2646024</v>
      </c>
      <c r="C6" s="358" t="s">
        <v>24</v>
      </c>
      <c r="D6" s="358">
        <v>3</v>
      </c>
      <c r="E6" s="359" t="s">
        <v>3079</v>
      </c>
      <c r="F6" s="359" t="s">
        <v>34</v>
      </c>
      <c r="G6" s="400">
        <v>46024</v>
      </c>
      <c r="H6" s="359" t="s">
        <v>91</v>
      </c>
      <c r="I6" s="359">
        <v>13</v>
      </c>
      <c r="J6" s="359" t="str">
        <f>IFERROR(VLOOKUP($A6,#REF!,3,0),"")</f>
        <v/>
      </c>
      <c r="K6" s="359" t="str">
        <f>IFERROR(VLOOKUP($A6,#REF!,4,0),AF6)</f>
        <v>INT</v>
      </c>
      <c r="L6" s="359" t="str">
        <f>IFERROR(VLOOKUP($A6,#REF!,5,0),"")</f>
        <v/>
      </c>
      <c r="M6" s="359" t="str">
        <f>IFERROR(VLOOKUP($A6,#REF!,7,0),"")</f>
        <v/>
      </c>
      <c r="N6" s="359"/>
      <c r="O6" s="359" t="str">
        <f>IFERROR(VLOOKUP($A6,#REF!,6,0),"")</f>
        <v/>
      </c>
      <c r="P6" s="359" t="str">
        <f>IFERROR(VLOOKUP($A6,#REF!,9,0),"")</f>
        <v/>
      </c>
      <c r="Q6" s="359" t="str">
        <f>IFERROR(VLOOKUP($A6,#REF!,10,0),"")</f>
        <v/>
      </c>
      <c r="R6" s="359" t="str">
        <f>IFERROR(VLOOKUP($A6,#REF!,11,0),"")</f>
        <v/>
      </c>
      <c r="S6" s="359" t="str">
        <f>IFERROR(VLOOKUP($A6,#REF!,13,0),"")</f>
        <v/>
      </c>
      <c r="T6" s="359" t="str">
        <f>IFERROR(VLOOKUP($A6,#REF!,14,0),"")</f>
        <v/>
      </c>
      <c r="U6" s="359" t="str">
        <f>IFERROR(VLOOKUP($A6,#REF!,15,0),"")</f>
        <v/>
      </c>
      <c r="V6" s="359" t="str">
        <f>IFERROR(VLOOKUP($A6,#REF!,16,0),"")</f>
        <v/>
      </c>
      <c r="W6" s="359" t="str">
        <f>IFERROR(VLOOKUP($A6,#REF!,17,0),"")</f>
        <v/>
      </c>
      <c r="X6" s="359" t="str">
        <f>IFERROR(VLOOKUP($A6,#REF!,18,0),"")</f>
        <v/>
      </c>
      <c r="Y6" s="359" t="str">
        <f>IFERROR(VLOOKUP($A6,#REF!,19,0),"")</f>
        <v/>
      </c>
      <c r="Z6" s="400" t="str">
        <f>IFERROR(VLOOKUP($A6,#REF!,21,0),"")</f>
        <v/>
      </c>
      <c r="AA6" s="359"/>
      <c r="AB6" s="359"/>
      <c r="AC6" s="359" t="s">
        <v>127</v>
      </c>
      <c r="AD6" s="359" t="s">
        <v>178</v>
      </c>
      <c r="AE6" s="102"/>
      <c r="AF6" s="141" t="s">
        <v>3077</v>
      </c>
      <c r="AG6" s="358" t="s">
        <v>2092</v>
      </c>
      <c r="AH6" s="359" t="s">
        <v>2799</v>
      </c>
      <c r="AI6" s="359" t="s">
        <v>2799</v>
      </c>
      <c r="AJ6" s="359" t="s">
        <v>2050</v>
      </c>
      <c r="AK6" s="359"/>
      <c r="AL6" s="359"/>
      <c r="AM6" s="359"/>
      <c r="AN6" s="359" t="s">
        <v>32</v>
      </c>
      <c r="AO6" s="327" t="s">
        <v>30</v>
      </c>
      <c r="AP6" s="384">
        <v>46080</v>
      </c>
      <c r="AQ6" s="384" t="s">
        <v>28</v>
      </c>
      <c r="AR6" s="358" t="s">
        <v>32</v>
      </c>
      <c r="AS6" s="358">
        <v>10</v>
      </c>
      <c r="AT6" s="384" t="s">
        <v>28</v>
      </c>
      <c r="AU6" s="384">
        <v>46080</v>
      </c>
      <c r="AV6" s="82" t="s">
        <v>30</v>
      </c>
      <c r="AW6" s="82" t="s">
        <v>30</v>
      </c>
      <c r="AX6" s="82" t="s">
        <v>30</v>
      </c>
      <c r="AY6" s="95" t="s">
        <v>32</v>
      </c>
      <c r="AZ6" s="95" t="s">
        <v>32</v>
      </c>
      <c r="BA6" s="95" t="s">
        <v>32</v>
      </c>
      <c r="BB6" s="100" t="s">
        <v>30</v>
      </c>
      <c r="BC6" s="100" t="s">
        <v>30</v>
      </c>
      <c r="BD6" s="100" t="s">
        <v>30</v>
      </c>
      <c r="BE6" s="100" t="s">
        <v>30</v>
      </c>
      <c r="BF6" s="100" t="s">
        <v>30</v>
      </c>
      <c r="BG6" s="100" t="s">
        <v>30</v>
      </c>
      <c r="BH6" s="100" t="s">
        <v>30</v>
      </c>
      <c r="BI6" s="100" t="s">
        <v>30</v>
      </c>
      <c r="BJ6" s="100" t="s">
        <v>30</v>
      </c>
      <c r="BK6" s="95"/>
      <c r="BL6" s="360" t="s">
        <v>3080</v>
      </c>
      <c r="BN6" s="412"/>
      <c r="BO6" s="412"/>
      <c r="BP6" s="412"/>
      <c r="BQ6" s="412"/>
      <c r="BR6" s="412"/>
      <c r="BS6"/>
      <c r="BT6"/>
      <c r="BU6"/>
      <c r="BV6"/>
      <c r="BZ6">
        <f t="shared" si="1"/>
        <v>1</v>
      </c>
    </row>
    <row r="7" spans="1:78" ht="15.6" hidden="1" customHeight="1">
      <c r="A7" s="35" t="str">
        <f t="shared" si="0"/>
        <v>015/2646024</v>
      </c>
      <c r="C7" s="358" t="s">
        <v>24</v>
      </c>
      <c r="D7" s="358">
        <v>4</v>
      </c>
      <c r="E7" s="359" t="s">
        <v>3081</v>
      </c>
      <c r="F7" s="359" t="s">
        <v>72</v>
      </c>
      <c r="G7" s="400">
        <v>46024</v>
      </c>
      <c r="H7" s="359" t="s">
        <v>2694</v>
      </c>
      <c r="I7" s="359">
        <v>11</v>
      </c>
      <c r="J7" s="359" t="str">
        <f>IFERROR(VLOOKUP($A7,#REF!,3,0),"")</f>
        <v/>
      </c>
      <c r="K7" s="359" t="str">
        <f>IFERROR(VLOOKUP($A7,#REF!,4,0),AF7)</f>
        <v>EXT</v>
      </c>
      <c r="L7" s="359" t="str">
        <f>IFERROR(VLOOKUP($A7,#REF!,5,0),"")</f>
        <v/>
      </c>
      <c r="M7" s="359" t="str">
        <f>IFERROR(VLOOKUP($A7,#REF!,7,0),"")</f>
        <v/>
      </c>
      <c r="N7" s="359"/>
      <c r="O7" s="359" t="str">
        <f>IFERROR(VLOOKUP($A7,#REF!,6,0),"")</f>
        <v/>
      </c>
      <c r="P7" s="359" t="str">
        <f>IFERROR(VLOOKUP($A7,#REF!,9,0),"")</f>
        <v/>
      </c>
      <c r="Q7" s="359" t="str">
        <f>IFERROR(VLOOKUP($A7,#REF!,10,0),"")</f>
        <v/>
      </c>
      <c r="R7" s="359" t="str">
        <f>IFERROR(VLOOKUP($A7,#REF!,11,0),"")</f>
        <v/>
      </c>
      <c r="S7" s="359" t="str">
        <f>IFERROR(VLOOKUP($A7,#REF!,13,0),"")</f>
        <v/>
      </c>
      <c r="T7" s="359" t="str">
        <f>IFERROR(VLOOKUP($A7,#REF!,14,0),"")</f>
        <v/>
      </c>
      <c r="U7" s="359" t="str">
        <f>IFERROR(VLOOKUP($A7,#REF!,15,0),"")</f>
        <v/>
      </c>
      <c r="V7" s="359" t="str">
        <f>IFERROR(VLOOKUP($A7,#REF!,16,0),"")</f>
        <v/>
      </c>
      <c r="W7" s="359" t="str">
        <f>IFERROR(VLOOKUP($A7,#REF!,17,0),"")</f>
        <v/>
      </c>
      <c r="X7" s="359" t="str">
        <f>IFERROR(VLOOKUP($A7,#REF!,18,0),"")</f>
        <v/>
      </c>
      <c r="Y7" s="359" t="str">
        <f>IFERROR(VLOOKUP($A7,#REF!,19,0),"")</f>
        <v/>
      </c>
      <c r="Z7" s="400" t="str">
        <f>IFERROR(VLOOKUP($A7,#REF!,21,0),"")</f>
        <v/>
      </c>
      <c r="AA7" s="359"/>
      <c r="AB7" s="359"/>
      <c r="AC7" s="359" t="s">
        <v>1721</v>
      </c>
      <c r="AD7" s="359" t="s">
        <v>1638</v>
      </c>
      <c r="AE7" s="358"/>
      <c r="AF7" s="141" t="s">
        <v>3082</v>
      </c>
      <c r="AG7" s="358" t="s">
        <v>2056</v>
      </c>
      <c r="AH7" s="359" t="s">
        <v>2799</v>
      </c>
      <c r="AI7" s="359" t="s">
        <v>2799</v>
      </c>
      <c r="AJ7" s="359" t="s">
        <v>2696</v>
      </c>
      <c r="AK7" s="359"/>
      <c r="AL7" s="359"/>
      <c r="AM7" s="359"/>
      <c r="AN7" s="359" t="s">
        <v>32</v>
      </c>
      <c r="AO7" s="327" t="s">
        <v>30</v>
      </c>
      <c r="AP7" s="380">
        <v>46062</v>
      </c>
      <c r="AQ7" s="384" t="s">
        <v>1638</v>
      </c>
      <c r="AR7" s="358" t="s">
        <v>32</v>
      </c>
      <c r="AS7" s="358">
        <v>11</v>
      </c>
      <c r="AT7" s="384" t="s">
        <v>1638</v>
      </c>
      <c r="AU7" s="380">
        <v>46062</v>
      </c>
      <c r="AV7" s="82" t="s">
        <v>30</v>
      </c>
      <c r="AW7" s="82" t="s">
        <v>30</v>
      </c>
      <c r="AX7" s="95"/>
      <c r="AY7" s="100" t="s">
        <v>30</v>
      </c>
      <c r="AZ7" s="100" t="s">
        <v>30</v>
      </c>
      <c r="BA7" s="100" t="s">
        <v>30</v>
      </c>
      <c r="BB7" s="100" t="s">
        <v>30</v>
      </c>
      <c r="BC7" s="100" t="s">
        <v>30</v>
      </c>
      <c r="BD7" s="100" t="s">
        <v>30</v>
      </c>
      <c r="BE7" s="100" t="s">
        <v>30</v>
      </c>
      <c r="BF7" s="100" t="s">
        <v>30</v>
      </c>
      <c r="BG7" s="114"/>
      <c r="BH7" s="100" t="s">
        <v>30</v>
      </c>
      <c r="BI7" s="100" t="s">
        <v>30</v>
      </c>
      <c r="BJ7" s="100" t="s">
        <v>30</v>
      </c>
      <c r="BK7" s="95"/>
      <c r="BL7" s="360"/>
      <c r="BN7"/>
      <c r="BO7"/>
      <c r="BP7"/>
      <c r="BQ7"/>
      <c r="BR7"/>
      <c r="BS7"/>
      <c r="BT7"/>
      <c r="BU7"/>
      <c r="BV7"/>
      <c r="BZ7">
        <f t="shared" si="1"/>
        <v>1</v>
      </c>
    </row>
    <row r="8" spans="1:78" ht="15.75" hidden="1" customHeight="1">
      <c r="A8" s="35" t="str">
        <f t="shared" si="0"/>
        <v>M020/2646024</v>
      </c>
      <c r="C8" s="358" t="s">
        <v>24</v>
      </c>
      <c r="D8" s="358">
        <v>5</v>
      </c>
      <c r="E8" s="359" t="s">
        <v>3083</v>
      </c>
      <c r="F8" s="359" t="s">
        <v>64</v>
      </c>
      <c r="G8" s="400">
        <v>46024</v>
      </c>
      <c r="H8" s="359" t="s">
        <v>187</v>
      </c>
      <c r="I8" s="359">
        <v>20</v>
      </c>
      <c r="J8" s="359" t="str">
        <f>IFERROR(VLOOKUP($A8,#REF!,3,0),"")</f>
        <v/>
      </c>
      <c r="K8" s="359" t="str">
        <f>IFERROR(VLOOKUP($A8,#REF!,4,0),AF8)</f>
        <v>INT</v>
      </c>
      <c r="L8" s="359" t="str">
        <f>IFERROR(VLOOKUP($A8,#REF!,5,0),"")</f>
        <v/>
      </c>
      <c r="M8" s="359" t="str">
        <f>IFERROR(VLOOKUP($A8,#REF!,7,0),"")</f>
        <v/>
      </c>
      <c r="N8" s="359"/>
      <c r="O8" s="359" t="str">
        <f>IFERROR(VLOOKUP($A8,#REF!,6,0),"")</f>
        <v/>
      </c>
      <c r="P8" s="359" t="str">
        <f>IFERROR(VLOOKUP($A8,#REF!,9,0),"")</f>
        <v/>
      </c>
      <c r="Q8" s="359" t="str">
        <f>IFERROR(VLOOKUP($A8,#REF!,10,0),"")</f>
        <v/>
      </c>
      <c r="R8" s="359" t="str">
        <f>IFERROR(VLOOKUP($A8,#REF!,11,0),"")</f>
        <v/>
      </c>
      <c r="S8" s="359" t="str">
        <f>IFERROR(VLOOKUP($A8,#REF!,13,0),"")</f>
        <v/>
      </c>
      <c r="T8" s="359" t="str">
        <f>IFERROR(VLOOKUP($A8,#REF!,14,0),"")</f>
        <v/>
      </c>
      <c r="U8" s="359" t="str">
        <f>IFERROR(VLOOKUP($A8,#REF!,15,0),"")</f>
        <v/>
      </c>
      <c r="V8" s="359" t="str">
        <f>IFERROR(VLOOKUP($A8,#REF!,16,0),"")</f>
        <v/>
      </c>
      <c r="W8" s="359" t="str">
        <f>IFERROR(VLOOKUP($A8,#REF!,17,0),"")</f>
        <v/>
      </c>
      <c r="X8" s="359" t="str">
        <f>IFERROR(VLOOKUP($A8,#REF!,18,0),"")</f>
        <v/>
      </c>
      <c r="Y8" s="359" t="str">
        <f>IFERROR(VLOOKUP($A8,#REF!,19,0),"")</f>
        <v/>
      </c>
      <c r="Z8" s="400" t="str">
        <f>IFERROR(VLOOKUP($A8,#REF!,21,0),"")</f>
        <v/>
      </c>
      <c r="AA8" s="359"/>
      <c r="AB8" s="359"/>
      <c r="AC8" s="359" t="s">
        <v>67</v>
      </c>
      <c r="AD8" s="359" t="s">
        <v>47</v>
      </c>
      <c r="AE8" s="102" t="s">
        <v>2110</v>
      </c>
      <c r="AF8" s="141" t="s">
        <v>3077</v>
      </c>
      <c r="AG8" s="358" t="s">
        <v>2126</v>
      </c>
      <c r="AH8" s="359" t="s">
        <v>2799</v>
      </c>
      <c r="AI8" s="359" t="s">
        <v>2799</v>
      </c>
      <c r="AJ8" s="359" t="s">
        <v>3084</v>
      </c>
      <c r="AK8" s="401" t="s">
        <v>3085</v>
      </c>
      <c r="AL8" s="401">
        <v>100</v>
      </c>
      <c r="AM8" s="402">
        <v>46121</v>
      </c>
      <c r="AN8" s="130" t="s">
        <v>31</v>
      </c>
      <c r="AO8" s="327" t="s">
        <v>30</v>
      </c>
      <c r="AP8" s="380">
        <v>46059</v>
      </c>
      <c r="AQ8" s="384" t="s">
        <v>47</v>
      </c>
      <c r="AR8" s="358" t="s">
        <v>30</v>
      </c>
      <c r="AS8" s="358">
        <v>14</v>
      </c>
      <c r="AT8" s="384" t="s">
        <v>47</v>
      </c>
      <c r="AU8" s="380">
        <v>46059</v>
      </c>
      <c r="AV8" s="82" t="s">
        <v>30</v>
      </c>
      <c r="AW8" s="82" t="s">
        <v>30</v>
      </c>
      <c r="AX8" s="82" t="s">
        <v>30</v>
      </c>
      <c r="AY8" s="100" t="s">
        <v>30</v>
      </c>
      <c r="AZ8" s="100" t="s">
        <v>30</v>
      </c>
      <c r="BA8" s="100" t="s">
        <v>30</v>
      </c>
      <c r="BB8" s="100" t="s">
        <v>30</v>
      </c>
      <c r="BC8" s="100" t="s">
        <v>30</v>
      </c>
      <c r="BD8" s="100" t="s">
        <v>30</v>
      </c>
      <c r="BE8" s="100" t="s">
        <v>30</v>
      </c>
      <c r="BF8" s="100" t="s">
        <v>30</v>
      </c>
      <c r="BG8" s="100" t="s">
        <v>30</v>
      </c>
      <c r="BH8" s="111" t="s">
        <v>30</v>
      </c>
      <c r="BI8" s="111" t="s">
        <v>30</v>
      </c>
      <c r="BJ8" s="111" t="s">
        <v>30</v>
      </c>
      <c r="BK8" s="95"/>
      <c r="BL8" s="360" t="s">
        <v>3080</v>
      </c>
      <c r="BN8" s="412"/>
      <c r="BO8" s="412"/>
      <c r="BP8" s="412"/>
      <c r="BQ8" s="412"/>
      <c r="BR8" s="412"/>
      <c r="BS8"/>
      <c r="BT8"/>
      <c r="BU8"/>
      <c r="BV8"/>
      <c r="BZ8">
        <f t="shared" si="1"/>
        <v>1</v>
      </c>
    </row>
    <row r="9" spans="1:78" ht="15.6" hidden="1" customHeight="1">
      <c r="A9" s="35" t="str">
        <f t="shared" si="0"/>
        <v>M034/2646024</v>
      </c>
      <c r="C9" s="358" t="s">
        <v>24</v>
      </c>
      <c r="D9" s="358">
        <v>6</v>
      </c>
      <c r="E9" s="359" t="s">
        <v>3086</v>
      </c>
      <c r="F9" s="359" t="s">
        <v>374</v>
      </c>
      <c r="G9" s="400">
        <v>46024</v>
      </c>
      <c r="H9" s="359" t="s">
        <v>106</v>
      </c>
      <c r="I9" s="359">
        <v>15</v>
      </c>
      <c r="J9" s="359" t="str">
        <f>IFERROR(VLOOKUP($A9,#REF!,3,0),"")</f>
        <v/>
      </c>
      <c r="K9" s="359" t="str">
        <f>IFERROR(VLOOKUP($A9,#REF!,4,0),AF9)</f>
        <v>EXT</v>
      </c>
      <c r="L9" s="359" t="str">
        <f>IFERROR(VLOOKUP($A9,#REF!,5,0),"")</f>
        <v/>
      </c>
      <c r="M9" s="359" t="str">
        <f>IFERROR(VLOOKUP($A9,#REF!,7,0),"")</f>
        <v/>
      </c>
      <c r="N9" s="359"/>
      <c r="O9" s="359" t="str">
        <f>IFERROR(VLOOKUP($A9,#REF!,6,0),"")</f>
        <v/>
      </c>
      <c r="P9" s="359" t="str">
        <f>IFERROR(VLOOKUP($A9,#REF!,9,0),"")</f>
        <v/>
      </c>
      <c r="Q9" s="359" t="str">
        <f>IFERROR(VLOOKUP($A9,#REF!,10,0),"")</f>
        <v/>
      </c>
      <c r="R9" s="359" t="str">
        <f>IFERROR(VLOOKUP($A9,#REF!,11,0),"")</f>
        <v/>
      </c>
      <c r="S9" s="359" t="str">
        <f>IFERROR(VLOOKUP($A9,#REF!,13,0),"")</f>
        <v/>
      </c>
      <c r="T9" s="359" t="str">
        <f>IFERROR(VLOOKUP($A9,#REF!,14,0),"")</f>
        <v/>
      </c>
      <c r="U9" s="359" t="str">
        <f>IFERROR(VLOOKUP($A9,#REF!,15,0),"")</f>
        <v/>
      </c>
      <c r="V9" s="359" t="str">
        <f>IFERROR(VLOOKUP($A9,#REF!,16,0),"")</f>
        <v/>
      </c>
      <c r="W9" s="359" t="str">
        <f>IFERROR(VLOOKUP($A9,#REF!,17,0),"")</f>
        <v/>
      </c>
      <c r="X9" s="359" t="str">
        <f>IFERROR(VLOOKUP($A9,#REF!,18,0),"")</f>
        <v/>
      </c>
      <c r="Y9" s="359" t="str">
        <f>IFERROR(VLOOKUP($A9,#REF!,19,0),"")</f>
        <v/>
      </c>
      <c r="Z9" s="400" t="str">
        <f>IFERROR(VLOOKUP($A9,#REF!,21,0),"")</f>
        <v/>
      </c>
      <c r="AA9" s="359"/>
      <c r="AB9" s="359"/>
      <c r="AC9" s="359" t="s">
        <v>127</v>
      </c>
      <c r="AD9" s="359" t="s">
        <v>178</v>
      </c>
      <c r="AE9" s="358"/>
      <c r="AF9" s="141" t="s">
        <v>3082</v>
      </c>
      <c r="AG9" s="358" t="s">
        <v>2061</v>
      </c>
      <c r="AH9" s="359" t="s">
        <v>3087</v>
      </c>
      <c r="AI9" s="359" t="s">
        <v>3087</v>
      </c>
      <c r="AJ9" s="359" t="s">
        <v>2050</v>
      </c>
      <c r="AK9" s="359"/>
      <c r="AL9" s="359"/>
      <c r="AM9" s="359"/>
      <c r="AN9" s="130" t="s">
        <v>31</v>
      </c>
      <c r="AO9" s="380" t="s">
        <v>30</v>
      </c>
      <c r="AP9" s="380">
        <v>46058</v>
      </c>
      <c r="AQ9" s="384" t="s">
        <v>28</v>
      </c>
      <c r="AR9" s="358" t="s">
        <v>32</v>
      </c>
      <c r="AS9" s="358">
        <v>15</v>
      </c>
      <c r="AT9" s="358" t="s">
        <v>28</v>
      </c>
      <c r="AU9" s="380">
        <v>46058</v>
      </c>
      <c r="AV9" s="82" t="s">
        <v>30</v>
      </c>
      <c r="AW9" s="100" t="s">
        <v>30</v>
      </c>
      <c r="AX9" s="100" t="s">
        <v>30</v>
      </c>
      <c r="AY9" s="100" t="s">
        <v>30</v>
      </c>
      <c r="AZ9" s="100" t="s">
        <v>30</v>
      </c>
      <c r="BA9" s="100" t="s">
        <v>30</v>
      </c>
      <c r="BB9" s="100" t="s">
        <v>30</v>
      </c>
      <c r="BC9" s="100" t="s">
        <v>30</v>
      </c>
      <c r="BD9" s="100" t="s">
        <v>30</v>
      </c>
      <c r="BE9" s="100" t="s">
        <v>30</v>
      </c>
      <c r="BF9" s="100" t="s">
        <v>30</v>
      </c>
      <c r="BG9" s="100" t="s">
        <v>30</v>
      </c>
      <c r="BH9" s="100" t="s">
        <v>30</v>
      </c>
      <c r="BI9" s="100" t="s">
        <v>30</v>
      </c>
      <c r="BJ9" s="100" t="s">
        <v>30</v>
      </c>
      <c r="BK9" s="95"/>
      <c r="BL9" s="360"/>
      <c r="BN9" s="412"/>
      <c r="BO9" s="412"/>
      <c r="BP9" s="412"/>
      <c r="BQ9" s="412"/>
      <c r="BR9" s="412"/>
      <c r="BS9"/>
      <c r="BT9"/>
      <c r="BU9"/>
      <c r="BV9"/>
      <c r="BZ9">
        <f t="shared" si="1"/>
        <v>1</v>
      </c>
    </row>
    <row r="10" spans="1:78" ht="15.75" hidden="1" customHeight="1">
      <c r="A10" s="35" t="str">
        <f t="shared" si="0"/>
        <v>013/2646024</v>
      </c>
      <c r="C10" s="358" t="s">
        <v>24</v>
      </c>
      <c r="D10" s="358">
        <v>7</v>
      </c>
      <c r="E10" s="359" t="s">
        <v>3088</v>
      </c>
      <c r="F10" s="359" t="s">
        <v>425</v>
      </c>
      <c r="G10" s="400">
        <v>46024</v>
      </c>
      <c r="H10" s="359" t="s">
        <v>364</v>
      </c>
      <c r="I10" s="359">
        <v>12</v>
      </c>
      <c r="J10" s="359" t="str">
        <f>IFERROR(VLOOKUP($A10,#REF!,3,0),"")</f>
        <v/>
      </c>
      <c r="K10" s="359" t="str">
        <f>IFERROR(VLOOKUP($A10,#REF!,4,0),AF10)</f>
        <v>INT</v>
      </c>
      <c r="L10" s="359" t="str">
        <f>IFERROR(VLOOKUP($A10,#REF!,5,0),"")</f>
        <v/>
      </c>
      <c r="M10" s="359" t="str">
        <f>IFERROR(VLOOKUP($A10,#REF!,7,0),"")</f>
        <v/>
      </c>
      <c r="N10" s="359"/>
      <c r="O10" s="359" t="str">
        <f>IFERROR(VLOOKUP($A10,#REF!,6,0),"")</f>
        <v/>
      </c>
      <c r="P10" s="359" t="str">
        <f>IFERROR(VLOOKUP($A10,#REF!,9,0),"")</f>
        <v/>
      </c>
      <c r="Q10" s="359" t="str">
        <f>IFERROR(VLOOKUP($A10,#REF!,10,0),"")</f>
        <v/>
      </c>
      <c r="R10" s="359" t="str">
        <f>IFERROR(VLOOKUP($A10,#REF!,11,0),"")</f>
        <v/>
      </c>
      <c r="S10" s="359" t="str">
        <f>IFERROR(VLOOKUP($A10,#REF!,13,0),"")</f>
        <v/>
      </c>
      <c r="T10" s="359" t="str">
        <f>IFERROR(VLOOKUP($A10,#REF!,14,0),"")</f>
        <v/>
      </c>
      <c r="U10" s="359" t="str">
        <f>IFERROR(VLOOKUP($A10,#REF!,15,0),"")</f>
        <v/>
      </c>
      <c r="V10" s="359" t="str">
        <f>IFERROR(VLOOKUP($A10,#REF!,16,0),"")</f>
        <v/>
      </c>
      <c r="W10" s="359" t="str">
        <f>IFERROR(VLOOKUP($A10,#REF!,17,0),"")</f>
        <v/>
      </c>
      <c r="X10" s="359" t="str">
        <f>IFERROR(VLOOKUP($A10,#REF!,18,0),"")</f>
        <v/>
      </c>
      <c r="Y10" s="359" t="str">
        <f>IFERROR(VLOOKUP($A10,#REF!,19,0),"")</f>
        <v/>
      </c>
      <c r="Z10" s="400" t="str">
        <f>IFERROR(VLOOKUP($A10,#REF!,21,0),"")</f>
        <v/>
      </c>
      <c r="AA10" s="359"/>
      <c r="AB10" s="359"/>
      <c r="AC10" s="359" t="s">
        <v>67</v>
      </c>
      <c r="AD10" s="359" t="s">
        <v>47</v>
      </c>
      <c r="AE10" s="358"/>
      <c r="AF10" s="141" t="s">
        <v>3077</v>
      </c>
      <c r="AG10" s="358" t="s">
        <v>2102</v>
      </c>
      <c r="AH10" s="359" t="s">
        <v>2799</v>
      </c>
      <c r="AI10" s="359" t="s">
        <v>2819</v>
      </c>
      <c r="AJ10" s="359" t="s">
        <v>2050</v>
      </c>
      <c r="AK10" s="359"/>
      <c r="AL10" s="359"/>
      <c r="AM10" s="359"/>
      <c r="AN10" s="359" t="s">
        <v>32</v>
      </c>
      <c r="AO10" s="380" t="s">
        <v>30</v>
      </c>
      <c r="AP10" s="380">
        <v>46059</v>
      </c>
      <c r="AQ10" s="384" t="s">
        <v>47</v>
      </c>
      <c r="AR10" s="358" t="s">
        <v>32</v>
      </c>
      <c r="AS10" s="358">
        <v>13</v>
      </c>
      <c r="AT10" s="384" t="s">
        <v>47</v>
      </c>
      <c r="AU10" s="380">
        <v>46059</v>
      </c>
      <c r="AV10" s="82" t="s">
        <v>30</v>
      </c>
      <c r="AW10" s="82" t="s">
        <v>30</v>
      </c>
      <c r="AX10" s="100" t="s">
        <v>30</v>
      </c>
      <c r="AY10" s="100" t="s">
        <v>30</v>
      </c>
      <c r="AZ10" s="100" t="s">
        <v>30</v>
      </c>
      <c r="BA10" s="100" t="s">
        <v>30</v>
      </c>
      <c r="BB10" s="100" t="s">
        <v>30</v>
      </c>
      <c r="BC10" s="100" t="s">
        <v>30</v>
      </c>
      <c r="BD10" s="100" t="s">
        <v>30</v>
      </c>
      <c r="BE10" s="100" t="s">
        <v>30</v>
      </c>
      <c r="BF10" s="100" t="s">
        <v>30</v>
      </c>
      <c r="BG10" s="100" t="s">
        <v>30</v>
      </c>
      <c r="BH10" s="100" t="s">
        <v>30</v>
      </c>
      <c r="BI10" s="100" t="s">
        <v>30</v>
      </c>
      <c r="BJ10" s="95" t="s">
        <v>32</v>
      </c>
      <c r="BK10" s="95"/>
      <c r="BL10" s="360" t="s">
        <v>3089</v>
      </c>
      <c r="BN10"/>
      <c r="BO10"/>
      <c r="BP10"/>
      <c r="BQ10"/>
      <c r="BR10"/>
      <c r="BS10"/>
      <c r="BT10"/>
      <c r="BU10"/>
      <c r="BV10"/>
      <c r="BZ10">
        <f t="shared" si="1"/>
        <v>1</v>
      </c>
    </row>
    <row r="11" spans="1:78" ht="15.75" hidden="1" customHeight="1">
      <c r="A11" s="35" t="str">
        <f t="shared" si="0"/>
        <v>M021/2646027</v>
      </c>
      <c r="C11" s="358" t="s">
        <v>24</v>
      </c>
      <c r="D11" s="358">
        <v>8</v>
      </c>
      <c r="E11" s="359" t="s">
        <v>3090</v>
      </c>
      <c r="F11" s="359" t="s">
        <v>43</v>
      </c>
      <c r="G11" s="400">
        <v>46027</v>
      </c>
      <c r="H11" s="359" t="s">
        <v>187</v>
      </c>
      <c r="I11" s="359">
        <v>20</v>
      </c>
      <c r="J11" s="359" t="str">
        <f>IFERROR(VLOOKUP($A11,#REF!,3,0),"")</f>
        <v/>
      </c>
      <c r="K11" s="359" t="str">
        <f>IFERROR(VLOOKUP($A11,#REF!,4,0),AF11)</f>
        <v>EXT</v>
      </c>
      <c r="L11" s="359" t="str">
        <f>IFERROR(VLOOKUP($A11,#REF!,5,0),"")</f>
        <v/>
      </c>
      <c r="M11" s="359" t="str">
        <f>IFERROR(VLOOKUP($A11,#REF!,7,0),"")</f>
        <v/>
      </c>
      <c r="N11" s="359"/>
      <c r="O11" s="359" t="str">
        <f>IFERROR(VLOOKUP($A11,#REF!,6,0),"")</f>
        <v/>
      </c>
      <c r="P11" s="359" t="str">
        <f>IFERROR(VLOOKUP($A11,#REF!,9,0),"")</f>
        <v/>
      </c>
      <c r="Q11" s="359" t="str">
        <f>IFERROR(VLOOKUP($A11,#REF!,10,0),"")</f>
        <v/>
      </c>
      <c r="R11" s="359" t="str">
        <f>IFERROR(VLOOKUP($A11,#REF!,11,0),"")</f>
        <v/>
      </c>
      <c r="S11" s="359" t="str">
        <f>IFERROR(VLOOKUP($A11,#REF!,13,0),"")</f>
        <v/>
      </c>
      <c r="T11" s="359" t="str">
        <f>IFERROR(VLOOKUP($A11,#REF!,14,0),"")</f>
        <v/>
      </c>
      <c r="U11" s="359" t="str">
        <f>IFERROR(VLOOKUP($A11,#REF!,15,0),"")</f>
        <v/>
      </c>
      <c r="V11" s="359" t="str">
        <f>IFERROR(VLOOKUP($A11,#REF!,16,0),"")</f>
        <v/>
      </c>
      <c r="W11" s="359" t="str">
        <f>IFERROR(VLOOKUP($A11,#REF!,17,0),"")</f>
        <v/>
      </c>
      <c r="X11" s="359" t="str">
        <f>IFERROR(VLOOKUP($A11,#REF!,18,0),"")</f>
        <v/>
      </c>
      <c r="Y11" s="359" t="str">
        <f>IFERROR(VLOOKUP($A11,#REF!,19,0),"")</f>
        <v/>
      </c>
      <c r="Z11" s="400" t="str">
        <f>IFERROR(VLOOKUP($A11,#REF!,21,0),"")</f>
        <v/>
      </c>
      <c r="AA11" s="359"/>
      <c r="AB11" s="359"/>
      <c r="AC11" s="359" t="s">
        <v>67</v>
      </c>
      <c r="AD11" s="359" t="s">
        <v>47</v>
      </c>
      <c r="AE11" s="102" t="s">
        <v>2110</v>
      </c>
      <c r="AF11" s="141" t="s">
        <v>3082</v>
      </c>
      <c r="AG11" s="358" t="s">
        <v>2113</v>
      </c>
      <c r="AH11" s="359" t="s">
        <v>2603</v>
      </c>
      <c r="AI11" s="359" t="s">
        <v>2799</v>
      </c>
      <c r="AJ11" s="359" t="s">
        <v>3084</v>
      </c>
      <c r="AK11" s="359"/>
      <c r="AL11" s="359"/>
      <c r="AM11" s="359"/>
      <c r="AN11" s="130" t="s">
        <v>31</v>
      </c>
      <c r="AO11" s="117"/>
      <c r="AP11" s="380">
        <v>46064</v>
      </c>
      <c r="AQ11" s="384" t="s">
        <v>47</v>
      </c>
      <c r="AR11" s="358" t="s">
        <v>30</v>
      </c>
      <c r="AS11" s="358">
        <v>14</v>
      </c>
      <c r="AT11" s="384" t="s">
        <v>47</v>
      </c>
      <c r="AU11" s="380">
        <v>46064</v>
      </c>
      <c r="AV11" s="95" t="s">
        <v>32</v>
      </c>
      <c r="AW11" s="95"/>
      <c r="AX11" s="95"/>
      <c r="AY11" s="100" t="s">
        <v>30</v>
      </c>
      <c r="AZ11" s="100" t="s">
        <v>30</v>
      </c>
      <c r="BA11" s="100" t="s">
        <v>30</v>
      </c>
      <c r="BB11" s="100" t="s">
        <v>30</v>
      </c>
      <c r="BC11" s="100" t="s">
        <v>30</v>
      </c>
      <c r="BD11" s="100" t="s">
        <v>30</v>
      </c>
      <c r="BE11" s="100" t="s">
        <v>30</v>
      </c>
      <c r="BF11" s="100" t="s">
        <v>30</v>
      </c>
      <c r="BG11" s="100" t="s">
        <v>30</v>
      </c>
      <c r="BH11" s="100" t="s">
        <v>30</v>
      </c>
      <c r="BI11" s="100" t="s">
        <v>30</v>
      </c>
      <c r="BJ11" s="100" t="s">
        <v>30</v>
      </c>
      <c r="BK11" s="95"/>
      <c r="BL11" s="360"/>
      <c r="BN11"/>
      <c r="BO11"/>
      <c r="BP11"/>
      <c r="BQ11"/>
      <c r="BR11"/>
      <c r="BS11"/>
      <c r="BT11"/>
      <c r="BU11"/>
      <c r="BV11"/>
      <c r="BZ11">
        <f t="shared" si="1"/>
        <v>1</v>
      </c>
    </row>
    <row r="12" spans="1:78" ht="15.75" hidden="1" customHeight="1">
      <c r="A12" s="35" t="str">
        <f t="shared" si="0"/>
        <v>012/2646027</v>
      </c>
      <c r="C12" s="358" t="s">
        <v>24</v>
      </c>
      <c r="D12" s="358">
        <v>9</v>
      </c>
      <c r="E12" s="359" t="s">
        <v>3091</v>
      </c>
      <c r="F12" s="359" t="s">
        <v>57</v>
      </c>
      <c r="G12" s="400">
        <v>46027</v>
      </c>
      <c r="H12" s="359" t="s">
        <v>97</v>
      </c>
      <c r="I12" s="403">
        <v>21</v>
      </c>
      <c r="J12" s="359" t="str">
        <f>IFERROR(VLOOKUP($A12,#REF!,3,0),"")</f>
        <v/>
      </c>
      <c r="K12" s="359" t="str">
        <f>IFERROR(VLOOKUP($A12,#REF!,4,0),AF12)</f>
        <v>EXT</v>
      </c>
      <c r="L12" s="359" t="str">
        <f>IFERROR(VLOOKUP($A12,#REF!,5,0),"")</f>
        <v/>
      </c>
      <c r="M12" s="403" t="str">
        <f>IFERROR(VLOOKUP($A12,#REF!,7,0),"")</f>
        <v/>
      </c>
      <c r="N12" s="403"/>
      <c r="O12" s="359" t="str">
        <f>IFERROR(VLOOKUP($A12,#REF!,6,0),"")</f>
        <v/>
      </c>
      <c r="P12" s="359" t="str">
        <f>IFERROR(VLOOKUP($A12,#REF!,9,0),"")</f>
        <v/>
      </c>
      <c r="Q12" s="359" t="str">
        <f>IFERROR(VLOOKUP($A12,#REF!,10,0),"")</f>
        <v/>
      </c>
      <c r="R12" s="359" t="str">
        <f>IFERROR(VLOOKUP($A12,#REF!,11,0),"")</f>
        <v/>
      </c>
      <c r="S12" s="359" t="str">
        <f>IFERROR(VLOOKUP($A12,#REF!,13,0),"")</f>
        <v/>
      </c>
      <c r="T12" s="359" t="str">
        <f>IFERROR(VLOOKUP($A12,#REF!,14,0),"")</f>
        <v/>
      </c>
      <c r="U12" s="359" t="str">
        <f>IFERROR(VLOOKUP($A12,#REF!,15,0),"")</f>
        <v/>
      </c>
      <c r="V12" s="359" t="str">
        <f>IFERROR(VLOOKUP($A12,#REF!,16,0),"")</f>
        <v/>
      </c>
      <c r="W12" s="359" t="str">
        <f>IFERROR(VLOOKUP($A12,#REF!,17,0),"")</f>
        <v/>
      </c>
      <c r="X12" s="359" t="str">
        <f>IFERROR(VLOOKUP($A12,#REF!,18,0),"")</f>
        <v/>
      </c>
      <c r="Y12" s="359" t="str">
        <f>IFERROR(VLOOKUP($A12,#REF!,19,0),"")</f>
        <v/>
      </c>
      <c r="Z12" s="400" t="str">
        <f>IFERROR(VLOOKUP($A12,#REF!,21,0),"")</f>
        <v/>
      </c>
      <c r="AA12" s="359"/>
      <c r="AB12" s="359"/>
      <c r="AC12" s="359" t="s">
        <v>1721</v>
      </c>
      <c r="AD12" s="359" t="s">
        <v>1638</v>
      </c>
      <c r="AE12" s="102"/>
      <c r="AF12" s="141" t="s">
        <v>3082</v>
      </c>
      <c r="AG12" s="358" t="s">
        <v>2096</v>
      </c>
      <c r="AH12" s="359" t="s">
        <v>3092</v>
      </c>
      <c r="AI12" s="359" t="s">
        <v>3092</v>
      </c>
      <c r="AJ12" s="359" t="s">
        <v>2050</v>
      </c>
      <c r="AK12" s="359"/>
      <c r="AL12" s="359"/>
      <c r="AM12" s="359"/>
      <c r="AN12" s="130" t="s">
        <v>31</v>
      </c>
      <c r="AO12" s="380" t="s">
        <v>30</v>
      </c>
      <c r="AP12" s="380">
        <v>46077</v>
      </c>
      <c r="AQ12" s="384" t="s">
        <v>1638</v>
      </c>
      <c r="AR12" s="358" t="s">
        <v>32</v>
      </c>
      <c r="AS12" s="358">
        <v>18</v>
      </c>
      <c r="AT12" s="384" t="s">
        <v>1638</v>
      </c>
      <c r="AU12" s="380">
        <v>46077</v>
      </c>
      <c r="AV12" s="82" t="s">
        <v>30</v>
      </c>
      <c r="AW12" s="82" t="s">
        <v>30</v>
      </c>
      <c r="AX12" s="82" t="s">
        <v>30</v>
      </c>
      <c r="AY12" s="100" t="s">
        <v>30</v>
      </c>
      <c r="AZ12" s="100" t="s">
        <v>30</v>
      </c>
      <c r="BA12" s="100" t="s">
        <v>30</v>
      </c>
      <c r="BB12" s="100" t="s">
        <v>30</v>
      </c>
      <c r="BC12" s="100" t="s">
        <v>30</v>
      </c>
      <c r="BD12" s="100" t="s">
        <v>30</v>
      </c>
      <c r="BE12" s="100" t="s">
        <v>30</v>
      </c>
      <c r="BF12" s="100" t="s">
        <v>30</v>
      </c>
      <c r="BG12" s="100" t="s">
        <v>30</v>
      </c>
      <c r="BH12" s="100" t="s">
        <v>30</v>
      </c>
      <c r="BI12" s="100" t="s">
        <v>30</v>
      </c>
      <c r="BJ12" s="100" t="s">
        <v>30</v>
      </c>
      <c r="BK12" s="95"/>
      <c r="BL12" s="360"/>
      <c r="BM12" s="6"/>
      <c r="BN12"/>
      <c r="BO12"/>
      <c r="BP12"/>
      <c r="BQ12"/>
      <c r="BR12"/>
      <c r="BS12"/>
      <c r="BT12"/>
      <c r="BU12"/>
      <c r="BV12"/>
      <c r="BZ12">
        <f t="shared" si="1"/>
        <v>1</v>
      </c>
    </row>
    <row r="13" spans="1:78" ht="15.75" hidden="1" customHeight="1">
      <c r="A13" s="35" t="str">
        <f t="shared" si="0"/>
        <v>M031/2646027</v>
      </c>
      <c r="C13" s="358" t="s">
        <v>24</v>
      </c>
      <c r="D13" s="358">
        <v>10</v>
      </c>
      <c r="E13" s="359" t="s">
        <v>3093</v>
      </c>
      <c r="F13" s="359" t="s">
        <v>64</v>
      </c>
      <c r="G13" s="400">
        <v>46027</v>
      </c>
      <c r="H13" s="359" t="s">
        <v>1626</v>
      </c>
      <c r="I13" s="359">
        <v>14</v>
      </c>
      <c r="J13" s="359" t="str">
        <f>IFERROR(VLOOKUP($A13,#REF!,3,0),"")</f>
        <v/>
      </c>
      <c r="K13" s="359" t="str">
        <f>IFERROR(VLOOKUP($A13,#REF!,4,0),AF13)</f>
        <v>INT</v>
      </c>
      <c r="L13" s="359" t="str">
        <f>IFERROR(VLOOKUP($A13,#REF!,5,0),"")</f>
        <v/>
      </c>
      <c r="M13" s="359" t="str">
        <f>IFERROR(VLOOKUP($A13,#REF!,7,0),"")</f>
        <v/>
      </c>
      <c r="N13" s="359"/>
      <c r="O13" s="359" t="str">
        <f>IFERROR(VLOOKUP($A13,#REF!,6,0),"")</f>
        <v/>
      </c>
      <c r="P13" s="359" t="str">
        <f>IFERROR(VLOOKUP($A13,#REF!,9,0),"")</f>
        <v/>
      </c>
      <c r="Q13" s="359" t="str">
        <f>IFERROR(VLOOKUP($A13,#REF!,10,0),"")</f>
        <v/>
      </c>
      <c r="R13" s="359" t="str">
        <f>IFERROR(VLOOKUP($A13,#REF!,11,0),"")</f>
        <v/>
      </c>
      <c r="S13" s="359" t="str">
        <f>IFERROR(VLOOKUP($A13,#REF!,13,0),"")</f>
        <v/>
      </c>
      <c r="T13" s="359" t="str">
        <f>IFERROR(VLOOKUP($A13,#REF!,14,0),"")</f>
        <v/>
      </c>
      <c r="U13" s="359" t="str">
        <f>IFERROR(VLOOKUP($A13,#REF!,15,0),"")</f>
        <v/>
      </c>
      <c r="V13" s="359" t="str">
        <f>IFERROR(VLOOKUP($A13,#REF!,16,0),"")</f>
        <v/>
      </c>
      <c r="W13" s="359" t="str">
        <f>IFERROR(VLOOKUP($A13,#REF!,17,0),"")</f>
        <v/>
      </c>
      <c r="X13" s="359" t="str">
        <f>IFERROR(VLOOKUP($A13,#REF!,18,0),"")</f>
        <v/>
      </c>
      <c r="Y13" s="359" t="str">
        <f>IFERROR(VLOOKUP($A13,#REF!,19,0),"")</f>
        <v/>
      </c>
      <c r="Z13" s="400" t="str">
        <f>IFERROR(VLOOKUP($A13,#REF!,21,0),"")</f>
        <v/>
      </c>
      <c r="AA13" s="359"/>
      <c r="AB13" s="359"/>
      <c r="AC13" s="359" t="s">
        <v>1077</v>
      </c>
      <c r="AD13" s="359" t="s">
        <v>1138</v>
      </c>
      <c r="AE13" s="358"/>
      <c r="AF13" s="141" t="s">
        <v>3077</v>
      </c>
      <c r="AG13" s="358" t="s">
        <v>2108</v>
      </c>
      <c r="AH13" s="359" t="s">
        <v>3092</v>
      </c>
      <c r="AI13" s="359" t="s">
        <v>3092</v>
      </c>
      <c r="AJ13" s="359" t="s">
        <v>2050</v>
      </c>
      <c r="AK13" s="359"/>
      <c r="AL13" s="359"/>
      <c r="AM13" s="359"/>
      <c r="AN13" s="359" t="s">
        <v>32</v>
      </c>
      <c r="AO13" s="327" t="s">
        <v>30</v>
      </c>
      <c r="AP13" s="380">
        <v>46056</v>
      </c>
      <c r="AQ13" s="384" t="s">
        <v>1138</v>
      </c>
      <c r="AR13" s="358" t="s">
        <v>32</v>
      </c>
      <c r="AS13" s="358">
        <v>12</v>
      </c>
      <c r="AT13" s="384" t="s">
        <v>1138</v>
      </c>
      <c r="AU13" s="380">
        <v>46056</v>
      </c>
      <c r="AV13" s="82" t="s">
        <v>30</v>
      </c>
      <c r="AW13" s="82" t="s">
        <v>30</v>
      </c>
      <c r="AX13" s="82" t="s">
        <v>30</v>
      </c>
      <c r="AY13" s="100" t="s">
        <v>30</v>
      </c>
      <c r="AZ13" s="100" t="s">
        <v>30</v>
      </c>
      <c r="BA13" s="100" t="s">
        <v>30</v>
      </c>
      <c r="BB13" s="100" t="s">
        <v>30</v>
      </c>
      <c r="BC13" s="100" t="s">
        <v>30</v>
      </c>
      <c r="BD13" s="100" t="s">
        <v>30</v>
      </c>
      <c r="BE13" s="100" t="s">
        <v>30</v>
      </c>
      <c r="BF13" s="100" t="s">
        <v>30</v>
      </c>
      <c r="BG13" s="100" t="s">
        <v>30</v>
      </c>
      <c r="BH13" s="95" t="s">
        <v>32</v>
      </c>
      <c r="BI13" s="95" t="s">
        <v>32</v>
      </c>
      <c r="BJ13" s="95" t="s">
        <v>32</v>
      </c>
      <c r="BK13" s="95"/>
      <c r="BL13" s="360" t="s">
        <v>3094</v>
      </c>
      <c r="BN13"/>
      <c r="BO13"/>
      <c r="BP13"/>
      <c r="BQ13"/>
      <c r="BR13"/>
      <c r="BS13"/>
      <c r="BT13"/>
      <c r="BU13"/>
      <c r="BV13"/>
      <c r="BZ13">
        <f t="shared" si="1"/>
        <v>1</v>
      </c>
    </row>
    <row r="14" spans="1:78" ht="15.75" hidden="1" customHeight="1">
      <c r="A14" s="35" t="str">
        <f t="shared" si="0"/>
        <v>M030/2646027</v>
      </c>
      <c r="C14" s="358" t="s">
        <v>24</v>
      </c>
      <c r="D14" s="358">
        <v>11</v>
      </c>
      <c r="E14" s="359" t="s">
        <v>3095</v>
      </c>
      <c r="F14" s="359" t="s">
        <v>374</v>
      </c>
      <c r="G14" s="400">
        <v>46027</v>
      </c>
      <c r="H14" s="359" t="s">
        <v>1505</v>
      </c>
      <c r="I14" s="359">
        <v>12</v>
      </c>
      <c r="J14" s="359" t="str">
        <f>IFERROR(VLOOKUP($A14,#REF!,3,0),"")</f>
        <v/>
      </c>
      <c r="K14" s="359" t="str">
        <f>IFERROR(VLOOKUP($A14,#REF!,4,0),AF14)</f>
        <v>INT</v>
      </c>
      <c r="L14" s="359" t="str">
        <f>IFERROR(VLOOKUP($A14,#REF!,5,0),"")</f>
        <v/>
      </c>
      <c r="M14" s="359" t="str">
        <f>IFERROR(VLOOKUP($A14,#REF!,7,0),"")</f>
        <v/>
      </c>
      <c r="N14" s="359"/>
      <c r="O14" s="359" t="str">
        <f>IFERROR(VLOOKUP($A14,#REF!,6,0),"")</f>
        <v/>
      </c>
      <c r="P14" s="359" t="str">
        <f>IFERROR(VLOOKUP($A14,#REF!,9,0),"")</f>
        <v/>
      </c>
      <c r="Q14" s="359" t="str">
        <f>IFERROR(VLOOKUP($A14,#REF!,10,0),"")</f>
        <v/>
      </c>
      <c r="R14" s="359" t="str">
        <f>IFERROR(VLOOKUP($A14,#REF!,11,0),"")</f>
        <v/>
      </c>
      <c r="S14" s="359" t="str">
        <f>IFERROR(VLOOKUP($A14,#REF!,13,0),"")</f>
        <v/>
      </c>
      <c r="T14" s="359" t="str">
        <f>IFERROR(VLOOKUP($A14,#REF!,14,0),"")</f>
        <v/>
      </c>
      <c r="U14" s="359" t="str">
        <f>IFERROR(VLOOKUP($A14,#REF!,15,0),"")</f>
        <v/>
      </c>
      <c r="V14" s="359" t="str">
        <f>IFERROR(VLOOKUP($A14,#REF!,16,0),"")</f>
        <v/>
      </c>
      <c r="W14" s="359" t="str">
        <f>IFERROR(VLOOKUP($A14,#REF!,17,0),"")</f>
        <v/>
      </c>
      <c r="X14" s="359" t="str">
        <f>IFERROR(VLOOKUP($A14,#REF!,18,0),"")</f>
        <v/>
      </c>
      <c r="Y14" s="359" t="str">
        <f>IFERROR(VLOOKUP($A14,#REF!,19,0),"")</f>
        <v/>
      </c>
      <c r="Z14" s="400" t="str">
        <f>IFERROR(VLOOKUP($A14,#REF!,21,0),"")</f>
        <v/>
      </c>
      <c r="AA14" s="359"/>
      <c r="AB14" s="359"/>
      <c r="AC14" s="359" t="s">
        <v>1721</v>
      </c>
      <c r="AD14" s="359" t="s">
        <v>1638</v>
      </c>
      <c r="AE14" s="358"/>
      <c r="AF14" s="141" t="s">
        <v>3077</v>
      </c>
      <c r="AG14" s="358" t="s">
        <v>2098</v>
      </c>
      <c r="AH14" s="359" t="s">
        <v>3092</v>
      </c>
      <c r="AI14" s="359" t="s">
        <v>3092</v>
      </c>
      <c r="AJ14" s="359" t="s">
        <v>2050</v>
      </c>
      <c r="AK14" s="359"/>
      <c r="AL14" s="359"/>
      <c r="AM14" s="359"/>
      <c r="AN14" s="359" t="s">
        <v>32</v>
      </c>
      <c r="AO14" s="327" t="s">
        <v>1091</v>
      </c>
      <c r="AP14" s="380">
        <v>46057</v>
      </c>
      <c r="AQ14" s="384" t="s">
        <v>1638</v>
      </c>
      <c r="AR14" s="358" t="s">
        <v>32</v>
      </c>
      <c r="AS14" s="358">
        <v>10</v>
      </c>
      <c r="AT14" s="384" t="s">
        <v>1638</v>
      </c>
      <c r="AU14" s="380">
        <v>46057</v>
      </c>
      <c r="AV14" s="82" t="s">
        <v>30</v>
      </c>
      <c r="AW14" s="100" t="s">
        <v>30</v>
      </c>
      <c r="AX14" s="100" t="s">
        <v>30</v>
      </c>
      <c r="AY14" s="100" t="s">
        <v>30</v>
      </c>
      <c r="AZ14" s="100" t="s">
        <v>30</v>
      </c>
      <c r="BA14" s="100" t="s">
        <v>30</v>
      </c>
      <c r="BB14" s="100" t="s">
        <v>30</v>
      </c>
      <c r="BC14" s="100" t="s">
        <v>30</v>
      </c>
      <c r="BD14" s="100" t="s">
        <v>30</v>
      </c>
      <c r="BE14" s="100" t="s">
        <v>30</v>
      </c>
      <c r="BF14" s="100" t="s">
        <v>30</v>
      </c>
      <c r="BG14" s="100" t="s">
        <v>30</v>
      </c>
      <c r="BH14" s="100" t="s">
        <v>30</v>
      </c>
      <c r="BI14" s="100" t="s">
        <v>30</v>
      </c>
      <c r="BJ14" s="100" t="s">
        <v>30</v>
      </c>
      <c r="BK14" s="95"/>
      <c r="BL14" s="360"/>
      <c r="BN14"/>
      <c r="BO14"/>
      <c r="BP14"/>
      <c r="BQ14"/>
      <c r="BR14"/>
      <c r="BS14"/>
      <c r="BT14"/>
      <c r="BU14"/>
      <c r="BV14"/>
      <c r="BZ14">
        <f t="shared" si="1"/>
        <v>1</v>
      </c>
    </row>
    <row r="15" spans="1:78" ht="15.75" hidden="1" customHeight="1">
      <c r="A15" s="35" t="str">
        <f t="shared" si="0"/>
        <v>M044/2646027</v>
      </c>
      <c r="C15" s="358" t="s">
        <v>24</v>
      </c>
      <c r="D15" s="358">
        <v>12</v>
      </c>
      <c r="E15" s="359" t="s">
        <v>3096</v>
      </c>
      <c r="F15" s="359" t="s">
        <v>34</v>
      </c>
      <c r="G15" s="400">
        <v>46027</v>
      </c>
      <c r="H15" s="359" t="s">
        <v>1105</v>
      </c>
      <c r="I15" s="359">
        <v>8</v>
      </c>
      <c r="J15" s="359" t="str">
        <f>IFERROR(VLOOKUP($A15,#REF!,3,0),"")</f>
        <v/>
      </c>
      <c r="K15" s="359" t="str">
        <f>IFERROR(VLOOKUP($A15,#REF!,4,0),AF15)</f>
        <v>INT</v>
      </c>
      <c r="L15" s="359" t="str">
        <f>IFERROR(VLOOKUP($A15,#REF!,5,0),"")</f>
        <v/>
      </c>
      <c r="M15" s="359" t="str">
        <f>IFERROR(VLOOKUP($A15,#REF!,7,0),"")</f>
        <v/>
      </c>
      <c r="N15" s="359"/>
      <c r="O15" s="359" t="str">
        <f>IFERROR(VLOOKUP($A15,#REF!,6,0),"")</f>
        <v/>
      </c>
      <c r="P15" s="359" t="str">
        <f>IFERROR(VLOOKUP($A15,#REF!,9,0),"")</f>
        <v/>
      </c>
      <c r="Q15" s="359" t="str">
        <f>IFERROR(VLOOKUP($A15,#REF!,10,0),"")</f>
        <v/>
      </c>
      <c r="R15" s="359" t="str">
        <f>IFERROR(VLOOKUP($A15,#REF!,11,0),"")</f>
        <v/>
      </c>
      <c r="S15" s="359" t="str">
        <f>IFERROR(VLOOKUP($A15,#REF!,13,0),"")</f>
        <v/>
      </c>
      <c r="T15" s="359" t="str">
        <f>IFERROR(VLOOKUP($A15,#REF!,14,0),"")</f>
        <v/>
      </c>
      <c r="U15" s="359" t="str">
        <f>IFERROR(VLOOKUP($A15,#REF!,15,0),"")</f>
        <v/>
      </c>
      <c r="V15" s="359" t="str">
        <f>IFERROR(VLOOKUP($A15,#REF!,16,0),"")</f>
        <v/>
      </c>
      <c r="W15" s="359" t="str">
        <f>IFERROR(VLOOKUP($A15,#REF!,17,0),"")</f>
        <v/>
      </c>
      <c r="X15" s="359" t="str">
        <f>IFERROR(VLOOKUP($A15,#REF!,18,0),"")</f>
        <v/>
      </c>
      <c r="Y15" s="359" t="str">
        <f>IFERROR(VLOOKUP($A15,#REF!,19,0),"")</f>
        <v/>
      </c>
      <c r="Z15" s="400" t="str">
        <f>IFERROR(VLOOKUP($A15,#REF!,21,0),"")</f>
        <v/>
      </c>
      <c r="AA15" s="359"/>
      <c r="AB15" s="359"/>
      <c r="AC15" s="359" t="s">
        <v>127</v>
      </c>
      <c r="AD15" s="359" t="s">
        <v>178</v>
      </c>
      <c r="AE15" s="358"/>
      <c r="AF15" s="141" t="s">
        <v>3077</v>
      </c>
      <c r="AG15" s="358" t="s">
        <v>2123</v>
      </c>
      <c r="AH15" s="359" t="s">
        <v>3092</v>
      </c>
      <c r="AI15" s="359" t="s">
        <v>3092</v>
      </c>
      <c r="AJ15" s="359" t="s">
        <v>3097</v>
      </c>
      <c r="AK15" s="359"/>
      <c r="AL15" s="359"/>
      <c r="AM15" s="359"/>
      <c r="AN15" s="359" t="s">
        <v>32</v>
      </c>
      <c r="AO15" s="327" t="s">
        <v>30</v>
      </c>
      <c r="AP15" s="380">
        <v>46058</v>
      </c>
      <c r="AQ15" s="384" t="s">
        <v>28</v>
      </c>
      <c r="AR15" s="358" t="s">
        <v>1140</v>
      </c>
      <c r="AS15" s="358">
        <v>8</v>
      </c>
      <c r="AT15" s="384" t="s">
        <v>28</v>
      </c>
      <c r="AU15" s="380">
        <v>46058</v>
      </c>
      <c r="AV15" s="82" t="s">
        <v>30</v>
      </c>
      <c r="AW15" s="100" t="s">
        <v>30</v>
      </c>
      <c r="AX15" s="100" t="s">
        <v>30</v>
      </c>
      <c r="AY15" s="100" t="s">
        <v>30</v>
      </c>
      <c r="AZ15" s="100" t="s">
        <v>30</v>
      </c>
      <c r="BA15" s="100" t="s">
        <v>30</v>
      </c>
      <c r="BB15" s="100" t="s">
        <v>30</v>
      </c>
      <c r="BC15" s="100" t="s">
        <v>30</v>
      </c>
      <c r="BD15" s="100" t="s">
        <v>30</v>
      </c>
      <c r="BE15" s="100" t="s">
        <v>30</v>
      </c>
      <c r="BF15" s="100" t="s">
        <v>30</v>
      </c>
      <c r="BG15" s="100" t="s">
        <v>30</v>
      </c>
      <c r="BH15" s="100" t="s">
        <v>30</v>
      </c>
      <c r="BI15" s="100" t="s">
        <v>30</v>
      </c>
      <c r="BJ15" s="100" t="s">
        <v>30</v>
      </c>
      <c r="BK15" s="95"/>
      <c r="BL15" s="360"/>
      <c r="BN15"/>
      <c r="BO15"/>
      <c r="BP15"/>
      <c r="BQ15"/>
      <c r="BR15"/>
      <c r="BS15"/>
      <c r="BT15"/>
      <c r="BU15"/>
      <c r="BV15"/>
      <c r="BZ15">
        <f t="shared" si="1"/>
        <v>1</v>
      </c>
    </row>
    <row r="16" spans="1:78" ht="15.75" hidden="1" customHeight="1">
      <c r="A16" s="35" t="str">
        <f t="shared" si="0"/>
        <v>M041/2646027</v>
      </c>
      <c r="C16" s="358" t="s">
        <v>24</v>
      </c>
      <c r="D16" s="358">
        <v>13</v>
      </c>
      <c r="E16" s="359" t="s">
        <v>3098</v>
      </c>
      <c r="F16" s="359" t="s">
        <v>3099</v>
      </c>
      <c r="G16" s="400">
        <v>46027</v>
      </c>
      <c r="H16" s="359" t="s">
        <v>89</v>
      </c>
      <c r="I16" s="359">
        <v>12</v>
      </c>
      <c r="J16" s="359" t="str">
        <f>IFERROR(VLOOKUP($A16,#REF!,3,0),"")</f>
        <v/>
      </c>
      <c r="K16" s="359" t="str">
        <f>IFERROR(VLOOKUP($A16,#REF!,4,0),AF16)</f>
        <v>INT</v>
      </c>
      <c r="L16" s="359" t="str">
        <f>IFERROR(VLOOKUP($A16,#REF!,5,0),"")</f>
        <v/>
      </c>
      <c r="M16" s="359" t="str">
        <f>IFERROR(VLOOKUP($A16,#REF!,7,0),"")</f>
        <v/>
      </c>
      <c r="N16" s="359"/>
      <c r="O16" s="359" t="str">
        <f>IFERROR(VLOOKUP($A16,#REF!,6,0),"")</f>
        <v/>
      </c>
      <c r="P16" s="359" t="str">
        <f>IFERROR(VLOOKUP($A16,#REF!,9,0),"")</f>
        <v/>
      </c>
      <c r="Q16" s="359" t="str">
        <f>IFERROR(VLOOKUP($A16,#REF!,10,0),"")</f>
        <v/>
      </c>
      <c r="R16" s="359" t="str">
        <f>IFERROR(VLOOKUP($A16,#REF!,11,0),"")</f>
        <v/>
      </c>
      <c r="S16" s="359" t="str">
        <f>IFERROR(VLOOKUP($A16,#REF!,13,0),"")</f>
        <v/>
      </c>
      <c r="T16" s="359" t="str">
        <f>IFERROR(VLOOKUP($A16,#REF!,14,0),"")</f>
        <v/>
      </c>
      <c r="U16" s="359" t="str">
        <f>IFERROR(VLOOKUP($A16,#REF!,15,0),"")</f>
        <v/>
      </c>
      <c r="V16" s="359" t="str">
        <f>IFERROR(VLOOKUP($A16,#REF!,16,0),"")</f>
        <v/>
      </c>
      <c r="W16" s="359" t="str">
        <f>IFERROR(VLOOKUP($A16,#REF!,17,0),"")</f>
        <v/>
      </c>
      <c r="X16" s="359" t="str">
        <f>IFERROR(VLOOKUP($A16,#REF!,18,0),"")</f>
        <v/>
      </c>
      <c r="Y16" s="359" t="str">
        <f>IFERROR(VLOOKUP($A16,#REF!,19,0),"")</f>
        <v/>
      </c>
      <c r="Z16" s="400" t="str">
        <f>IFERROR(VLOOKUP($A16,#REF!,21,0),"")</f>
        <v/>
      </c>
      <c r="AA16" s="359"/>
      <c r="AB16" s="359"/>
      <c r="AC16" s="359" t="s">
        <v>127</v>
      </c>
      <c r="AD16" s="359" t="s">
        <v>178</v>
      </c>
      <c r="AE16" s="358"/>
      <c r="AF16" s="141" t="s">
        <v>3077</v>
      </c>
      <c r="AG16" s="358" t="s">
        <v>2264</v>
      </c>
      <c r="AH16" s="359" t="s">
        <v>3092</v>
      </c>
      <c r="AI16" s="359" t="s">
        <v>3092</v>
      </c>
      <c r="AJ16" s="359" t="s">
        <v>2050</v>
      </c>
      <c r="AK16" s="359"/>
      <c r="AL16" s="359"/>
      <c r="AM16" s="359"/>
      <c r="AN16" s="359" t="s">
        <v>32</v>
      </c>
      <c r="AO16" s="327" t="s">
        <v>30</v>
      </c>
      <c r="AP16" s="380">
        <v>46038</v>
      </c>
      <c r="AQ16" s="384" t="s">
        <v>127</v>
      </c>
      <c r="AR16" s="358" t="s">
        <v>1140</v>
      </c>
      <c r="AS16" s="358">
        <v>15</v>
      </c>
      <c r="AT16" s="384" t="s">
        <v>127</v>
      </c>
      <c r="AU16" s="380">
        <v>46038</v>
      </c>
      <c r="AV16" s="82" t="s">
        <v>30</v>
      </c>
      <c r="AW16" s="100" t="s">
        <v>30</v>
      </c>
      <c r="AX16" s="100" t="s">
        <v>30</v>
      </c>
      <c r="AY16" s="100" t="s">
        <v>30</v>
      </c>
      <c r="AZ16" s="100" t="s">
        <v>30</v>
      </c>
      <c r="BA16" s="100" t="s">
        <v>30</v>
      </c>
      <c r="BB16" s="100" t="s">
        <v>30</v>
      </c>
      <c r="BC16" s="100" t="s">
        <v>30</v>
      </c>
      <c r="BD16" s="100" t="s">
        <v>30</v>
      </c>
      <c r="BE16" s="100" t="s">
        <v>30</v>
      </c>
      <c r="BF16" s="100" t="s">
        <v>30</v>
      </c>
      <c r="BG16" s="100" t="s">
        <v>30</v>
      </c>
      <c r="BH16" s="100" t="s">
        <v>30</v>
      </c>
      <c r="BI16" s="100" t="s">
        <v>30</v>
      </c>
      <c r="BJ16" s="100" t="s">
        <v>30</v>
      </c>
      <c r="BK16" s="95"/>
      <c r="BL16" s="360"/>
      <c r="BN16"/>
      <c r="BO16"/>
      <c r="BP16"/>
      <c r="BQ16"/>
      <c r="BR16"/>
      <c r="BS16"/>
      <c r="BT16"/>
      <c r="BU16"/>
      <c r="BV16"/>
      <c r="BZ16">
        <f t="shared" si="1"/>
        <v>1</v>
      </c>
    </row>
    <row r="17" spans="1:78" ht="15.75" hidden="1" customHeight="1">
      <c r="A17" s="35" t="str">
        <f t="shared" si="0"/>
        <v>M040/2646029</v>
      </c>
      <c r="C17" s="358" t="s">
        <v>24</v>
      </c>
      <c r="D17" s="358">
        <v>14</v>
      </c>
      <c r="E17" s="359" t="s">
        <v>3100</v>
      </c>
      <c r="F17" s="359" t="s">
        <v>34</v>
      </c>
      <c r="G17" s="400">
        <v>46029</v>
      </c>
      <c r="H17" s="359" t="s">
        <v>89</v>
      </c>
      <c r="I17" s="141">
        <v>12</v>
      </c>
      <c r="J17" s="359" t="str">
        <f>IFERROR(VLOOKUP($A17,#REF!,3,0),"")</f>
        <v/>
      </c>
      <c r="K17" s="359" t="str">
        <f>IFERROR(VLOOKUP($A17,#REF!,4,0),AF17)</f>
        <v>INT</v>
      </c>
      <c r="L17" s="359" t="str">
        <f>IFERROR(VLOOKUP($A17,#REF!,5,0),"")</f>
        <v/>
      </c>
      <c r="M17" s="359" t="str">
        <f>IFERROR(VLOOKUP($A17,#REF!,7,0),"")</f>
        <v/>
      </c>
      <c r="N17" s="359"/>
      <c r="O17" s="359" t="str">
        <f>IFERROR(VLOOKUP($A17,#REF!,6,0),"")</f>
        <v/>
      </c>
      <c r="P17" s="359" t="str">
        <f>IFERROR(VLOOKUP($A17,#REF!,9,0),"")</f>
        <v/>
      </c>
      <c r="Q17" s="359" t="str">
        <f>IFERROR(VLOOKUP($A17,#REF!,10,0),"")</f>
        <v/>
      </c>
      <c r="R17" s="359" t="str">
        <f>IFERROR(VLOOKUP($A17,#REF!,11,0),"")</f>
        <v/>
      </c>
      <c r="S17" s="359" t="str">
        <f>IFERROR(VLOOKUP($A17,#REF!,13,0),"")</f>
        <v/>
      </c>
      <c r="T17" s="359" t="str">
        <f>IFERROR(VLOOKUP($A17,#REF!,14,0),"")</f>
        <v/>
      </c>
      <c r="U17" s="359" t="str">
        <f>IFERROR(VLOOKUP($A17,#REF!,15,0),"")</f>
        <v/>
      </c>
      <c r="V17" s="359" t="str">
        <f>IFERROR(VLOOKUP($A17,#REF!,16,0),"")</f>
        <v/>
      </c>
      <c r="W17" s="359" t="str">
        <f>IFERROR(VLOOKUP($A17,#REF!,17,0),"")</f>
        <v/>
      </c>
      <c r="X17" s="359" t="str">
        <f>IFERROR(VLOOKUP($A17,#REF!,18,0),"")</f>
        <v/>
      </c>
      <c r="Y17" s="359" t="str">
        <f>IFERROR(VLOOKUP($A17,#REF!,19,0),"")</f>
        <v/>
      </c>
      <c r="Z17" s="400" t="str">
        <f>IFERROR(VLOOKUP($A17,#REF!,21,0),"")</f>
        <v/>
      </c>
      <c r="AA17" s="141"/>
      <c r="AB17" s="141"/>
      <c r="AC17" s="359" t="s">
        <v>127</v>
      </c>
      <c r="AD17" s="359" t="s">
        <v>178</v>
      </c>
      <c r="AE17" s="358"/>
      <c r="AF17" s="141" t="s">
        <v>3077</v>
      </c>
      <c r="AG17" s="358" t="s">
        <v>2087</v>
      </c>
      <c r="AH17" s="359" t="s">
        <v>3101</v>
      </c>
      <c r="AI17" s="359" t="s">
        <v>3101</v>
      </c>
      <c r="AJ17" s="359" t="s">
        <v>2050</v>
      </c>
      <c r="AK17" s="359"/>
      <c r="AL17" s="359"/>
      <c r="AM17" s="359"/>
      <c r="AN17" s="359" t="s">
        <v>32</v>
      </c>
      <c r="AO17" s="380" t="s">
        <v>30</v>
      </c>
      <c r="AP17" s="380">
        <v>46059</v>
      </c>
      <c r="AQ17" s="384" t="s">
        <v>28</v>
      </c>
      <c r="AR17" s="358" t="s">
        <v>32</v>
      </c>
      <c r="AS17" s="358">
        <v>11</v>
      </c>
      <c r="AT17" s="384" t="s">
        <v>28</v>
      </c>
      <c r="AU17" s="380">
        <v>46059</v>
      </c>
      <c r="AV17" s="82" t="s">
        <v>30</v>
      </c>
      <c r="AW17" s="100" t="s">
        <v>30</v>
      </c>
      <c r="AX17" s="82" t="s">
        <v>30</v>
      </c>
      <c r="AY17" s="95" t="s">
        <v>32</v>
      </c>
      <c r="AZ17" s="95" t="s">
        <v>32</v>
      </c>
      <c r="BA17" s="95" t="s">
        <v>32</v>
      </c>
      <c r="BB17" s="100" t="s">
        <v>30</v>
      </c>
      <c r="BC17" s="100" t="s">
        <v>30</v>
      </c>
      <c r="BD17" s="100" t="s">
        <v>30</v>
      </c>
      <c r="BE17" s="100" t="s">
        <v>30</v>
      </c>
      <c r="BF17" s="100" t="s">
        <v>30</v>
      </c>
      <c r="BG17" s="100" t="s">
        <v>30</v>
      </c>
      <c r="BH17" s="100" t="s">
        <v>30</v>
      </c>
      <c r="BI17" s="100" t="s">
        <v>30</v>
      </c>
      <c r="BJ17" s="100" t="s">
        <v>30</v>
      </c>
      <c r="BK17" s="95"/>
      <c r="BL17" s="360"/>
      <c r="BN17" s="412"/>
      <c r="BO17" s="412"/>
      <c r="BP17" s="412"/>
      <c r="BQ17" s="412"/>
      <c r="BR17" s="412"/>
      <c r="BS17"/>
      <c r="BT17"/>
      <c r="BU17"/>
      <c r="BV17"/>
      <c r="BZ17">
        <f t="shared" si="1"/>
        <v>1</v>
      </c>
    </row>
    <row r="18" spans="1:78" ht="15" hidden="1" customHeight="1">
      <c r="A18" s="35" t="str">
        <f t="shared" si="0"/>
        <v>016/2646031</v>
      </c>
      <c r="C18" s="358" t="s">
        <v>24</v>
      </c>
      <c r="D18" s="358">
        <v>15</v>
      </c>
      <c r="E18" s="359" t="s">
        <v>3102</v>
      </c>
      <c r="F18" s="359" t="s">
        <v>102</v>
      </c>
      <c r="G18" s="400">
        <v>46031</v>
      </c>
      <c r="H18" s="359" t="s">
        <v>187</v>
      </c>
      <c r="I18" s="359">
        <v>15</v>
      </c>
      <c r="J18" s="359" t="str">
        <f>IFERROR(VLOOKUP($A18,#REF!,3,0),"")</f>
        <v/>
      </c>
      <c r="K18" s="359" t="str">
        <f>IFERROR(VLOOKUP($A18,#REF!,4,0),AF18)</f>
        <v>EXT</v>
      </c>
      <c r="L18" s="359" t="str">
        <f>IFERROR(VLOOKUP($A18,#REF!,5,0),"")</f>
        <v/>
      </c>
      <c r="M18" s="359" t="str">
        <f>IFERROR(VLOOKUP($A18,#REF!,7,0),"")</f>
        <v/>
      </c>
      <c r="N18" s="359"/>
      <c r="O18" s="359" t="str">
        <f>IFERROR(VLOOKUP($A18,#REF!,6,0),"")</f>
        <v/>
      </c>
      <c r="P18" s="359" t="str">
        <f>IFERROR(VLOOKUP($A18,#REF!,9,0),"")</f>
        <v/>
      </c>
      <c r="Q18" s="359" t="str">
        <f>IFERROR(VLOOKUP($A18,#REF!,10,0),"")</f>
        <v/>
      </c>
      <c r="R18" s="359" t="str">
        <f>IFERROR(VLOOKUP($A18,#REF!,11,0),"")</f>
        <v/>
      </c>
      <c r="S18" s="359" t="str">
        <f>IFERROR(VLOOKUP($A18,#REF!,13,0),"")</f>
        <v/>
      </c>
      <c r="T18" s="359" t="str">
        <f>IFERROR(VLOOKUP($A18,#REF!,14,0),"")</f>
        <v/>
      </c>
      <c r="U18" s="359" t="str">
        <f>IFERROR(VLOOKUP($A18,#REF!,15,0),"")</f>
        <v/>
      </c>
      <c r="V18" s="359" t="str">
        <f>IFERROR(VLOOKUP($A18,#REF!,16,0),"")</f>
        <v/>
      </c>
      <c r="W18" s="359" t="str">
        <f>IFERROR(VLOOKUP($A18,#REF!,17,0),"")</f>
        <v/>
      </c>
      <c r="X18" s="359" t="str">
        <f>IFERROR(VLOOKUP($A18,#REF!,18,0),"")</f>
        <v/>
      </c>
      <c r="Y18" s="359" t="str">
        <f>IFERROR(VLOOKUP($A18,#REF!,19,0),"")</f>
        <v/>
      </c>
      <c r="Z18" s="400" t="str">
        <f>IFERROR(VLOOKUP($A18,#REF!,21,0),"")</f>
        <v/>
      </c>
      <c r="AA18" s="359"/>
      <c r="AB18" s="359"/>
      <c r="AC18" s="359" t="s">
        <v>67</v>
      </c>
      <c r="AD18" s="359" t="s">
        <v>47</v>
      </c>
      <c r="AE18" s="358"/>
      <c r="AF18" s="141" t="s">
        <v>3082</v>
      </c>
      <c r="AG18" s="358" t="s">
        <v>3103</v>
      </c>
      <c r="AH18" s="359" t="s">
        <v>3092</v>
      </c>
      <c r="AI18" s="359" t="s">
        <v>3092</v>
      </c>
      <c r="AJ18" s="359" t="s">
        <v>2050</v>
      </c>
      <c r="AK18" s="359"/>
      <c r="AL18" s="359"/>
      <c r="AM18" s="359"/>
      <c r="AN18" s="130" t="s">
        <v>31</v>
      </c>
      <c r="AO18" s="327" t="s">
        <v>30</v>
      </c>
      <c r="AP18" s="380">
        <v>46065</v>
      </c>
      <c r="AQ18" s="384" t="s">
        <v>47</v>
      </c>
      <c r="AR18" s="358" t="s">
        <v>32</v>
      </c>
      <c r="AS18" s="358">
        <v>15</v>
      </c>
      <c r="AT18" s="384" t="s">
        <v>47</v>
      </c>
      <c r="AU18" s="380">
        <v>46065</v>
      </c>
      <c r="AV18" s="95" t="s">
        <v>32</v>
      </c>
      <c r="AW18" s="100" t="s">
        <v>30</v>
      </c>
      <c r="AX18" s="100" t="s">
        <v>30</v>
      </c>
      <c r="AY18" s="100" t="s">
        <v>30</v>
      </c>
      <c r="AZ18" s="100" t="s">
        <v>30</v>
      </c>
      <c r="BA18" s="100" t="s">
        <v>30</v>
      </c>
      <c r="BB18" s="100" t="s">
        <v>30</v>
      </c>
      <c r="BC18" s="100" t="s">
        <v>30</v>
      </c>
      <c r="BD18" s="100" t="s">
        <v>30</v>
      </c>
      <c r="BE18" s="100" t="s">
        <v>30</v>
      </c>
      <c r="BF18" s="100" t="s">
        <v>30</v>
      </c>
      <c r="BG18" s="100" t="s">
        <v>30</v>
      </c>
      <c r="BH18" s="100" t="s">
        <v>30</v>
      </c>
      <c r="BI18" s="100" t="s">
        <v>30</v>
      </c>
      <c r="BJ18" s="100" t="s">
        <v>30</v>
      </c>
      <c r="BK18" s="95"/>
      <c r="BL18" s="360"/>
      <c r="BN18" s="412"/>
      <c r="BO18" s="412"/>
      <c r="BP18" s="412"/>
      <c r="BQ18" s="412"/>
      <c r="BR18" s="412"/>
      <c r="BS18"/>
      <c r="BT18"/>
      <c r="BU18"/>
      <c r="BV18"/>
      <c r="BZ18">
        <f t="shared" si="1"/>
        <v>1</v>
      </c>
    </row>
    <row r="19" spans="1:78" ht="15.75" hidden="1" customHeight="1">
      <c r="A19" s="35" t="str">
        <f t="shared" si="0"/>
        <v>014/2646032</v>
      </c>
      <c r="C19" s="358" t="s">
        <v>24</v>
      </c>
      <c r="D19" s="358">
        <v>16</v>
      </c>
      <c r="E19" s="359" t="s">
        <v>3104</v>
      </c>
      <c r="F19" s="359" t="s">
        <v>34</v>
      </c>
      <c r="G19" s="400">
        <v>46032</v>
      </c>
      <c r="H19" s="359" t="s">
        <v>1943</v>
      </c>
      <c r="I19" s="359">
        <v>12</v>
      </c>
      <c r="J19" s="359" t="str">
        <f>IFERROR(VLOOKUP($A19,#REF!,3,0),"")</f>
        <v/>
      </c>
      <c r="K19" s="359" t="str">
        <f>IFERROR(VLOOKUP($A19,#REF!,4,0),AF19)</f>
        <v>INT</v>
      </c>
      <c r="L19" s="359" t="str">
        <f>IFERROR(VLOOKUP($A19,#REF!,5,0),"")</f>
        <v/>
      </c>
      <c r="M19" s="359" t="str">
        <f>IFERROR(VLOOKUP($A19,#REF!,7,0),"")</f>
        <v/>
      </c>
      <c r="N19" s="359"/>
      <c r="O19" s="359" t="str">
        <f>IFERROR(VLOOKUP($A19,#REF!,6,0),"")</f>
        <v/>
      </c>
      <c r="P19" s="359" t="str">
        <f>IFERROR(VLOOKUP($A19,#REF!,9,0),"")</f>
        <v/>
      </c>
      <c r="Q19" s="359" t="str">
        <f>IFERROR(VLOOKUP($A19,#REF!,10,0),"")</f>
        <v/>
      </c>
      <c r="R19" s="359" t="str">
        <f>IFERROR(VLOOKUP($A19,#REF!,11,0),"")</f>
        <v/>
      </c>
      <c r="S19" s="359" t="str">
        <f>IFERROR(VLOOKUP($A19,#REF!,13,0),"")</f>
        <v/>
      </c>
      <c r="T19" s="359" t="str">
        <f>IFERROR(VLOOKUP($A19,#REF!,14,0),"")</f>
        <v/>
      </c>
      <c r="U19" s="359" t="str">
        <f>IFERROR(VLOOKUP($A19,#REF!,15,0),"")</f>
        <v/>
      </c>
      <c r="V19" s="359" t="str">
        <f>IFERROR(VLOOKUP($A19,#REF!,16,0),"")</f>
        <v/>
      </c>
      <c r="W19" s="359" t="str">
        <f>IFERROR(VLOOKUP($A19,#REF!,17,0),"")</f>
        <v/>
      </c>
      <c r="X19" s="359" t="str">
        <f>IFERROR(VLOOKUP($A19,#REF!,18,0),"")</f>
        <v/>
      </c>
      <c r="Y19" s="359" t="str">
        <f>IFERROR(VLOOKUP($A19,#REF!,19,0),"")</f>
        <v/>
      </c>
      <c r="Z19" s="400" t="str">
        <f>IFERROR(VLOOKUP($A19,#REF!,21,0),"")</f>
        <v/>
      </c>
      <c r="AA19" s="359"/>
      <c r="AB19" s="359"/>
      <c r="AC19" s="359" t="s">
        <v>127</v>
      </c>
      <c r="AD19" s="359" t="s">
        <v>178</v>
      </c>
      <c r="AE19" s="102"/>
      <c r="AF19" s="141" t="s">
        <v>3077</v>
      </c>
      <c r="AG19" s="358" t="s">
        <v>2130</v>
      </c>
      <c r="AH19" s="359" t="s">
        <v>3092</v>
      </c>
      <c r="AI19" s="359" t="s">
        <v>3092</v>
      </c>
      <c r="AJ19" s="80" t="s">
        <v>2050</v>
      </c>
      <c r="AK19" s="80"/>
      <c r="AL19" s="80"/>
      <c r="AM19" s="80"/>
      <c r="AN19" s="359" t="s">
        <v>32</v>
      </c>
      <c r="AO19" s="380" t="s">
        <v>30</v>
      </c>
      <c r="AP19" s="380">
        <v>46062</v>
      </c>
      <c r="AQ19" s="384" t="s">
        <v>28</v>
      </c>
      <c r="AR19" s="358" t="s">
        <v>30</v>
      </c>
      <c r="AS19" s="358">
        <v>12</v>
      </c>
      <c r="AT19" s="384" t="s">
        <v>28</v>
      </c>
      <c r="AU19" s="380">
        <v>46062</v>
      </c>
      <c r="AV19" s="82" t="s">
        <v>30</v>
      </c>
      <c r="AW19" s="82" t="s">
        <v>30</v>
      </c>
      <c r="AX19" s="82" t="s">
        <v>30</v>
      </c>
      <c r="AY19" s="95" t="s">
        <v>32</v>
      </c>
      <c r="AZ19" s="95" t="s">
        <v>32</v>
      </c>
      <c r="BA19" s="100" t="s">
        <v>30</v>
      </c>
      <c r="BB19" s="100" t="s">
        <v>30</v>
      </c>
      <c r="BC19" s="100" t="s">
        <v>30</v>
      </c>
      <c r="BD19" s="100" t="s">
        <v>30</v>
      </c>
      <c r="BE19" s="100" t="s">
        <v>30</v>
      </c>
      <c r="BF19" s="100" t="s">
        <v>30</v>
      </c>
      <c r="BG19" s="100" t="s">
        <v>30</v>
      </c>
      <c r="BH19" s="95" t="s">
        <v>32</v>
      </c>
      <c r="BI19" s="95" t="s">
        <v>32</v>
      </c>
      <c r="BJ19" s="100" t="s">
        <v>30</v>
      </c>
      <c r="BK19" s="95"/>
      <c r="BL19" s="360" t="s">
        <v>3089</v>
      </c>
      <c r="BN19"/>
      <c r="BO19"/>
      <c r="BP19"/>
      <c r="BQ19"/>
      <c r="BR19"/>
      <c r="BS19"/>
      <c r="BT19"/>
      <c r="BU19"/>
      <c r="BV19"/>
      <c r="BZ19">
        <f t="shared" si="1"/>
        <v>1</v>
      </c>
    </row>
    <row r="20" spans="1:78" ht="15.75" hidden="1" customHeight="1">
      <c r="A20" s="35" t="str">
        <f t="shared" si="0"/>
        <v>M005/2646032</v>
      </c>
      <c r="C20" s="358" t="s">
        <v>24</v>
      </c>
      <c r="D20" s="358">
        <v>17</v>
      </c>
      <c r="E20" s="359" t="s">
        <v>3105</v>
      </c>
      <c r="F20" s="359" t="s">
        <v>477</v>
      </c>
      <c r="G20" s="400">
        <v>46032</v>
      </c>
      <c r="H20" s="359" t="s">
        <v>93</v>
      </c>
      <c r="I20" s="359">
        <v>15</v>
      </c>
      <c r="J20" s="359" t="str">
        <f>IFERROR(VLOOKUP($A20,#REF!,3,0),"")</f>
        <v/>
      </c>
      <c r="K20" s="359" t="str">
        <f>IFERROR(VLOOKUP($A20,#REF!,4,0),AF20)</f>
        <v>INT</v>
      </c>
      <c r="L20" s="359" t="str">
        <f>IFERROR(VLOOKUP($A20,#REF!,5,0),"")</f>
        <v/>
      </c>
      <c r="M20" s="359" t="str">
        <f>IFERROR(VLOOKUP($A20,#REF!,7,0),"")</f>
        <v/>
      </c>
      <c r="N20" s="359"/>
      <c r="O20" s="359" t="str">
        <f>IFERROR(VLOOKUP($A20,#REF!,6,0),"")</f>
        <v/>
      </c>
      <c r="P20" s="359" t="str">
        <f>IFERROR(VLOOKUP($A20,#REF!,9,0),"")</f>
        <v/>
      </c>
      <c r="Q20" s="359" t="str">
        <f>IFERROR(VLOOKUP($A20,#REF!,10,0),"")</f>
        <v/>
      </c>
      <c r="R20" s="359" t="str">
        <f>IFERROR(VLOOKUP($A20,#REF!,11,0),"")</f>
        <v/>
      </c>
      <c r="S20" s="359" t="str">
        <f>IFERROR(VLOOKUP($A20,#REF!,13,0),"")</f>
        <v/>
      </c>
      <c r="T20" s="359" t="str">
        <f>IFERROR(VLOOKUP($A20,#REF!,14,0),"")</f>
        <v/>
      </c>
      <c r="U20" s="359" t="str">
        <f>IFERROR(VLOOKUP($A20,#REF!,15,0),"")</f>
        <v/>
      </c>
      <c r="V20" s="359" t="str">
        <f>IFERROR(VLOOKUP($A20,#REF!,16,0),"")</f>
        <v/>
      </c>
      <c r="W20" s="359" t="str">
        <f>IFERROR(VLOOKUP($A20,#REF!,17,0),"")</f>
        <v/>
      </c>
      <c r="X20" s="359" t="str">
        <f>IFERROR(VLOOKUP($A20,#REF!,18,0),"")</f>
        <v/>
      </c>
      <c r="Y20" s="359" t="str">
        <f>IFERROR(VLOOKUP($A20,#REF!,19,0),"")</f>
        <v/>
      </c>
      <c r="Z20" s="400" t="str">
        <f>IFERROR(VLOOKUP($A20,#REF!,21,0),"")</f>
        <v/>
      </c>
      <c r="AA20" s="359"/>
      <c r="AB20" s="359"/>
      <c r="AC20" s="359" t="s">
        <v>127</v>
      </c>
      <c r="AD20" s="359" t="s">
        <v>178</v>
      </c>
      <c r="AE20" s="358"/>
      <c r="AF20" s="141" t="s">
        <v>3077</v>
      </c>
      <c r="AG20" s="358" t="s">
        <v>2705</v>
      </c>
      <c r="AH20" s="359" t="s">
        <v>3106</v>
      </c>
      <c r="AI20" s="359" t="s">
        <v>3106</v>
      </c>
      <c r="AJ20" s="359" t="s">
        <v>2050</v>
      </c>
      <c r="AK20" s="359"/>
      <c r="AL20" s="359"/>
      <c r="AM20" s="359"/>
      <c r="AN20" s="130" t="s">
        <v>31</v>
      </c>
      <c r="AO20" s="327" t="s">
        <v>30</v>
      </c>
      <c r="AP20" s="380">
        <v>46062</v>
      </c>
      <c r="AQ20" s="384" t="s">
        <v>28</v>
      </c>
      <c r="AR20" s="358" t="s">
        <v>32</v>
      </c>
      <c r="AS20" s="358">
        <v>13</v>
      </c>
      <c r="AT20" s="358" t="s">
        <v>28</v>
      </c>
      <c r="AU20" s="380">
        <v>46062</v>
      </c>
      <c r="AV20" s="94" t="s">
        <v>30</v>
      </c>
      <c r="AW20" s="100" t="s">
        <v>30</v>
      </c>
      <c r="AX20" s="100" t="s">
        <v>30</v>
      </c>
      <c r="AY20" s="95" t="s">
        <v>32</v>
      </c>
      <c r="AZ20" s="95" t="s">
        <v>32</v>
      </c>
      <c r="BA20" s="95" t="s">
        <v>32</v>
      </c>
      <c r="BB20" s="100" t="s">
        <v>30</v>
      </c>
      <c r="BC20" s="100" t="s">
        <v>30</v>
      </c>
      <c r="BD20" s="100" t="s">
        <v>30</v>
      </c>
      <c r="BE20" s="100" t="s">
        <v>30</v>
      </c>
      <c r="BF20" s="100" t="s">
        <v>30</v>
      </c>
      <c r="BG20" s="100" t="s">
        <v>30</v>
      </c>
      <c r="BH20" s="100" t="s">
        <v>30</v>
      </c>
      <c r="BI20" s="100" t="s">
        <v>30</v>
      </c>
      <c r="BJ20" s="100" t="s">
        <v>30</v>
      </c>
      <c r="BK20" s="95"/>
      <c r="BL20" s="360"/>
      <c r="BN20"/>
      <c r="BO20"/>
      <c r="BP20"/>
      <c r="BQ20"/>
      <c r="BR20"/>
      <c r="BS20"/>
      <c r="BT20"/>
      <c r="BU20"/>
      <c r="BV20"/>
      <c r="BZ20">
        <f t="shared" si="1"/>
        <v>1</v>
      </c>
    </row>
    <row r="21" spans="1:78" ht="15.75" hidden="1" customHeight="1">
      <c r="A21" s="35" t="str">
        <f t="shared" si="0"/>
        <v>M047/2646032</v>
      </c>
      <c r="C21" s="358" t="s">
        <v>24</v>
      </c>
      <c r="D21" s="358">
        <v>18</v>
      </c>
      <c r="E21" s="359" t="s">
        <v>3107</v>
      </c>
      <c r="F21" s="359" t="s">
        <v>34</v>
      </c>
      <c r="G21" s="400">
        <v>46032</v>
      </c>
      <c r="H21" s="359" t="s">
        <v>1757</v>
      </c>
      <c r="I21" s="359">
        <v>18</v>
      </c>
      <c r="J21" s="359" t="str">
        <f>IFERROR(VLOOKUP($A21,#REF!,3,0),"")</f>
        <v/>
      </c>
      <c r="K21" s="359" t="str">
        <f>IFERROR(VLOOKUP($A21,#REF!,4,0),AF21)</f>
        <v>INT</v>
      </c>
      <c r="L21" s="359" t="str">
        <f>IFERROR(VLOOKUP($A21,#REF!,5,0),"")</f>
        <v/>
      </c>
      <c r="M21" s="359" t="str">
        <f>IFERROR(VLOOKUP($A21,#REF!,7,0),"")</f>
        <v/>
      </c>
      <c r="N21" s="359"/>
      <c r="O21" s="359" t="str">
        <f>IFERROR(VLOOKUP($A21,#REF!,6,0),"")</f>
        <v/>
      </c>
      <c r="P21" s="359" t="str">
        <f>IFERROR(VLOOKUP($A21,#REF!,9,0),"")</f>
        <v/>
      </c>
      <c r="Q21" s="359" t="str">
        <f>IFERROR(VLOOKUP($A21,#REF!,10,0),"")</f>
        <v/>
      </c>
      <c r="R21" s="359" t="str">
        <f>IFERROR(VLOOKUP($A21,#REF!,11,0),"")</f>
        <v/>
      </c>
      <c r="S21" s="359" t="str">
        <f>IFERROR(VLOOKUP($A21,#REF!,13,0),"")</f>
        <v/>
      </c>
      <c r="T21" s="359" t="str">
        <f>IFERROR(VLOOKUP($A21,#REF!,14,0),"")</f>
        <v/>
      </c>
      <c r="U21" s="359" t="str">
        <f>IFERROR(VLOOKUP($A21,#REF!,15,0),"")</f>
        <v/>
      </c>
      <c r="V21" s="359" t="str">
        <f>IFERROR(VLOOKUP($A21,#REF!,16,0),"")</f>
        <v/>
      </c>
      <c r="W21" s="359" t="str">
        <f>IFERROR(VLOOKUP($A21,#REF!,17,0),"")</f>
        <v/>
      </c>
      <c r="X21" s="359" t="str">
        <f>IFERROR(VLOOKUP($A21,#REF!,18,0),"")</f>
        <v/>
      </c>
      <c r="Y21" s="359" t="str">
        <f>IFERROR(VLOOKUP($A21,#REF!,19,0),"")</f>
        <v/>
      </c>
      <c r="Z21" s="400" t="str">
        <f>IFERROR(VLOOKUP($A21,#REF!,21,0),"")</f>
        <v/>
      </c>
      <c r="AA21" s="359"/>
      <c r="AB21" s="359"/>
      <c r="AC21" s="359" t="s">
        <v>67</v>
      </c>
      <c r="AD21" s="359" t="s">
        <v>47</v>
      </c>
      <c r="AE21" s="358"/>
      <c r="AF21" s="141" t="s">
        <v>3077</v>
      </c>
      <c r="AG21" s="358" t="s">
        <v>2126</v>
      </c>
      <c r="AH21" s="359" t="s">
        <v>3106</v>
      </c>
      <c r="AI21" s="359" t="s">
        <v>3106</v>
      </c>
      <c r="AJ21" s="359" t="s">
        <v>2050</v>
      </c>
      <c r="AK21" s="359"/>
      <c r="AL21" s="359"/>
      <c r="AM21" s="359"/>
      <c r="AN21" s="130" t="s">
        <v>31</v>
      </c>
      <c r="AO21" s="380" t="s">
        <v>30</v>
      </c>
      <c r="AP21" s="380">
        <v>46060</v>
      </c>
      <c r="AQ21" s="384" t="s">
        <v>47</v>
      </c>
      <c r="AR21" s="358" t="s">
        <v>32</v>
      </c>
      <c r="AS21" s="358">
        <v>14</v>
      </c>
      <c r="AT21" s="384" t="s">
        <v>47</v>
      </c>
      <c r="AU21" s="380">
        <v>46060</v>
      </c>
      <c r="AV21" s="82" t="s">
        <v>30</v>
      </c>
      <c r="AW21" s="82" t="s">
        <v>30</v>
      </c>
      <c r="AX21" s="100" t="s">
        <v>30</v>
      </c>
      <c r="AY21" s="100" t="s">
        <v>30</v>
      </c>
      <c r="AZ21" s="100" t="s">
        <v>30</v>
      </c>
      <c r="BA21" s="100" t="s">
        <v>30</v>
      </c>
      <c r="BB21" s="100" t="s">
        <v>30</v>
      </c>
      <c r="BC21" s="100" t="s">
        <v>30</v>
      </c>
      <c r="BD21" s="100" t="s">
        <v>30</v>
      </c>
      <c r="BE21" s="100" t="s">
        <v>30</v>
      </c>
      <c r="BF21" s="100" t="s">
        <v>30</v>
      </c>
      <c r="BG21" s="100" t="s">
        <v>30</v>
      </c>
      <c r="BH21" s="100" t="s">
        <v>30</v>
      </c>
      <c r="BI21" s="100" t="s">
        <v>30</v>
      </c>
      <c r="BJ21" s="100" t="s">
        <v>30</v>
      </c>
      <c r="BK21" s="95"/>
      <c r="BL21" s="360"/>
      <c r="BN21"/>
      <c r="BO21"/>
      <c r="BP21"/>
      <c r="BQ21"/>
      <c r="BR21"/>
      <c r="BS21"/>
      <c r="BT21"/>
      <c r="BU21"/>
      <c r="BV21"/>
      <c r="BZ21">
        <f t="shared" si="1"/>
        <v>1</v>
      </c>
    </row>
    <row r="22" spans="1:78" ht="15.75" hidden="1" customHeight="1">
      <c r="A22" s="35" t="str">
        <f t="shared" si="0"/>
        <v>M038/2646032</v>
      </c>
      <c r="C22" s="358" t="s">
        <v>24</v>
      </c>
      <c r="D22" s="358">
        <v>19</v>
      </c>
      <c r="E22" s="359" t="s">
        <v>3108</v>
      </c>
      <c r="F22" s="359" t="s">
        <v>34</v>
      </c>
      <c r="G22" s="400">
        <v>46032</v>
      </c>
      <c r="H22" s="359" t="s">
        <v>77</v>
      </c>
      <c r="I22" s="359">
        <v>12</v>
      </c>
      <c r="J22" s="359" t="str">
        <f>IFERROR(VLOOKUP($A22,#REF!,3,0),"")</f>
        <v/>
      </c>
      <c r="K22" s="359" t="str">
        <f>IFERROR(VLOOKUP($A22,#REF!,4,0),AF22)</f>
        <v>INT</v>
      </c>
      <c r="L22" s="359" t="str">
        <f>IFERROR(VLOOKUP($A22,#REF!,5,0),"")</f>
        <v/>
      </c>
      <c r="M22" s="359" t="str">
        <f>IFERROR(VLOOKUP($A22,#REF!,7,0),"")</f>
        <v/>
      </c>
      <c r="N22" s="359"/>
      <c r="O22" s="359" t="str">
        <f>IFERROR(VLOOKUP($A22,#REF!,6,0),"")</f>
        <v/>
      </c>
      <c r="P22" s="359" t="str">
        <f>IFERROR(VLOOKUP($A22,#REF!,9,0),"")</f>
        <v/>
      </c>
      <c r="Q22" s="359" t="str">
        <f>IFERROR(VLOOKUP($A22,#REF!,10,0),"")</f>
        <v/>
      </c>
      <c r="R22" s="359" t="str">
        <f>IFERROR(VLOOKUP($A22,#REF!,11,0),"")</f>
        <v/>
      </c>
      <c r="S22" s="359" t="str">
        <f>IFERROR(VLOOKUP($A22,#REF!,13,0),"")</f>
        <v/>
      </c>
      <c r="T22" s="359" t="str">
        <f>IFERROR(VLOOKUP($A22,#REF!,14,0),"")</f>
        <v/>
      </c>
      <c r="U22" s="359" t="str">
        <f>IFERROR(VLOOKUP($A22,#REF!,15,0),"")</f>
        <v/>
      </c>
      <c r="V22" s="359" t="str">
        <f>IFERROR(VLOOKUP($A22,#REF!,16,0),"")</f>
        <v/>
      </c>
      <c r="W22" s="359" t="str">
        <f>IFERROR(VLOOKUP($A22,#REF!,17,0),"")</f>
        <v/>
      </c>
      <c r="X22" s="359" t="str">
        <f>IFERROR(VLOOKUP($A22,#REF!,18,0),"")</f>
        <v/>
      </c>
      <c r="Y22" s="359" t="str">
        <f>IFERROR(VLOOKUP($A22,#REF!,19,0),"")</f>
        <v/>
      </c>
      <c r="Z22" s="400" t="str">
        <f>IFERROR(VLOOKUP($A22,#REF!,21,0),"")</f>
        <v/>
      </c>
      <c r="AA22" s="359"/>
      <c r="AB22" s="359"/>
      <c r="AC22" s="359" t="s">
        <v>1721</v>
      </c>
      <c r="AD22" s="359" t="s">
        <v>1638</v>
      </c>
      <c r="AE22" s="358"/>
      <c r="AF22" s="141" t="s">
        <v>3077</v>
      </c>
      <c r="AG22" s="358" t="s">
        <v>2102</v>
      </c>
      <c r="AH22" s="358" t="s">
        <v>3106</v>
      </c>
      <c r="AI22" s="359" t="s">
        <v>3106</v>
      </c>
      <c r="AJ22" s="359" t="s">
        <v>2050</v>
      </c>
      <c r="AK22" s="359"/>
      <c r="AL22" s="359"/>
      <c r="AM22" s="359"/>
      <c r="AN22" s="359" t="s">
        <v>32</v>
      </c>
      <c r="AO22" s="327" t="s">
        <v>30</v>
      </c>
      <c r="AP22" s="380">
        <v>46116</v>
      </c>
      <c r="AQ22" s="384" t="s">
        <v>1638</v>
      </c>
      <c r="AR22" s="358" t="s">
        <v>32</v>
      </c>
      <c r="AS22" s="358">
        <v>4</v>
      </c>
      <c r="AT22" s="384" t="s">
        <v>1638</v>
      </c>
      <c r="AU22" s="380">
        <v>46116</v>
      </c>
      <c r="AV22" s="82" t="s">
        <v>30</v>
      </c>
      <c r="AW22" s="100" t="s">
        <v>30</v>
      </c>
      <c r="AX22" s="100" t="s">
        <v>30</v>
      </c>
      <c r="AY22" s="100" t="s">
        <v>30</v>
      </c>
      <c r="AZ22" s="100" t="s">
        <v>30</v>
      </c>
      <c r="BA22" s="100" t="s">
        <v>30</v>
      </c>
      <c r="BB22" s="100" t="s">
        <v>30</v>
      </c>
      <c r="BC22" s="100" t="s">
        <v>30</v>
      </c>
      <c r="BD22" s="100" t="s">
        <v>30</v>
      </c>
      <c r="BE22" s="100" t="s">
        <v>30</v>
      </c>
      <c r="BF22" s="100" t="s">
        <v>30</v>
      </c>
      <c r="BG22" s="100" t="s">
        <v>30</v>
      </c>
      <c r="BH22" s="100" t="s">
        <v>30</v>
      </c>
      <c r="BI22" s="100" t="s">
        <v>30</v>
      </c>
      <c r="BJ22" s="100" t="s">
        <v>30</v>
      </c>
      <c r="BK22" s="95"/>
      <c r="BL22" s="360"/>
      <c r="BN22"/>
      <c r="BO22"/>
      <c r="BP22"/>
      <c r="BQ22"/>
      <c r="BR22"/>
      <c r="BS22"/>
      <c r="BT22"/>
      <c r="BU22"/>
      <c r="BV22"/>
      <c r="BZ22">
        <f t="shared" si="1"/>
        <v>1</v>
      </c>
    </row>
    <row r="23" spans="1:78" ht="15.75" hidden="1" customHeight="1">
      <c r="A23" s="35" t="str">
        <f t="shared" si="0"/>
        <v>M008/2646032</v>
      </c>
      <c r="C23" s="358" t="s">
        <v>24</v>
      </c>
      <c r="D23" s="358">
        <v>20</v>
      </c>
      <c r="E23" s="359" t="s">
        <v>3109</v>
      </c>
      <c r="F23" s="359" t="s">
        <v>234</v>
      </c>
      <c r="G23" s="400">
        <v>46032</v>
      </c>
      <c r="H23" s="359" t="s">
        <v>77</v>
      </c>
      <c r="I23" s="359">
        <v>0</v>
      </c>
      <c r="J23" s="359" t="str">
        <f>IFERROR(VLOOKUP($A23,#REF!,3,0),"")</f>
        <v/>
      </c>
      <c r="K23" s="359" t="str">
        <f>IFERROR(VLOOKUP($A23,#REF!,4,0),AF23)</f>
        <v>INT</v>
      </c>
      <c r="L23" s="359" t="str">
        <f>IFERROR(VLOOKUP($A23,#REF!,5,0),"")</f>
        <v/>
      </c>
      <c r="M23" s="359" t="str">
        <f>IFERROR(VLOOKUP($A23,#REF!,7,0),"")</f>
        <v/>
      </c>
      <c r="N23" s="359"/>
      <c r="O23" s="359" t="str">
        <f>IFERROR(VLOOKUP($A23,#REF!,6,0),"")</f>
        <v/>
      </c>
      <c r="P23" s="359" t="str">
        <f>IFERROR(VLOOKUP($A23,#REF!,9,0),"")</f>
        <v/>
      </c>
      <c r="Q23" s="359" t="str">
        <f>IFERROR(VLOOKUP($A23,#REF!,10,0),"")</f>
        <v/>
      </c>
      <c r="R23" s="359" t="str">
        <f>IFERROR(VLOOKUP($A23,#REF!,11,0),"")</f>
        <v/>
      </c>
      <c r="S23" s="359" t="str">
        <f>IFERROR(VLOOKUP($A23,#REF!,13,0),"")</f>
        <v/>
      </c>
      <c r="T23" s="359" t="str">
        <f>IFERROR(VLOOKUP($A23,#REF!,14,0),"")</f>
        <v/>
      </c>
      <c r="U23" s="359" t="str">
        <f>IFERROR(VLOOKUP($A23,#REF!,15,0),"")</f>
        <v/>
      </c>
      <c r="V23" s="359" t="str">
        <f>IFERROR(VLOOKUP($A23,#REF!,16,0),"")</f>
        <v/>
      </c>
      <c r="W23" s="359" t="str">
        <f>IFERROR(VLOOKUP($A23,#REF!,17,0),"")</f>
        <v/>
      </c>
      <c r="X23" s="359" t="str">
        <f>IFERROR(VLOOKUP($A23,#REF!,18,0),"")</f>
        <v/>
      </c>
      <c r="Y23" s="359" t="str">
        <f>IFERROR(VLOOKUP($A23,#REF!,19,0),"")</f>
        <v/>
      </c>
      <c r="Z23" s="400" t="str">
        <f>IFERROR(VLOOKUP($A23,#REF!,21,0),"")</f>
        <v/>
      </c>
      <c r="AA23" s="359"/>
      <c r="AB23" s="359"/>
      <c r="AC23" s="359" t="s">
        <v>1721</v>
      </c>
      <c r="AD23" s="359" t="s">
        <v>1638</v>
      </c>
      <c r="AE23" s="358"/>
      <c r="AF23" s="141" t="s">
        <v>3077</v>
      </c>
      <c r="AG23" s="358" t="s">
        <v>2102</v>
      </c>
      <c r="AH23" s="359" t="s">
        <v>401</v>
      </c>
      <c r="AI23" s="359" t="s">
        <v>401</v>
      </c>
      <c r="AJ23" s="359" t="s">
        <v>401</v>
      </c>
      <c r="AK23" s="359"/>
      <c r="AL23" s="359"/>
      <c r="AM23" s="359"/>
      <c r="AN23" s="359" t="s">
        <v>32</v>
      </c>
      <c r="AO23" s="327" t="s">
        <v>30</v>
      </c>
      <c r="AP23" s="380">
        <v>46057</v>
      </c>
      <c r="AQ23" s="384" t="s">
        <v>1638</v>
      </c>
      <c r="AR23" s="358" t="s">
        <v>32</v>
      </c>
      <c r="AS23" s="358">
        <v>7</v>
      </c>
      <c r="AT23" s="384" t="s">
        <v>1638</v>
      </c>
      <c r="AU23" s="380">
        <v>46057</v>
      </c>
      <c r="AV23" s="82" t="s">
        <v>30</v>
      </c>
      <c r="AW23" s="100" t="s">
        <v>30</v>
      </c>
      <c r="AX23" s="100" t="s">
        <v>30</v>
      </c>
      <c r="AY23" s="100" t="s">
        <v>30</v>
      </c>
      <c r="AZ23" s="100" t="s">
        <v>30</v>
      </c>
      <c r="BA23" s="100" t="s">
        <v>30</v>
      </c>
      <c r="BB23" s="100" t="s">
        <v>30</v>
      </c>
      <c r="BC23" s="100" t="s">
        <v>30</v>
      </c>
      <c r="BD23" s="100" t="s">
        <v>30</v>
      </c>
      <c r="BE23" s="100" t="s">
        <v>30</v>
      </c>
      <c r="BF23" s="100" t="s">
        <v>30</v>
      </c>
      <c r="BG23" s="100" t="s">
        <v>30</v>
      </c>
      <c r="BH23" s="100" t="s">
        <v>30</v>
      </c>
      <c r="BI23" s="100" t="s">
        <v>30</v>
      </c>
      <c r="BJ23" s="100" t="s">
        <v>30</v>
      </c>
      <c r="BK23" s="95"/>
      <c r="BL23" s="360"/>
      <c r="BN23"/>
      <c r="BO23"/>
      <c r="BP23"/>
      <c r="BQ23"/>
      <c r="BR23"/>
      <c r="BS23"/>
      <c r="BT23"/>
      <c r="BU23"/>
      <c r="BV23"/>
      <c r="BZ23">
        <f t="shared" si="1"/>
        <v>1</v>
      </c>
    </row>
    <row r="24" spans="1:78" ht="15.75" hidden="1" customHeight="1">
      <c r="A24" s="35" t="str">
        <f t="shared" si="0"/>
        <v>M016/2646032</v>
      </c>
      <c r="C24" s="358" t="s">
        <v>24</v>
      </c>
      <c r="D24" s="358">
        <v>21</v>
      </c>
      <c r="E24" s="359" t="s">
        <v>3110</v>
      </c>
      <c r="F24" s="359" t="s">
        <v>270</v>
      </c>
      <c r="G24" s="400">
        <v>46032</v>
      </c>
      <c r="H24" s="359" t="s">
        <v>91</v>
      </c>
      <c r="I24" s="359">
        <v>14</v>
      </c>
      <c r="J24" s="359" t="str">
        <f>IFERROR(VLOOKUP($A24,#REF!,3,0),"")</f>
        <v/>
      </c>
      <c r="K24" s="359" t="str">
        <f>IFERROR(VLOOKUP($A24,#REF!,4,0),AF24)</f>
        <v>INT</v>
      </c>
      <c r="L24" s="359" t="str">
        <f>IFERROR(VLOOKUP($A24,#REF!,5,0),"")</f>
        <v/>
      </c>
      <c r="M24" s="359" t="str">
        <f>IFERROR(VLOOKUP($A24,#REF!,7,0),"")</f>
        <v/>
      </c>
      <c r="N24" s="359"/>
      <c r="O24" s="359" t="str">
        <f>IFERROR(VLOOKUP($A24,#REF!,6,0),"")</f>
        <v/>
      </c>
      <c r="P24" s="359" t="str">
        <f>IFERROR(VLOOKUP($A24,#REF!,9,0),"")</f>
        <v/>
      </c>
      <c r="Q24" s="359" t="str">
        <f>IFERROR(VLOOKUP($A24,#REF!,10,0),"")</f>
        <v/>
      </c>
      <c r="R24" s="359" t="str">
        <f>IFERROR(VLOOKUP($A24,#REF!,11,0),"")</f>
        <v/>
      </c>
      <c r="S24" s="359" t="str">
        <f>IFERROR(VLOOKUP($A24,#REF!,13,0),"")</f>
        <v/>
      </c>
      <c r="T24" s="359" t="str">
        <f>IFERROR(VLOOKUP($A24,#REF!,14,0),"")</f>
        <v/>
      </c>
      <c r="U24" s="359" t="str">
        <f>IFERROR(VLOOKUP($A24,#REF!,15,0),"")</f>
        <v/>
      </c>
      <c r="V24" s="359" t="str">
        <f>IFERROR(VLOOKUP($A24,#REF!,16,0),"")</f>
        <v/>
      </c>
      <c r="W24" s="359" t="str">
        <f>IFERROR(VLOOKUP($A24,#REF!,17,0),"")</f>
        <v/>
      </c>
      <c r="X24" s="359" t="str">
        <f>IFERROR(VLOOKUP($A24,#REF!,18,0),"")</f>
        <v/>
      </c>
      <c r="Y24" s="359" t="str">
        <f>IFERROR(VLOOKUP($A24,#REF!,19,0),"")</f>
        <v/>
      </c>
      <c r="Z24" s="400" t="str">
        <f>IFERROR(VLOOKUP($A24,#REF!,21,0),"")</f>
        <v/>
      </c>
      <c r="AA24" s="359"/>
      <c r="AB24" s="359"/>
      <c r="AC24" s="359" t="s">
        <v>1721</v>
      </c>
      <c r="AD24" s="359" t="s">
        <v>1638</v>
      </c>
      <c r="AE24" s="358"/>
      <c r="AF24" s="141" t="s">
        <v>3077</v>
      </c>
      <c r="AG24" s="358" t="s">
        <v>2092</v>
      </c>
      <c r="AH24" s="358" t="s">
        <v>3106</v>
      </c>
      <c r="AI24" s="359" t="s">
        <v>3106</v>
      </c>
      <c r="AJ24" s="359" t="s">
        <v>2050</v>
      </c>
      <c r="AK24" s="359"/>
      <c r="AL24" s="359"/>
      <c r="AM24" s="359"/>
      <c r="AN24" s="359" t="s">
        <v>32</v>
      </c>
      <c r="AO24" s="327" t="s">
        <v>30</v>
      </c>
      <c r="AP24" s="380">
        <v>46058</v>
      </c>
      <c r="AQ24" s="384" t="s">
        <v>1638</v>
      </c>
      <c r="AR24" s="358" t="s">
        <v>32</v>
      </c>
      <c r="AS24" s="358">
        <v>14</v>
      </c>
      <c r="AT24" s="384" t="s">
        <v>1638</v>
      </c>
      <c r="AU24" s="380">
        <v>46058</v>
      </c>
      <c r="AV24" s="82" t="s">
        <v>30</v>
      </c>
      <c r="AW24" s="94" t="s">
        <v>30</v>
      </c>
      <c r="AX24" s="94" t="s">
        <v>30</v>
      </c>
      <c r="AY24" s="95" t="s">
        <v>32</v>
      </c>
      <c r="AZ24" s="95" t="s">
        <v>32</v>
      </c>
      <c r="BA24" s="95" t="s">
        <v>32</v>
      </c>
      <c r="BB24" s="100" t="s">
        <v>30</v>
      </c>
      <c r="BC24" s="100" t="s">
        <v>30</v>
      </c>
      <c r="BD24" s="100" t="s">
        <v>30</v>
      </c>
      <c r="BE24" s="100" t="s">
        <v>30</v>
      </c>
      <c r="BF24" s="100" t="s">
        <v>30</v>
      </c>
      <c r="BG24" s="100" t="s">
        <v>30</v>
      </c>
      <c r="BH24" s="94" t="s">
        <v>30</v>
      </c>
      <c r="BI24" s="94" t="s">
        <v>30</v>
      </c>
      <c r="BJ24" s="94" t="s">
        <v>30</v>
      </c>
      <c r="BK24" s="95"/>
      <c r="BL24" s="360"/>
      <c r="BN24"/>
      <c r="BO24"/>
      <c r="BP24"/>
      <c r="BQ24"/>
      <c r="BR24"/>
      <c r="BS24"/>
      <c r="BT24"/>
      <c r="BU24"/>
      <c r="BV24"/>
      <c r="BZ24">
        <f t="shared" si="1"/>
        <v>1</v>
      </c>
    </row>
    <row r="25" spans="1:78" ht="15.75" hidden="1" customHeight="1">
      <c r="A25" s="35" t="str">
        <f t="shared" si="0"/>
        <v>M029/2646032</v>
      </c>
      <c r="C25" s="358" t="s">
        <v>24</v>
      </c>
      <c r="D25" s="358">
        <v>22</v>
      </c>
      <c r="E25" s="359" t="s">
        <v>3111</v>
      </c>
      <c r="F25" s="359" t="s">
        <v>34</v>
      </c>
      <c r="G25" s="400">
        <v>46032</v>
      </c>
      <c r="H25" s="359" t="s">
        <v>65</v>
      </c>
      <c r="I25" s="359">
        <v>3</v>
      </c>
      <c r="J25" s="359" t="str">
        <f>IFERROR(VLOOKUP($A25,#REF!,3,0),"")</f>
        <v/>
      </c>
      <c r="K25" s="359" t="str">
        <f>IFERROR(VLOOKUP($A25,#REF!,4,0),AF25)</f>
        <v>INT</v>
      </c>
      <c r="L25" s="359" t="str">
        <f>IFERROR(VLOOKUP($A25,#REF!,5,0),"")</f>
        <v/>
      </c>
      <c r="M25" s="359" t="str">
        <f>IFERROR(VLOOKUP($A25,#REF!,7,0),"")</f>
        <v/>
      </c>
      <c r="N25" s="359"/>
      <c r="O25" s="359" t="str">
        <f>IFERROR(VLOOKUP($A25,#REF!,6,0),"")</f>
        <v/>
      </c>
      <c r="P25" s="359" t="str">
        <f>IFERROR(VLOOKUP($A25,#REF!,9,0),"")</f>
        <v/>
      </c>
      <c r="Q25" s="359" t="str">
        <f>IFERROR(VLOOKUP($A25,#REF!,10,0),"")</f>
        <v/>
      </c>
      <c r="R25" s="359" t="str">
        <f>IFERROR(VLOOKUP($A25,#REF!,11,0),"")</f>
        <v/>
      </c>
      <c r="S25" s="359" t="str">
        <f>IFERROR(VLOOKUP($A25,#REF!,13,0),"")</f>
        <v/>
      </c>
      <c r="T25" s="359" t="str">
        <f>IFERROR(VLOOKUP($A25,#REF!,14,0),"")</f>
        <v/>
      </c>
      <c r="U25" s="359" t="str">
        <f>IFERROR(VLOOKUP($A25,#REF!,15,0),"")</f>
        <v/>
      </c>
      <c r="V25" s="359" t="str">
        <f>IFERROR(VLOOKUP($A25,#REF!,16,0),"")</f>
        <v/>
      </c>
      <c r="W25" s="359" t="str">
        <f>IFERROR(VLOOKUP($A25,#REF!,17,0),"")</f>
        <v/>
      </c>
      <c r="X25" s="359" t="str">
        <f>IFERROR(VLOOKUP($A25,#REF!,18,0),"")</f>
        <v/>
      </c>
      <c r="Y25" s="359" t="str">
        <f>IFERROR(VLOOKUP($A25,#REF!,19,0),"")</f>
        <v/>
      </c>
      <c r="Z25" s="400" t="str">
        <f>IFERROR(VLOOKUP($A25,#REF!,21,0),"")</f>
        <v/>
      </c>
      <c r="AA25" s="359"/>
      <c r="AB25" s="359"/>
      <c r="AC25" s="359" t="s">
        <v>1721</v>
      </c>
      <c r="AD25" s="359" t="s">
        <v>1638</v>
      </c>
      <c r="AE25" s="358"/>
      <c r="AF25" s="141" t="s">
        <v>3077</v>
      </c>
      <c r="AG25" s="358" t="s">
        <v>2052</v>
      </c>
      <c r="AH25" s="359" t="s">
        <v>3112</v>
      </c>
      <c r="AI25" s="359" t="s">
        <v>3112</v>
      </c>
      <c r="AJ25" s="359" t="s">
        <v>2166</v>
      </c>
      <c r="AK25" s="359"/>
      <c r="AL25" s="359"/>
      <c r="AM25" s="359"/>
      <c r="AN25" s="359" t="s">
        <v>32</v>
      </c>
      <c r="AO25" s="327" t="s">
        <v>30</v>
      </c>
      <c r="AP25" s="380">
        <v>46058</v>
      </c>
      <c r="AQ25" s="384" t="s">
        <v>1638</v>
      </c>
      <c r="AR25" s="358" t="s">
        <v>32</v>
      </c>
      <c r="AS25" s="358">
        <v>3</v>
      </c>
      <c r="AT25" s="384" t="s">
        <v>1638</v>
      </c>
      <c r="AU25" s="380">
        <v>46058</v>
      </c>
      <c r="AV25" s="100" t="s">
        <v>30</v>
      </c>
      <c r="AW25" s="82" t="s">
        <v>30</v>
      </c>
      <c r="AX25" s="100" t="s">
        <v>30</v>
      </c>
      <c r="AY25" s="100" t="s">
        <v>30</v>
      </c>
      <c r="AZ25" s="100" t="s">
        <v>30</v>
      </c>
      <c r="BA25" s="100" t="s">
        <v>30</v>
      </c>
      <c r="BB25" s="100" t="s">
        <v>30</v>
      </c>
      <c r="BC25" s="100" t="s">
        <v>30</v>
      </c>
      <c r="BD25" s="100" t="s">
        <v>30</v>
      </c>
      <c r="BE25" s="100" t="s">
        <v>30</v>
      </c>
      <c r="BF25" s="100" t="s">
        <v>30</v>
      </c>
      <c r="BG25" s="100" t="s">
        <v>30</v>
      </c>
      <c r="BH25" s="100" t="s">
        <v>30</v>
      </c>
      <c r="BI25" s="100" t="s">
        <v>30</v>
      </c>
      <c r="BJ25" s="111" t="s">
        <v>30</v>
      </c>
      <c r="BK25" s="95"/>
      <c r="BL25" s="360"/>
      <c r="BN25"/>
      <c r="BO25"/>
      <c r="BP25"/>
      <c r="BQ25"/>
      <c r="BR25"/>
      <c r="BS25"/>
      <c r="BT25"/>
      <c r="BU25"/>
      <c r="BV25"/>
      <c r="BZ25">
        <f t="shared" si="1"/>
        <v>1</v>
      </c>
    </row>
    <row r="26" spans="1:78" ht="15.75" hidden="1" customHeight="1">
      <c r="A26" s="35" t="str">
        <f t="shared" si="0"/>
        <v>023/2646032</v>
      </c>
      <c r="C26" s="358" t="s">
        <v>24</v>
      </c>
      <c r="D26" s="358">
        <v>23</v>
      </c>
      <c r="E26" s="359" t="s">
        <v>3113</v>
      </c>
      <c r="F26" s="359" t="s">
        <v>34</v>
      </c>
      <c r="G26" s="400">
        <v>46032</v>
      </c>
      <c r="H26" s="359" t="s">
        <v>65</v>
      </c>
      <c r="I26" s="359">
        <v>8</v>
      </c>
      <c r="J26" s="359" t="str">
        <f>IFERROR(VLOOKUP($A26,#REF!,3,0),"")</f>
        <v/>
      </c>
      <c r="K26" s="359" t="str">
        <f>IFERROR(VLOOKUP($A26,#REF!,4,0),AF26)</f>
        <v>INT</v>
      </c>
      <c r="L26" s="359" t="str">
        <f>IFERROR(VLOOKUP($A26,#REF!,5,0),"")</f>
        <v/>
      </c>
      <c r="M26" s="359" t="str">
        <f>IFERROR(VLOOKUP($A26,#REF!,7,0),"")</f>
        <v/>
      </c>
      <c r="N26" s="359"/>
      <c r="O26" s="359" t="str">
        <f>IFERROR(VLOOKUP($A26,#REF!,6,0),"")</f>
        <v/>
      </c>
      <c r="P26" s="359" t="str">
        <f>IFERROR(VLOOKUP($A26,#REF!,9,0),"")</f>
        <v/>
      </c>
      <c r="Q26" s="359" t="str">
        <f>IFERROR(VLOOKUP($A26,#REF!,10,0),"")</f>
        <v/>
      </c>
      <c r="R26" s="359" t="str">
        <f>IFERROR(VLOOKUP($A26,#REF!,11,0),"")</f>
        <v/>
      </c>
      <c r="S26" s="359" t="str">
        <f>IFERROR(VLOOKUP($A26,#REF!,13,0),"")</f>
        <v/>
      </c>
      <c r="T26" s="359" t="str">
        <f>IFERROR(VLOOKUP($A26,#REF!,14,0),"")</f>
        <v/>
      </c>
      <c r="U26" s="359" t="str">
        <f>IFERROR(VLOOKUP($A26,#REF!,15,0),"")</f>
        <v/>
      </c>
      <c r="V26" s="359" t="str">
        <f>IFERROR(VLOOKUP($A26,#REF!,16,0),"")</f>
        <v/>
      </c>
      <c r="W26" s="359" t="str">
        <f>IFERROR(VLOOKUP($A26,#REF!,17,0),"")</f>
        <v/>
      </c>
      <c r="X26" s="359" t="str">
        <f>IFERROR(VLOOKUP($A26,#REF!,18,0),"")</f>
        <v/>
      </c>
      <c r="Y26" s="359" t="str">
        <f>IFERROR(VLOOKUP($A26,#REF!,19,0),"")</f>
        <v/>
      </c>
      <c r="Z26" s="400" t="str">
        <f>IFERROR(VLOOKUP($A26,#REF!,21,0),"")</f>
        <v/>
      </c>
      <c r="AA26" s="359"/>
      <c r="AB26" s="359"/>
      <c r="AC26" s="359" t="s">
        <v>1077</v>
      </c>
      <c r="AD26" s="359" t="s">
        <v>1138</v>
      </c>
      <c r="AE26" s="358"/>
      <c r="AF26" s="141" t="s">
        <v>3077</v>
      </c>
      <c r="AG26" s="358" t="s">
        <v>2052</v>
      </c>
      <c r="AH26" s="359" t="s">
        <v>401</v>
      </c>
      <c r="AI26" s="359" t="s">
        <v>401</v>
      </c>
      <c r="AJ26" s="359" t="s">
        <v>401</v>
      </c>
      <c r="AK26" s="359"/>
      <c r="AL26" s="359"/>
      <c r="AM26" s="359"/>
      <c r="AN26" s="359" t="s">
        <v>32</v>
      </c>
      <c r="AO26" s="380" t="s">
        <v>30</v>
      </c>
      <c r="AP26" s="380">
        <v>46042</v>
      </c>
      <c r="AQ26" s="384" t="s">
        <v>1138</v>
      </c>
      <c r="AR26" s="358" t="s">
        <v>32</v>
      </c>
      <c r="AS26" s="358">
        <v>8</v>
      </c>
      <c r="AT26" s="384" t="s">
        <v>1138</v>
      </c>
      <c r="AU26" s="380">
        <v>46042</v>
      </c>
      <c r="AV26" s="100" t="s">
        <v>30</v>
      </c>
      <c r="AW26" s="82" t="s">
        <v>30</v>
      </c>
      <c r="AX26" s="100" t="s">
        <v>30</v>
      </c>
      <c r="AY26" s="100" t="s">
        <v>30</v>
      </c>
      <c r="AZ26" s="100" t="s">
        <v>30</v>
      </c>
      <c r="BA26" s="100" t="s">
        <v>30</v>
      </c>
      <c r="BB26" s="100" t="s">
        <v>30</v>
      </c>
      <c r="BC26" s="100" t="s">
        <v>30</v>
      </c>
      <c r="BD26" s="100" t="s">
        <v>30</v>
      </c>
      <c r="BE26" s="100" t="s">
        <v>30</v>
      </c>
      <c r="BF26" s="100" t="s">
        <v>30</v>
      </c>
      <c r="BG26" s="100" t="s">
        <v>30</v>
      </c>
      <c r="BH26" s="100" t="s">
        <v>30</v>
      </c>
      <c r="BI26" s="100" t="s">
        <v>30</v>
      </c>
      <c r="BJ26" s="100" t="s">
        <v>30</v>
      </c>
      <c r="BK26" s="95"/>
      <c r="BL26" s="360"/>
      <c r="BN26"/>
      <c r="BO26"/>
      <c r="BP26"/>
      <c r="BQ26"/>
      <c r="BR26"/>
      <c r="BS26"/>
      <c r="BT26"/>
      <c r="BU26"/>
      <c r="BV26"/>
      <c r="BZ26">
        <f t="shared" si="1"/>
        <v>1</v>
      </c>
    </row>
    <row r="27" spans="1:78" ht="15.75" hidden="1" customHeight="1">
      <c r="A27" s="35" t="str">
        <f t="shared" si="0"/>
        <v>024/2646032</v>
      </c>
      <c r="C27" s="358" t="s">
        <v>24</v>
      </c>
      <c r="D27" s="358">
        <v>24</v>
      </c>
      <c r="E27" s="359" t="s">
        <v>3114</v>
      </c>
      <c r="F27" s="359" t="s">
        <v>34</v>
      </c>
      <c r="G27" s="400">
        <v>46032</v>
      </c>
      <c r="H27" s="359" t="s">
        <v>1124</v>
      </c>
      <c r="I27" s="359">
        <v>11</v>
      </c>
      <c r="J27" s="359" t="str">
        <f>IFERROR(VLOOKUP($A27,#REF!,3,0),"")</f>
        <v/>
      </c>
      <c r="K27" s="359" t="str">
        <f>IFERROR(VLOOKUP($A27,#REF!,4,0),AF27)</f>
        <v>INT</v>
      </c>
      <c r="L27" s="359" t="str">
        <f>IFERROR(VLOOKUP($A27,#REF!,5,0),"")</f>
        <v/>
      </c>
      <c r="M27" s="359" t="str">
        <f>IFERROR(VLOOKUP($A27,#REF!,7,0),"")</f>
        <v/>
      </c>
      <c r="N27" s="359"/>
      <c r="O27" s="359" t="str">
        <f>IFERROR(VLOOKUP($A27,#REF!,6,0),"")</f>
        <v/>
      </c>
      <c r="P27" s="359" t="str">
        <f>IFERROR(VLOOKUP($A27,#REF!,9,0),"")</f>
        <v/>
      </c>
      <c r="Q27" s="359" t="str">
        <f>IFERROR(VLOOKUP($A27,#REF!,10,0),"")</f>
        <v/>
      </c>
      <c r="R27" s="359" t="str">
        <f>IFERROR(VLOOKUP($A27,#REF!,11,0),"")</f>
        <v/>
      </c>
      <c r="S27" s="359" t="str">
        <f>IFERROR(VLOOKUP($A27,#REF!,13,0),"")</f>
        <v/>
      </c>
      <c r="T27" s="359" t="str">
        <f>IFERROR(VLOOKUP($A27,#REF!,14,0),"")</f>
        <v/>
      </c>
      <c r="U27" s="359" t="str">
        <f>IFERROR(VLOOKUP($A27,#REF!,15,0),"")</f>
        <v/>
      </c>
      <c r="V27" s="359" t="str">
        <f>IFERROR(VLOOKUP($A27,#REF!,16,0),"")</f>
        <v/>
      </c>
      <c r="W27" s="359" t="str">
        <f>IFERROR(VLOOKUP($A27,#REF!,17,0),"")</f>
        <v/>
      </c>
      <c r="X27" s="359" t="str">
        <f>IFERROR(VLOOKUP($A27,#REF!,18,0),"")</f>
        <v/>
      </c>
      <c r="Y27" s="359" t="str">
        <f>IFERROR(VLOOKUP($A27,#REF!,19,0),"")</f>
        <v/>
      </c>
      <c r="Z27" s="400" t="str">
        <f>IFERROR(VLOOKUP($A27,#REF!,21,0),"")</f>
        <v/>
      </c>
      <c r="AA27" s="359"/>
      <c r="AB27" s="359"/>
      <c r="AC27" s="359" t="s">
        <v>1077</v>
      </c>
      <c r="AD27" s="359" t="s">
        <v>1138</v>
      </c>
      <c r="AE27" s="102" t="s">
        <v>3115</v>
      </c>
      <c r="AF27" s="141" t="s">
        <v>3077</v>
      </c>
      <c r="AG27" s="358" t="s">
        <v>2115</v>
      </c>
      <c r="AH27" s="359" t="s">
        <v>3112</v>
      </c>
      <c r="AI27" s="359" t="s">
        <v>3112</v>
      </c>
      <c r="AJ27" s="359" t="s">
        <v>2050</v>
      </c>
      <c r="AK27" s="359"/>
      <c r="AL27" s="359"/>
      <c r="AM27" s="359"/>
      <c r="AN27" s="359" t="s">
        <v>32</v>
      </c>
      <c r="AO27" s="380"/>
      <c r="AP27" s="380"/>
      <c r="AQ27" s="384" t="s">
        <v>1138</v>
      </c>
      <c r="AR27" s="358" t="s">
        <v>30</v>
      </c>
      <c r="AS27" s="358">
        <v>10</v>
      </c>
      <c r="AT27" s="384" t="s">
        <v>1138</v>
      </c>
      <c r="AU27" s="380"/>
      <c r="AV27" s="95" t="s">
        <v>32</v>
      </c>
      <c r="AW27" s="100" t="s">
        <v>30</v>
      </c>
      <c r="AX27" s="95"/>
      <c r="AY27" s="95" t="s">
        <v>32</v>
      </c>
      <c r="AZ27" s="95" t="s">
        <v>32</v>
      </c>
      <c r="BA27" s="95" t="s">
        <v>32</v>
      </c>
      <c r="BB27" s="100" t="s">
        <v>30</v>
      </c>
      <c r="BC27" s="100" t="s">
        <v>30</v>
      </c>
      <c r="BD27" s="100" t="s">
        <v>30</v>
      </c>
      <c r="BE27" s="100" t="s">
        <v>30</v>
      </c>
      <c r="BF27" s="100" t="s">
        <v>30</v>
      </c>
      <c r="BG27" s="114"/>
      <c r="BH27" s="100" t="s">
        <v>30</v>
      </c>
      <c r="BI27" s="100" t="s">
        <v>30</v>
      </c>
      <c r="BJ27" s="100" t="s">
        <v>30</v>
      </c>
      <c r="BK27" s="95"/>
      <c r="BL27" s="360"/>
      <c r="BN27" s="412"/>
      <c r="BO27" s="412"/>
      <c r="BP27" s="412"/>
      <c r="BQ27" s="412"/>
      <c r="BR27" s="412"/>
      <c r="BS27"/>
      <c r="BT27"/>
      <c r="BU27"/>
      <c r="BV27"/>
      <c r="BZ27">
        <f t="shared" si="1"/>
        <v>1</v>
      </c>
    </row>
    <row r="28" spans="1:78" ht="15.75" hidden="1" customHeight="1">
      <c r="A28" s="35" t="str">
        <f t="shared" si="0"/>
        <v>M042/2646034</v>
      </c>
      <c r="C28" s="358" t="s">
        <v>24</v>
      </c>
      <c r="D28" s="358">
        <v>25</v>
      </c>
      <c r="E28" s="359" t="s">
        <v>3116</v>
      </c>
      <c r="F28" s="359" t="s">
        <v>64</v>
      </c>
      <c r="G28" s="400">
        <v>46034</v>
      </c>
      <c r="H28" s="359" t="s">
        <v>1626</v>
      </c>
      <c r="I28" s="359">
        <v>14</v>
      </c>
      <c r="J28" s="359" t="str">
        <f>IFERROR(VLOOKUP($A28,#REF!,3,0),"")</f>
        <v/>
      </c>
      <c r="K28" s="359" t="str">
        <f>IFERROR(VLOOKUP($A28,#REF!,4,0),AF28)</f>
        <v>INT</v>
      </c>
      <c r="L28" s="359" t="str">
        <f>IFERROR(VLOOKUP($A28,#REF!,5,0),"")</f>
        <v/>
      </c>
      <c r="M28" s="359" t="str">
        <f>IFERROR(VLOOKUP($A28,#REF!,7,0),"")</f>
        <v/>
      </c>
      <c r="N28" s="359"/>
      <c r="O28" s="359" t="str">
        <f>IFERROR(VLOOKUP($A28,#REF!,6,0),"")</f>
        <v/>
      </c>
      <c r="P28" s="359" t="str">
        <f>IFERROR(VLOOKUP($A28,#REF!,9,0),"")</f>
        <v/>
      </c>
      <c r="Q28" s="359" t="str">
        <f>IFERROR(VLOOKUP($A28,#REF!,10,0),"")</f>
        <v/>
      </c>
      <c r="R28" s="359" t="str">
        <f>IFERROR(VLOOKUP($A28,#REF!,11,0),"")</f>
        <v/>
      </c>
      <c r="S28" s="359" t="str">
        <f>IFERROR(VLOOKUP($A28,#REF!,13,0),"")</f>
        <v/>
      </c>
      <c r="T28" s="359" t="str">
        <f>IFERROR(VLOOKUP($A28,#REF!,14,0),"")</f>
        <v/>
      </c>
      <c r="U28" s="359" t="str">
        <f>IFERROR(VLOOKUP($A28,#REF!,15,0),"")</f>
        <v/>
      </c>
      <c r="V28" s="359" t="str">
        <f>IFERROR(VLOOKUP($A28,#REF!,16,0),"")</f>
        <v/>
      </c>
      <c r="W28" s="359" t="str">
        <f>IFERROR(VLOOKUP($A28,#REF!,17,0),"")</f>
        <v/>
      </c>
      <c r="X28" s="359" t="str">
        <f>IFERROR(VLOOKUP($A28,#REF!,18,0),"")</f>
        <v/>
      </c>
      <c r="Y28" s="359" t="str">
        <f>IFERROR(VLOOKUP($A28,#REF!,19,0),"")</f>
        <v/>
      </c>
      <c r="Z28" s="400" t="str">
        <f>IFERROR(VLOOKUP($A28,#REF!,21,0),"")</f>
        <v/>
      </c>
      <c r="AA28" s="359"/>
      <c r="AB28" s="359"/>
      <c r="AC28" s="359" t="s">
        <v>1077</v>
      </c>
      <c r="AD28" s="359" t="s">
        <v>1138</v>
      </c>
      <c r="AE28" s="102"/>
      <c r="AF28" s="141" t="s">
        <v>3077</v>
      </c>
      <c r="AG28" s="358" t="s">
        <v>2135</v>
      </c>
      <c r="AH28" s="359" t="s">
        <v>3106</v>
      </c>
      <c r="AI28" s="359" t="s">
        <v>3106</v>
      </c>
      <c r="AJ28" s="359" t="s">
        <v>2050</v>
      </c>
      <c r="AK28" s="359"/>
      <c r="AL28" s="359"/>
      <c r="AM28" s="359"/>
      <c r="AN28" s="359" t="s">
        <v>32</v>
      </c>
      <c r="AO28" s="327" t="s">
        <v>30</v>
      </c>
      <c r="AP28" s="380">
        <v>46080</v>
      </c>
      <c r="AQ28" s="384" t="s">
        <v>28</v>
      </c>
      <c r="AR28" s="358" t="s">
        <v>32</v>
      </c>
      <c r="AS28" s="358">
        <v>11</v>
      </c>
      <c r="AT28" s="384" t="s">
        <v>28</v>
      </c>
      <c r="AU28" s="380">
        <v>46080</v>
      </c>
      <c r="AV28" s="100" t="s">
        <v>30</v>
      </c>
      <c r="AW28" s="82" t="s">
        <v>30</v>
      </c>
      <c r="AX28" s="100" t="s">
        <v>30</v>
      </c>
      <c r="AY28" s="95" t="s">
        <v>32</v>
      </c>
      <c r="AZ28" s="95" t="s">
        <v>32</v>
      </c>
      <c r="BA28" s="95" t="s">
        <v>32</v>
      </c>
      <c r="BB28" s="100" t="s">
        <v>30</v>
      </c>
      <c r="BC28" s="100" t="s">
        <v>30</v>
      </c>
      <c r="BD28" s="100" t="s">
        <v>30</v>
      </c>
      <c r="BE28" s="100" t="s">
        <v>30</v>
      </c>
      <c r="BF28" s="100" t="s">
        <v>30</v>
      </c>
      <c r="BG28" s="100" t="s">
        <v>30</v>
      </c>
      <c r="BH28" s="95" t="s">
        <v>32</v>
      </c>
      <c r="BI28" s="95" t="s">
        <v>32</v>
      </c>
      <c r="BJ28" s="100" t="s">
        <v>30</v>
      </c>
      <c r="BK28" s="95"/>
      <c r="BL28" s="360" t="s">
        <v>3080</v>
      </c>
      <c r="BN28"/>
      <c r="BO28"/>
      <c r="BP28"/>
      <c r="BQ28"/>
      <c r="BR28"/>
      <c r="BS28" s="72"/>
      <c r="BZ28">
        <f t="shared" si="1"/>
        <v>1</v>
      </c>
    </row>
    <row r="29" spans="1:78" ht="15.75" hidden="1" customHeight="1">
      <c r="A29" s="35" t="str">
        <f t="shared" si="0"/>
        <v>022/2646034</v>
      </c>
      <c r="C29" s="358" t="s">
        <v>24</v>
      </c>
      <c r="D29" s="358">
        <v>26</v>
      </c>
      <c r="E29" s="359" t="s">
        <v>3117</v>
      </c>
      <c r="F29" s="359" t="s">
        <v>34</v>
      </c>
      <c r="G29" s="400">
        <v>46034</v>
      </c>
      <c r="H29" s="359" t="s">
        <v>206</v>
      </c>
      <c r="I29" s="359">
        <v>11</v>
      </c>
      <c r="J29" s="359" t="str">
        <f>IFERROR(VLOOKUP($A29,#REF!,3,0),"")</f>
        <v/>
      </c>
      <c r="K29" s="359" t="str">
        <f>IFERROR(VLOOKUP($A29,#REF!,4,0),AF29)</f>
        <v>INT</v>
      </c>
      <c r="L29" s="359" t="str">
        <f>IFERROR(VLOOKUP($A29,#REF!,5,0),"")</f>
        <v/>
      </c>
      <c r="M29" s="359" t="str">
        <f>IFERROR(VLOOKUP($A29,#REF!,7,0),"")</f>
        <v/>
      </c>
      <c r="N29" s="359"/>
      <c r="O29" s="359" t="str">
        <f>IFERROR(VLOOKUP($A29,#REF!,6,0),"")</f>
        <v/>
      </c>
      <c r="P29" s="359" t="str">
        <f>IFERROR(VLOOKUP($A29,#REF!,9,0),"")</f>
        <v/>
      </c>
      <c r="Q29" s="359" t="str">
        <f>IFERROR(VLOOKUP($A29,#REF!,10,0),"")</f>
        <v/>
      </c>
      <c r="R29" s="359" t="str">
        <f>IFERROR(VLOOKUP($A29,#REF!,11,0),"")</f>
        <v/>
      </c>
      <c r="S29" s="359" t="str">
        <f>IFERROR(VLOOKUP($A29,#REF!,13,0),"")</f>
        <v/>
      </c>
      <c r="T29" s="359" t="str">
        <f>IFERROR(VLOOKUP($A29,#REF!,14,0),"")</f>
        <v/>
      </c>
      <c r="U29" s="359" t="str">
        <f>IFERROR(VLOOKUP($A29,#REF!,15,0),"")</f>
        <v/>
      </c>
      <c r="V29" s="359" t="str">
        <f>IFERROR(VLOOKUP($A29,#REF!,16,0),"")</f>
        <v/>
      </c>
      <c r="W29" s="359" t="str">
        <f>IFERROR(VLOOKUP($A29,#REF!,17,0),"")</f>
        <v/>
      </c>
      <c r="X29" s="359" t="str">
        <f>IFERROR(VLOOKUP($A29,#REF!,18,0),"")</f>
        <v/>
      </c>
      <c r="Y29" s="359" t="str">
        <f>IFERROR(VLOOKUP($A29,#REF!,19,0),"")</f>
        <v/>
      </c>
      <c r="Z29" s="400" t="str">
        <f>IFERROR(VLOOKUP($A29,#REF!,21,0),"")</f>
        <v/>
      </c>
      <c r="AA29" s="359"/>
      <c r="AB29" s="359"/>
      <c r="AC29" s="359" t="s">
        <v>1721</v>
      </c>
      <c r="AD29" s="359" t="s">
        <v>1638</v>
      </c>
      <c r="AE29" s="358"/>
      <c r="AF29" s="141" t="s">
        <v>3077</v>
      </c>
      <c r="AG29" s="358" t="s">
        <v>2316</v>
      </c>
      <c r="AH29" s="359" t="s">
        <v>3106</v>
      </c>
      <c r="AI29" s="359" t="s">
        <v>3106</v>
      </c>
      <c r="AJ29" s="359" t="s">
        <v>2050</v>
      </c>
      <c r="AK29" s="359"/>
      <c r="AL29" s="359"/>
      <c r="AM29" s="359"/>
      <c r="AN29" s="359" t="s">
        <v>32</v>
      </c>
      <c r="AO29" s="380" t="s">
        <v>30</v>
      </c>
      <c r="AP29" s="380">
        <v>46065</v>
      </c>
      <c r="AQ29" s="384" t="s">
        <v>1638</v>
      </c>
      <c r="AR29" s="358" t="s">
        <v>32</v>
      </c>
      <c r="AS29" s="358">
        <v>11</v>
      </c>
      <c r="AT29" s="384" t="s">
        <v>1638</v>
      </c>
      <c r="AU29" s="380">
        <v>46065</v>
      </c>
      <c r="AV29" s="100" t="s">
        <v>30</v>
      </c>
      <c r="AW29" s="100" t="s">
        <v>30</v>
      </c>
      <c r="AX29" s="100" t="s">
        <v>30</v>
      </c>
      <c r="AY29" s="95" t="s">
        <v>32</v>
      </c>
      <c r="AZ29" s="95" t="s">
        <v>32</v>
      </c>
      <c r="BA29" s="95" t="s">
        <v>32</v>
      </c>
      <c r="BB29" s="100" t="s">
        <v>30</v>
      </c>
      <c r="BC29" s="100" t="s">
        <v>30</v>
      </c>
      <c r="BD29" s="100" t="s">
        <v>30</v>
      </c>
      <c r="BE29" s="100" t="s">
        <v>30</v>
      </c>
      <c r="BF29" s="100" t="s">
        <v>30</v>
      </c>
      <c r="BG29" s="114"/>
      <c r="BH29" s="111" t="s">
        <v>30</v>
      </c>
      <c r="BI29" s="111" t="s">
        <v>30</v>
      </c>
      <c r="BJ29" s="111" t="s">
        <v>30</v>
      </c>
      <c r="BK29" s="95"/>
      <c r="BL29" s="360"/>
      <c r="BN29" s="412"/>
      <c r="BO29" s="412"/>
      <c r="BP29" s="412"/>
      <c r="BQ29" s="412"/>
      <c r="BR29" s="412"/>
      <c r="BS29"/>
      <c r="BT29"/>
      <c r="BU29"/>
      <c r="BV29"/>
      <c r="BZ29">
        <f t="shared" si="1"/>
        <v>1</v>
      </c>
    </row>
    <row r="30" spans="1:78" ht="15.75" hidden="1" customHeight="1">
      <c r="A30" s="35" t="str">
        <f t="shared" si="0"/>
        <v>M018/2646036</v>
      </c>
      <c r="C30" s="358" t="s">
        <v>24</v>
      </c>
      <c r="D30" s="358">
        <v>27</v>
      </c>
      <c r="E30" s="359" t="s">
        <v>3118</v>
      </c>
      <c r="F30" s="359" t="s">
        <v>34</v>
      </c>
      <c r="G30" s="400">
        <v>46036</v>
      </c>
      <c r="H30" s="359" t="s">
        <v>3119</v>
      </c>
      <c r="I30" s="359">
        <v>18</v>
      </c>
      <c r="J30" s="359" t="str">
        <f>IFERROR(VLOOKUP($A30,#REF!,3,0),"")</f>
        <v/>
      </c>
      <c r="K30" s="359" t="str">
        <f>IFERROR(VLOOKUP($A30,#REF!,4,0),AF30)</f>
        <v>INT</v>
      </c>
      <c r="L30" s="359" t="str">
        <f>IFERROR(VLOOKUP($A30,#REF!,5,0),"")</f>
        <v/>
      </c>
      <c r="M30" s="359" t="str">
        <f>IFERROR(VLOOKUP($A30,#REF!,7,0),"")</f>
        <v/>
      </c>
      <c r="N30" s="359"/>
      <c r="O30" s="359" t="str">
        <f>IFERROR(VLOOKUP($A30,#REF!,6,0),"")</f>
        <v/>
      </c>
      <c r="P30" s="359" t="str">
        <f>IFERROR(VLOOKUP($A30,#REF!,9,0),"")</f>
        <v/>
      </c>
      <c r="Q30" s="359" t="str">
        <f>IFERROR(VLOOKUP($A30,#REF!,10,0),"")</f>
        <v/>
      </c>
      <c r="R30" s="359" t="str">
        <f>IFERROR(VLOOKUP($A30,#REF!,11,0),"")</f>
        <v/>
      </c>
      <c r="S30" s="359" t="str">
        <f>IFERROR(VLOOKUP($A30,#REF!,13,0),"")</f>
        <v/>
      </c>
      <c r="T30" s="359" t="str">
        <f>IFERROR(VLOOKUP($A30,#REF!,14,0),"")</f>
        <v/>
      </c>
      <c r="U30" s="359" t="str">
        <f>IFERROR(VLOOKUP($A30,#REF!,15,0),"")</f>
        <v/>
      </c>
      <c r="V30" s="359" t="str">
        <f>IFERROR(VLOOKUP($A30,#REF!,16,0),"")</f>
        <v/>
      </c>
      <c r="W30" s="359" t="str">
        <f>IFERROR(VLOOKUP($A30,#REF!,17,0),"")</f>
        <v/>
      </c>
      <c r="X30" s="359" t="str">
        <f>IFERROR(VLOOKUP($A30,#REF!,18,0),"")</f>
        <v/>
      </c>
      <c r="Y30" s="359" t="str">
        <f>IFERROR(VLOOKUP($A30,#REF!,19,0),"")</f>
        <v/>
      </c>
      <c r="Z30" s="400" t="str">
        <f>IFERROR(VLOOKUP($A30,#REF!,21,0),"")</f>
        <v/>
      </c>
      <c r="AA30" s="359"/>
      <c r="AB30" s="359"/>
      <c r="AC30" s="359" t="s">
        <v>67</v>
      </c>
      <c r="AD30" s="359" t="s">
        <v>47</v>
      </c>
      <c r="AE30" s="358"/>
      <c r="AF30" s="141" t="s">
        <v>3077</v>
      </c>
      <c r="AG30" s="358" t="s">
        <v>2325</v>
      </c>
      <c r="AH30" s="359" t="s">
        <v>3106</v>
      </c>
      <c r="AI30" s="359" t="s">
        <v>3120</v>
      </c>
      <c r="AJ30" s="359" t="s">
        <v>2050</v>
      </c>
      <c r="AK30" s="359"/>
      <c r="AL30" s="359"/>
      <c r="AM30" s="359"/>
      <c r="AN30" s="130" t="s">
        <v>31</v>
      </c>
      <c r="AO30" s="380" t="s">
        <v>30</v>
      </c>
      <c r="AP30" s="380">
        <v>46059</v>
      </c>
      <c r="AQ30" s="384" t="s">
        <v>1138</v>
      </c>
      <c r="AR30" s="358" t="s">
        <v>32</v>
      </c>
      <c r="AS30" s="358">
        <v>15</v>
      </c>
      <c r="AT30" s="384" t="s">
        <v>1138</v>
      </c>
      <c r="AU30" s="380">
        <v>46059</v>
      </c>
      <c r="AV30" s="82" t="s">
        <v>30</v>
      </c>
      <c r="AW30" s="100" t="s">
        <v>30</v>
      </c>
      <c r="AX30" s="100" t="s">
        <v>30</v>
      </c>
      <c r="AY30" s="100" t="s">
        <v>30</v>
      </c>
      <c r="AZ30" s="100" t="s">
        <v>30</v>
      </c>
      <c r="BA30" s="100" t="s">
        <v>30</v>
      </c>
      <c r="BB30" s="100" t="s">
        <v>30</v>
      </c>
      <c r="BC30" s="100" t="s">
        <v>30</v>
      </c>
      <c r="BD30" s="100" t="s">
        <v>30</v>
      </c>
      <c r="BE30" s="100" t="s">
        <v>30</v>
      </c>
      <c r="BF30" s="100" t="s">
        <v>30</v>
      </c>
      <c r="BG30" s="100" t="s">
        <v>30</v>
      </c>
      <c r="BH30" s="100" t="s">
        <v>30</v>
      </c>
      <c r="BI30" s="100" t="s">
        <v>30</v>
      </c>
      <c r="BJ30" s="100" t="s">
        <v>30</v>
      </c>
      <c r="BK30" s="95"/>
      <c r="BL30" s="360"/>
      <c r="BN30" s="412"/>
      <c r="BO30" s="412"/>
      <c r="BP30" s="412"/>
      <c r="BQ30" s="412"/>
      <c r="BR30" s="412"/>
      <c r="BS30"/>
      <c r="BT30"/>
      <c r="BU30"/>
      <c r="BV30"/>
      <c r="BZ30">
        <f t="shared" si="1"/>
        <v>1</v>
      </c>
    </row>
    <row r="31" spans="1:78" ht="15.75" hidden="1" customHeight="1">
      <c r="A31" s="35" t="str">
        <f t="shared" si="0"/>
        <v>017/2646038</v>
      </c>
      <c r="C31" s="358" t="s">
        <v>24</v>
      </c>
      <c r="D31" s="358">
        <v>28</v>
      </c>
      <c r="E31" s="359" t="s">
        <v>3121</v>
      </c>
      <c r="F31" s="359" t="s">
        <v>102</v>
      </c>
      <c r="G31" s="400">
        <v>46038</v>
      </c>
      <c r="H31" s="359" t="s">
        <v>187</v>
      </c>
      <c r="I31" s="359">
        <v>15</v>
      </c>
      <c r="J31" s="359" t="str">
        <f>IFERROR(VLOOKUP($A31,#REF!,3,0),"")</f>
        <v/>
      </c>
      <c r="K31" s="359" t="str">
        <f>IFERROR(VLOOKUP($A31,#REF!,4,0),AF31)</f>
        <v>EXT</v>
      </c>
      <c r="L31" s="359" t="str">
        <f>IFERROR(VLOOKUP($A31,#REF!,5,0),"")</f>
        <v/>
      </c>
      <c r="M31" s="359" t="str">
        <f>IFERROR(VLOOKUP($A31,#REF!,7,0),"")</f>
        <v/>
      </c>
      <c r="N31" s="359"/>
      <c r="O31" s="359" t="str">
        <f>IFERROR(VLOOKUP($A31,#REF!,6,0),"")</f>
        <v/>
      </c>
      <c r="P31" s="359" t="str">
        <f>IFERROR(VLOOKUP($A31,#REF!,9,0),"")</f>
        <v/>
      </c>
      <c r="Q31" s="359" t="str">
        <f>IFERROR(VLOOKUP($A31,#REF!,10,0),"")</f>
        <v/>
      </c>
      <c r="R31" s="359" t="str">
        <f>IFERROR(VLOOKUP($A31,#REF!,11,0),"")</f>
        <v/>
      </c>
      <c r="S31" s="359" t="str">
        <f>IFERROR(VLOOKUP($A31,#REF!,13,0),"")</f>
        <v/>
      </c>
      <c r="T31" s="359" t="str">
        <f>IFERROR(VLOOKUP($A31,#REF!,14,0),"")</f>
        <v/>
      </c>
      <c r="U31" s="359" t="str">
        <f>IFERROR(VLOOKUP($A31,#REF!,15,0),"")</f>
        <v/>
      </c>
      <c r="V31" s="359" t="str">
        <f>IFERROR(VLOOKUP($A31,#REF!,16,0),"")</f>
        <v/>
      </c>
      <c r="W31" s="359" t="str">
        <f>IFERROR(VLOOKUP($A31,#REF!,17,0),"")</f>
        <v/>
      </c>
      <c r="X31" s="359" t="str">
        <f>IFERROR(VLOOKUP($A31,#REF!,18,0),"")</f>
        <v/>
      </c>
      <c r="Y31" s="359" t="str">
        <f>IFERROR(VLOOKUP($A31,#REF!,19,0),"")</f>
        <v/>
      </c>
      <c r="Z31" s="400" t="str">
        <f>IFERROR(VLOOKUP($A31,#REF!,21,0),"")</f>
        <v/>
      </c>
      <c r="AA31" s="359"/>
      <c r="AB31" s="359"/>
      <c r="AC31" s="359" t="s">
        <v>1721</v>
      </c>
      <c r="AD31" s="359" t="s">
        <v>1638</v>
      </c>
      <c r="AE31" s="358"/>
      <c r="AF31" s="141" t="s">
        <v>3082</v>
      </c>
      <c r="AG31" s="358" t="s">
        <v>3103</v>
      </c>
      <c r="AH31" s="359" t="s">
        <v>3092</v>
      </c>
      <c r="AI31" s="359" t="s">
        <v>3092</v>
      </c>
      <c r="AJ31" s="359" t="s">
        <v>2058</v>
      </c>
      <c r="AK31" s="359"/>
      <c r="AL31" s="359"/>
      <c r="AM31" s="359"/>
      <c r="AN31" s="130" t="s">
        <v>31</v>
      </c>
      <c r="AO31" s="327" t="s">
        <v>30</v>
      </c>
      <c r="AP31" s="380">
        <v>46064</v>
      </c>
      <c r="AQ31" s="384" t="s">
        <v>1638</v>
      </c>
      <c r="AR31" s="358" t="s">
        <v>32</v>
      </c>
      <c r="AS31" s="358">
        <v>14</v>
      </c>
      <c r="AT31" s="384" t="s">
        <v>1638</v>
      </c>
      <c r="AU31" s="380">
        <v>46064</v>
      </c>
      <c r="AV31" s="95" t="s">
        <v>32</v>
      </c>
      <c r="AW31" s="100" t="s">
        <v>30</v>
      </c>
      <c r="AX31" s="95"/>
      <c r="AY31" s="100" t="s">
        <v>30</v>
      </c>
      <c r="AZ31" s="100" t="s">
        <v>30</v>
      </c>
      <c r="BA31" s="100" t="s">
        <v>30</v>
      </c>
      <c r="BB31" s="100" t="s">
        <v>30</v>
      </c>
      <c r="BC31" s="100" t="s">
        <v>30</v>
      </c>
      <c r="BD31" s="100" t="s">
        <v>30</v>
      </c>
      <c r="BE31" s="100" t="s">
        <v>30</v>
      </c>
      <c r="BF31" s="100" t="s">
        <v>30</v>
      </c>
      <c r="BG31" s="114"/>
      <c r="BH31" s="100" t="s">
        <v>30</v>
      </c>
      <c r="BI31" s="100" t="s">
        <v>30</v>
      </c>
      <c r="BJ31" s="100" t="s">
        <v>30</v>
      </c>
      <c r="BK31" s="95"/>
      <c r="BL31" s="360"/>
      <c r="BN31"/>
      <c r="BO31"/>
      <c r="BP31"/>
      <c r="BQ31"/>
      <c r="BR31"/>
      <c r="BS31"/>
      <c r="BT31"/>
      <c r="BU31"/>
      <c r="BV31"/>
      <c r="BZ31">
        <f t="shared" si="1"/>
        <v>1</v>
      </c>
    </row>
    <row r="32" spans="1:78" ht="15.75" hidden="1" customHeight="1">
      <c r="A32" s="35" t="str">
        <f t="shared" si="0"/>
        <v>M059/2646038</v>
      </c>
      <c r="C32" s="358" t="s">
        <v>24</v>
      </c>
      <c r="D32" s="358">
        <v>29</v>
      </c>
      <c r="E32" s="359" t="s">
        <v>3122</v>
      </c>
      <c r="F32" s="359" t="s">
        <v>43</v>
      </c>
      <c r="G32" s="400">
        <v>46038</v>
      </c>
      <c r="H32" s="359" t="s">
        <v>65</v>
      </c>
      <c r="I32" s="359">
        <v>12</v>
      </c>
      <c r="J32" s="359" t="str">
        <f>IFERROR(VLOOKUP($A32,#REF!,3,0),"")</f>
        <v/>
      </c>
      <c r="K32" s="359" t="str">
        <f>IFERROR(VLOOKUP($A32,#REF!,4,0),AF32)</f>
        <v>EXT</v>
      </c>
      <c r="L32" s="359" t="str">
        <f>IFERROR(VLOOKUP($A32,#REF!,5,0),"")</f>
        <v/>
      </c>
      <c r="M32" s="359" t="str">
        <f>IFERROR(VLOOKUP($A32,#REF!,7,0),"")</f>
        <v/>
      </c>
      <c r="N32" s="359"/>
      <c r="O32" s="359" t="str">
        <f>IFERROR(VLOOKUP($A32,#REF!,6,0),"")</f>
        <v/>
      </c>
      <c r="P32" s="359" t="str">
        <f>IFERROR(VLOOKUP($A32,#REF!,9,0),"")</f>
        <v/>
      </c>
      <c r="Q32" s="359" t="str">
        <f>IFERROR(VLOOKUP($A32,#REF!,10,0),"")</f>
        <v/>
      </c>
      <c r="R32" s="359" t="str">
        <f>IFERROR(VLOOKUP($A32,#REF!,11,0),"")</f>
        <v/>
      </c>
      <c r="S32" s="359" t="str">
        <f>IFERROR(VLOOKUP($A32,#REF!,13,0),"")</f>
        <v/>
      </c>
      <c r="T32" s="359" t="str">
        <f>IFERROR(VLOOKUP($A32,#REF!,14,0),"")</f>
        <v/>
      </c>
      <c r="U32" s="359" t="str">
        <f>IFERROR(VLOOKUP($A32,#REF!,15,0),"")</f>
        <v/>
      </c>
      <c r="V32" s="359" t="str">
        <f>IFERROR(VLOOKUP($A32,#REF!,16,0),"")</f>
        <v/>
      </c>
      <c r="W32" s="359" t="str">
        <f>IFERROR(VLOOKUP($A32,#REF!,17,0),"")</f>
        <v/>
      </c>
      <c r="X32" s="359" t="str">
        <f>IFERROR(VLOOKUP($A32,#REF!,18,0),"")</f>
        <v/>
      </c>
      <c r="Y32" s="359" t="str">
        <f>IFERROR(VLOOKUP($A32,#REF!,19,0),"")</f>
        <v/>
      </c>
      <c r="Z32" s="400" t="str">
        <f>IFERROR(VLOOKUP($A32,#REF!,21,0),"")</f>
        <v/>
      </c>
      <c r="AA32" s="359"/>
      <c r="AB32" s="359"/>
      <c r="AC32" s="359" t="s">
        <v>1077</v>
      </c>
      <c r="AD32" s="359" t="s">
        <v>1138</v>
      </c>
      <c r="AF32" s="141" t="s">
        <v>3082</v>
      </c>
      <c r="AG32" s="358" t="s">
        <v>2203</v>
      </c>
      <c r="AH32" s="359" t="s">
        <v>3123</v>
      </c>
      <c r="AI32" s="359" t="s">
        <v>3123</v>
      </c>
      <c r="AJ32" s="359" t="s">
        <v>2166</v>
      </c>
      <c r="AK32" s="359"/>
      <c r="AL32" s="359"/>
      <c r="AM32" s="359"/>
      <c r="AN32" s="359" t="s">
        <v>32</v>
      </c>
      <c r="AO32" s="327" t="s">
        <v>30</v>
      </c>
      <c r="AP32" s="380">
        <v>46052</v>
      </c>
      <c r="AQ32" s="384" t="s">
        <v>1138</v>
      </c>
      <c r="AR32" s="358" t="s">
        <v>32</v>
      </c>
      <c r="AS32" s="358">
        <v>11</v>
      </c>
      <c r="AT32" s="384" t="s">
        <v>1138</v>
      </c>
      <c r="AU32" s="380">
        <v>46052</v>
      </c>
      <c r="AV32" s="100" t="s">
        <v>30</v>
      </c>
      <c r="AW32" s="100" t="s">
        <v>30</v>
      </c>
      <c r="AX32" s="100" t="s">
        <v>30</v>
      </c>
      <c r="AY32" s="100" t="s">
        <v>30</v>
      </c>
      <c r="AZ32" s="100" t="s">
        <v>30</v>
      </c>
      <c r="BA32" s="100" t="s">
        <v>30</v>
      </c>
      <c r="BB32" s="100" t="s">
        <v>30</v>
      </c>
      <c r="BC32" s="100" t="s">
        <v>30</v>
      </c>
      <c r="BD32" s="100" t="s">
        <v>30</v>
      </c>
      <c r="BE32" s="100" t="s">
        <v>30</v>
      </c>
      <c r="BF32" s="100" t="s">
        <v>30</v>
      </c>
      <c r="BG32" s="100" t="s">
        <v>30</v>
      </c>
      <c r="BH32" s="95" t="s">
        <v>32</v>
      </c>
      <c r="BI32" s="95" t="s">
        <v>32</v>
      </c>
      <c r="BJ32" s="100" t="s">
        <v>30</v>
      </c>
      <c r="BK32" s="95"/>
      <c r="BL32" s="360" t="s">
        <v>3094</v>
      </c>
      <c r="BN32"/>
      <c r="BO32"/>
      <c r="BP32"/>
      <c r="BQ32"/>
      <c r="BR32"/>
      <c r="BS32"/>
      <c r="BT32"/>
      <c r="BU32"/>
      <c r="BV32"/>
      <c r="BZ32">
        <f t="shared" si="1"/>
        <v>1</v>
      </c>
    </row>
    <row r="33" spans="1:78" ht="15.75" hidden="1" customHeight="1">
      <c r="A33" s="35" t="str">
        <f t="shared" si="0"/>
        <v>M054/2646038</v>
      </c>
      <c r="C33" s="358" t="s">
        <v>24</v>
      </c>
      <c r="D33" s="358">
        <v>30</v>
      </c>
      <c r="E33" s="359" t="s">
        <v>3124</v>
      </c>
      <c r="F33" s="359" t="s">
        <v>397</v>
      </c>
      <c r="G33" s="400">
        <v>46038</v>
      </c>
      <c r="H33" s="359" t="s">
        <v>2202</v>
      </c>
      <c r="I33" s="359">
        <v>8</v>
      </c>
      <c r="J33" s="359" t="str">
        <f>IFERROR(VLOOKUP($A33,#REF!,3,0),"")</f>
        <v/>
      </c>
      <c r="K33" s="359" t="str">
        <f>IFERROR(VLOOKUP($A33,#REF!,4,0),AF33)</f>
        <v>EXT</v>
      </c>
      <c r="L33" s="359" t="str">
        <f>IFERROR(VLOOKUP($A33,#REF!,5,0),"")</f>
        <v/>
      </c>
      <c r="M33" s="359" t="str">
        <f>IFERROR(VLOOKUP($A33,#REF!,7,0),"")</f>
        <v/>
      </c>
      <c r="N33" s="359"/>
      <c r="O33" s="359" t="str">
        <f>IFERROR(VLOOKUP($A33,#REF!,6,0),"")</f>
        <v/>
      </c>
      <c r="P33" s="359" t="str">
        <f>IFERROR(VLOOKUP($A33,#REF!,9,0),"")</f>
        <v/>
      </c>
      <c r="Q33" s="359" t="str">
        <f>IFERROR(VLOOKUP($A33,#REF!,10,0),"")</f>
        <v/>
      </c>
      <c r="R33" s="359" t="str">
        <f>IFERROR(VLOOKUP($A33,#REF!,11,0),"")</f>
        <v/>
      </c>
      <c r="S33" s="359" t="str">
        <f>IFERROR(VLOOKUP($A33,#REF!,13,0),"")</f>
        <v/>
      </c>
      <c r="T33" s="359" t="str">
        <f>IFERROR(VLOOKUP($A33,#REF!,14,0),"")</f>
        <v/>
      </c>
      <c r="U33" s="359" t="str">
        <f>IFERROR(VLOOKUP($A33,#REF!,15,0),"")</f>
        <v/>
      </c>
      <c r="V33" s="359" t="str">
        <f>IFERROR(VLOOKUP($A33,#REF!,16,0),"")</f>
        <v/>
      </c>
      <c r="W33" s="359" t="str">
        <f>IFERROR(VLOOKUP($A33,#REF!,17,0),"")</f>
        <v/>
      </c>
      <c r="X33" s="359" t="str">
        <f>IFERROR(VLOOKUP($A33,#REF!,18,0),"")</f>
        <v/>
      </c>
      <c r="Y33" s="359" t="str">
        <f>IFERROR(VLOOKUP($A33,#REF!,19,0),"")</f>
        <v/>
      </c>
      <c r="Z33" s="400" t="str">
        <f>IFERROR(VLOOKUP($A33,#REF!,21,0),"")</f>
        <v/>
      </c>
      <c r="AA33" s="359"/>
      <c r="AB33" s="359"/>
      <c r="AC33" s="359" t="s">
        <v>1077</v>
      </c>
      <c r="AD33" s="359" t="s">
        <v>1138</v>
      </c>
      <c r="AE33" s="358"/>
      <c r="AF33" s="141" t="s">
        <v>3082</v>
      </c>
      <c r="AG33" s="358" t="s">
        <v>2066</v>
      </c>
      <c r="AH33" s="359" t="s">
        <v>3123</v>
      </c>
      <c r="AI33" s="359" t="s">
        <v>3123</v>
      </c>
      <c r="AJ33" s="359" t="s">
        <v>2083</v>
      </c>
      <c r="AK33" s="359"/>
      <c r="AL33" s="359"/>
      <c r="AM33" s="359"/>
      <c r="AN33" s="359" t="s">
        <v>32</v>
      </c>
      <c r="AO33" s="327" t="s">
        <v>30</v>
      </c>
      <c r="AP33" s="380">
        <v>46056</v>
      </c>
      <c r="AQ33" s="384" t="s">
        <v>1138</v>
      </c>
      <c r="AR33" s="358" t="s">
        <v>32</v>
      </c>
      <c r="AS33" s="358">
        <v>8</v>
      </c>
      <c r="AT33" s="384" t="s">
        <v>1138</v>
      </c>
      <c r="AU33" s="380">
        <v>46056</v>
      </c>
      <c r="AV33" s="82" t="s">
        <v>30</v>
      </c>
      <c r="AW33" s="82" t="s">
        <v>30</v>
      </c>
      <c r="AX33" s="82" t="s">
        <v>30</v>
      </c>
      <c r="AY33" s="100" t="s">
        <v>30</v>
      </c>
      <c r="AZ33" s="100" t="s">
        <v>30</v>
      </c>
      <c r="BA33" s="100" t="s">
        <v>30</v>
      </c>
      <c r="BB33" s="100" t="s">
        <v>30</v>
      </c>
      <c r="BC33" s="100" t="s">
        <v>30</v>
      </c>
      <c r="BD33" s="100" t="s">
        <v>30</v>
      </c>
      <c r="BE33" s="100" t="s">
        <v>30</v>
      </c>
      <c r="BF33" s="100" t="s">
        <v>30</v>
      </c>
      <c r="BG33" s="100" t="s">
        <v>30</v>
      </c>
      <c r="BH33" s="107" t="s">
        <v>32</v>
      </c>
      <c r="BI33" s="107" t="s">
        <v>32</v>
      </c>
      <c r="BJ33" s="107" t="s">
        <v>32</v>
      </c>
      <c r="BK33" s="107" t="s">
        <v>32</v>
      </c>
      <c r="BL33" s="360" t="s">
        <v>3080</v>
      </c>
      <c r="BN33"/>
      <c r="BO33"/>
      <c r="BP33"/>
      <c r="BQ33"/>
      <c r="BR33"/>
      <c r="BS33"/>
      <c r="BT33"/>
      <c r="BU33"/>
      <c r="BV33"/>
      <c r="BZ33">
        <f t="shared" si="1"/>
        <v>1</v>
      </c>
    </row>
    <row r="34" spans="1:78" ht="15.75" hidden="1" customHeight="1">
      <c r="A34" s="35" t="str">
        <f t="shared" si="0"/>
        <v>M052/2646038</v>
      </c>
      <c r="C34" s="358" t="s">
        <v>24</v>
      </c>
      <c r="D34" s="358">
        <v>31</v>
      </c>
      <c r="E34" s="359" t="s">
        <v>3125</v>
      </c>
      <c r="F34" s="359" t="s">
        <v>1131</v>
      </c>
      <c r="G34" s="400">
        <v>46038</v>
      </c>
      <c r="H34" s="359" t="s">
        <v>2557</v>
      </c>
      <c r="I34" s="403">
        <v>21</v>
      </c>
      <c r="J34" s="359" t="str">
        <f>IFERROR(VLOOKUP($A34,#REF!,3,0),"")</f>
        <v/>
      </c>
      <c r="K34" s="359" t="str">
        <f>IFERROR(VLOOKUP($A34,#REF!,4,0),AF34)</f>
        <v>EXT</v>
      </c>
      <c r="L34" s="359" t="str">
        <f>IFERROR(VLOOKUP($A34,#REF!,5,0),"")</f>
        <v/>
      </c>
      <c r="M34" s="403" t="str">
        <f>IFERROR(VLOOKUP($A34,#REF!,7,0),"")</f>
        <v/>
      </c>
      <c r="N34" s="403"/>
      <c r="O34" s="359" t="str">
        <f>IFERROR(VLOOKUP($A34,#REF!,6,0),"")</f>
        <v/>
      </c>
      <c r="P34" s="359" t="str">
        <f>IFERROR(VLOOKUP($A34,#REF!,9,0),"")</f>
        <v/>
      </c>
      <c r="Q34" s="359" t="str">
        <f>IFERROR(VLOOKUP($A34,#REF!,10,0),"")</f>
        <v/>
      </c>
      <c r="R34" s="359" t="str">
        <f>IFERROR(VLOOKUP($A34,#REF!,11,0),"")</f>
        <v/>
      </c>
      <c r="S34" s="359" t="str">
        <f>IFERROR(VLOOKUP($A34,#REF!,13,0),"")</f>
        <v/>
      </c>
      <c r="T34" s="359" t="str">
        <f>IFERROR(VLOOKUP($A34,#REF!,14,0),"")</f>
        <v/>
      </c>
      <c r="U34" s="359" t="str">
        <f>IFERROR(VLOOKUP($A34,#REF!,15,0),"")</f>
        <v/>
      </c>
      <c r="V34" s="359" t="str">
        <f>IFERROR(VLOOKUP($A34,#REF!,16,0),"")</f>
        <v/>
      </c>
      <c r="W34" s="359" t="str">
        <f>IFERROR(VLOOKUP($A34,#REF!,17,0),"")</f>
        <v/>
      </c>
      <c r="X34" s="359" t="str">
        <f>IFERROR(VLOOKUP($A34,#REF!,18,0),"")</f>
        <v/>
      </c>
      <c r="Y34" s="359" t="str">
        <f>IFERROR(VLOOKUP($A34,#REF!,19,0),"")</f>
        <v/>
      </c>
      <c r="Z34" s="400" t="str">
        <f>IFERROR(VLOOKUP($A34,#REF!,21,0),"")</f>
        <v/>
      </c>
      <c r="AA34" s="359"/>
      <c r="AB34" s="359"/>
      <c r="AC34" s="359" t="s">
        <v>67</v>
      </c>
      <c r="AD34" s="359" t="s">
        <v>47</v>
      </c>
      <c r="AE34" s="358"/>
      <c r="AF34" s="141" t="s">
        <v>3082</v>
      </c>
      <c r="AG34" s="358" t="s">
        <v>2056</v>
      </c>
      <c r="AH34" s="359" t="s">
        <v>3123</v>
      </c>
      <c r="AI34" s="359" t="s">
        <v>3123</v>
      </c>
      <c r="AJ34" s="359" t="s">
        <v>3126</v>
      </c>
      <c r="AK34" s="359"/>
      <c r="AL34" s="359"/>
      <c r="AM34" s="359"/>
      <c r="AN34" s="130" t="s">
        <v>31</v>
      </c>
      <c r="AO34" s="380" t="s">
        <v>30</v>
      </c>
      <c r="AP34" s="380">
        <v>46075</v>
      </c>
      <c r="AQ34" s="384" t="s">
        <v>47</v>
      </c>
      <c r="AR34" s="358" t="s">
        <v>32</v>
      </c>
      <c r="AS34" s="358">
        <v>22</v>
      </c>
      <c r="AT34" s="384" t="s">
        <v>47</v>
      </c>
      <c r="AU34" s="380">
        <v>46075</v>
      </c>
      <c r="AV34" s="82" t="s">
        <v>30</v>
      </c>
      <c r="AW34" s="82" t="s">
        <v>30</v>
      </c>
      <c r="AX34" s="82" t="s">
        <v>30</v>
      </c>
      <c r="AY34" s="100" t="s">
        <v>30</v>
      </c>
      <c r="AZ34" s="100" t="s">
        <v>30</v>
      </c>
      <c r="BA34" s="100" t="s">
        <v>30</v>
      </c>
      <c r="BB34" s="100" t="s">
        <v>30</v>
      </c>
      <c r="BC34" s="100" t="s">
        <v>30</v>
      </c>
      <c r="BD34" s="100" t="s">
        <v>30</v>
      </c>
      <c r="BE34" s="100" t="s">
        <v>30</v>
      </c>
      <c r="BF34" s="100" t="s">
        <v>30</v>
      </c>
      <c r="BG34" s="100" t="s">
        <v>30</v>
      </c>
      <c r="BH34" s="100" t="s">
        <v>30</v>
      </c>
      <c r="BI34" s="100" t="s">
        <v>30</v>
      </c>
      <c r="BJ34" s="100" t="s">
        <v>30</v>
      </c>
      <c r="BK34" s="95"/>
      <c r="BL34" s="360"/>
      <c r="BN34"/>
      <c r="BO34"/>
      <c r="BP34"/>
      <c r="BQ34"/>
      <c r="BR34"/>
      <c r="BS34"/>
      <c r="BT34"/>
      <c r="BU34"/>
      <c r="BV34"/>
      <c r="BZ34">
        <f t="shared" si="1"/>
        <v>1</v>
      </c>
    </row>
    <row r="35" spans="1:78" ht="15.75" hidden="1" customHeight="1">
      <c r="A35" s="35" t="str">
        <f t="shared" si="0"/>
        <v>M003/2646039</v>
      </c>
      <c r="C35" s="358" t="s">
        <v>24</v>
      </c>
      <c r="D35" s="358">
        <v>32</v>
      </c>
      <c r="E35" s="359" t="s">
        <v>3127</v>
      </c>
      <c r="F35" s="359" t="s">
        <v>102</v>
      </c>
      <c r="G35" s="400">
        <v>46039</v>
      </c>
      <c r="H35" s="359" t="s">
        <v>97</v>
      </c>
      <c r="I35" s="403">
        <v>20</v>
      </c>
      <c r="J35" s="359" t="str">
        <f>IFERROR(VLOOKUP($A35,#REF!,3,0),"")</f>
        <v/>
      </c>
      <c r="K35" s="359" t="str">
        <f>IFERROR(VLOOKUP($A35,#REF!,4,0),AF35)</f>
        <v>EXT</v>
      </c>
      <c r="L35" s="359" t="str">
        <f>IFERROR(VLOOKUP($A35,#REF!,5,0),"")</f>
        <v/>
      </c>
      <c r="M35" s="403" t="str">
        <f>IFERROR(VLOOKUP($A35,#REF!,7,0),"")</f>
        <v/>
      </c>
      <c r="N35" s="403"/>
      <c r="O35" s="359" t="str">
        <f>IFERROR(VLOOKUP($A35,#REF!,6,0),"")</f>
        <v/>
      </c>
      <c r="P35" s="359" t="str">
        <f>IFERROR(VLOOKUP($A35,#REF!,9,0),"")</f>
        <v/>
      </c>
      <c r="Q35" s="359" t="str">
        <f>IFERROR(VLOOKUP($A35,#REF!,10,0),"")</f>
        <v/>
      </c>
      <c r="R35" s="359" t="str">
        <f>IFERROR(VLOOKUP($A35,#REF!,11,0),"")</f>
        <v/>
      </c>
      <c r="S35" s="359" t="str">
        <f>IFERROR(VLOOKUP($A35,#REF!,13,0),"")</f>
        <v/>
      </c>
      <c r="T35" s="359" t="str">
        <f>IFERROR(VLOOKUP($A35,#REF!,14,0),"")</f>
        <v/>
      </c>
      <c r="U35" s="359" t="str">
        <f>IFERROR(VLOOKUP($A35,#REF!,15,0),"")</f>
        <v/>
      </c>
      <c r="V35" s="359" t="str">
        <f>IFERROR(VLOOKUP($A35,#REF!,16,0),"")</f>
        <v/>
      </c>
      <c r="W35" s="359" t="str">
        <f>IFERROR(VLOOKUP($A35,#REF!,17,0),"")</f>
        <v/>
      </c>
      <c r="X35" s="359" t="str">
        <f>IFERROR(VLOOKUP($A35,#REF!,18,0),"")</f>
        <v/>
      </c>
      <c r="Y35" s="359" t="str">
        <f>IFERROR(VLOOKUP($A35,#REF!,19,0),"")</f>
        <v/>
      </c>
      <c r="Z35" s="400" t="str">
        <f>IFERROR(VLOOKUP($A35,#REF!,21,0),"")</f>
        <v/>
      </c>
      <c r="AA35" s="359"/>
      <c r="AB35" s="359"/>
      <c r="AC35" s="359" t="s">
        <v>1721</v>
      </c>
      <c r="AD35" s="359" t="s">
        <v>1638</v>
      </c>
      <c r="AE35" s="358"/>
      <c r="AF35" s="141" t="s">
        <v>3082</v>
      </c>
      <c r="AG35" s="358" t="s">
        <v>2056</v>
      </c>
      <c r="AH35" s="358" t="s">
        <v>3123</v>
      </c>
      <c r="AI35" s="359" t="s">
        <v>3123</v>
      </c>
      <c r="AJ35" s="359" t="s">
        <v>2058</v>
      </c>
      <c r="AK35" s="359"/>
      <c r="AL35" s="359"/>
      <c r="AM35" s="359"/>
      <c r="AN35" s="130" t="s">
        <v>31</v>
      </c>
      <c r="AO35" s="327" t="s">
        <v>30</v>
      </c>
      <c r="AP35" s="380">
        <v>46064</v>
      </c>
      <c r="AQ35" s="384" t="s">
        <v>1638</v>
      </c>
      <c r="AR35" s="358" t="s">
        <v>32</v>
      </c>
      <c r="AS35" s="358">
        <v>21</v>
      </c>
      <c r="AT35" s="384" t="s">
        <v>1638</v>
      </c>
      <c r="AU35" s="380">
        <v>46064</v>
      </c>
      <c r="AV35" s="82" t="s">
        <v>30</v>
      </c>
      <c r="AW35" s="82" t="s">
        <v>30</v>
      </c>
      <c r="AX35" s="82" t="s">
        <v>30</v>
      </c>
      <c r="AY35" s="100" t="s">
        <v>30</v>
      </c>
      <c r="AZ35" s="100" t="s">
        <v>30</v>
      </c>
      <c r="BA35" s="100" t="s">
        <v>30</v>
      </c>
      <c r="BB35" s="100" t="s">
        <v>30</v>
      </c>
      <c r="BC35" s="100" t="s">
        <v>30</v>
      </c>
      <c r="BD35" s="100" t="s">
        <v>30</v>
      </c>
      <c r="BE35" s="95" t="s">
        <v>32</v>
      </c>
      <c r="BF35" s="100" t="s">
        <v>30</v>
      </c>
      <c r="BG35" s="100" t="s">
        <v>30</v>
      </c>
      <c r="BH35" s="100" t="s">
        <v>30</v>
      </c>
      <c r="BI35" s="100" t="s">
        <v>30</v>
      </c>
      <c r="BJ35" s="100" t="s">
        <v>30</v>
      </c>
      <c r="BK35" s="95"/>
      <c r="BL35" s="360" t="s">
        <v>3128</v>
      </c>
      <c r="BN35"/>
      <c r="BO35"/>
      <c r="BP35"/>
      <c r="BQ35"/>
      <c r="BR35"/>
      <c r="BS35"/>
      <c r="BT35"/>
      <c r="BU35"/>
      <c r="BV35"/>
      <c r="BZ35">
        <f t="shared" si="1"/>
        <v>1</v>
      </c>
    </row>
    <row r="36" spans="1:78" ht="15.75" hidden="1" customHeight="1">
      <c r="A36" s="35" t="str">
        <f t="shared" si="0"/>
        <v>M004/2646039</v>
      </c>
      <c r="C36" s="358" t="s">
        <v>24</v>
      </c>
      <c r="D36" s="358">
        <v>33</v>
      </c>
      <c r="E36" s="359" t="s">
        <v>3129</v>
      </c>
      <c r="F36" s="359" t="s">
        <v>43</v>
      </c>
      <c r="G36" s="400">
        <v>46039</v>
      </c>
      <c r="H36" s="359" t="s">
        <v>97</v>
      </c>
      <c r="I36" s="403">
        <v>20</v>
      </c>
      <c r="J36" s="359" t="str">
        <f>IFERROR(VLOOKUP($A36,#REF!,3,0),"")</f>
        <v/>
      </c>
      <c r="K36" s="359" t="str">
        <f>IFERROR(VLOOKUP($A36,#REF!,4,0),AF36)</f>
        <v>EXT</v>
      </c>
      <c r="L36" s="359" t="str">
        <f>IFERROR(VLOOKUP($A36,#REF!,5,0),"")</f>
        <v/>
      </c>
      <c r="M36" s="403" t="str">
        <f>IFERROR(VLOOKUP($A36,#REF!,7,0),"")</f>
        <v/>
      </c>
      <c r="N36" s="403"/>
      <c r="O36" s="359" t="str">
        <f>IFERROR(VLOOKUP($A36,#REF!,6,0),"")</f>
        <v/>
      </c>
      <c r="P36" s="359" t="str">
        <f>IFERROR(VLOOKUP($A36,#REF!,9,0),"")</f>
        <v/>
      </c>
      <c r="Q36" s="359" t="str">
        <f>IFERROR(VLOOKUP($A36,#REF!,10,0),"")</f>
        <v/>
      </c>
      <c r="R36" s="359" t="str">
        <f>IFERROR(VLOOKUP($A36,#REF!,11,0),"")</f>
        <v/>
      </c>
      <c r="S36" s="359" t="str">
        <f>IFERROR(VLOOKUP($A36,#REF!,13,0),"")</f>
        <v/>
      </c>
      <c r="T36" s="359" t="str">
        <f>IFERROR(VLOOKUP($A36,#REF!,14,0),"")</f>
        <v/>
      </c>
      <c r="U36" s="359" t="str">
        <f>IFERROR(VLOOKUP($A36,#REF!,15,0),"")</f>
        <v/>
      </c>
      <c r="V36" s="359" t="str">
        <f>IFERROR(VLOOKUP($A36,#REF!,16,0),"")</f>
        <v/>
      </c>
      <c r="W36" s="359" t="str">
        <f>IFERROR(VLOOKUP($A36,#REF!,17,0),"")</f>
        <v/>
      </c>
      <c r="X36" s="359" t="str">
        <f>IFERROR(VLOOKUP($A36,#REF!,18,0),"")</f>
        <v/>
      </c>
      <c r="Y36" s="359" t="str">
        <f>IFERROR(VLOOKUP($A36,#REF!,19,0),"")</f>
        <v/>
      </c>
      <c r="Z36" s="400" t="str">
        <f>IFERROR(VLOOKUP($A36,#REF!,21,0),"")</f>
        <v/>
      </c>
      <c r="AA36" s="359"/>
      <c r="AB36" s="359"/>
      <c r="AC36" s="359" t="s">
        <v>1721</v>
      </c>
      <c r="AD36" s="359" t="s">
        <v>1638</v>
      </c>
      <c r="AE36" s="102"/>
      <c r="AF36" s="141" t="s">
        <v>3082</v>
      </c>
      <c r="AG36" s="358" t="s">
        <v>2056</v>
      </c>
      <c r="AH36" s="358" t="s">
        <v>401</v>
      </c>
      <c r="AI36" s="359" t="s">
        <v>401</v>
      </c>
      <c r="AJ36" s="359" t="s">
        <v>401</v>
      </c>
      <c r="AK36" s="359"/>
      <c r="AL36" s="359"/>
      <c r="AM36" s="359"/>
      <c r="AN36" s="130" t="s">
        <v>31</v>
      </c>
      <c r="AO36" s="358" t="s">
        <v>30</v>
      </c>
      <c r="AP36" s="380">
        <v>46078</v>
      </c>
      <c r="AQ36" s="384" t="s">
        <v>1638</v>
      </c>
      <c r="AR36" s="358" t="s">
        <v>32</v>
      </c>
      <c r="AS36" s="358">
        <v>20</v>
      </c>
      <c r="AT36" s="384" t="s">
        <v>1638</v>
      </c>
      <c r="AU36" s="380">
        <v>46078</v>
      </c>
      <c r="AV36" s="82" t="s">
        <v>30</v>
      </c>
      <c r="AW36" s="82" t="s">
        <v>30</v>
      </c>
      <c r="AX36" s="82" t="s">
        <v>30</v>
      </c>
      <c r="AY36" s="100" t="s">
        <v>30</v>
      </c>
      <c r="AZ36" s="100" t="s">
        <v>30</v>
      </c>
      <c r="BA36" s="100" t="s">
        <v>30</v>
      </c>
      <c r="BB36" s="100" t="s">
        <v>30</v>
      </c>
      <c r="BC36" s="100" t="s">
        <v>30</v>
      </c>
      <c r="BD36" s="100" t="s">
        <v>30</v>
      </c>
      <c r="BE36" s="100" t="s">
        <v>30</v>
      </c>
      <c r="BF36" s="100" t="s">
        <v>30</v>
      </c>
      <c r="BG36" s="100" t="s">
        <v>30</v>
      </c>
      <c r="BH36" s="100" t="s">
        <v>30</v>
      </c>
      <c r="BI36" s="100" t="s">
        <v>30</v>
      </c>
      <c r="BJ36" s="100" t="s">
        <v>30</v>
      </c>
      <c r="BK36" s="95"/>
      <c r="BL36" s="360" t="s">
        <v>3128</v>
      </c>
      <c r="BN36"/>
      <c r="BO36"/>
      <c r="BP36"/>
      <c r="BQ36"/>
      <c r="BR36"/>
      <c r="BS36"/>
      <c r="BT36"/>
      <c r="BU36"/>
      <c r="BV36"/>
      <c r="BZ36">
        <f t="shared" si="1"/>
        <v>1</v>
      </c>
    </row>
    <row r="37" spans="1:78" ht="15.6" hidden="1" customHeight="1">
      <c r="A37" s="35" t="str">
        <f t="shared" si="0"/>
        <v>003/2646039</v>
      </c>
      <c r="C37" s="358" t="s">
        <v>24</v>
      </c>
      <c r="D37" s="358">
        <v>34</v>
      </c>
      <c r="E37" s="359" t="s">
        <v>3130</v>
      </c>
      <c r="F37" s="359" t="s">
        <v>34</v>
      </c>
      <c r="G37" s="400">
        <v>46039</v>
      </c>
      <c r="H37" s="359" t="s">
        <v>1105</v>
      </c>
      <c r="I37" s="359">
        <v>15</v>
      </c>
      <c r="J37" s="359" t="str">
        <f>IFERROR(VLOOKUP($A37,#REF!,3,0),"")</f>
        <v/>
      </c>
      <c r="K37" s="359" t="str">
        <f>IFERROR(VLOOKUP($A37,#REF!,4,0),AF37)</f>
        <v>INT</v>
      </c>
      <c r="L37" s="359" t="str">
        <f>IFERROR(VLOOKUP($A37,#REF!,5,0),"")</f>
        <v/>
      </c>
      <c r="M37" s="359" t="str">
        <f>IFERROR(VLOOKUP($A37,#REF!,7,0),"")</f>
        <v/>
      </c>
      <c r="N37" s="359"/>
      <c r="O37" s="359" t="str">
        <f>IFERROR(VLOOKUP($A37,#REF!,6,0),"")</f>
        <v/>
      </c>
      <c r="P37" s="359" t="str">
        <f>IFERROR(VLOOKUP($A37,#REF!,9,0),"")</f>
        <v/>
      </c>
      <c r="Q37" s="359" t="str">
        <f>IFERROR(VLOOKUP($A37,#REF!,10,0),"")</f>
        <v/>
      </c>
      <c r="R37" s="359" t="str">
        <f>IFERROR(VLOOKUP($A37,#REF!,11,0),"")</f>
        <v/>
      </c>
      <c r="S37" s="359" t="str">
        <f>IFERROR(VLOOKUP($A37,#REF!,13,0),"")</f>
        <v/>
      </c>
      <c r="T37" s="359" t="str">
        <f>IFERROR(VLOOKUP($A37,#REF!,14,0),"")</f>
        <v/>
      </c>
      <c r="U37" s="359" t="str">
        <f>IFERROR(VLOOKUP($A37,#REF!,15,0),"")</f>
        <v/>
      </c>
      <c r="V37" s="359" t="str">
        <f>IFERROR(VLOOKUP($A37,#REF!,16,0),"")</f>
        <v/>
      </c>
      <c r="W37" s="359" t="str">
        <f>IFERROR(VLOOKUP($A37,#REF!,17,0),"")</f>
        <v/>
      </c>
      <c r="X37" s="359" t="str">
        <f>IFERROR(VLOOKUP($A37,#REF!,18,0),"")</f>
        <v/>
      </c>
      <c r="Y37" s="359" t="str">
        <f>IFERROR(VLOOKUP($A37,#REF!,19,0),"")</f>
        <v/>
      </c>
      <c r="Z37" s="400" t="str">
        <f>IFERROR(VLOOKUP($A37,#REF!,21,0),"")</f>
        <v/>
      </c>
      <c r="AA37" s="359"/>
      <c r="AB37" s="359"/>
      <c r="AC37" s="359" t="s">
        <v>1721</v>
      </c>
      <c r="AD37" s="359" t="s">
        <v>1638</v>
      </c>
      <c r="AE37" s="358"/>
      <c r="AF37" s="141" t="s">
        <v>3077</v>
      </c>
      <c r="AG37" s="358" t="s">
        <v>2092</v>
      </c>
      <c r="AH37" s="358" t="s">
        <v>3131</v>
      </c>
      <c r="AI37" s="359" t="s">
        <v>3131</v>
      </c>
      <c r="AJ37" s="359" t="s">
        <v>2083</v>
      </c>
      <c r="AK37" s="359"/>
      <c r="AL37" s="359"/>
      <c r="AM37" s="359"/>
      <c r="AN37" s="130" t="s">
        <v>31</v>
      </c>
      <c r="AO37" s="327" t="s">
        <v>30</v>
      </c>
      <c r="AP37" s="380">
        <v>46062</v>
      </c>
      <c r="AQ37" s="384" t="s">
        <v>1638</v>
      </c>
      <c r="AR37" s="358" t="s">
        <v>32</v>
      </c>
      <c r="AS37" s="358">
        <v>16</v>
      </c>
      <c r="AT37" s="384" t="s">
        <v>1638</v>
      </c>
      <c r="AU37" s="380">
        <v>46062</v>
      </c>
      <c r="AV37" s="94" t="s">
        <v>30</v>
      </c>
      <c r="AW37" s="100" t="s">
        <v>30</v>
      </c>
      <c r="AX37" s="100" t="s">
        <v>30</v>
      </c>
      <c r="AY37" s="95" t="s">
        <v>32</v>
      </c>
      <c r="AZ37" s="95" t="s">
        <v>32</v>
      </c>
      <c r="BA37" s="95" t="s">
        <v>32</v>
      </c>
      <c r="BB37" s="100" t="s">
        <v>30</v>
      </c>
      <c r="BC37" s="100" t="s">
        <v>30</v>
      </c>
      <c r="BD37" s="100" t="s">
        <v>30</v>
      </c>
      <c r="BE37" s="100" t="s">
        <v>30</v>
      </c>
      <c r="BF37" s="100" t="s">
        <v>30</v>
      </c>
      <c r="BG37" s="100" t="s">
        <v>30</v>
      </c>
      <c r="BH37" s="94" t="s">
        <v>30</v>
      </c>
      <c r="BI37" s="94" t="s">
        <v>30</v>
      </c>
      <c r="BJ37" s="100" t="s">
        <v>30</v>
      </c>
      <c r="BK37" s="95"/>
      <c r="BL37" s="360"/>
      <c r="BN37" s="412"/>
      <c r="BO37" s="412"/>
      <c r="BP37" s="412"/>
      <c r="BQ37" s="412"/>
      <c r="BR37" s="412"/>
      <c r="BS37"/>
      <c r="BT37"/>
      <c r="BU37"/>
      <c r="BV37"/>
      <c r="BZ37">
        <f t="shared" si="1"/>
        <v>1</v>
      </c>
    </row>
    <row r="38" spans="1:78" ht="15.6" hidden="1" customHeight="1">
      <c r="A38" s="35" t="str">
        <f t="shared" si="0"/>
        <v>M065/2646039</v>
      </c>
      <c r="C38" s="358" t="s">
        <v>24</v>
      </c>
      <c r="D38" s="358">
        <v>35</v>
      </c>
      <c r="E38" s="359" t="s">
        <v>3132</v>
      </c>
      <c r="F38" s="359" t="s">
        <v>34</v>
      </c>
      <c r="G38" s="400">
        <v>46039</v>
      </c>
      <c r="H38" s="359" t="s">
        <v>3133</v>
      </c>
      <c r="I38" s="359">
        <v>10</v>
      </c>
      <c r="J38" s="359" t="str">
        <f>IFERROR(VLOOKUP($A38,#REF!,3,0),"")</f>
        <v/>
      </c>
      <c r="K38" s="359" t="str">
        <f>IFERROR(VLOOKUP($A38,#REF!,4,0),AF38)</f>
        <v>EXT</v>
      </c>
      <c r="L38" s="359" t="str">
        <f>IFERROR(VLOOKUP($A38,#REF!,5,0),"")</f>
        <v/>
      </c>
      <c r="M38" s="359" t="str">
        <f>IFERROR(VLOOKUP($A38,#REF!,7,0),"")</f>
        <v/>
      </c>
      <c r="N38" s="359"/>
      <c r="O38" s="359" t="str">
        <f>IFERROR(VLOOKUP($A38,#REF!,6,0),"")</f>
        <v/>
      </c>
      <c r="P38" s="359" t="str">
        <f>IFERROR(VLOOKUP($A38,#REF!,9,0),"")</f>
        <v/>
      </c>
      <c r="Q38" s="359" t="str">
        <f>IFERROR(VLOOKUP($A38,#REF!,10,0),"")</f>
        <v/>
      </c>
      <c r="R38" s="359" t="str">
        <f>IFERROR(VLOOKUP($A38,#REF!,11,0),"")</f>
        <v/>
      </c>
      <c r="S38" s="359" t="str">
        <f>IFERROR(VLOOKUP($A38,#REF!,13,0),"")</f>
        <v/>
      </c>
      <c r="T38" s="359" t="str">
        <f>IFERROR(VLOOKUP($A38,#REF!,14,0),"")</f>
        <v/>
      </c>
      <c r="U38" s="359" t="str">
        <f>IFERROR(VLOOKUP($A38,#REF!,15,0),"")</f>
        <v/>
      </c>
      <c r="V38" s="359" t="str">
        <f>IFERROR(VLOOKUP($A38,#REF!,16,0),"")</f>
        <v/>
      </c>
      <c r="W38" s="359" t="str">
        <f>IFERROR(VLOOKUP($A38,#REF!,17,0),"")</f>
        <v/>
      </c>
      <c r="X38" s="359" t="str">
        <f>IFERROR(VLOOKUP($A38,#REF!,18,0),"")</f>
        <v/>
      </c>
      <c r="Y38" s="359" t="str">
        <f>IFERROR(VLOOKUP($A38,#REF!,19,0),"")</f>
        <v/>
      </c>
      <c r="Z38" s="400" t="str">
        <f>IFERROR(VLOOKUP($A38,#REF!,21,0),"")</f>
        <v/>
      </c>
      <c r="AA38" s="359"/>
      <c r="AB38" s="359"/>
      <c r="AC38" s="359" t="s">
        <v>1721</v>
      </c>
      <c r="AD38" s="359" t="s">
        <v>1638</v>
      </c>
      <c r="AE38" s="102" t="s">
        <v>3134</v>
      </c>
      <c r="AF38" s="141" t="s">
        <v>3082</v>
      </c>
      <c r="AG38" s="358" t="s">
        <v>2270</v>
      </c>
      <c r="AH38" s="358" t="s">
        <v>3135</v>
      </c>
      <c r="AI38" s="359" t="s">
        <v>3136</v>
      </c>
      <c r="AJ38" s="359" t="s">
        <v>3137</v>
      </c>
      <c r="AK38" s="359"/>
      <c r="AL38" s="359"/>
      <c r="AM38" s="359"/>
      <c r="AN38" s="359" t="s">
        <v>32</v>
      </c>
      <c r="AO38" s="358"/>
      <c r="AP38" s="380"/>
      <c r="AQ38" s="384" t="s">
        <v>1638</v>
      </c>
      <c r="AR38" s="358"/>
      <c r="AS38" s="358"/>
      <c r="AT38" s="384"/>
      <c r="AU38" s="380"/>
      <c r="AV38" s="95" t="s">
        <v>32</v>
      </c>
      <c r="AW38" s="95" t="s">
        <v>32</v>
      </c>
      <c r="AX38" s="95"/>
      <c r="AY38" s="100" t="s">
        <v>30</v>
      </c>
      <c r="AZ38" s="100" t="s">
        <v>30</v>
      </c>
      <c r="BA38" s="95" t="s">
        <v>32</v>
      </c>
      <c r="BB38" s="100" t="s">
        <v>30</v>
      </c>
      <c r="BC38" s="100" t="s">
        <v>30</v>
      </c>
      <c r="BD38" s="100" t="s">
        <v>30</v>
      </c>
      <c r="BE38" s="100" t="s">
        <v>30</v>
      </c>
      <c r="BF38" s="100" t="s">
        <v>30</v>
      </c>
      <c r="BG38" s="114"/>
      <c r="BH38" s="111" t="s">
        <v>30</v>
      </c>
      <c r="BI38" s="111" t="s">
        <v>30</v>
      </c>
      <c r="BJ38" s="95" t="s">
        <v>32</v>
      </c>
      <c r="BK38" s="95"/>
      <c r="BL38" s="360" t="s">
        <v>3128</v>
      </c>
      <c r="BN38" s="412"/>
      <c r="BO38" s="412"/>
      <c r="BP38" s="412"/>
      <c r="BQ38" s="412"/>
      <c r="BR38" s="412"/>
      <c r="BS38"/>
      <c r="BT38"/>
      <c r="BU38"/>
      <c r="BV38"/>
      <c r="BZ38">
        <f t="shared" si="1"/>
        <v>1</v>
      </c>
    </row>
    <row r="39" spans="1:78" ht="15.6" hidden="1" customHeight="1">
      <c r="A39" s="35" t="str">
        <f t="shared" si="0"/>
        <v>M074/2646039</v>
      </c>
      <c r="C39" s="358" t="s">
        <v>24</v>
      </c>
      <c r="D39" s="358">
        <v>36</v>
      </c>
      <c r="E39" s="359" t="s">
        <v>3138</v>
      </c>
      <c r="F39" s="359" t="s">
        <v>34</v>
      </c>
      <c r="G39" s="400">
        <v>46039</v>
      </c>
      <c r="H39" s="359" t="s">
        <v>35</v>
      </c>
      <c r="I39" s="359">
        <v>5</v>
      </c>
      <c r="J39" s="359" t="str">
        <f>IFERROR(VLOOKUP($A39,#REF!,3,0),"")</f>
        <v/>
      </c>
      <c r="K39" s="359" t="str">
        <f>IFERROR(VLOOKUP($A39,#REF!,4,0),AF39)</f>
        <v>INT</v>
      </c>
      <c r="L39" s="359" t="str">
        <f>IFERROR(VLOOKUP($A39,#REF!,5,0),"")</f>
        <v/>
      </c>
      <c r="M39" s="359" t="str">
        <f>IFERROR(VLOOKUP($A39,#REF!,7,0),"")</f>
        <v/>
      </c>
      <c r="N39" s="359"/>
      <c r="O39" s="359" t="str">
        <f>IFERROR(VLOOKUP($A39,#REF!,6,0),"")</f>
        <v/>
      </c>
      <c r="P39" s="359" t="str">
        <f>IFERROR(VLOOKUP($A39,#REF!,9,0),"")</f>
        <v/>
      </c>
      <c r="Q39" s="359" t="str">
        <f>IFERROR(VLOOKUP($A39,#REF!,10,0),"")</f>
        <v/>
      </c>
      <c r="R39" s="359" t="str">
        <f>IFERROR(VLOOKUP($A39,#REF!,11,0),"")</f>
        <v/>
      </c>
      <c r="S39" s="359" t="str">
        <f>IFERROR(VLOOKUP($A39,#REF!,13,0),"")</f>
        <v/>
      </c>
      <c r="T39" s="359" t="str">
        <f>IFERROR(VLOOKUP($A39,#REF!,14,0),"")</f>
        <v/>
      </c>
      <c r="U39" s="359" t="str">
        <f>IFERROR(VLOOKUP($A39,#REF!,15,0),"")</f>
        <v/>
      </c>
      <c r="V39" s="359" t="str">
        <f>IFERROR(VLOOKUP($A39,#REF!,16,0),"")</f>
        <v/>
      </c>
      <c r="W39" s="359" t="str">
        <f>IFERROR(VLOOKUP($A39,#REF!,17,0),"")</f>
        <v/>
      </c>
      <c r="X39" s="359" t="str">
        <f>IFERROR(VLOOKUP($A39,#REF!,18,0),"")</f>
        <v/>
      </c>
      <c r="Y39" s="359" t="str">
        <f>IFERROR(VLOOKUP($A39,#REF!,19,0),"")</f>
        <v/>
      </c>
      <c r="Z39" s="400" t="str">
        <f>IFERROR(VLOOKUP($A39,#REF!,21,0),"")</f>
        <v/>
      </c>
      <c r="AA39" s="359"/>
      <c r="AB39" s="359"/>
      <c r="AC39" s="359" t="s">
        <v>1721</v>
      </c>
      <c r="AD39" s="359" t="s">
        <v>1638</v>
      </c>
      <c r="AE39" s="358"/>
      <c r="AF39" s="141" t="s">
        <v>3077</v>
      </c>
      <c r="AG39" s="358" t="s">
        <v>2102</v>
      </c>
      <c r="AH39" s="358" t="s">
        <v>3135</v>
      </c>
      <c r="AI39" s="359" t="s">
        <v>3136</v>
      </c>
      <c r="AJ39" s="359" t="s">
        <v>2166</v>
      </c>
      <c r="AK39" s="359"/>
      <c r="AL39" s="359"/>
      <c r="AM39" s="359"/>
      <c r="AN39" s="359" t="s">
        <v>32</v>
      </c>
      <c r="AO39" s="358" t="s">
        <v>30</v>
      </c>
      <c r="AP39" s="380">
        <v>46058</v>
      </c>
      <c r="AQ39" s="384" t="s">
        <v>1638</v>
      </c>
      <c r="AR39" s="358" t="s">
        <v>32</v>
      </c>
      <c r="AS39" s="358">
        <v>3</v>
      </c>
      <c r="AT39" s="384" t="s">
        <v>1638</v>
      </c>
      <c r="AU39" s="380">
        <v>46058</v>
      </c>
      <c r="AV39" s="82" t="s">
        <v>30</v>
      </c>
      <c r="AW39" s="100" t="s">
        <v>30</v>
      </c>
      <c r="AX39" s="100" t="s">
        <v>30</v>
      </c>
      <c r="AY39" s="100" t="s">
        <v>30</v>
      </c>
      <c r="AZ39" s="100" t="s">
        <v>30</v>
      </c>
      <c r="BA39" s="100" t="s">
        <v>30</v>
      </c>
      <c r="BB39" s="100" t="s">
        <v>30</v>
      </c>
      <c r="BC39" s="100" t="s">
        <v>30</v>
      </c>
      <c r="BD39" s="100" t="s">
        <v>30</v>
      </c>
      <c r="BE39" s="100" t="s">
        <v>30</v>
      </c>
      <c r="BF39" s="100" t="s">
        <v>30</v>
      </c>
      <c r="BG39" s="100" t="s">
        <v>30</v>
      </c>
      <c r="BH39" s="100" t="s">
        <v>30</v>
      </c>
      <c r="BI39" s="100" t="s">
        <v>30</v>
      </c>
      <c r="BJ39" s="100" t="s">
        <v>30</v>
      </c>
      <c r="BK39" s="95"/>
      <c r="BL39" s="360"/>
      <c r="BN39"/>
      <c r="BO39"/>
      <c r="BP39"/>
      <c r="BQ39"/>
      <c r="BR39"/>
      <c r="BS39" s="72"/>
      <c r="BZ39">
        <f t="shared" si="1"/>
        <v>1</v>
      </c>
    </row>
    <row r="40" spans="1:78" ht="15.6" hidden="1" customHeight="1">
      <c r="A40" s="35" t="str">
        <f t="shared" si="0"/>
        <v>036/2646039</v>
      </c>
      <c r="C40" s="358" t="s">
        <v>24</v>
      </c>
      <c r="D40" s="358">
        <v>37</v>
      </c>
      <c r="E40" s="359" t="s">
        <v>3139</v>
      </c>
      <c r="F40" s="359" t="s">
        <v>34</v>
      </c>
      <c r="G40" s="400">
        <v>46039</v>
      </c>
      <c r="H40" s="359" t="s">
        <v>401</v>
      </c>
      <c r="I40" s="359">
        <v>5</v>
      </c>
      <c r="J40" s="359" t="str">
        <f>IFERROR(VLOOKUP($A40,#REF!,3,0),"")</f>
        <v/>
      </c>
      <c r="K40" s="359" t="str">
        <f>IFERROR(VLOOKUP($A40,#REF!,4,0),AF40)</f>
        <v>INT</v>
      </c>
      <c r="L40" s="359" t="str">
        <f>IFERROR(VLOOKUP($A40,#REF!,5,0),"")</f>
        <v/>
      </c>
      <c r="M40" s="359" t="str">
        <f>IFERROR(VLOOKUP($A40,#REF!,7,0),"")</f>
        <v/>
      </c>
      <c r="N40" s="359"/>
      <c r="O40" s="359" t="str">
        <f>IFERROR(VLOOKUP($A40,#REF!,6,0),"")</f>
        <v/>
      </c>
      <c r="P40" s="359" t="str">
        <f>IFERROR(VLOOKUP($A40,#REF!,9,0),"")</f>
        <v/>
      </c>
      <c r="Q40" s="359" t="str">
        <f>IFERROR(VLOOKUP($A40,#REF!,10,0),"")</f>
        <v/>
      </c>
      <c r="R40" s="359" t="str">
        <f>IFERROR(VLOOKUP($A40,#REF!,11,0),"")</f>
        <v/>
      </c>
      <c r="S40" s="359" t="str">
        <f>IFERROR(VLOOKUP($A40,#REF!,13,0),"")</f>
        <v/>
      </c>
      <c r="T40" s="359" t="str">
        <f>IFERROR(VLOOKUP($A40,#REF!,14,0),"")</f>
        <v/>
      </c>
      <c r="U40" s="359" t="str">
        <f>IFERROR(VLOOKUP($A40,#REF!,15,0),"")</f>
        <v/>
      </c>
      <c r="V40" s="359" t="str">
        <f>IFERROR(VLOOKUP($A40,#REF!,16,0),"")</f>
        <v/>
      </c>
      <c r="W40" s="359" t="str">
        <f>IFERROR(VLOOKUP($A40,#REF!,17,0),"")</f>
        <v/>
      </c>
      <c r="X40" s="359" t="str">
        <f>IFERROR(VLOOKUP($A40,#REF!,18,0),"")</f>
        <v/>
      </c>
      <c r="Y40" s="359" t="str">
        <f>IFERROR(VLOOKUP($A40,#REF!,19,0),"")</f>
        <v/>
      </c>
      <c r="Z40" s="400" t="str">
        <f>IFERROR(VLOOKUP($A40,#REF!,21,0),"")</f>
        <v/>
      </c>
      <c r="AA40" s="359"/>
      <c r="AB40" s="359"/>
      <c r="AC40" s="359" t="s">
        <v>1721</v>
      </c>
      <c r="AD40" s="359" t="s">
        <v>1638</v>
      </c>
      <c r="AE40" s="358"/>
      <c r="AF40" s="141" t="s">
        <v>3077</v>
      </c>
      <c r="AG40" s="358" t="s">
        <v>2102</v>
      </c>
      <c r="AH40" s="358" t="s">
        <v>401</v>
      </c>
      <c r="AI40" s="359" t="s">
        <v>401</v>
      </c>
      <c r="AJ40" s="359" t="s">
        <v>401</v>
      </c>
      <c r="AK40" s="359"/>
      <c r="AL40" s="359"/>
      <c r="AM40" s="359"/>
      <c r="AN40" s="359" t="s">
        <v>32</v>
      </c>
      <c r="AO40" s="358" t="s">
        <v>30</v>
      </c>
      <c r="AP40" s="380">
        <v>46059</v>
      </c>
      <c r="AQ40" s="384" t="s">
        <v>1638</v>
      </c>
      <c r="AR40" s="358" t="s">
        <v>32</v>
      </c>
      <c r="AS40" s="358">
        <v>5</v>
      </c>
      <c r="AT40" s="384" t="s">
        <v>1638</v>
      </c>
      <c r="AU40" s="380">
        <v>46059</v>
      </c>
      <c r="AV40" s="82" t="s">
        <v>30</v>
      </c>
      <c r="AW40" s="82" t="s">
        <v>30</v>
      </c>
      <c r="AX40" s="82" t="s">
        <v>30</v>
      </c>
      <c r="AY40" s="82" t="s">
        <v>30</v>
      </c>
      <c r="AZ40" s="82" t="s">
        <v>30</v>
      </c>
      <c r="BA40" s="82" t="s">
        <v>30</v>
      </c>
      <c r="BB40" s="82" t="s">
        <v>30</v>
      </c>
      <c r="BC40" s="82" t="s">
        <v>30</v>
      </c>
      <c r="BD40" s="82" t="s">
        <v>30</v>
      </c>
      <c r="BE40" s="82" t="s">
        <v>30</v>
      </c>
      <c r="BF40" s="82" t="s">
        <v>30</v>
      </c>
      <c r="BG40" s="100" t="s">
        <v>30</v>
      </c>
      <c r="BH40" s="100" t="s">
        <v>30</v>
      </c>
      <c r="BI40" s="100" t="s">
        <v>30</v>
      </c>
      <c r="BJ40" s="100" t="s">
        <v>30</v>
      </c>
      <c r="BK40" s="95"/>
      <c r="BL40" s="360"/>
      <c r="BN40"/>
      <c r="BO40"/>
      <c r="BP40"/>
      <c r="BQ40"/>
      <c r="BR40"/>
      <c r="BS40"/>
      <c r="BT40"/>
      <c r="BU40"/>
      <c r="BV40"/>
      <c r="BZ40">
        <f t="shared" si="1"/>
        <v>1</v>
      </c>
    </row>
    <row r="41" spans="1:78" ht="15.6" hidden="1" customHeight="1">
      <c r="A41" s="35" t="str">
        <f t="shared" si="0"/>
        <v>M049/2646039</v>
      </c>
      <c r="C41" s="358" t="s">
        <v>24</v>
      </c>
      <c r="D41" s="358">
        <v>38</v>
      </c>
      <c r="E41" s="359" t="s">
        <v>3140</v>
      </c>
      <c r="F41" s="359" t="s">
        <v>34</v>
      </c>
      <c r="G41" s="400">
        <v>46039</v>
      </c>
      <c r="H41" s="359" t="s">
        <v>1608</v>
      </c>
      <c r="I41" s="359">
        <v>15</v>
      </c>
      <c r="J41" s="359" t="str">
        <f>IFERROR(VLOOKUP($A41,#REF!,3,0),"")</f>
        <v/>
      </c>
      <c r="K41" s="359" t="str">
        <f>IFERROR(VLOOKUP($A41,#REF!,4,0),AF41)</f>
        <v>INT</v>
      </c>
      <c r="L41" s="359" t="str">
        <f>IFERROR(VLOOKUP($A41,#REF!,5,0),"")</f>
        <v/>
      </c>
      <c r="M41" s="359" t="str">
        <f>IFERROR(VLOOKUP($A41,#REF!,7,0),"")</f>
        <v/>
      </c>
      <c r="N41" s="359"/>
      <c r="O41" s="359" t="str">
        <f>IFERROR(VLOOKUP($A41,#REF!,6,0),"")</f>
        <v/>
      </c>
      <c r="P41" s="359" t="str">
        <f>IFERROR(VLOOKUP($A41,#REF!,9,0),"")</f>
        <v/>
      </c>
      <c r="Q41" s="359" t="str">
        <f>IFERROR(VLOOKUP($A41,#REF!,10,0),"")</f>
        <v/>
      </c>
      <c r="R41" s="359" t="str">
        <f>IFERROR(VLOOKUP($A41,#REF!,11,0),"")</f>
        <v/>
      </c>
      <c r="S41" s="359" t="str">
        <f>IFERROR(VLOOKUP($A41,#REF!,13,0),"")</f>
        <v/>
      </c>
      <c r="T41" s="359" t="str">
        <f>IFERROR(VLOOKUP($A41,#REF!,14,0),"")</f>
        <v/>
      </c>
      <c r="U41" s="359" t="str">
        <f>IFERROR(VLOOKUP($A41,#REF!,15,0),"")</f>
        <v/>
      </c>
      <c r="V41" s="359" t="str">
        <f>IFERROR(VLOOKUP($A41,#REF!,16,0),"")</f>
        <v/>
      </c>
      <c r="W41" s="359" t="str">
        <f>IFERROR(VLOOKUP($A41,#REF!,17,0),"")</f>
        <v/>
      </c>
      <c r="X41" s="359" t="str">
        <f>IFERROR(VLOOKUP($A41,#REF!,18,0),"")</f>
        <v/>
      </c>
      <c r="Y41" s="359" t="str">
        <f>IFERROR(VLOOKUP($A41,#REF!,19,0),"")</f>
        <v/>
      </c>
      <c r="Z41" s="400" t="str">
        <f>IFERROR(VLOOKUP($A41,#REF!,21,0),"")</f>
        <v/>
      </c>
      <c r="AA41" s="359"/>
      <c r="AB41" s="359"/>
      <c r="AC41" s="359" t="s">
        <v>67</v>
      </c>
      <c r="AD41" s="359" t="s">
        <v>47</v>
      </c>
      <c r="AE41" s="358"/>
      <c r="AF41" s="141" t="s">
        <v>3077</v>
      </c>
      <c r="AG41" s="358" t="s">
        <v>2052</v>
      </c>
      <c r="AH41" s="358" t="s">
        <v>3131</v>
      </c>
      <c r="AI41" s="359" t="s">
        <v>3131</v>
      </c>
      <c r="AJ41" s="359" t="s">
        <v>2050</v>
      </c>
      <c r="AK41" s="359"/>
      <c r="AL41" s="359"/>
      <c r="AM41" s="359"/>
      <c r="AN41" s="130" t="s">
        <v>31</v>
      </c>
      <c r="AO41" s="380" t="s">
        <v>30</v>
      </c>
      <c r="AP41" s="380">
        <v>46068</v>
      </c>
      <c r="AQ41" s="384" t="s">
        <v>47</v>
      </c>
      <c r="AR41" s="358" t="s">
        <v>32</v>
      </c>
      <c r="AS41" s="358">
        <v>12</v>
      </c>
      <c r="AT41" s="384" t="s">
        <v>47</v>
      </c>
      <c r="AU41" s="380">
        <v>46068</v>
      </c>
      <c r="AV41" s="100" t="s">
        <v>30</v>
      </c>
      <c r="AW41" s="100" t="s">
        <v>30</v>
      </c>
      <c r="AX41" s="100" t="s">
        <v>30</v>
      </c>
      <c r="AY41" s="100" t="s">
        <v>30</v>
      </c>
      <c r="AZ41" s="100" t="s">
        <v>30</v>
      </c>
      <c r="BA41" s="100" t="s">
        <v>30</v>
      </c>
      <c r="BB41" s="100" t="s">
        <v>30</v>
      </c>
      <c r="BC41" s="100" t="s">
        <v>30</v>
      </c>
      <c r="BD41" s="100" t="s">
        <v>30</v>
      </c>
      <c r="BE41" s="100" t="s">
        <v>30</v>
      </c>
      <c r="BF41" s="100" t="s">
        <v>30</v>
      </c>
      <c r="BG41" s="100" t="s">
        <v>30</v>
      </c>
      <c r="BH41" s="111" t="s">
        <v>30</v>
      </c>
      <c r="BI41" s="111" t="s">
        <v>30</v>
      </c>
      <c r="BJ41" s="111" t="s">
        <v>30</v>
      </c>
      <c r="BK41" s="95"/>
      <c r="BL41" s="360"/>
      <c r="BN41"/>
      <c r="BO41"/>
      <c r="BP41"/>
      <c r="BQ41"/>
      <c r="BR41"/>
      <c r="BS41"/>
      <c r="BT41"/>
      <c r="BU41"/>
      <c r="BV41"/>
      <c r="BZ41">
        <f t="shared" si="1"/>
        <v>1</v>
      </c>
    </row>
    <row r="42" spans="1:78" ht="15.6" hidden="1" customHeight="1">
      <c r="A42" s="35" t="str">
        <f t="shared" si="0"/>
        <v>M050/2646039</v>
      </c>
      <c r="C42" s="358" t="s">
        <v>24</v>
      </c>
      <c r="D42" s="358">
        <v>39</v>
      </c>
      <c r="E42" s="359" t="s">
        <v>3141</v>
      </c>
      <c r="F42" s="359" t="s">
        <v>34</v>
      </c>
      <c r="G42" s="400">
        <v>46039</v>
      </c>
      <c r="H42" s="359" t="s">
        <v>187</v>
      </c>
      <c r="I42" s="359">
        <v>13</v>
      </c>
      <c r="J42" s="359" t="str">
        <f>IFERROR(VLOOKUP($A42,#REF!,3,0),"")</f>
        <v/>
      </c>
      <c r="K42" s="359" t="str">
        <f>IFERROR(VLOOKUP($A42,#REF!,4,0),AF42)</f>
        <v>INT</v>
      </c>
      <c r="L42" s="359" t="str">
        <f>IFERROR(VLOOKUP($A42,#REF!,5,0),"")</f>
        <v/>
      </c>
      <c r="M42" s="359" t="str">
        <f>IFERROR(VLOOKUP($A42,#REF!,7,0),"")</f>
        <v/>
      </c>
      <c r="N42" s="359"/>
      <c r="O42" s="359" t="str">
        <f>IFERROR(VLOOKUP($A42,#REF!,6,0),"")</f>
        <v/>
      </c>
      <c r="P42" s="359" t="str">
        <f>IFERROR(VLOOKUP($A42,#REF!,9,0),"")</f>
        <v/>
      </c>
      <c r="Q42" s="359" t="str">
        <f>IFERROR(VLOOKUP($A42,#REF!,10,0),"")</f>
        <v/>
      </c>
      <c r="R42" s="359" t="str">
        <f>IFERROR(VLOOKUP($A42,#REF!,11,0),"")</f>
        <v/>
      </c>
      <c r="S42" s="359" t="str">
        <f>IFERROR(VLOOKUP($A42,#REF!,13,0),"")</f>
        <v/>
      </c>
      <c r="T42" s="359" t="str">
        <f>IFERROR(VLOOKUP($A42,#REF!,14,0),"")</f>
        <v/>
      </c>
      <c r="U42" s="359" t="str">
        <f>IFERROR(VLOOKUP($A42,#REF!,15,0),"")</f>
        <v/>
      </c>
      <c r="V42" s="359" t="str">
        <f>IFERROR(VLOOKUP($A42,#REF!,16,0),"")</f>
        <v/>
      </c>
      <c r="W42" s="359" t="str">
        <f>IFERROR(VLOOKUP($A42,#REF!,17,0),"")</f>
        <v/>
      </c>
      <c r="X42" s="359" t="str">
        <f>IFERROR(VLOOKUP($A42,#REF!,18,0),"")</f>
        <v/>
      </c>
      <c r="Y42" s="359" t="str">
        <f>IFERROR(VLOOKUP($A42,#REF!,19,0),"")</f>
        <v/>
      </c>
      <c r="Z42" s="400" t="str">
        <f>IFERROR(VLOOKUP($A42,#REF!,21,0),"")</f>
        <v/>
      </c>
      <c r="AA42" s="359"/>
      <c r="AB42" s="359"/>
      <c r="AC42" s="359" t="s">
        <v>67</v>
      </c>
      <c r="AD42" s="359" t="s">
        <v>47</v>
      </c>
      <c r="AE42" s="102" t="s">
        <v>2110</v>
      </c>
      <c r="AF42" s="141" t="s">
        <v>3077</v>
      </c>
      <c r="AG42" s="358" t="s">
        <v>2130</v>
      </c>
      <c r="AH42" s="358" t="s">
        <v>3135</v>
      </c>
      <c r="AI42" s="359" t="s">
        <v>3135</v>
      </c>
      <c r="AJ42" s="359" t="s">
        <v>2050</v>
      </c>
      <c r="AK42" s="359"/>
      <c r="AL42" s="359"/>
      <c r="AM42" s="359"/>
      <c r="AN42" s="359" t="s">
        <v>32</v>
      </c>
      <c r="AO42" s="358"/>
      <c r="AP42" s="380">
        <v>46061</v>
      </c>
      <c r="AQ42" s="384" t="s">
        <v>47</v>
      </c>
      <c r="AR42" s="358" t="s">
        <v>30</v>
      </c>
      <c r="AS42" s="358">
        <v>14</v>
      </c>
      <c r="AT42" s="384" t="s">
        <v>47</v>
      </c>
      <c r="AU42" s="380">
        <v>46061</v>
      </c>
      <c r="AV42" s="82" t="s">
        <v>30</v>
      </c>
      <c r="AW42" s="100" t="s">
        <v>30</v>
      </c>
      <c r="AX42" s="100" t="s">
        <v>30</v>
      </c>
      <c r="AY42" s="95" t="s">
        <v>32</v>
      </c>
      <c r="AZ42" s="95" t="s">
        <v>32</v>
      </c>
      <c r="BA42" s="100" t="s">
        <v>30</v>
      </c>
      <c r="BB42" s="100" t="s">
        <v>30</v>
      </c>
      <c r="BC42" s="100" t="s">
        <v>30</v>
      </c>
      <c r="BD42" s="100" t="s">
        <v>30</v>
      </c>
      <c r="BE42" s="100" t="s">
        <v>30</v>
      </c>
      <c r="BF42" s="100" t="s">
        <v>30</v>
      </c>
      <c r="BG42" s="100" t="s">
        <v>30</v>
      </c>
      <c r="BH42" s="100" t="s">
        <v>30</v>
      </c>
      <c r="BI42" s="100" t="s">
        <v>30</v>
      </c>
      <c r="BJ42" s="100" t="s">
        <v>30</v>
      </c>
      <c r="BK42" s="95"/>
      <c r="BL42" s="360" t="s">
        <v>3089</v>
      </c>
      <c r="BN42"/>
      <c r="BO42"/>
      <c r="BP42"/>
      <c r="BQ42"/>
      <c r="BR42"/>
      <c r="BS42" s="72"/>
      <c r="BZ42">
        <f t="shared" si="1"/>
        <v>1</v>
      </c>
    </row>
    <row r="43" spans="1:78" ht="15.6" hidden="1" customHeight="1">
      <c r="A43" s="35" t="str">
        <f t="shared" si="0"/>
        <v>M068/2646039</v>
      </c>
      <c r="C43" s="358" t="s">
        <v>24</v>
      </c>
      <c r="D43" s="358">
        <v>40</v>
      </c>
      <c r="E43" s="359" t="s">
        <v>3142</v>
      </c>
      <c r="F43" s="359" t="s">
        <v>406</v>
      </c>
      <c r="G43" s="400">
        <v>46039</v>
      </c>
      <c r="H43" s="359" t="s">
        <v>1135</v>
      </c>
      <c r="I43" s="359">
        <v>14</v>
      </c>
      <c r="J43" s="359" t="str">
        <f>IFERROR(VLOOKUP($A43,#REF!,3,0),"")</f>
        <v/>
      </c>
      <c r="K43" s="359" t="str">
        <f>IFERROR(VLOOKUP($A43,#REF!,4,0),AF43)</f>
        <v>INT</v>
      </c>
      <c r="L43" s="359" t="str">
        <f>IFERROR(VLOOKUP($A43,#REF!,5,0),"")</f>
        <v/>
      </c>
      <c r="M43" s="359" t="str">
        <f>IFERROR(VLOOKUP($A43,#REF!,7,0),"")</f>
        <v/>
      </c>
      <c r="N43" s="359"/>
      <c r="O43" s="359" t="str">
        <f>IFERROR(VLOOKUP($A43,#REF!,6,0),"")</f>
        <v/>
      </c>
      <c r="P43" s="359" t="str">
        <f>IFERROR(VLOOKUP($A43,#REF!,9,0),"")</f>
        <v/>
      </c>
      <c r="Q43" s="359" t="str">
        <f>IFERROR(VLOOKUP($A43,#REF!,10,0),"")</f>
        <v/>
      </c>
      <c r="R43" s="359" t="str">
        <f>IFERROR(VLOOKUP($A43,#REF!,11,0),"")</f>
        <v/>
      </c>
      <c r="S43" s="359" t="str">
        <f>IFERROR(VLOOKUP($A43,#REF!,13,0),"")</f>
        <v/>
      </c>
      <c r="T43" s="359" t="str">
        <f>IFERROR(VLOOKUP($A43,#REF!,14,0),"")</f>
        <v/>
      </c>
      <c r="U43" s="359" t="str">
        <f>IFERROR(VLOOKUP($A43,#REF!,15,0),"")</f>
        <v/>
      </c>
      <c r="V43" s="359" t="str">
        <f>IFERROR(VLOOKUP($A43,#REF!,16,0),"")</f>
        <v/>
      </c>
      <c r="W43" s="359" t="str">
        <f>IFERROR(VLOOKUP($A43,#REF!,17,0),"")</f>
        <v/>
      </c>
      <c r="X43" s="359" t="str">
        <f>IFERROR(VLOOKUP($A43,#REF!,18,0),"")</f>
        <v/>
      </c>
      <c r="Y43" s="359" t="str">
        <f>IFERROR(VLOOKUP($A43,#REF!,19,0),"")</f>
        <v/>
      </c>
      <c r="Z43" s="400" t="str">
        <f>IFERROR(VLOOKUP($A43,#REF!,21,0),"")</f>
        <v/>
      </c>
      <c r="AA43" s="359"/>
      <c r="AB43" s="359"/>
      <c r="AC43" s="359" t="s">
        <v>67</v>
      </c>
      <c r="AD43" s="359" t="s">
        <v>47</v>
      </c>
      <c r="AE43" s="358"/>
      <c r="AF43" s="141" t="s">
        <v>3077</v>
      </c>
      <c r="AG43" s="358" t="s">
        <v>2126</v>
      </c>
      <c r="AH43" s="358" t="s">
        <v>3131</v>
      </c>
      <c r="AI43" s="359" t="s">
        <v>3135</v>
      </c>
      <c r="AJ43" s="359" t="s">
        <v>2050</v>
      </c>
      <c r="AK43" s="359"/>
      <c r="AL43" s="359"/>
      <c r="AM43" s="359"/>
      <c r="AN43" s="359" t="s">
        <v>32</v>
      </c>
      <c r="AO43" s="358" t="s">
        <v>30</v>
      </c>
      <c r="AP43" s="380">
        <v>46060</v>
      </c>
      <c r="AQ43" s="384" t="s">
        <v>47</v>
      </c>
      <c r="AR43" s="358" t="s">
        <v>32</v>
      </c>
      <c r="AS43" s="358">
        <v>12</v>
      </c>
      <c r="AT43" s="384" t="s">
        <v>47</v>
      </c>
      <c r="AU43" s="380">
        <v>46060</v>
      </c>
      <c r="AV43" s="94" t="s">
        <v>30</v>
      </c>
      <c r="AW43" s="82" t="s">
        <v>30</v>
      </c>
      <c r="AX43" s="100" t="s">
        <v>30</v>
      </c>
      <c r="AY43" s="100" t="s">
        <v>30</v>
      </c>
      <c r="AZ43" s="100" t="s">
        <v>30</v>
      </c>
      <c r="BA43" s="100" t="s">
        <v>30</v>
      </c>
      <c r="BB43" s="100" t="s">
        <v>30</v>
      </c>
      <c r="BC43" s="100" t="s">
        <v>30</v>
      </c>
      <c r="BD43" s="100" t="s">
        <v>30</v>
      </c>
      <c r="BE43" s="100" t="s">
        <v>30</v>
      </c>
      <c r="BF43" s="100" t="s">
        <v>30</v>
      </c>
      <c r="BG43" s="100" t="s">
        <v>30</v>
      </c>
      <c r="BH43" s="100" t="s">
        <v>30</v>
      </c>
      <c r="BI43" s="100" t="s">
        <v>30</v>
      </c>
      <c r="BJ43" s="100" t="s">
        <v>30</v>
      </c>
      <c r="BK43" s="95"/>
      <c r="BL43" s="360"/>
      <c r="BN43"/>
      <c r="BO43"/>
      <c r="BP43"/>
      <c r="BQ43"/>
      <c r="BR43"/>
      <c r="BS43"/>
      <c r="BT43"/>
      <c r="BU43"/>
      <c r="BV43"/>
      <c r="BZ43">
        <f t="shared" si="1"/>
        <v>1</v>
      </c>
    </row>
    <row r="44" spans="1:78" ht="15.6" hidden="1" customHeight="1">
      <c r="A44" s="35" t="str">
        <f t="shared" si="0"/>
        <v>027/2646039</v>
      </c>
      <c r="C44" s="358" t="s">
        <v>24</v>
      </c>
      <c r="D44" s="358">
        <v>41</v>
      </c>
      <c r="E44" s="359" t="s">
        <v>3143</v>
      </c>
      <c r="F44" s="359" t="s">
        <v>178</v>
      </c>
      <c r="G44" s="400">
        <v>46039</v>
      </c>
      <c r="H44" s="359" t="s">
        <v>3144</v>
      </c>
      <c r="I44" s="359">
        <v>10</v>
      </c>
      <c r="J44" s="359" t="str">
        <f>IFERROR(VLOOKUP($A44,#REF!,3,0),"")</f>
        <v/>
      </c>
      <c r="K44" s="359" t="str">
        <f>IFERROR(VLOOKUP($A44,#REF!,4,0),AF44)</f>
        <v>INT</v>
      </c>
      <c r="L44" s="359" t="str">
        <f>IFERROR(VLOOKUP($A44,#REF!,5,0),"")</f>
        <v/>
      </c>
      <c r="M44" s="359" t="str">
        <f>IFERROR(VLOOKUP($A44,#REF!,7,0),"")</f>
        <v/>
      </c>
      <c r="N44" s="359"/>
      <c r="O44" s="359" t="str">
        <f>IFERROR(VLOOKUP($A44,#REF!,6,0),"")</f>
        <v/>
      </c>
      <c r="P44" s="359" t="str">
        <f>IFERROR(VLOOKUP($A44,#REF!,9,0),"")</f>
        <v/>
      </c>
      <c r="Q44" s="359" t="str">
        <f>IFERROR(VLOOKUP($A44,#REF!,10,0),"")</f>
        <v/>
      </c>
      <c r="R44" s="359" t="str">
        <f>IFERROR(VLOOKUP($A44,#REF!,11,0),"")</f>
        <v/>
      </c>
      <c r="S44" s="359" t="str">
        <f>IFERROR(VLOOKUP($A44,#REF!,13,0),"")</f>
        <v/>
      </c>
      <c r="T44" s="359" t="str">
        <f>IFERROR(VLOOKUP($A44,#REF!,14,0),"")</f>
        <v/>
      </c>
      <c r="U44" s="359" t="str">
        <f>IFERROR(VLOOKUP($A44,#REF!,15,0),"")</f>
        <v/>
      </c>
      <c r="V44" s="359" t="str">
        <f>IFERROR(VLOOKUP($A44,#REF!,16,0),"")</f>
        <v/>
      </c>
      <c r="W44" s="359" t="str">
        <f>IFERROR(VLOOKUP($A44,#REF!,17,0),"")</f>
        <v/>
      </c>
      <c r="X44" s="359" t="str">
        <f>IFERROR(VLOOKUP($A44,#REF!,18,0),"")</f>
        <v/>
      </c>
      <c r="Y44" s="359" t="str">
        <f>IFERROR(VLOOKUP($A44,#REF!,19,0),"")</f>
        <v/>
      </c>
      <c r="Z44" s="400" t="str">
        <f>IFERROR(VLOOKUP($A44,#REF!,21,0),"")</f>
        <v/>
      </c>
      <c r="AA44" s="359"/>
      <c r="AB44" s="359"/>
      <c r="AC44" s="359" t="s">
        <v>67</v>
      </c>
      <c r="AD44" s="359" t="s">
        <v>47</v>
      </c>
      <c r="AE44" s="102" t="s">
        <v>2110</v>
      </c>
      <c r="AF44" s="141" t="s">
        <v>3077</v>
      </c>
      <c r="AG44" s="358" t="s">
        <v>2123</v>
      </c>
      <c r="AH44" s="358" t="s">
        <v>3131</v>
      </c>
      <c r="AI44" s="358" t="s">
        <v>3136</v>
      </c>
      <c r="AJ44" s="359" t="s">
        <v>3145</v>
      </c>
      <c r="AK44" s="359"/>
      <c r="AL44" s="359"/>
      <c r="AM44" s="359"/>
      <c r="AN44" s="359" t="s">
        <v>32</v>
      </c>
      <c r="AO44" s="358"/>
      <c r="AP44" s="380"/>
      <c r="AQ44" s="384" t="s">
        <v>47</v>
      </c>
      <c r="AR44" s="358" t="s">
        <v>30</v>
      </c>
      <c r="AS44" s="358">
        <v>9</v>
      </c>
      <c r="AT44" s="384" t="s">
        <v>47</v>
      </c>
      <c r="AU44" s="380">
        <v>46070</v>
      </c>
      <c r="AV44" s="82" t="s">
        <v>30</v>
      </c>
      <c r="AW44" s="100" t="s">
        <v>30</v>
      </c>
      <c r="AX44" s="100" t="s">
        <v>30</v>
      </c>
      <c r="AY44" s="100" t="s">
        <v>30</v>
      </c>
      <c r="AZ44" s="100" t="s">
        <v>30</v>
      </c>
      <c r="BA44" s="100" t="s">
        <v>30</v>
      </c>
      <c r="BB44" s="100" t="s">
        <v>30</v>
      </c>
      <c r="BC44" s="100" t="s">
        <v>30</v>
      </c>
      <c r="BD44" s="100" t="s">
        <v>30</v>
      </c>
      <c r="BE44" s="100" t="s">
        <v>30</v>
      </c>
      <c r="BF44" s="100" t="s">
        <v>30</v>
      </c>
      <c r="BG44" s="100" t="s">
        <v>30</v>
      </c>
      <c r="BH44" s="100" t="s">
        <v>30</v>
      </c>
      <c r="BI44" s="100" t="s">
        <v>30</v>
      </c>
      <c r="BJ44" s="100" t="s">
        <v>30</v>
      </c>
      <c r="BK44" s="95"/>
      <c r="BL44" s="360"/>
      <c r="BN44"/>
      <c r="BO44"/>
      <c r="BP44"/>
      <c r="BQ44"/>
      <c r="BR44"/>
      <c r="BS44"/>
      <c r="BT44"/>
      <c r="BU44"/>
      <c r="BV44"/>
      <c r="BZ44">
        <f t="shared" si="1"/>
        <v>1</v>
      </c>
    </row>
    <row r="45" spans="1:78" ht="15.75" hidden="1" customHeight="1">
      <c r="A45" s="35" t="str">
        <f t="shared" si="0"/>
        <v>M060/2646039</v>
      </c>
      <c r="C45" s="358" t="s">
        <v>24</v>
      </c>
      <c r="D45" s="358">
        <v>42</v>
      </c>
      <c r="E45" s="359" t="s">
        <v>3146</v>
      </c>
      <c r="F45" s="359" t="s">
        <v>34</v>
      </c>
      <c r="G45" s="400">
        <v>46039</v>
      </c>
      <c r="H45" s="359" t="s">
        <v>202</v>
      </c>
      <c r="I45" s="359">
        <v>12</v>
      </c>
      <c r="J45" s="359" t="str">
        <f>IFERROR(VLOOKUP($A45,#REF!,3,0),"")</f>
        <v/>
      </c>
      <c r="K45" s="359" t="str">
        <f>IFERROR(VLOOKUP($A45,#REF!,4,0),AF45)</f>
        <v>INT</v>
      </c>
      <c r="L45" s="359" t="str">
        <f>IFERROR(VLOOKUP($A45,#REF!,5,0),"")</f>
        <v/>
      </c>
      <c r="M45" s="359" t="str">
        <f>IFERROR(VLOOKUP($A45,#REF!,7,0),"")</f>
        <v/>
      </c>
      <c r="N45" s="359"/>
      <c r="O45" s="359" t="str">
        <f>IFERROR(VLOOKUP($A45,#REF!,6,0),"")</f>
        <v/>
      </c>
      <c r="P45" s="359" t="str">
        <f>IFERROR(VLOOKUP($A45,#REF!,9,0),"")</f>
        <v/>
      </c>
      <c r="Q45" s="359" t="str">
        <f>IFERROR(VLOOKUP($A45,#REF!,10,0),"")</f>
        <v/>
      </c>
      <c r="R45" s="359" t="str">
        <f>IFERROR(VLOOKUP($A45,#REF!,11,0),"")</f>
        <v/>
      </c>
      <c r="S45" s="359" t="str">
        <f>IFERROR(VLOOKUP($A45,#REF!,13,0),"")</f>
        <v/>
      </c>
      <c r="T45" s="359" t="str">
        <f>IFERROR(VLOOKUP($A45,#REF!,14,0),"")</f>
        <v/>
      </c>
      <c r="U45" s="359" t="str">
        <f>IFERROR(VLOOKUP($A45,#REF!,15,0),"")</f>
        <v/>
      </c>
      <c r="V45" s="359" t="str">
        <f>IFERROR(VLOOKUP($A45,#REF!,16,0),"")</f>
        <v/>
      </c>
      <c r="W45" s="359" t="str">
        <f>IFERROR(VLOOKUP($A45,#REF!,17,0),"")</f>
        <v/>
      </c>
      <c r="X45" s="359" t="str">
        <f>IFERROR(VLOOKUP($A45,#REF!,18,0),"")</f>
        <v/>
      </c>
      <c r="Y45" s="359" t="str">
        <f>IFERROR(VLOOKUP($A45,#REF!,19,0),"")</f>
        <v/>
      </c>
      <c r="Z45" s="400" t="str">
        <f>IFERROR(VLOOKUP($A45,#REF!,21,0),"")</f>
        <v/>
      </c>
      <c r="AA45" s="359"/>
      <c r="AB45" s="359"/>
      <c r="AC45" s="359" t="s">
        <v>127</v>
      </c>
      <c r="AD45" s="359" t="s">
        <v>178</v>
      </c>
      <c r="AE45" s="358"/>
      <c r="AF45" s="141" t="s">
        <v>3077</v>
      </c>
      <c r="AG45" s="358" t="s">
        <v>2180</v>
      </c>
      <c r="AH45" s="358" t="s">
        <v>3131</v>
      </c>
      <c r="AI45" s="358" t="s">
        <v>3131</v>
      </c>
      <c r="AJ45" s="359" t="s">
        <v>2050</v>
      </c>
      <c r="AK45" s="359"/>
      <c r="AL45" s="359"/>
      <c r="AM45" s="359"/>
      <c r="AN45" s="359" t="s">
        <v>32</v>
      </c>
      <c r="AO45" s="358" t="s">
        <v>30</v>
      </c>
      <c r="AP45" s="380">
        <v>46062</v>
      </c>
      <c r="AQ45" s="384" t="s">
        <v>28</v>
      </c>
      <c r="AR45" s="358" t="s">
        <v>32</v>
      </c>
      <c r="AS45" s="358">
        <v>12</v>
      </c>
      <c r="AT45" s="384" t="s">
        <v>28</v>
      </c>
      <c r="AU45" s="380">
        <v>46062</v>
      </c>
      <c r="AV45" s="82" t="s">
        <v>30</v>
      </c>
      <c r="AW45" s="82" t="s">
        <v>30</v>
      </c>
      <c r="AX45" s="100" t="s">
        <v>30</v>
      </c>
      <c r="AY45" s="95" t="s">
        <v>32</v>
      </c>
      <c r="AZ45" s="95" t="s">
        <v>32</v>
      </c>
      <c r="BA45" s="95" t="s">
        <v>32</v>
      </c>
      <c r="BB45" s="100" t="s">
        <v>30</v>
      </c>
      <c r="BC45" s="100" t="s">
        <v>30</v>
      </c>
      <c r="BD45" s="100" t="s">
        <v>30</v>
      </c>
      <c r="BE45" s="100" t="s">
        <v>30</v>
      </c>
      <c r="BF45" s="100" t="s">
        <v>30</v>
      </c>
      <c r="BG45" s="100" t="s">
        <v>30</v>
      </c>
      <c r="BH45" s="100" t="s">
        <v>30</v>
      </c>
      <c r="BI45" s="100" t="s">
        <v>30</v>
      </c>
      <c r="BJ45" s="112" t="s">
        <v>30</v>
      </c>
      <c r="BK45" s="95"/>
      <c r="BL45" s="360"/>
      <c r="BN45"/>
      <c r="BO45"/>
      <c r="BP45"/>
      <c r="BQ45"/>
      <c r="BR45"/>
      <c r="BS45"/>
      <c r="BT45"/>
      <c r="BU45"/>
      <c r="BV45"/>
      <c r="BZ45">
        <f t="shared" si="1"/>
        <v>1</v>
      </c>
    </row>
    <row r="46" spans="1:78" ht="15.75" hidden="1" customHeight="1">
      <c r="A46" s="35" t="str">
        <f t="shared" si="0"/>
        <v>M009/2646039</v>
      </c>
      <c r="C46" s="358" t="s">
        <v>24</v>
      </c>
      <c r="D46" s="358">
        <v>43</v>
      </c>
      <c r="E46" s="359" t="s">
        <v>3147</v>
      </c>
      <c r="F46" s="359" t="s">
        <v>64</v>
      </c>
      <c r="G46" s="400">
        <v>46039</v>
      </c>
      <c r="H46" s="359" t="s">
        <v>97</v>
      </c>
      <c r="I46" s="359">
        <v>22</v>
      </c>
      <c r="J46" s="359" t="str">
        <f>IFERROR(VLOOKUP($A46,#REF!,3,0),"")</f>
        <v/>
      </c>
      <c r="K46" s="359" t="str">
        <f>IFERROR(VLOOKUP($A46,#REF!,4,0),AF46)</f>
        <v>INT</v>
      </c>
      <c r="L46" s="359" t="str">
        <f>IFERROR(VLOOKUP($A46,#REF!,5,0),"")</f>
        <v/>
      </c>
      <c r="M46" s="359" t="str">
        <f>IFERROR(VLOOKUP($A46,#REF!,7,0),"")</f>
        <v/>
      </c>
      <c r="N46" s="359"/>
      <c r="O46" s="359" t="str">
        <f>IFERROR(VLOOKUP($A46,#REF!,6,0),"")</f>
        <v/>
      </c>
      <c r="P46" s="359" t="str">
        <f>IFERROR(VLOOKUP($A46,#REF!,9,0),"")</f>
        <v/>
      </c>
      <c r="Q46" s="359" t="str">
        <f>IFERROR(VLOOKUP($A46,#REF!,10,0),"")</f>
        <v/>
      </c>
      <c r="R46" s="359" t="str">
        <f>IFERROR(VLOOKUP($A46,#REF!,11,0),"")</f>
        <v/>
      </c>
      <c r="S46" s="359" t="str">
        <f>IFERROR(VLOOKUP($A46,#REF!,13,0),"")</f>
        <v/>
      </c>
      <c r="T46" s="359" t="str">
        <f>IFERROR(VLOOKUP($A46,#REF!,14,0),"")</f>
        <v/>
      </c>
      <c r="U46" s="359" t="str">
        <f>IFERROR(VLOOKUP($A46,#REF!,15,0),"")</f>
        <v/>
      </c>
      <c r="V46" s="359" t="str">
        <f>IFERROR(VLOOKUP($A46,#REF!,16,0),"")</f>
        <v/>
      </c>
      <c r="W46" s="359" t="str">
        <f>IFERROR(VLOOKUP($A46,#REF!,17,0),"")</f>
        <v/>
      </c>
      <c r="X46" s="359" t="str">
        <f>IFERROR(VLOOKUP($A46,#REF!,18,0),"")</f>
        <v/>
      </c>
      <c r="Y46" s="359" t="str">
        <f>IFERROR(VLOOKUP($A46,#REF!,19,0),"")</f>
        <v/>
      </c>
      <c r="Z46" s="400" t="str">
        <f>IFERROR(VLOOKUP($A46,#REF!,21,0),"")</f>
        <v/>
      </c>
      <c r="AA46" s="359"/>
      <c r="AB46" s="359"/>
      <c r="AC46" s="359" t="s">
        <v>127</v>
      </c>
      <c r="AD46" s="359" t="s">
        <v>178</v>
      </c>
      <c r="AE46" s="358"/>
      <c r="AF46" s="141" t="s">
        <v>3077</v>
      </c>
      <c r="AG46" s="358" t="s">
        <v>2085</v>
      </c>
      <c r="AH46" s="358" t="s">
        <v>3131</v>
      </c>
      <c r="AI46" s="359" t="s">
        <v>3131</v>
      </c>
      <c r="AJ46" s="359" t="s">
        <v>3148</v>
      </c>
      <c r="AK46" s="359"/>
      <c r="AL46" s="359"/>
      <c r="AM46" s="359"/>
      <c r="AN46" s="130" t="s">
        <v>31</v>
      </c>
      <c r="AO46" s="358" t="s">
        <v>30</v>
      </c>
      <c r="AP46" s="380">
        <v>46063</v>
      </c>
      <c r="AQ46" s="384" t="s">
        <v>28</v>
      </c>
      <c r="AR46" s="358" t="s">
        <v>32</v>
      </c>
      <c r="AS46" s="358">
        <v>21</v>
      </c>
      <c r="AT46" s="384" t="s">
        <v>28</v>
      </c>
      <c r="AU46" s="380">
        <v>46063</v>
      </c>
      <c r="AV46" s="82" t="s">
        <v>30</v>
      </c>
      <c r="AW46" s="100" t="s">
        <v>30</v>
      </c>
      <c r="AX46" s="100" t="s">
        <v>30</v>
      </c>
      <c r="AY46" s="100" t="s">
        <v>30</v>
      </c>
      <c r="AZ46" s="100" t="s">
        <v>30</v>
      </c>
      <c r="BA46" s="100" t="s">
        <v>30</v>
      </c>
      <c r="BB46" s="100" t="s">
        <v>30</v>
      </c>
      <c r="BC46" s="100" t="s">
        <v>30</v>
      </c>
      <c r="BD46" s="100" t="s">
        <v>30</v>
      </c>
      <c r="BE46" s="100" t="s">
        <v>30</v>
      </c>
      <c r="BF46" s="100" t="s">
        <v>30</v>
      </c>
      <c r="BG46" s="100" t="s">
        <v>30</v>
      </c>
      <c r="BH46" s="100" t="s">
        <v>30</v>
      </c>
      <c r="BI46" s="100" t="s">
        <v>30</v>
      </c>
      <c r="BJ46" s="100" t="s">
        <v>30</v>
      </c>
      <c r="BK46" s="95"/>
      <c r="BL46" s="360"/>
      <c r="BN46"/>
      <c r="BO46"/>
      <c r="BP46"/>
      <c r="BQ46"/>
      <c r="BR46"/>
      <c r="BS46"/>
      <c r="BT46"/>
      <c r="BU46"/>
      <c r="BV46"/>
      <c r="BZ46">
        <f t="shared" si="1"/>
        <v>1</v>
      </c>
    </row>
    <row r="47" spans="1:78" ht="15.75" hidden="1" customHeight="1">
      <c r="A47" s="35" t="str">
        <f t="shared" si="0"/>
        <v>018/2646039</v>
      </c>
      <c r="C47" s="358" t="s">
        <v>24</v>
      </c>
      <c r="D47" s="358">
        <v>44</v>
      </c>
      <c r="E47" s="359" t="s">
        <v>3149</v>
      </c>
      <c r="F47" s="359" t="s">
        <v>102</v>
      </c>
      <c r="G47" s="400">
        <v>46039</v>
      </c>
      <c r="H47" s="359" t="s">
        <v>1356</v>
      </c>
      <c r="I47" s="359">
        <v>14</v>
      </c>
      <c r="J47" s="359" t="str">
        <f>IFERROR(VLOOKUP($A47,#REF!,3,0),"")</f>
        <v/>
      </c>
      <c r="K47" s="359" t="str">
        <f>IFERROR(VLOOKUP($A47,#REF!,4,0),AF47)</f>
        <v>INT</v>
      </c>
      <c r="L47" s="359" t="str">
        <f>IFERROR(VLOOKUP($A47,#REF!,5,0),"")</f>
        <v/>
      </c>
      <c r="M47" s="359" t="str">
        <f>IFERROR(VLOOKUP($A47,#REF!,7,0),"")</f>
        <v/>
      </c>
      <c r="N47" s="359"/>
      <c r="O47" s="359" t="str">
        <f>IFERROR(VLOOKUP($A47,#REF!,6,0),"")</f>
        <v/>
      </c>
      <c r="P47" s="359" t="str">
        <f>IFERROR(VLOOKUP($A47,#REF!,9,0),"")</f>
        <v/>
      </c>
      <c r="Q47" s="359" t="str">
        <f>IFERROR(VLOOKUP($A47,#REF!,10,0),"")</f>
        <v/>
      </c>
      <c r="R47" s="359" t="str">
        <f>IFERROR(VLOOKUP($A47,#REF!,11,0),"")</f>
        <v/>
      </c>
      <c r="S47" s="359" t="str">
        <f>IFERROR(VLOOKUP($A47,#REF!,13,0),"")</f>
        <v/>
      </c>
      <c r="T47" s="359" t="str">
        <f>IFERROR(VLOOKUP($A47,#REF!,14,0),"")</f>
        <v/>
      </c>
      <c r="U47" s="359" t="str">
        <f>IFERROR(VLOOKUP($A47,#REF!,15,0),"")</f>
        <v/>
      </c>
      <c r="V47" s="359" t="str">
        <f>IFERROR(VLOOKUP($A47,#REF!,16,0),"")</f>
        <v/>
      </c>
      <c r="W47" s="359" t="str">
        <f>IFERROR(VLOOKUP($A47,#REF!,17,0),"")</f>
        <v/>
      </c>
      <c r="X47" s="359" t="str">
        <f>IFERROR(VLOOKUP($A47,#REF!,18,0),"")</f>
        <v/>
      </c>
      <c r="Y47" s="359" t="str">
        <f>IFERROR(VLOOKUP($A47,#REF!,19,0),"")</f>
        <v/>
      </c>
      <c r="Z47" s="400" t="str">
        <f>IFERROR(VLOOKUP($A47,#REF!,21,0),"")</f>
        <v/>
      </c>
      <c r="AA47" s="359"/>
      <c r="AB47" s="359"/>
      <c r="AC47" s="359" t="s">
        <v>1077</v>
      </c>
      <c r="AD47" s="359" t="s">
        <v>1138</v>
      </c>
      <c r="AE47" s="358"/>
      <c r="AF47" s="141" t="s">
        <v>3077</v>
      </c>
      <c r="AG47" s="358" t="s">
        <v>2098</v>
      </c>
      <c r="AH47" s="358" t="s">
        <v>3131</v>
      </c>
      <c r="AI47" s="358" t="s">
        <v>3131</v>
      </c>
      <c r="AJ47" s="359" t="s">
        <v>2050</v>
      </c>
      <c r="AK47" s="359"/>
      <c r="AL47" s="359"/>
      <c r="AM47" s="359"/>
      <c r="AN47" s="359" t="s">
        <v>32</v>
      </c>
      <c r="AO47" s="358" t="s">
        <v>30</v>
      </c>
      <c r="AP47" s="380">
        <v>46056</v>
      </c>
      <c r="AQ47" s="384" t="s">
        <v>1138</v>
      </c>
      <c r="AR47" s="358" t="s">
        <v>32</v>
      </c>
      <c r="AS47" s="358">
        <v>15</v>
      </c>
      <c r="AT47" s="384" t="s">
        <v>1138</v>
      </c>
      <c r="AU47" s="380">
        <v>46056</v>
      </c>
      <c r="AV47" s="82" t="s">
        <v>30</v>
      </c>
      <c r="AW47" s="100" t="s">
        <v>30</v>
      </c>
      <c r="AX47" s="100" t="s">
        <v>30</v>
      </c>
      <c r="AY47" s="100" t="s">
        <v>30</v>
      </c>
      <c r="AZ47" s="100" t="s">
        <v>30</v>
      </c>
      <c r="BA47" s="100" t="s">
        <v>30</v>
      </c>
      <c r="BB47" s="100" t="s">
        <v>30</v>
      </c>
      <c r="BC47" s="100" t="s">
        <v>30</v>
      </c>
      <c r="BD47" s="100" t="s">
        <v>30</v>
      </c>
      <c r="BE47" s="100" t="s">
        <v>30</v>
      </c>
      <c r="BF47" s="100" t="s">
        <v>30</v>
      </c>
      <c r="BG47" s="100" t="s">
        <v>30</v>
      </c>
      <c r="BH47" s="100" t="s">
        <v>30</v>
      </c>
      <c r="BI47" s="100" t="s">
        <v>30</v>
      </c>
      <c r="BJ47" s="100" t="s">
        <v>30</v>
      </c>
      <c r="BK47" s="95"/>
      <c r="BL47" s="360"/>
      <c r="BN47"/>
      <c r="BO47"/>
      <c r="BP47"/>
      <c r="BQ47"/>
      <c r="BR47"/>
      <c r="BS47"/>
      <c r="BT47"/>
      <c r="BU47"/>
      <c r="BV47"/>
      <c r="BZ47">
        <f t="shared" si="1"/>
        <v>1</v>
      </c>
    </row>
    <row r="48" spans="1:78" ht="15.75" hidden="1" customHeight="1">
      <c r="A48" s="35" t="str">
        <f t="shared" si="0"/>
        <v>025/2646039</v>
      </c>
      <c r="C48" s="358" t="s">
        <v>24</v>
      </c>
      <c r="D48" s="358">
        <v>45</v>
      </c>
      <c r="E48" s="359" t="s">
        <v>3150</v>
      </c>
      <c r="F48" s="359" t="s">
        <v>606</v>
      </c>
      <c r="G48" s="400">
        <v>46039</v>
      </c>
      <c r="H48" s="359" t="s">
        <v>3151</v>
      </c>
      <c r="I48" s="403">
        <v>7</v>
      </c>
      <c r="J48" s="359" t="str">
        <f>IFERROR(VLOOKUP($A48,#REF!,3,0),"")</f>
        <v/>
      </c>
      <c r="K48" s="359" t="str">
        <f>IFERROR(VLOOKUP($A48,#REF!,4,0),AF48)</f>
        <v>EXT</v>
      </c>
      <c r="L48" s="359" t="str">
        <f>IFERROR(VLOOKUP($A48,#REF!,5,0),"")</f>
        <v/>
      </c>
      <c r="M48" s="403" t="str">
        <f>IFERROR(VLOOKUP($A48,#REF!,7,0),"")</f>
        <v/>
      </c>
      <c r="N48" s="403"/>
      <c r="O48" s="359" t="str">
        <f>IFERROR(VLOOKUP($A48,#REF!,6,0),"")</f>
        <v/>
      </c>
      <c r="P48" s="359" t="str">
        <f>IFERROR(VLOOKUP($A48,#REF!,9,0),"")</f>
        <v/>
      </c>
      <c r="Q48" s="359" t="str">
        <f>IFERROR(VLOOKUP($A48,#REF!,10,0),"")</f>
        <v/>
      </c>
      <c r="R48" s="359" t="str">
        <f>IFERROR(VLOOKUP($A48,#REF!,11,0),"")</f>
        <v/>
      </c>
      <c r="S48" s="359" t="str">
        <f>IFERROR(VLOOKUP($A48,#REF!,13,0),"")</f>
        <v/>
      </c>
      <c r="T48" s="359" t="str">
        <f>IFERROR(VLOOKUP($A48,#REF!,14,0),"")</f>
        <v/>
      </c>
      <c r="U48" s="359" t="str">
        <f>IFERROR(VLOOKUP($A48,#REF!,15,0),"")</f>
        <v/>
      </c>
      <c r="V48" s="359" t="str">
        <f>IFERROR(VLOOKUP($A48,#REF!,16,0),"")</f>
        <v/>
      </c>
      <c r="W48" s="359" t="str">
        <f>IFERROR(VLOOKUP($A48,#REF!,17,0),"")</f>
        <v/>
      </c>
      <c r="X48" s="359" t="str">
        <f>IFERROR(VLOOKUP($A48,#REF!,18,0),"")</f>
        <v/>
      </c>
      <c r="Y48" s="359" t="str">
        <f>IFERROR(VLOOKUP($A48,#REF!,19,0),"")</f>
        <v/>
      </c>
      <c r="Z48" s="400" t="str">
        <f>IFERROR(VLOOKUP($A48,#REF!,21,0),"")</f>
        <v/>
      </c>
      <c r="AA48" s="359"/>
      <c r="AB48" s="359"/>
      <c r="AC48" s="359" t="s">
        <v>1077</v>
      </c>
      <c r="AD48" s="359" t="s">
        <v>1138</v>
      </c>
      <c r="AE48" s="102"/>
      <c r="AF48" s="141" t="s">
        <v>3082</v>
      </c>
      <c r="AG48" s="358" t="s">
        <v>2590</v>
      </c>
      <c r="AH48" s="358" t="s">
        <v>3136</v>
      </c>
      <c r="AI48" s="358" t="s">
        <v>3136</v>
      </c>
      <c r="AJ48" s="359" t="s">
        <v>2050</v>
      </c>
      <c r="AK48" s="359"/>
      <c r="AL48" s="359"/>
      <c r="AM48" s="359"/>
      <c r="AN48" s="359" t="s">
        <v>32</v>
      </c>
      <c r="AO48" s="358" t="s">
        <v>30</v>
      </c>
      <c r="AP48" s="380">
        <v>46073</v>
      </c>
      <c r="AQ48" s="384" t="s">
        <v>1138</v>
      </c>
      <c r="AR48" s="358" t="s">
        <v>32</v>
      </c>
      <c r="AS48" s="358">
        <v>7</v>
      </c>
      <c r="AT48" s="384" t="s">
        <v>1138</v>
      </c>
      <c r="AU48" s="380">
        <v>46073</v>
      </c>
      <c r="AV48" s="100" t="s">
        <v>30</v>
      </c>
      <c r="AW48" s="100" t="s">
        <v>30</v>
      </c>
      <c r="AX48" s="100" t="s">
        <v>30</v>
      </c>
      <c r="AY48" s="95" t="s">
        <v>32</v>
      </c>
      <c r="AZ48" s="95" t="s">
        <v>32</v>
      </c>
      <c r="BA48" s="95" t="s">
        <v>32</v>
      </c>
      <c r="BB48" s="100" t="s">
        <v>30</v>
      </c>
      <c r="BC48" s="95" t="s">
        <v>32</v>
      </c>
      <c r="BD48" s="100" t="s">
        <v>30</v>
      </c>
      <c r="BE48" s="95" t="s">
        <v>32</v>
      </c>
      <c r="BF48" s="100" t="s">
        <v>30</v>
      </c>
      <c r="BG48" s="100" t="s">
        <v>30</v>
      </c>
      <c r="BH48" s="100" t="s">
        <v>30</v>
      </c>
      <c r="BI48" s="100" t="s">
        <v>30</v>
      </c>
      <c r="BJ48" s="95" t="s">
        <v>32</v>
      </c>
      <c r="BK48" s="95"/>
      <c r="BL48" s="360" t="s">
        <v>3080</v>
      </c>
      <c r="BN48"/>
      <c r="BO48"/>
      <c r="BP48"/>
      <c r="BQ48"/>
      <c r="BR48"/>
      <c r="BS48"/>
      <c r="BT48"/>
      <c r="BU48"/>
      <c r="BV48"/>
      <c r="BZ48">
        <f t="shared" si="1"/>
        <v>1</v>
      </c>
    </row>
    <row r="49" spans="1:78" ht="15.75" hidden="1" customHeight="1">
      <c r="A49" s="35" t="str">
        <f t="shared" si="0"/>
        <v>M053/2646039</v>
      </c>
      <c r="C49" s="358" t="s">
        <v>24</v>
      </c>
      <c r="D49" s="358">
        <v>46</v>
      </c>
      <c r="E49" s="359" t="s">
        <v>3152</v>
      </c>
      <c r="F49" s="359" t="s">
        <v>606</v>
      </c>
      <c r="G49" s="400">
        <v>46039</v>
      </c>
      <c r="H49" s="359" t="s">
        <v>401</v>
      </c>
      <c r="I49" s="359">
        <v>2</v>
      </c>
      <c r="J49" s="359" t="str">
        <f>IFERROR(VLOOKUP($A49,#REF!,3,0),"")</f>
        <v/>
      </c>
      <c r="K49" s="359" t="str">
        <f>IFERROR(VLOOKUP($A49,#REF!,4,0),AF49)</f>
        <v>EXT</v>
      </c>
      <c r="L49" s="359" t="str">
        <f>IFERROR(VLOOKUP($A49,#REF!,5,0),"")</f>
        <v/>
      </c>
      <c r="M49" s="359" t="str">
        <f>IFERROR(VLOOKUP($A49,#REF!,7,0),"")</f>
        <v/>
      </c>
      <c r="N49" s="359"/>
      <c r="O49" s="359" t="str">
        <f>IFERROR(VLOOKUP($A49,#REF!,6,0),"")</f>
        <v/>
      </c>
      <c r="P49" s="359" t="str">
        <f>IFERROR(VLOOKUP($A49,#REF!,9,0),"")</f>
        <v/>
      </c>
      <c r="Q49" s="359" t="str">
        <f>IFERROR(VLOOKUP($A49,#REF!,10,0),"")</f>
        <v/>
      </c>
      <c r="R49" s="359" t="str">
        <f>IFERROR(VLOOKUP($A49,#REF!,11,0),"")</f>
        <v/>
      </c>
      <c r="S49" s="359" t="str">
        <f>IFERROR(VLOOKUP($A49,#REF!,13,0),"")</f>
        <v/>
      </c>
      <c r="T49" s="359" t="str">
        <f>IFERROR(VLOOKUP($A49,#REF!,14,0),"")</f>
        <v/>
      </c>
      <c r="U49" s="359" t="str">
        <f>IFERROR(VLOOKUP($A49,#REF!,15,0),"")</f>
        <v/>
      </c>
      <c r="V49" s="359" t="str">
        <f>IFERROR(VLOOKUP($A49,#REF!,16,0),"")</f>
        <v/>
      </c>
      <c r="W49" s="359" t="str">
        <f>IFERROR(VLOOKUP($A49,#REF!,17,0),"")</f>
        <v/>
      </c>
      <c r="X49" s="359" t="str">
        <f>IFERROR(VLOOKUP($A49,#REF!,18,0),"")</f>
        <v/>
      </c>
      <c r="Y49" s="359" t="str">
        <f>IFERROR(VLOOKUP($A49,#REF!,19,0),"")</f>
        <v/>
      </c>
      <c r="Z49" s="400" t="str">
        <f>IFERROR(VLOOKUP($A49,#REF!,21,0),"")</f>
        <v/>
      </c>
      <c r="AA49" s="359"/>
      <c r="AB49" s="359"/>
      <c r="AC49" s="359" t="s">
        <v>1077</v>
      </c>
      <c r="AD49" s="359" t="s">
        <v>1138</v>
      </c>
      <c r="AE49" s="358"/>
      <c r="AF49" s="141" t="s">
        <v>3082</v>
      </c>
      <c r="AG49" s="358" t="s">
        <v>2590</v>
      </c>
      <c r="AH49" s="358" t="s">
        <v>401</v>
      </c>
      <c r="AI49" s="358" t="s">
        <v>401</v>
      </c>
      <c r="AJ49" s="359" t="s">
        <v>401</v>
      </c>
      <c r="AK49" s="359"/>
      <c r="AL49" s="359"/>
      <c r="AM49" s="359"/>
      <c r="AN49" s="359" t="s">
        <v>32</v>
      </c>
      <c r="AO49" s="358" t="s">
        <v>30</v>
      </c>
      <c r="AP49" s="380">
        <v>46073</v>
      </c>
      <c r="AQ49" s="384" t="s">
        <v>1138</v>
      </c>
      <c r="AR49" s="358" t="s">
        <v>32</v>
      </c>
      <c r="AS49" s="358">
        <v>2</v>
      </c>
      <c r="AT49" s="384" t="s">
        <v>1138</v>
      </c>
      <c r="AU49" s="380">
        <v>46073</v>
      </c>
      <c r="AV49" s="100" t="s">
        <v>30</v>
      </c>
      <c r="AW49" s="82" t="s">
        <v>30</v>
      </c>
      <c r="AX49" s="82" t="s">
        <v>30</v>
      </c>
      <c r="AY49" s="95" t="s">
        <v>32</v>
      </c>
      <c r="AZ49" s="100" t="s">
        <v>30</v>
      </c>
      <c r="BA49" s="95" t="s">
        <v>32</v>
      </c>
      <c r="BB49" s="100"/>
      <c r="BC49" s="100"/>
      <c r="BD49" s="100"/>
      <c r="BE49" s="100"/>
      <c r="BF49" s="100"/>
      <c r="BG49" s="100" t="s">
        <v>30</v>
      </c>
      <c r="BH49" s="100"/>
      <c r="BI49" s="100"/>
      <c r="BJ49" s="100"/>
      <c r="BK49" s="95"/>
      <c r="BL49" s="360" t="s">
        <v>3153</v>
      </c>
      <c r="BN49"/>
      <c r="BO49"/>
      <c r="BP49"/>
      <c r="BQ49"/>
      <c r="BR49"/>
      <c r="BS49"/>
      <c r="BT49"/>
      <c r="BU49"/>
      <c r="BV49"/>
      <c r="BZ49">
        <f t="shared" si="1"/>
        <v>1</v>
      </c>
    </row>
    <row r="50" spans="1:78" ht="15.75" hidden="1" customHeight="1">
      <c r="A50" s="35" t="str">
        <f t="shared" si="0"/>
        <v>M046/2646039</v>
      </c>
      <c r="C50" s="358" t="s">
        <v>24</v>
      </c>
      <c r="D50" s="358">
        <v>47</v>
      </c>
      <c r="E50" s="359" t="s">
        <v>3154</v>
      </c>
      <c r="F50" s="359" t="s">
        <v>50</v>
      </c>
      <c r="G50" s="400">
        <v>46039</v>
      </c>
      <c r="H50" s="359" t="s">
        <v>614</v>
      </c>
      <c r="I50" s="403">
        <v>15</v>
      </c>
      <c r="J50" s="359" t="str">
        <f>IFERROR(VLOOKUP($A50,#REF!,3,0),"")</f>
        <v/>
      </c>
      <c r="K50" s="359" t="str">
        <f>IFERROR(VLOOKUP($A50,#REF!,4,0),AF50)</f>
        <v>EXT</v>
      </c>
      <c r="L50" s="359" t="str">
        <f>IFERROR(VLOOKUP($A50,#REF!,5,0),"")</f>
        <v/>
      </c>
      <c r="M50" s="403" t="str">
        <f>IFERROR(VLOOKUP($A50,#REF!,7,0),"")</f>
        <v/>
      </c>
      <c r="N50" s="403"/>
      <c r="O50" s="359" t="str">
        <f>IFERROR(VLOOKUP($A50,#REF!,6,0),"")</f>
        <v/>
      </c>
      <c r="P50" s="359" t="str">
        <f>IFERROR(VLOOKUP($A50,#REF!,9,0),"")</f>
        <v/>
      </c>
      <c r="Q50" s="359" t="str">
        <f>IFERROR(VLOOKUP($A50,#REF!,10,0),"")</f>
        <v/>
      </c>
      <c r="R50" s="359" t="str">
        <f>IFERROR(VLOOKUP($A50,#REF!,11,0),"")</f>
        <v/>
      </c>
      <c r="S50" s="359" t="str">
        <f>IFERROR(VLOOKUP($A50,#REF!,13,0),"")</f>
        <v/>
      </c>
      <c r="T50" s="359" t="str">
        <f>IFERROR(VLOOKUP($A50,#REF!,14,0),"")</f>
        <v/>
      </c>
      <c r="U50" s="359" t="str">
        <f>IFERROR(VLOOKUP($A50,#REF!,15,0),"")</f>
        <v/>
      </c>
      <c r="V50" s="359" t="str">
        <f>IFERROR(VLOOKUP($A50,#REF!,16,0),"")</f>
        <v/>
      </c>
      <c r="W50" s="359" t="str">
        <f>IFERROR(VLOOKUP($A50,#REF!,17,0),"")</f>
        <v/>
      </c>
      <c r="X50" s="359" t="str">
        <f>IFERROR(VLOOKUP($A50,#REF!,18,0),"")</f>
        <v/>
      </c>
      <c r="Y50" s="359" t="str">
        <f>IFERROR(VLOOKUP($A50,#REF!,19,0),"")</f>
        <v/>
      </c>
      <c r="Z50" s="400" t="str">
        <f>IFERROR(VLOOKUP($A50,#REF!,21,0),"")</f>
        <v/>
      </c>
      <c r="AA50" s="359"/>
      <c r="AB50" s="359"/>
      <c r="AC50" s="359" t="s">
        <v>1077</v>
      </c>
      <c r="AD50" s="359" t="s">
        <v>1138</v>
      </c>
      <c r="AE50" s="102" t="s">
        <v>3155</v>
      </c>
      <c r="AF50" s="141" t="s">
        <v>3082</v>
      </c>
      <c r="AG50" s="358" t="s">
        <v>2203</v>
      </c>
      <c r="AH50" s="358" t="s">
        <v>3136</v>
      </c>
      <c r="AI50" s="358" t="s">
        <v>3136</v>
      </c>
      <c r="AJ50" s="359" t="s">
        <v>3156</v>
      </c>
      <c r="AK50" s="359"/>
      <c r="AL50" s="359"/>
      <c r="AM50" s="359"/>
      <c r="AN50" s="129" t="s">
        <v>31</v>
      </c>
      <c r="AO50" s="358"/>
      <c r="AP50" s="380"/>
      <c r="AQ50" s="384" t="s">
        <v>1138</v>
      </c>
      <c r="AR50" s="358" t="s">
        <v>32</v>
      </c>
      <c r="AS50" s="358">
        <v>21</v>
      </c>
      <c r="AT50" s="384" t="s">
        <v>1138</v>
      </c>
      <c r="AU50" s="380"/>
      <c r="AV50" s="100" t="s">
        <v>30</v>
      </c>
      <c r="AW50" s="100" t="s">
        <v>30</v>
      </c>
      <c r="AX50" s="100" t="s">
        <v>30</v>
      </c>
      <c r="AY50" s="100" t="s">
        <v>30</v>
      </c>
      <c r="AZ50" s="100" t="s">
        <v>30</v>
      </c>
      <c r="BA50" s="100" t="s">
        <v>30</v>
      </c>
      <c r="BB50" s="100" t="s">
        <v>30</v>
      </c>
      <c r="BC50" s="100" t="s">
        <v>30</v>
      </c>
      <c r="BD50" s="100" t="s">
        <v>30</v>
      </c>
      <c r="BE50" s="100" t="s">
        <v>30</v>
      </c>
      <c r="BF50" s="100" t="s">
        <v>30</v>
      </c>
      <c r="BG50" s="100" t="s">
        <v>30</v>
      </c>
      <c r="BH50" s="95" t="s">
        <v>32</v>
      </c>
      <c r="BI50" s="95" t="s">
        <v>32</v>
      </c>
      <c r="BJ50" s="95" t="s">
        <v>32</v>
      </c>
      <c r="BK50" s="95"/>
      <c r="BL50" s="360" t="s">
        <v>3094</v>
      </c>
      <c r="BN50"/>
      <c r="BO50"/>
      <c r="BP50"/>
      <c r="BQ50"/>
      <c r="BR50" s="88"/>
      <c r="BS50" s="72"/>
      <c r="BT50" s="72"/>
      <c r="BU50" s="72"/>
      <c r="BV50" s="72"/>
      <c r="BZ50">
        <f t="shared" si="1"/>
        <v>1</v>
      </c>
    </row>
    <row r="51" spans="1:78" ht="15.75" hidden="1" customHeight="1">
      <c r="A51" s="35" t="str">
        <f t="shared" si="0"/>
        <v>M043/2646041</v>
      </c>
      <c r="C51" s="358" t="s">
        <v>24</v>
      </c>
      <c r="D51" s="358">
        <v>48</v>
      </c>
      <c r="E51" s="359" t="s">
        <v>3157</v>
      </c>
      <c r="F51" s="359" t="s">
        <v>64</v>
      </c>
      <c r="G51" s="400">
        <v>46041</v>
      </c>
      <c r="H51" s="359" t="s">
        <v>1626</v>
      </c>
      <c r="I51" s="359">
        <v>14</v>
      </c>
      <c r="J51" s="359" t="str">
        <f>IFERROR(VLOOKUP($A51,#REF!,3,0),"")</f>
        <v/>
      </c>
      <c r="K51" s="359" t="str">
        <f>IFERROR(VLOOKUP($A51,#REF!,4,0),AF51)</f>
        <v>EXT</v>
      </c>
      <c r="L51" s="359" t="str">
        <f>IFERROR(VLOOKUP($A51,#REF!,5,0),"")</f>
        <v/>
      </c>
      <c r="M51" s="359" t="str">
        <f>IFERROR(VLOOKUP($A51,#REF!,7,0),"")</f>
        <v/>
      </c>
      <c r="N51" s="359"/>
      <c r="O51" s="359" t="str">
        <f>IFERROR(VLOOKUP($A51,#REF!,6,0),"")</f>
        <v/>
      </c>
      <c r="P51" s="359" t="str">
        <f>IFERROR(VLOOKUP($A51,#REF!,9,0),"")</f>
        <v/>
      </c>
      <c r="Q51" s="359" t="str">
        <f>IFERROR(VLOOKUP($A51,#REF!,10,0),"")</f>
        <v/>
      </c>
      <c r="R51" s="359" t="str">
        <f>IFERROR(VLOOKUP($A51,#REF!,11,0),"")</f>
        <v/>
      </c>
      <c r="S51" s="359" t="str">
        <f>IFERROR(VLOOKUP($A51,#REF!,13,0),"")</f>
        <v/>
      </c>
      <c r="T51" s="359" t="str">
        <f>IFERROR(VLOOKUP($A51,#REF!,14,0),"")</f>
        <v/>
      </c>
      <c r="U51" s="359" t="str">
        <f>IFERROR(VLOOKUP($A51,#REF!,15,0),"")</f>
        <v/>
      </c>
      <c r="V51" s="359" t="str">
        <f>IFERROR(VLOOKUP($A51,#REF!,16,0),"")</f>
        <v/>
      </c>
      <c r="W51" s="359" t="str">
        <f>IFERROR(VLOOKUP($A51,#REF!,17,0),"")</f>
        <v/>
      </c>
      <c r="X51" s="359" t="str">
        <f>IFERROR(VLOOKUP($A51,#REF!,18,0),"")</f>
        <v/>
      </c>
      <c r="Y51" s="359" t="str">
        <f>IFERROR(VLOOKUP($A51,#REF!,19,0),"")</f>
        <v/>
      </c>
      <c r="Z51" s="400" t="str">
        <f>IFERROR(VLOOKUP($A51,#REF!,21,0),"")</f>
        <v/>
      </c>
      <c r="AA51" s="359"/>
      <c r="AB51" s="359"/>
      <c r="AC51" s="359" t="s">
        <v>1077</v>
      </c>
      <c r="AD51" s="359" t="s">
        <v>1138</v>
      </c>
      <c r="AE51" s="102" t="s">
        <v>3158</v>
      </c>
      <c r="AF51" s="141" t="s">
        <v>3082</v>
      </c>
      <c r="AG51" s="358" t="s">
        <v>2296</v>
      </c>
      <c r="AH51" s="358" t="s">
        <v>3136</v>
      </c>
      <c r="AI51" s="358" t="s">
        <v>3136</v>
      </c>
      <c r="AJ51" s="359" t="s">
        <v>2050</v>
      </c>
      <c r="AK51" s="359"/>
      <c r="AL51" s="359"/>
      <c r="AM51" s="359"/>
      <c r="AN51" s="359" t="s">
        <v>32</v>
      </c>
      <c r="AO51" s="358" t="s">
        <v>113</v>
      </c>
      <c r="AP51" s="380"/>
      <c r="AQ51" s="384" t="s">
        <v>1138</v>
      </c>
      <c r="AR51" s="358"/>
      <c r="AS51" s="358"/>
      <c r="AT51" s="384"/>
      <c r="AU51" s="380"/>
      <c r="AV51" s="95" t="s">
        <v>32</v>
      </c>
      <c r="AW51" s="100" t="s">
        <v>30</v>
      </c>
      <c r="AX51" s="100"/>
      <c r="AY51" s="100" t="s">
        <v>30</v>
      </c>
      <c r="AZ51" s="100" t="s">
        <v>30</v>
      </c>
      <c r="BA51" s="100" t="s">
        <v>30</v>
      </c>
      <c r="BB51" s="100" t="s">
        <v>30</v>
      </c>
      <c r="BC51" s="100" t="s">
        <v>30</v>
      </c>
      <c r="BD51" s="100" t="s">
        <v>30</v>
      </c>
      <c r="BE51" s="100" t="s">
        <v>30</v>
      </c>
      <c r="BF51" s="100" t="s">
        <v>30</v>
      </c>
      <c r="BG51" s="114"/>
      <c r="BH51" s="95" t="s">
        <v>32</v>
      </c>
      <c r="BI51" s="95" t="s">
        <v>32</v>
      </c>
      <c r="BJ51" s="95" t="s">
        <v>32</v>
      </c>
      <c r="BK51" s="95"/>
      <c r="BL51" s="360" t="s">
        <v>3094</v>
      </c>
      <c r="BN51"/>
      <c r="BO51"/>
      <c r="BP51"/>
      <c r="BQ51"/>
      <c r="BR51"/>
      <c r="BS51"/>
      <c r="BT51"/>
      <c r="BU51"/>
      <c r="BV51"/>
      <c r="BZ51">
        <f t="shared" si="1"/>
        <v>1</v>
      </c>
    </row>
    <row r="52" spans="1:78" ht="15.75" hidden="1" customHeight="1">
      <c r="A52" s="35" t="str">
        <f t="shared" si="0"/>
        <v>001/2646042</v>
      </c>
      <c r="C52" s="358" t="s">
        <v>24</v>
      </c>
      <c r="D52" s="358">
        <v>49</v>
      </c>
      <c r="E52" s="358" t="s">
        <v>3159</v>
      </c>
      <c r="F52" s="358" t="s">
        <v>3160</v>
      </c>
      <c r="G52" s="384">
        <v>46042</v>
      </c>
      <c r="H52" s="358" t="s">
        <v>110</v>
      </c>
      <c r="I52" s="358">
        <v>12</v>
      </c>
      <c r="J52" s="359" t="str">
        <f>IFERROR(VLOOKUP($A52,#REF!,3,0),"")</f>
        <v/>
      </c>
      <c r="K52" s="359" t="str">
        <f>IFERROR(VLOOKUP($A52,#REF!,4,0),AF52)</f>
        <v>EXT</v>
      </c>
      <c r="L52" s="359" t="str">
        <f>IFERROR(VLOOKUP($A52,#REF!,5,0),"")</f>
        <v/>
      </c>
      <c r="M52" s="359" t="str">
        <f>IFERROR(VLOOKUP($A52,#REF!,7,0),"")</f>
        <v/>
      </c>
      <c r="N52" s="359"/>
      <c r="O52" s="359" t="str">
        <f>IFERROR(VLOOKUP($A52,#REF!,6,0),"")</f>
        <v/>
      </c>
      <c r="P52" s="359" t="str">
        <f>IFERROR(VLOOKUP($A52,#REF!,9,0),"")</f>
        <v/>
      </c>
      <c r="Q52" s="359" t="str">
        <f>IFERROR(VLOOKUP($A52,#REF!,10,0),"")</f>
        <v/>
      </c>
      <c r="R52" s="359" t="str">
        <f>IFERROR(VLOOKUP($A52,#REF!,11,0),"")</f>
        <v/>
      </c>
      <c r="S52" s="359" t="str">
        <f>IFERROR(VLOOKUP($A52,#REF!,13,0),"")</f>
        <v/>
      </c>
      <c r="T52" s="359" t="str">
        <f>IFERROR(VLOOKUP($A52,#REF!,14,0),"")</f>
        <v/>
      </c>
      <c r="U52" s="359" t="str">
        <f>IFERROR(VLOOKUP($A52,#REF!,15,0),"")</f>
        <v/>
      </c>
      <c r="V52" s="359" t="str">
        <f>IFERROR(VLOOKUP($A52,#REF!,16,0),"")</f>
        <v/>
      </c>
      <c r="W52" s="359" t="str">
        <f>IFERROR(VLOOKUP($A52,#REF!,17,0),"")</f>
        <v/>
      </c>
      <c r="X52" s="359" t="str">
        <f>IFERROR(VLOOKUP($A52,#REF!,18,0),"")</f>
        <v/>
      </c>
      <c r="Y52" s="359" t="str">
        <f>IFERROR(VLOOKUP($A52,#REF!,19,0),"")</f>
        <v/>
      </c>
      <c r="Z52" s="400" t="str">
        <f>IFERROR(VLOOKUP($A52,#REF!,21,0),"")</f>
        <v/>
      </c>
      <c r="AA52" s="358"/>
      <c r="AB52" s="358"/>
      <c r="AC52" s="358" t="s">
        <v>1334</v>
      </c>
      <c r="AD52" s="358" t="s">
        <v>3161</v>
      </c>
      <c r="AE52" s="358"/>
      <c r="AF52" s="141" t="s">
        <v>3082</v>
      </c>
      <c r="AG52" s="358" t="s">
        <v>2056</v>
      </c>
      <c r="AH52" s="358" t="s">
        <v>3162</v>
      </c>
      <c r="AI52" s="358" t="s">
        <v>3162</v>
      </c>
      <c r="AJ52" s="358" t="s">
        <v>110</v>
      </c>
      <c r="AK52" s="358"/>
      <c r="AL52" s="358"/>
      <c r="AM52" s="358"/>
      <c r="AN52" s="359" t="s">
        <v>32</v>
      </c>
      <c r="AO52" s="380" t="s">
        <v>30</v>
      </c>
      <c r="AP52" s="380">
        <v>46076</v>
      </c>
      <c r="AQ52" s="384" t="s">
        <v>48</v>
      </c>
      <c r="AR52" s="358" t="s">
        <v>32</v>
      </c>
      <c r="AS52" s="358">
        <v>12</v>
      </c>
      <c r="AT52" s="384" t="s">
        <v>48</v>
      </c>
      <c r="AU52" s="380">
        <v>46076</v>
      </c>
      <c r="AV52" s="100" t="s">
        <v>113</v>
      </c>
      <c r="AW52" s="100" t="s">
        <v>113</v>
      </c>
      <c r="AX52" s="100" t="s">
        <v>113</v>
      </c>
      <c r="AY52" s="100" t="s">
        <v>113</v>
      </c>
      <c r="AZ52" s="100" t="s">
        <v>113</v>
      </c>
      <c r="BA52" s="100" t="s">
        <v>113</v>
      </c>
      <c r="BB52" s="100" t="s">
        <v>113</v>
      </c>
      <c r="BC52" s="100" t="s">
        <v>113</v>
      </c>
      <c r="BD52" s="100" t="s">
        <v>113</v>
      </c>
      <c r="BE52" s="100" t="s">
        <v>113</v>
      </c>
      <c r="BF52" s="100" t="s">
        <v>113</v>
      </c>
      <c r="BG52" s="100" t="s">
        <v>113</v>
      </c>
      <c r="BH52" s="100" t="s">
        <v>113</v>
      </c>
      <c r="BI52" s="100" t="s">
        <v>113</v>
      </c>
      <c r="BJ52" s="100" t="s">
        <v>113</v>
      </c>
      <c r="BK52" s="100" t="s">
        <v>113</v>
      </c>
      <c r="BL52" s="360"/>
      <c r="BN52"/>
      <c r="BO52"/>
      <c r="BP52"/>
      <c r="BQ52"/>
      <c r="BR52"/>
      <c r="BS52"/>
      <c r="BT52"/>
      <c r="BU52"/>
      <c r="BV52"/>
      <c r="BZ52">
        <f t="shared" si="1"/>
        <v>1</v>
      </c>
    </row>
    <row r="53" spans="1:78" ht="15.75" hidden="1" customHeight="1">
      <c r="A53" s="35" t="str">
        <f t="shared" si="0"/>
        <v>001/2646043</v>
      </c>
      <c r="C53" s="358" t="s">
        <v>24</v>
      </c>
      <c r="D53" s="358">
        <v>50</v>
      </c>
      <c r="E53" s="358" t="s">
        <v>3159</v>
      </c>
      <c r="F53" s="358" t="s">
        <v>1362</v>
      </c>
      <c r="G53" s="384">
        <v>46043</v>
      </c>
      <c r="H53" s="358" t="s">
        <v>1105</v>
      </c>
      <c r="I53" s="358">
        <v>12</v>
      </c>
      <c r="J53" s="359" t="str">
        <f>IFERROR(VLOOKUP($A53,#REF!,3,0),"")</f>
        <v/>
      </c>
      <c r="K53" s="359" t="str">
        <f>IFERROR(VLOOKUP($A53,#REF!,4,0),AF53)</f>
        <v>EXT</v>
      </c>
      <c r="L53" s="359" t="str">
        <f>IFERROR(VLOOKUP($A53,#REF!,5,0),"")</f>
        <v/>
      </c>
      <c r="M53" s="359" t="str">
        <f>IFERROR(VLOOKUP($A53,#REF!,7,0),"")</f>
        <v/>
      </c>
      <c r="N53" s="359"/>
      <c r="O53" s="359" t="str">
        <f>IFERROR(VLOOKUP($A53,#REF!,6,0),"")</f>
        <v/>
      </c>
      <c r="P53" s="359" t="str">
        <f>IFERROR(VLOOKUP($A53,#REF!,9,0),"")</f>
        <v/>
      </c>
      <c r="Q53" s="359" t="str">
        <f>IFERROR(VLOOKUP($A53,#REF!,10,0),"")</f>
        <v/>
      </c>
      <c r="R53" s="359" t="str">
        <f>IFERROR(VLOOKUP($A53,#REF!,11,0),"")</f>
        <v/>
      </c>
      <c r="S53" s="359" t="str">
        <f>IFERROR(VLOOKUP($A53,#REF!,13,0),"")</f>
        <v/>
      </c>
      <c r="T53" s="359" t="str">
        <f>IFERROR(VLOOKUP($A53,#REF!,14,0),"")</f>
        <v/>
      </c>
      <c r="U53" s="359" t="str">
        <f>IFERROR(VLOOKUP($A53,#REF!,15,0),"")</f>
        <v/>
      </c>
      <c r="V53" s="359" t="str">
        <f>IFERROR(VLOOKUP($A53,#REF!,16,0),"")</f>
        <v/>
      </c>
      <c r="W53" s="359" t="str">
        <f>IFERROR(VLOOKUP($A53,#REF!,17,0),"")</f>
        <v/>
      </c>
      <c r="X53" s="359" t="str">
        <f>IFERROR(VLOOKUP($A53,#REF!,18,0),"")</f>
        <v/>
      </c>
      <c r="Y53" s="359" t="str">
        <f>IFERROR(VLOOKUP($A53,#REF!,19,0),"")</f>
        <v/>
      </c>
      <c r="Z53" s="400" t="str">
        <f>IFERROR(VLOOKUP($A53,#REF!,21,0),"")</f>
        <v/>
      </c>
      <c r="AA53" s="358"/>
      <c r="AB53" s="358"/>
      <c r="AC53" s="358" t="s">
        <v>1721</v>
      </c>
      <c r="AD53" s="358" t="s">
        <v>1638</v>
      </c>
      <c r="AE53" s="358"/>
      <c r="AF53" s="141" t="s">
        <v>3082</v>
      </c>
      <c r="AG53" s="358" t="s">
        <v>2056</v>
      </c>
      <c r="AH53" s="358" t="s">
        <v>3163</v>
      </c>
      <c r="AI53" s="358" t="s">
        <v>3163</v>
      </c>
      <c r="AJ53" s="358" t="s">
        <v>2058</v>
      </c>
      <c r="AK53" s="358"/>
      <c r="AL53" s="358"/>
      <c r="AM53" s="358"/>
      <c r="AN53" s="359" t="s">
        <v>32</v>
      </c>
      <c r="AO53" s="358" t="s">
        <v>30</v>
      </c>
      <c r="AP53" s="380">
        <v>46066</v>
      </c>
      <c r="AQ53" s="384" t="s">
        <v>1638</v>
      </c>
      <c r="AR53" s="358" t="s">
        <v>32</v>
      </c>
      <c r="AS53" s="358">
        <v>12</v>
      </c>
      <c r="AT53" s="384" t="s">
        <v>1638</v>
      </c>
      <c r="AU53" s="380">
        <v>46066</v>
      </c>
      <c r="AV53" s="82" t="s">
        <v>30</v>
      </c>
      <c r="AW53" s="82" t="s">
        <v>30</v>
      </c>
      <c r="AX53" s="82" t="s">
        <v>30</v>
      </c>
      <c r="AY53" s="100" t="s">
        <v>30</v>
      </c>
      <c r="AZ53" s="100" t="s">
        <v>30</v>
      </c>
      <c r="BA53" s="100" t="s">
        <v>30</v>
      </c>
      <c r="BB53" s="100" t="s">
        <v>30</v>
      </c>
      <c r="BC53" s="100" t="s">
        <v>30</v>
      </c>
      <c r="BD53" s="100" t="s">
        <v>30</v>
      </c>
      <c r="BE53" s="95" t="s">
        <v>32</v>
      </c>
      <c r="BF53" s="100" t="s">
        <v>30</v>
      </c>
      <c r="BG53" s="100" t="s">
        <v>30</v>
      </c>
      <c r="BH53" s="111" t="s">
        <v>30</v>
      </c>
      <c r="BI53" s="111" t="s">
        <v>30</v>
      </c>
      <c r="BJ53" s="111" t="s">
        <v>30</v>
      </c>
      <c r="BK53" s="95"/>
      <c r="BL53" s="360"/>
      <c r="BN53"/>
      <c r="BO53"/>
      <c r="BP53"/>
      <c r="BQ53"/>
      <c r="BR53" s="88"/>
      <c r="BS53" s="72"/>
      <c r="BT53" s="72"/>
      <c r="BU53" s="72"/>
      <c r="BV53" s="72"/>
      <c r="BZ53">
        <f t="shared" si="1"/>
        <v>1</v>
      </c>
    </row>
    <row r="54" spans="1:78" ht="15.6" hidden="1" customHeight="1">
      <c r="A54" s="35" t="str">
        <f t="shared" si="0"/>
        <v>M035/2646044</v>
      </c>
      <c r="C54" s="358" t="s">
        <v>24</v>
      </c>
      <c r="D54" s="358">
        <v>51</v>
      </c>
      <c r="E54" s="358" t="s">
        <v>3164</v>
      </c>
      <c r="F54" s="358" t="s">
        <v>43</v>
      </c>
      <c r="G54" s="384">
        <v>46044</v>
      </c>
      <c r="H54" s="358" t="s">
        <v>737</v>
      </c>
      <c r="I54" s="403">
        <v>13</v>
      </c>
      <c r="J54" s="359" t="str">
        <f>IFERROR(VLOOKUP($A54,#REF!,3,0),"")</f>
        <v/>
      </c>
      <c r="K54" s="359" t="str">
        <f>IFERROR(VLOOKUP($A54,#REF!,4,0),AF54)</f>
        <v>EXT</v>
      </c>
      <c r="L54" s="359" t="str">
        <f>IFERROR(VLOOKUP($A54,#REF!,5,0),"")</f>
        <v/>
      </c>
      <c r="M54" s="403" t="str">
        <f>IFERROR(VLOOKUP($A54,#REF!,7,0),"")</f>
        <v/>
      </c>
      <c r="N54" s="403"/>
      <c r="O54" s="359" t="str">
        <f>IFERROR(VLOOKUP($A54,#REF!,6,0),"")</f>
        <v/>
      </c>
      <c r="P54" s="359" t="str">
        <f>IFERROR(VLOOKUP($A54,#REF!,9,0),"")</f>
        <v/>
      </c>
      <c r="Q54" s="359" t="str">
        <f>IFERROR(VLOOKUP($A54,#REF!,10,0),"")</f>
        <v/>
      </c>
      <c r="R54" s="359" t="str">
        <f>IFERROR(VLOOKUP($A54,#REF!,11,0),"")</f>
        <v/>
      </c>
      <c r="S54" s="359" t="str">
        <f>IFERROR(VLOOKUP($A54,#REF!,13,0),"")</f>
        <v/>
      </c>
      <c r="T54" s="359" t="str">
        <f>IFERROR(VLOOKUP($A54,#REF!,14,0),"")</f>
        <v/>
      </c>
      <c r="U54" s="359" t="str">
        <f>IFERROR(VLOOKUP($A54,#REF!,15,0),"")</f>
        <v/>
      </c>
      <c r="V54" s="359" t="str">
        <f>IFERROR(VLOOKUP($A54,#REF!,16,0),"")</f>
        <v/>
      </c>
      <c r="W54" s="359" t="str">
        <f>IFERROR(VLOOKUP($A54,#REF!,17,0),"")</f>
        <v/>
      </c>
      <c r="X54" s="359" t="str">
        <f>IFERROR(VLOOKUP($A54,#REF!,18,0),"")</f>
        <v/>
      </c>
      <c r="Y54" s="359" t="str">
        <f>IFERROR(VLOOKUP($A54,#REF!,19,0),"")</f>
        <v/>
      </c>
      <c r="Z54" s="400" t="str">
        <f>IFERROR(VLOOKUP($A54,#REF!,21,0),"")</f>
        <v/>
      </c>
      <c r="AA54" s="358"/>
      <c r="AB54" s="358"/>
      <c r="AC54" s="358" t="s">
        <v>127</v>
      </c>
      <c r="AD54" s="358" t="s">
        <v>178</v>
      </c>
      <c r="AE54" s="358"/>
      <c r="AF54" s="141" t="s">
        <v>3082</v>
      </c>
      <c r="AG54" s="358" t="s">
        <v>2061</v>
      </c>
      <c r="AH54" s="358" t="s">
        <v>3163</v>
      </c>
      <c r="AI54" s="358" t="s">
        <v>3163</v>
      </c>
      <c r="AJ54" s="358" t="s">
        <v>2058</v>
      </c>
      <c r="AK54" s="358"/>
      <c r="AL54" s="358"/>
      <c r="AM54" s="358"/>
      <c r="AN54" s="359" t="s">
        <v>32</v>
      </c>
      <c r="AO54" s="358" t="s">
        <v>30</v>
      </c>
      <c r="AP54" s="380">
        <v>46064</v>
      </c>
      <c r="AQ54" s="384" t="s">
        <v>28</v>
      </c>
      <c r="AR54" s="358" t="s">
        <v>32</v>
      </c>
      <c r="AS54" s="358">
        <v>12</v>
      </c>
      <c r="AT54" s="384" t="s">
        <v>28</v>
      </c>
      <c r="AU54" s="380">
        <v>46064</v>
      </c>
      <c r="AV54" s="82" t="s">
        <v>30</v>
      </c>
      <c r="AW54" s="100" t="s">
        <v>30</v>
      </c>
      <c r="AX54" s="100" t="s">
        <v>30</v>
      </c>
      <c r="AY54" s="100" t="s">
        <v>30</v>
      </c>
      <c r="AZ54" s="100" t="s">
        <v>30</v>
      </c>
      <c r="BA54" s="100" t="s">
        <v>30</v>
      </c>
      <c r="BB54" s="100" t="s">
        <v>30</v>
      </c>
      <c r="BC54" s="100" t="s">
        <v>30</v>
      </c>
      <c r="BD54" s="100" t="s">
        <v>30</v>
      </c>
      <c r="BE54" s="100" t="s">
        <v>30</v>
      </c>
      <c r="BF54" s="100" t="s">
        <v>30</v>
      </c>
      <c r="BG54" s="100" t="s">
        <v>30</v>
      </c>
      <c r="BH54" s="100" t="s">
        <v>30</v>
      </c>
      <c r="BI54" s="100" t="s">
        <v>30</v>
      </c>
      <c r="BJ54" s="100" t="s">
        <v>30</v>
      </c>
      <c r="BK54" s="95"/>
      <c r="BL54" s="360"/>
      <c r="BN54"/>
      <c r="BO54"/>
      <c r="BP54"/>
      <c r="BQ54"/>
      <c r="BR54" s="88"/>
      <c r="BS54" s="72"/>
      <c r="BT54" s="72"/>
      <c r="BU54" s="72"/>
      <c r="BV54" s="72"/>
      <c r="BZ54">
        <f t="shared" si="1"/>
        <v>1</v>
      </c>
    </row>
    <row r="55" spans="1:78" ht="15.6" hidden="1" customHeight="1">
      <c r="A55" s="35" t="str">
        <f t="shared" si="0"/>
        <v>M001/2646045</v>
      </c>
      <c r="C55" s="358" t="s">
        <v>24</v>
      </c>
      <c r="D55" s="358">
        <v>52</v>
      </c>
      <c r="E55" s="358" t="s">
        <v>3165</v>
      </c>
      <c r="F55" s="358" t="s">
        <v>374</v>
      </c>
      <c r="G55" s="384">
        <v>46045</v>
      </c>
      <c r="H55" s="358" t="s">
        <v>439</v>
      </c>
      <c r="I55" s="358">
        <v>12</v>
      </c>
      <c r="J55" s="359" t="str">
        <f>IFERROR(VLOOKUP($A55,#REF!,3,0),"")</f>
        <v/>
      </c>
      <c r="K55" s="359" t="str">
        <f>IFERROR(VLOOKUP($A55,#REF!,4,0),AF55)</f>
        <v>EXT</v>
      </c>
      <c r="L55" s="359" t="str">
        <f>IFERROR(VLOOKUP($A55,#REF!,5,0),"")</f>
        <v/>
      </c>
      <c r="M55" s="359" t="str">
        <f>IFERROR(VLOOKUP($A55,#REF!,7,0),"")</f>
        <v/>
      </c>
      <c r="N55" s="359"/>
      <c r="O55" s="359" t="str">
        <f>IFERROR(VLOOKUP($A55,#REF!,6,0),"")</f>
        <v/>
      </c>
      <c r="P55" s="359" t="str">
        <f>IFERROR(VLOOKUP($A55,#REF!,9,0),"")</f>
        <v/>
      </c>
      <c r="Q55" s="359" t="str">
        <f>IFERROR(VLOOKUP($A55,#REF!,10,0),"")</f>
        <v/>
      </c>
      <c r="R55" s="359" t="str">
        <f>IFERROR(VLOOKUP($A55,#REF!,11,0),"")</f>
        <v/>
      </c>
      <c r="S55" s="359" t="str">
        <f>IFERROR(VLOOKUP($A55,#REF!,13,0),"")</f>
        <v/>
      </c>
      <c r="T55" s="359" t="str">
        <f>IFERROR(VLOOKUP($A55,#REF!,14,0),"")</f>
        <v/>
      </c>
      <c r="U55" s="359" t="str">
        <f>IFERROR(VLOOKUP($A55,#REF!,15,0),"")</f>
        <v/>
      </c>
      <c r="V55" s="359" t="str">
        <f>IFERROR(VLOOKUP($A55,#REF!,16,0),"")</f>
        <v/>
      </c>
      <c r="W55" s="359" t="str">
        <f>IFERROR(VLOOKUP($A55,#REF!,17,0),"")</f>
        <v/>
      </c>
      <c r="X55" s="359" t="str">
        <f>IFERROR(VLOOKUP($A55,#REF!,18,0),"")</f>
        <v/>
      </c>
      <c r="Y55" s="359" t="str">
        <f>IFERROR(VLOOKUP($A55,#REF!,19,0),"")</f>
        <v/>
      </c>
      <c r="Z55" s="400" t="str">
        <f>IFERROR(VLOOKUP($A55,#REF!,21,0),"")</f>
        <v/>
      </c>
      <c r="AA55" s="358"/>
      <c r="AB55" s="358"/>
      <c r="AC55" s="359" t="s">
        <v>127</v>
      </c>
      <c r="AD55" s="358" t="s">
        <v>178</v>
      </c>
      <c r="AE55" s="102" t="s">
        <v>2576</v>
      </c>
      <c r="AF55" s="141" t="s">
        <v>3082</v>
      </c>
      <c r="AG55" s="358" t="s">
        <v>2056</v>
      </c>
      <c r="AH55" s="358" t="s">
        <v>3163</v>
      </c>
      <c r="AI55" s="358" t="s">
        <v>3163</v>
      </c>
      <c r="AJ55" s="358" t="s">
        <v>2058</v>
      </c>
      <c r="AK55" s="358"/>
      <c r="AL55" s="358"/>
      <c r="AM55" s="358"/>
      <c r="AN55" s="359" t="s">
        <v>32</v>
      </c>
      <c r="AO55" s="358"/>
      <c r="AP55" s="380"/>
      <c r="AQ55" s="384" t="s">
        <v>28</v>
      </c>
      <c r="AR55" s="358" t="s">
        <v>32</v>
      </c>
      <c r="AS55" s="358">
        <v>11</v>
      </c>
      <c r="AT55" s="384" t="s">
        <v>28</v>
      </c>
      <c r="AU55" s="380"/>
      <c r="AV55" s="82" t="s">
        <v>30</v>
      </c>
      <c r="AW55" s="82" t="s">
        <v>30</v>
      </c>
      <c r="AX55" s="82" t="s">
        <v>30</v>
      </c>
      <c r="AY55" s="100" t="s">
        <v>30</v>
      </c>
      <c r="AZ55" s="100" t="s">
        <v>30</v>
      </c>
      <c r="BA55" s="100" t="s">
        <v>30</v>
      </c>
      <c r="BB55" s="100" t="s">
        <v>30</v>
      </c>
      <c r="BC55" s="100" t="s">
        <v>30</v>
      </c>
      <c r="BD55" s="100" t="s">
        <v>30</v>
      </c>
      <c r="BE55" s="100" t="s">
        <v>30</v>
      </c>
      <c r="BF55" s="100" t="s">
        <v>30</v>
      </c>
      <c r="BG55" s="100" t="s">
        <v>30</v>
      </c>
      <c r="BH55" s="111" t="s">
        <v>30</v>
      </c>
      <c r="BI55" s="111" t="s">
        <v>30</v>
      </c>
      <c r="BJ55" s="100" t="s">
        <v>30</v>
      </c>
      <c r="BK55" s="95"/>
      <c r="BL55" s="360"/>
      <c r="BN55" s="412"/>
      <c r="BO55" s="412"/>
      <c r="BP55" s="412"/>
      <c r="BQ55" s="412"/>
      <c r="BR55" s="412"/>
      <c r="BS55"/>
      <c r="BT55"/>
      <c r="BU55"/>
      <c r="BV55"/>
      <c r="BZ55">
        <f t="shared" si="1"/>
        <v>1</v>
      </c>
    </row>
    <row r="56" spans="1:78" ht="15.6" hidden="1" customHeight="1">
      <c r="A56" s="35" t="str">
        <f t="shared" si="0"/>
        <v>040/2646045</v>
      </c>
      <c r="C56" s="358" t="s">
        <v>24</v>
      </c>
      <c r="D56" s="358">
        <v>53</v>
      </c>
      <c r="E56" s="358" t="s">
        <v>3166</v>
      </c>
      <c r="F56" s="358" t="s">
        <v>102</v>
      </c>
      <c r="G56" s="384">
        <v>46045</v>
      </c>
      <c r="H56" s="358" t="s">
        <v>707</v>
      </c>
      <c r="I56" s="358">
        <v>12</v>
      </c>
      <c r="J56" s="359" t="str">
        <f>IFERROR(VLOOKUP($A56,#REF!,3,0),"")</f>
        <v/>
      </c>
      <c r="K56" s="359" t="str">
        <f>IFERROR(VLOOKUP($A56,#REF!,4,0),AF56)</f>
        <v>INT</v>
      </c>
      <c r="L56" s="359" t="str">
        <f>IFERROR(VLOOKUP($A56,#REF!,5,0),"")</f>
        <v/>
      </c>
      <c r="M56" s="359" t="str">
        <f>IFERROR(VLOOKUP($A56,#REF!,7,0),"")</f>
        <v/>
      </c>
      <c r="N56" s="359"/>
      <c r="O56" s="359" t="str">
        <f>IFERROR(VLOOKUP($A56,#REF!,6,0),"")</f>
        <v/>
      </c>
      <c r="P56" s="359" t="str">
        <f>IFERROR(VLOOKUP($A56,#REF!,9,0),"")</f>
        <v/>
      </c>
      <c r="Q56" s="359" t="str">
        <f>IFERROR(VLOOKUP($A56,#REF!,10,0),"")</f>
        <v/>
      </c>
      <c r="R56" s="359" t="str">
        <f>IFERROR(VLOOKUP($A56,#REF!,11,0),"")</f>
        <v/>
      </c>
      <c r="S56" s="359" t="str">
        <f>IFERROR(VLOOKUP($A56,#REF!,13,0),"")</f>
        <v/>
      </c>
      <c r="T56" s="359" t="str">
        <f>IFERROR(VLOOKUP($A56,#REF!,14,0),"")</f>
        <v/>
      </c>
      <c r="U56" s="359" t="str">
        <f>IFERROR(VLOOKUP($A56,#REF!,15,0),"")</f>
        <v/>
      </c>
      <c r="V56" s="359" t="str">
        <f>IFERROR(VLOOKUP($A56,#REF!,16,0),"")</f>
        <v/>
      </c>
      <c r="W56" s="359" t="str">
        <f>IFERROR(VLOOKUP($A56,#REF!,17,0),"")</f>
        <v/>
      </c>
      <c r="X56" s="359" t="str">
        <f>IFERROR(VLOOKUP($A56,#REF!,18,0),"")</f>
        <v/>
      </c>
      <c r="Y56" s="359" t="str">
        <f>IFERROR(VLOOKUP($A56,#REF!,19,0),"")</f>
        <v/>
      </c>
      <c r="Z56" s="400" t="str">
        <f>IFERROR(VLOOKUP($A56,#REF!,21,0),"")</f>
        <v/>
      </c>
      <c r="AA56" s="358"/>
      <c r="AB56" s="358"/>
      <c r="AC56" s="359" t="s">
        <v>67</v>
      </c>
      <c r="AD56" s="358" t="s">
        <v>47</v>
      </c>
      <c r="AE56" s="358"/>
      <c r="AF56" s="141" t="s">
        <v>3077</v>
      </c>
      <c r="AG56" s="358" t="s">
        <v>2123</v>
      </c>
      <c r="AH56" s="358" t="s">
        <v>3163</v>
      </c>
      <c r="AI56" s="358" t="s">
        <v>3163</v>
      </c>
      <c r="AJ56" s="358" t="s">
        <v>2083</v>
      </c>
      <c r="AK56" s="358"/>
      <c r="AL56" s="358"/>
      <c r="AM56" s="358"/>
      <c r="AN56" s="359" t="s">
        <v>32</v>
      </c>
      <c r="AO56" s="358" t="s">
        <v>30</v>
      </c>
      <c r="AP56" s="380">
        <v>46065</v>
      </c>
      <c r="AQ56" s="384" t="s">
        <v>47</v>
      </c>
      <c r="AR56" s="358" t="s">
        <v>32</v>
      </c>
      <c r="AS56" s="358">
        <v>11</v>
      </c>
      <c r="AT56" s="384" t="s">
        <v>47</v>
      </c>
      <c r="AU56" s="380">
        <v>46065</v>
      </c>
      <c r="AV56" s="82" t="s">
        <v>30</v>
      </c>
      <c r="AW56" s="100" t="s">
        <v>30</v>
      </c>
      <c r="AX56" s="100" t="s">
        <v>30</v>
      </c>
      <c r="AY56" s="100" t="s">
        <v>30</v>
      </c>
      <c r="AZ56" s="100" t="s">
        <v>30</v>
      </c>
      <c r="BA56" s="100" t="s">
        <v>30</v>
      </c>
      <c r="BB56" s="100" t="s">
        <v>30</v>
      </c>
      <c r="BC56" s="100" t="s">
        <v>30</v>
      </c>
      <c r="BD56" s="100" t="s">
        <v>30</v>
      </c>
      <c r="BE56" s="100" t="s">
        <v>30</v>
      </c>
      <c r="BF56" s="100" t="s">
        <v>30</v>
      </c>
      <c r="BG56" s="100" t="s">
        <v>30</v>
      </c>
      <c r="BH56" s="100" t="s">
        <v>30</v>
      </c>
      <c r="BI56" s="100" t="s">
        <v>30</v>
      </c>
      <c r="BJ56" s="100" t="s">
        <v>30</v>
      </c>
      <c r="BK56" s="95"/>
      <c r="BL56" s="360"/>
      <c r="BN56"/>
      <c r="BO56"/>
      <c r="BP56"/>
      <c r="BQ56"/>
      <c r="BR56"/>
      <c r="BS56" s="72"/>
      <c r="BZ56">
        <f t="shared" si="1"/>
        <v>1</v>
      </c>
    </row>
    <row r="57" spans="1:78" ht="15.6" hidden="1" customHeight="1">
      <c r="A57" s="35" t="str">
        <f t="shared" si="0"/>
        <v>M027/2646046</v>
      </c>
      <c r="C57" s="358" t="s">
        <v>24</v>
      </c>
      <c r="D57" s="358">
        <v>54</v>
      </c>
      <c r="E57" s="358" t="s">
        <v>3167</v>
      </c>
      <c r="F57" s="358" t="s">
        <v>50</v>
      </c>
      <c r="G57" s="384">
        <v>46046</v>
      </c>
      <c r="H57" s="358" t="s">
        <v>3168</v>
      </c>
      <c r="I57" s="358">
        <v>10</v>
      </c>
      <c r="J57" s="359" t="str">
        <f>IFERROR(VLOOKUP($A57,#REF!,3,0),"")</f>
        <v/>
      </c>
      <c r="K57" s="359" t="str">
        <f>IFERROR(VLOOKUP($A57,#REF!,4,0),AF57)</f>
        <v>EXT</v>
      </c>
      <c r="L57" s="359" t="str">
        <f>IFERROR(VLOOKUP($A57,#REF!,5,0),"")</f>
        <v/>
      </c>
      <c r="M57" s="359" t="str">
        <f>IFERROR(VLOOKUP($A57,#REF!,7,0),"")</f>
        <v/>
      </c>
      <c r="N57" s="359"/>
      <c r="O57" s="359" t="str">
        <f>IFERROR(VLOOKUP($A57,#REF!,6,0),"")</f>
        <v/>
      </c>
      <c r="P57" s="359" t="str">
        <f>IFERROR(VLOOKUP($A57,#REF!,9,0),"")</f>
        <v/>
      </c>
      <c r="Q57" s="359" t="str">
        <f>IFERROR(VLOOKUP($A57,#REF!,10,0),"")</f>
        <v/>
      </c>
      <c r="R57" s="359" t="str">
        <f>IFERROR(VLOOKUP($A57,#REF!,11,0),"")</f>
        <v/>
      </c>
      <c r="S57" s="359" t="str">
        <f>IFERROR(VLOOKUP($A57,#REF!,13,0),"")</f>
        <v/>
      </c>
      <c r="T57" s="359" t="str">
        <f>IFERROR(VLOOKUP($A57,#REF!,14,0),"")</f>
        <v/>
      </c>
      <c r="U57" s="359" t="str">
        <f>IFERROR(VLOOKUP($A57,#REF!,15,0),"")</f>
        <v/>
      </c>
      <c r="V57" s="359" t="str">
        <f>IFERROR(VLOOKUP($A57,#REF!,16,0),"")</f>
        <v/>
      </c>
      <c r="W57" s="359" t="str">
        <f>IFERROR(VLOOKUP($A57,#REF!,17,0),"")</f>
        <v/>
      </c>
      <c r="X57" s="359" t="str">
        <f>IFERROR(VLOOKUP($A57,#REF!,18,0),"")</f>
        <v/>
      </c>
      <c r="Y57" s="359" t="str">
        <f>IFERROR(VLOOKUP($A57,#REF!,19,0),"")</f>
        <v/>
      </c>
      <c r="Z57" s="400" t="str">
        <f>IFERROR(VLOOKUP($A57,#REF!,21,0),"")</f>
        <v/>
      </c>
      <c r="AA57" s="358"/>
      <c r="AB57" s="358"/>
      <c r="AC57" s="358" t="s">
        <v>1077</v>
      </c>
      <c r="AD57" s="358" t="s">
        <v>1138</v>
      </c>
      <c r="AE57" s="358"/>
      <c r="AF57" s="141" t="s">
        <v>3082</v>
      </c>
      <c r="AG57" s="358" t="s">
        <v>2203</v>
      </c>
      <c r="AH57" s="358" t="s">
        <v>3163</v>
      </c>
      <c r="AI57" s="358" t="s">
        <v>3169</v>
      </c>
      <c r="AJ57" s="358" t="s">
        <v>2050</v>
      </c>
      <c r="AK57" s="358"/>
      <c r="AL57" s="358"/>
      <c r="AM57" s="358"/>
      <c r="AN57" s="359" t="s">
        <v>32</v>
      </c>
      <c r="AO57" s="358" t="s">
        <v>30</v>
      </c>
      <c r="AP57" s="380">
        <v>46059</v>
      </c>
      <c r="AQ57" s="384" t="s">
        <v>1138</v>
      </c>
      <c r="AR57" s="358" t="s">
        <v>32</v>
      </c>
      <c r="AS57" s="358">
        <v>9</v>
      </c>
      <c r="AT57" s="384" t="s">
        <v>1138</v>
      </c>
      <c r="AU57" s="380">
        <v>46059</v>
      </c>
      <c r="AV57" s="100" t="s">
        <v>30</v>
      </c>
      <c r="AW57" s="100" t="s">
        <v>30</v>
      </c>
      <c r="AX57" s="100" t="s">
        <v>30</v>
      </c>
      <c r="AY57" s="100" t="s">
        <v>30</v>
      </c>
      <c r="AZ57" s="100" t="s">
        <v>30</v>
      </c>
      <c r="BA57" s="100" t="s">
        <v>30</v>
      </c>
      <c r="BB57" s="100" t="s">
        <v>30</v>
      </c>
      <c r="BC57" s="100" t="s">
        <v>30</v>
      </c>
      <c r="BD57" s="100" t="s">
        <v>30</v>
      </c>
      <c r="BE57" s="100" t="s">
        <v>30</v>
      </c>
      <c r="BF57" s="100" t="s">
        <v>30</v>
      </c>
      <c r="BG57" s="100" t="s">
        <v>30</v>
      </c>
      <c r="BH57" s="95" t="s">
        <v>32</v>
      </c>
      <c r="BI57" s="95" t="s">
        <v>32</v>
      </c>
      <c r="BJ57" s="112" t="s">
        <v>30</v>
      </c>
      <c r="BK57" s="95"/>
      <c r="BL57" s="360" t="s">
        <v>3094</v>
      </c>
      <c r="BN57" s="412"/>
      <c r="BO57" s="412"/>
      <c r="BP57" s="412"/>
      <c r="BQ57" s="412"/>
      <c r="BR57" s="412"/>
      <c r="BS57"/>
      <c r="BT57"/>
      <c r="BU57"/>
      <c r="BV57"/>
      <c r="BZ57">
        <f t="shared" si="1"/>
        <v>1</v>
      </c>
    </row>
    <row r="58" spans="1:78" ht="15.6" hidden="1" customHeight="1">
      <c r="A58" s="35" t="str">
        <f t="shared" si="0"/>
        <v>M045/2646046</v>
      </c>
      <c r="C58" s="358" t="s">
        <v>24</v>
      </c>
      <c r="D58" s="358">
        <v>55</v>
      </c>
      <c r="E58" s="358" t="s">
        <v>3170</v>
      </c>
      <c r="F58" s="358" t="s">
        <v>34</v>
      </c>
      <c r="G58" s="384">
        <v>46046</v>
      </c>
      <c r="H58" s="358" t="s">
        <v>296</v>
      </c>
      <c r="I58" s="358">
        <v>12</v>
      </c>
      <c r="J58" s="359" t="str">
        <f>IFERROR(VLOOKUP($A58,#REF!,3,0),"")</f>
        <v/>
      </c>
      <c r="K58" s="359" t="str">
        <f>IFERROR(VLOOKUP($A58,#REF!,4,0),AF58)</f>
        <v>INT</v>
      </c>
      <c r="L58" s="359" t="str">
        <f>IFERROR(VLOOKUP($A58,#REF!,5,0),"")</f>
        <v/>
      </c>
      <c r="M58" s="359" t="str">
        <f>IFERROR(VLOOKUP($A58,#REF!,7,0),"")</f>
        <v/>
      </c>
      <c r="N58" s="359"/>
      <c r="O58" s="359" t="str">
        <f>IFERROR(VLOOKUP($A58,#REF!,6,0),"")</f>
        <v/>
      </c>
      <c r="P58" s="359" t="str">
        <f>IFERROR(VLOOKUP($A58,#REF!,9,0),"")</f>
        <v/>
      </c>
      <c r="Q58" s="359" t="str">
        <f>IFERROR(VLOOKUP($A58,#REF!,10,0),"")</f>
        <v/>
      </c>
      <c r="R58" s="359" t="str">
        <f>IFERROR(VLOOKUP($A58,#REF!,11,0),"")</f>
        <v/>
      </c>
      <c r="S58" s="359" t="str">
        <f>IFERROR(VLOOKUP($A58,#REF!,13,0),"")</f>
        <v/>
      </c>
      <c r="T58" s="359" t="str">
        <f>IFERROR(VLOOKUP($A58,#REF!,14,0),"")</f>
        <v/>
      </c>
      <c r="U58" s="359" t="str">
        <f>IFERROR(VLOOKUP($A58,#REF!,15,0),"")</f>
        <v/>
      </c>
      <c r="V58" s="359" t="str">
        <f>IFERROR(VLOOKUP($A58,#REF!,16,0),"")</f>
        <v/>
      </c>
      <c r="W58" s="359" t="str">
        <f>IFERROR(VLOOKUP($A58,#REF!,17,0),"")</f>
        <v/>
      </c>
      <c r="X58" s="359" t="str">
        <f>IFERROR(VLOOKUP($A58,#REF!,18,0),"")</f>
        <v/>
      </c>
      <c r="Y58" s="359" t="str">
        <f>IFERROR(VLOOKUP($A58,#REF!,19,0),"")</f>
        <v/>
      </c>
      <c r="Z58" s="400" t="str">
        <f>IFERROR(VLOOKUP($A58,#REF!,21,0),"")</f>
        <v/>
      </c>
      <c r="AA58" s="358"/>
      <c r="AB58" s="358"/>
      <c r="AC58" s="358" t="s">
        <v>1077</v>
      </c>
      <c r="AD58" s="358" t="s">
        <v>1138</v>
      </c>
      <c r="AE58" s="358"/>
      <c r="AF58" s="141" t="s">
        <v>3077</v>
      </c>
      <c r="AG58" s="358" t="s">
        <v>2052</v>
      </c>
      <c r="AH58" s="358" t="s">
        <v>3163</v>
      </c>
      <c r="AI58" s="358" t="s">
        <v>3171</v>
      </c>
      <c r="AJ58" s="358" t="s">
        <v>2050</v>
      </c>
      <c r="AK58" s="358"/>
      <c r="AL58" s="358"/>
      <c r="AM58" s="358"/>
      <c r="AN58" s="359" t="s">
        <v>32</v>
      </c>
      <c r="AO58" s="358" t="s">
        <v>30</v>
      </c>
      <c r="AP58" s="380">
        <v>46057</v>
      </c>
      <c r="AQ58" s="384" t="s">
        <v>1138</v>
      </c>
      <c r="AR58" s="358" t="s">
        <v>32</v>
      </c>
      <c r="AS58" s="358">
        <v>10</v>
      </c>
      <c r="AT58" s="384" t="s">
        <v>1138</v>
      </c>
      <c r="AU58" s="380"/>
      <c r="AV58" s="82" t="s">
        <v>30</v>
      </c>
      <c r="AW58" s="82" t="s">
        <v>30</v>
      </c>
      <c r="AX58" s="82" t="s">
        <v>30</v>
      </c>
      <c r="AY58" s="100" t="s">
        <v>30</v>
      </c>
      <c r="AZ58" s="100" t="s">
        <v>30</v>
      </c>
      <c r="BA58" s="100" t="s">
        <v>30</v>
      </c>
      <c r="BB58" s="100" t="s">
        <v>30</v>
      </c>
      <c r="BC58" s="100" t="s">
        <v>30</v>
      </c>
      <c r="BD58" s="100" t="s">
        <v>30</v>
      </c>
      <c r="BE58" s="100" t="s">
        <v>30</v>
      </c>
      <c r="BF58" s="100" t="s">
        <v>30</v>
      </c>
      <c r="BG58" s="100" t="s">
        <v>30</v>
      </c>
      <c r="BH58" s="111" t="s">
        <v>30</v>
      </c>
      <c r="BI58" s="111" t="s">
        <v>30</v>
      </c>
      <c r="BJ58" s="111" t="s">
        <v>30</v>
      </c>
      <c r="BK58" s="95"/>
      <c r="BL58" s="360"/>
      <c r="BN58" s="412"/>
      <c r="BO58" s="412"/>
      <c r="BP58" s="412"/>
      <c r="BQ58" s="412"/>
      <c r="BR58" s="412"/>
      <c r="BS58"/>
      <c r="BT58"/>
      <c r="BU58"/>
      <c r="BV58"/>
      <c r="BZ58">
        <f t="shared" si="1"/>
        <v>1</v>
      </c>
    </row>
    <row r="59" spans="1:78" ht="15.6" hidden="1" customHeight="1">
      <c r="A59" s="35" t="str">
        <f t="shared" si="0"/>
        <v>M061/2646046</v>
      </c>
      <c r="C59" s="358" t="s">
        <v>24</v>
      </c>
      <c r="D59" s="358">
        <v>56</v>
      </c>
      <c r="E59" s="358" t="s">
        <v>3172</v>
      </c>
      <c r="F59" s="358" t="s">
        <v>50</v>
      </c>
      <c r="G59" s="384">
        <v>46046</v>
      </c>
      <c r="H59" s="358" t="s">
        <v>1342</v>
      </c>
      <c r="I59" s="358">
        <v>8</v>
      </c>
      <c r="J59" s="359" t="str">
        <f>IFERROR(VLOOKUP($A59,#REF!,3,0),"")</f>
        <v/>
      </c>
      <c r="K59" s="359" t="str">
        <f>IFERROR(VLOOKUP($A59,#REF!,4,0),AF59)</f>
        <v>INT</v>
      </c>
      <c r="L59" s="359" t="str">
        <f>IFERROR(VLOOKUP($A59,#REF!,5,0),"")</f>
        <v/>
      </c>
      <c r="M59" s="359" t="str">
        <f>IFERROR(VLOOKUP($A59,#REF!,7,0),"")</f>
        <v/>
      </c>
      <c r="N59" s="359"/>
      <c r="O59" s="359" t="str">
        <f>IFERROR(VLOOKUP($A59,#REF!,6,0),"")</f>
        <v/>
      </c>
      <c r="P59" s="359" t="str">
        <f>IFERROR(VLOOKUP($A59,#REF!,9,0),"")</f>
        <v/>
      </c>
      <c r="Q59" s="359" t="str">
        <f>IFERROR(VLOOKUP($A59,#REF!,10,0),"")</f>
        <v/>
      </c>
      <c r="R59" s="359" t="str">
        <f>IFERROR(VLOOKUP($A59,#REF!,11,0),"")</f>
        <v/>
      </c>
      <c r="S59" s="359" t="str">
        <f>IFERROR(VLOOKUP($A59,#REF!,13,0),"")</f>
        <v/>
      </c>
      <c r="T59" s="359" t="str">
        <f>IFERROR(VLOOKUP($A59,#REF!,14,0),"")</f>
        <v/>
      </c>
      <c r="U59" s="359" t="str">
        <f>IFERROR(VLOOKUP($A59,#REF!,15,0),"")</f>
        <v/>
      </c>
      <c r="V59" s="359" t="str">
        <f>IFERROR(VLOOKUP($A59,#REF!,16,0),"")</f>
        <v/>
      </c>
      <c r="W59" s="359" t="str">
        <f>IFERROR(VLOOKUP($A59,#REF!,17,0),"")</f>
        <v/>
      </c>
      <c r="X59" s="359" t="str">
        <f>IFERROR(VLOOKUP($A59,#REF!,18,0),"")</f>
        <v/>
      </c>
      <c r="Y59" s="359" t="str">
        <f>IFERROR(VLOOKUP($A59,#REF!,19,0),"")</f>
        <v/>
      </c>
      <c r="Z59" s="400" t="str">
        <f>IFERROR(VLOOKUP($A59,#REF!,21,0),"")</f>
        <v/>
      </c>
      <c r="AA59" s="358"/>
      <c r="AB59" s="358"/>
      <c r="AC59" s="358" t="s">
        <v>67</v>
      </c>
      <c r="AD59" s="358" t="s">
        <v>47</v>
      </c>
      <c r="AE59" s="265"/>
      <c r="AF59" s="141" t="s">
        <v>3077</v>
      </c>
      <c r="AG59" s="358" t="s">
        <v>2126</v>
      </c>
      <c r="AH59" s="358" t="s">
        <v>3171</v>
      </c>
      <c r="AI59" s="358" t="s">
        <v>3171</v>
      </c>
      <c r="AJ59" s="358" t="s">
        <v>401</v>
      </c>
      <c r="AK59" s="358"/>
      <c r="AL59" s="358"/>
      <c r="AM59" s="358"/>
      <c r="AN59" s="359" t="s">
        <v>32</v>
      </c>
      <c r="AO59" s="358" t="s">
        <v>30</v>
      </c>
      <c r="AP59" s="380">
        <v>46065</v>
      </c>
      <c r="AQ59" s="384" t="s">
        <v>3075</v>
      </c>
      <c r="AR59" s="358" t="s">
        <v>32</v>
      </c>
      <c r="AS59" s="358">
        <v>7</v>
      </c>
      <c r="AT59" s="384" t="s">
        <v>3075</v>
      </c>
      <c r="AU59" s="380">
        <v>46065</v>
      </c>
      <c r="AV59" s="82" t="s">
        <v>30</v>
      </c>
      <c r="AW59" s="82" t="s">
        <v>30</v>
      </c>
      <c r="AX59" s="82" t="s">
        <v>30</v>
      </c>
      <c r="AY59" s="100" t="s">
        <v>30</v>
      </c>
      <c r="AZ59" s="100" t="s">
        <v>30</v>
      </c>
      <c r="BA59" s="100" t="s">
        <v>30</v>
      </c>
      <c r="BB59" s="100" t="s">
        <v>30</v>
      </c>
      <c r="BC59" s="100" t="s">
        <v>30</v>
      </c>
      <c r="BD59" s="100" t="s">
        <v>30</v>
      </c>
      <c r="BE59" s="100" t="s">
        <v>30</v>
      </c>
      <c r="BF59" s="100" t="s">
        <v>30</v>
      </c>
      <c r="BG59" s="100" t="s">
        <v>30</v>
      </c>
      <c r="BH59" s="100" t="s">
        <v>30</v>
      </c>
      <c r="BI59" s="100" t="s">
        <v>30</v>
      </c>
      <c r="BJ59" s="100" t="s">
        <v>30</v>
      </c>
      <c r="BK59" s="95"/>
      <c r="BL59" s="360"/>
      <c r="BN59"/>
      <c r="BO59"/>
      <c r="BP59"/>
      <c r="BQ59"/>
      <c r="BR59"/>
      <c r="BS59"/>
      <c r="BT59"/>
      <c r="BU59"/>
      <c r="BV59"/>
      <c r="BZ59">
        <f t="shared" si="1"/>
        <v>1</v>
      </c>
    </row>
    <row r="60" spans="1:78" ht="15.6" hidden="1" customHeight="1">
      <c r="A60" s="35" t="str">
        <f t="shared" si="0"/>
        <v>M062/2646046</v>
      </c>
      <c r="C60" s="358" t="s">
        <v>24</v>
      </c>
      <c r="D60" s="358">
        <v>57</v>
      </c>
      <c r="E60" s="358" t="s">
        <v>3173</v>
      </c>
      <c r="F60" s="358" t="s">
        <v>102</v>
      </c>
      <c r="G60" s="384">
        <v>46046</v>
      </c>
      <c r="H60" s="358" t="s">
        <v>1342</v>
      </c>
      <c r="I60" s="358">
        <v>8</v>
      </c>
      <c r="J60" s="359" t="str">
        <f>IFERROR(VLOOKUP($A60,#REF!,3,0),"")</f>
        <v/>
      </c>
      <c r="K60" s="359" t="str">
        <f>IFERROR(VLOOKUP($A60,#REF!,4,0),AF60)</f>
        <v>INT</v>
      </c>
      <c r="L60" s="359" t="str">
        <f>IFERROR(VLOOKUP($A60,#REF!,5,0),"")</f>
        <v/>
      </c>
      <c r="M60" s="359" t="str">
        <f>IFERROR(VLOOKUP($A60,#REF!,7,0),"")</f>
        <v/>
      </c>
      <c r="N60" s="359"/>
      <c r="O60" s="359" t="str">
        <f>IFERROR(VLOOKUP($A60,#REF!,6,0),"")</f>
        <v/>
      </c>
      <c r="P60" s="359" t="str">
        <f>IFERROR(VLOOKUP($A60,#REF!,9,0),"")</f>
        <v/>
      </c>
      <c r="Q60" s="359" t="str">
        <f>IFERROR(VLOOKUP($A60,#REF!,10,0),"")</f>
        <v/>
      </c>
      <c r="R60" s="359" t="str">
        <f>IFERROR(VLOOKUP($A60,#REF!,11,0),"")</f>
        <v/>
      </c>
      <c r="S60" s="359" t="str">
        <f>IFERROR(VLOOKUP($A60,#REF!,13,0),"")</f>
        <v/>
      </c>
      <c r="T60" s="359" t="str">
        <f>IFERROR(VLOOKUP($A60,#REF!,14,0),"")</f>
        <v/>
      </c>
      <c r="U60" s="359" t="str">
        <f>IFERROR(VLOOKUP($A60,#REF!,15,0),"")</f>
        <v/>
      </c>
      <c r="V60" s="359" t="str">
        <f>IFERROR(VLOOKUP($A60,#REF!,16,0),"")</f>
        <v/>
      </c>
      <c r="W60" s="359" t="str">
        <f>IFERROR(VLOOKUP($A60,#REF!,17,0),"")</f>
        <v/>
      </c>
      <c r="X60" s="359" t="str">
        <f>IFERROR(VLOOKUP($A60,#REF!,18,0),"")</f>
        <v/>
      </c>
      <c r="Y60" s="359" t="str">
        <f>IFERROR(VLOOKUP($A60,#REF!,19,0),"")</f>
        <v/>
      </c>
      <c r="Z60" s="400" t="str">
        <f>IFERROR(VLOOKUP($A60,#REF!,21,0),"")</f>
        <v/>
      </c>
      <c r="AA60" s="358"/>
      <c r="AB60" s="358"/>
      <c r="AC60" s="358" t="s">
        <v>67</v>
      </c>
      <c r="AD60" s="358" t="s">
        <v>47</v>
      </c>
      <c r="AE60" s="265"/>
      <c r="AF60" s="141" t="s">
        <v>3077</v>
      </c>
      <c r="AG60" s="358" t="s">
        <v>2126</v>
      </c>
      <c r="AH60" s="358" t="s">
        <v>401</v>
      </c>
      <c r="AI60" s="358" t="s">
        <v>401</v>
      </c>
      <c r="AJ60" s="358" t="s">
        <v>401</v>
      </c>
      <c r="AK60" s="358"/>
      <c r="AL60" s="358"/>
      <c r="AM60" s="358"/>
      <c r="AN60" s="359" t="s">
        <v>32</v>
      </c>
      <c r="AO60" s="358" t="s">
        <v>30</v>
      </c>
      <c r="AP60" s="380">
        <v>46066</v>
      </c>
      <c r="AQ60" s="384" t="s">
        <v>3075</v>
      </c>
      <c r="AR60" s="358" t="s">
        <v>32</v>
      </c>
      <c r="AS60" s="358">
        <v>7</v>
      </c>
      <c r="AT60" s="384" t="s">
        <v>3075</v>
      </c>
      <c r="AU60" s="380">
        <v>46066</v>
      </c>
      <c r="AV60" s="82" t="s">
        <v>30</v>
      </c>
      <c r="AW60" s="82" t="s">
        <v>30</v>
      </c>
      <c r="AX60" s="82" t="s">
        <v>30</v>
      </c>
      <c r="AY60" s="100" t="s">
        <v>30</v>
      </c>
      <c r="AZ60" s="100" t="s">
        <v>30</v>
      </c>
      <c r="BA60" s="100" t="s">
        <v>30</v>
      </c>
      <c r="BB60" s="100" t="s">
        <v>30</v>
      </c>
      <c r="BC60" s="114" t="s">
        <v>32</v>
      </c>
      <c r="BD60" s="100" t="s">
        <v>30</v>
      </c>
      <c r="BE60" s="114" t="s">
        <v>32</v>
      </c>
      <c r="BF60" s="100" t="s">
        <v>30</v>
      </c>
      <c r="BG60" s="100" t="s">
        <v>30</v>
      </c>
      <c r="BH60" s="100" t="s">
        <v>30</v>
      </c>
      <c r="BI60" s="100" t="s">
        <v>30</v>
      </c>
      <c r="BJ60" s="100" t="s">
        <v>30</v>
      </c>
      <c r="BK60" s="95"/>
      <c r="BL60" s="360"/>
      <c r="BN60"/>
      <c r="BO60"/>
      <c r="BP60"/>
      <c r="BQ60"/>
      <c r="BR60"/>
      <c r="BS60"/>
      <c r="BT60"/>
      <c r="BU60"/>
      <c r="BV60"/>
      <c r="BZ60">
        <f t="shared" si="1"/>
        <v>1</v>
      </c>
    </row>
    <row r="61" spans="1:78" ht="15.75" hidden="1" customHeight="1">
      <c r="A61" s="35" t="str">
        <f t="shared" si="0"/>
        <v>M069/2646046</v>
      </c>
      <c r="C61" s="358" t="s">
        <v>24</v>
      </c>
      <c r="D61" s="358">
        <v>58</v>
      </c>
      <c r="E61" s="358" t="s">
        <v>3174</v>
      </c>
      <c r="F61" s="358" t="s">
        <v>34</v>
      </c>
      <c r="G61" s="384">
        <v>46046</v>
      </c>
      <c r="H61" s="358" t="s">
        <v>688</v>
      </c>
      <c r="I61" s="358">
        <v>17</v>
      </c>
      <c r="J61" s="359" t="str">
        <f>IFERROR(VLOOKUP($A61,#REF!,3,0),"")</f>
        <v/>
      </c>
      <c r="K61" s="359" t="str">
        <f>IFERROR(VLOOKUP($A61,#REF!,4,0),AF61)</f>
        <v>INT</v>
      </c>
      <c r="L61" s="359" t="str">
        <f>IFERROR(VLOOKUP($A61,#REF!,5,0),"")</f>
        <v/>
      </c>
      <c r="M61" s="359" t="str">
        <f>IFERROR(VLOOKUP($A61,#REF!,7,0),"")</f>
        <v/>
      </c>
      <c r="N61" s="359"/>
      <c r="O61" s="359" t="str">
        <f>IFERROR(VLOOKUP($A61,#REF!,6,0),"")</f>
        <v/>
      </c>
      <c r="P61" s="359" t="str">
        <f>IFERROR(VLOOKUP($A61,#REF!,9,0),"")</f>
        <v/>
      </c>
      <c r="Q61" s="359" t="str">
        <f>IFERROR(VLOOKUP($A61,#REF!,10,0),"")</f>
        <v/>
      </c>
      <c r="R61" s="359" t="str">
        <f>IFERROR(VLOOKUP($A61,#REF!,11,0),"")</f>
        <v/>
      </c>
      <c r="S61" s="359" t="str">
        <f>IFERROR(VLOOKUP($A61,#REF!,13,0),"")</f>
        <v/>
      </c>
      <c r="T61" s="359" t="str">
        <f>IFERROR(VLOOKUP($A61,#REF!,14,0),"")</f>
        <v/>
      </c>
      <c r="U61" s="359" t="str">
        <f>IFERROR(VLOOKUP($A61,#REF!,15,0),"")</f>
        <v/>
      </c>
      <c r="V61" s="359" t="str">
        <f>IFERROR(VLOOKUP($A61,#REF!,16,0),"")</f>
        <v/>
      </c>
      <c r="W61" s="359" t="str">
        <f>IFERROR(VLOOKUP($A61,#REF!,17,0),"")</f>
        <v/>
      </c>
      <c r="X61" s="359" t="str">
        <f>IFERROR(VLOOKUP($A61,#REF!,18,0),"")</f>
        <v/>
      </c>
      <c r="Y61" s="359" t="str">
        <f>IFERROR(VLOOKUP($A61,#REF!,19,0),"")</f>
        <v/>
      </c>
      <c r="Z61" s="400" t="str">
        <f>IFERROR(VLOOKUP($A61,#REF!,21,0),"")</f>
        <v/>
      </c>
      <c r="AA61" s="358"/>
      <c r="AB61" s="358"/>
      <c r="AC61" s="358" t="s">
        <v>67</v>
      </c>
      <c r="AD61" s="358" t="s">
        <v>47</v>
      </c>
      <c r="AE61" s="265"/>
      <c r="AF61" s="141" t="s">
        <v>3077</v>
      </c>
      <c r="AG61" s="358" t="s">
        <v>2102</v>
      </c>
      <c r="AH61" s="358" t="s">
        <v>3163</v>
      </c>
      <c r="AI61" s="358" t="s">
        <v>3171</v>
      </c>
      <c r="AJ61" s="358" t="s">
        <v>3175</v>
      </c>
      <c r="AK61" s="358"/>
      <c r="AL61" s="358"/>
      <c r="AM61" s="358"/>
      <c r="AN61" s="130" t="s">
        <v>31</v>
      </c>
      <c r="AO61" s="358" t="s">
        <v>30</v>
      </c>
      <c r="AP61" s="380">
        <v>46077</v>
      </c>
      <c r="AQ61" s="384" t="s">
        <v>3075</v>
      </c>
      <c r="AR61" s="358" t="s">
        <v>32</v>
      </c>
      <c r="AS61" s="358">
        <v>12</v>
      </c>
      <c r="AT61" s="384" t="s">
        <v>3075</v>
      </c>
      <c r="AU61" s="380">
        <v>46077</v>
      </c>
      <c r="AV61" s="82" t="s">
        <v>30</v>
      </c>
      <c r="AW61" s="100" t="s">
        <v>30</v>
      </c>
      <c r="AX61" s="82" t="s">
        <v>30</v>
      </c>
      <c r="AY61" s="82" t="s">
        <v>30</v>
      </c>
      <c r="AZ61" s="82" t="s">
        <v>30</v>
      </c>
      <c r="BA61" s="82" t="s">
        <v>30</v>
      </c>
      <c r="BB61" s="82" t="s">
        <v>30</v>
      </c>
      <c r="BC61" s="82" t="s">
        <v>30</v>
      </c>
      <c r="BD61" s="82" t="s">
        <v>30</v>
      </c>
      <c r="BE61" s="82" t="s">
        <v>30</v>
      </c>
      <c r="BF61" s="82" t="s">
        <v>30</v>
      </c>
      <c r="BG61" s="100" t="s">
        <v>30</v>
      </c>
      <c r="BH61" s="100" t="s">
        <v>30</v>
      </c>
      <c r="BI61" s="100" t="s">
        <v>30</v>
      </c>
      <c r="BJ61" s="100" t="s">
        <v>30</v>
      </c>
      <c r="BK61" s="95"/>
      <c r="BL61" s="360"/>
      <c r="BN61"/>
      <c r="BO61"/>
      <c r="BP61"/>
      <c r="BQ61"/>
      <c r="BR61"/>
      <c r="BS61"/>
      <c r="BT61"/>
      <c r="BU61"/>
      <c r="BV61"/>
      <c r="BZ61">
        <f t="shared" si="1"/>
        <v>1</v>
      </c>
    </row>
    <row r="62" spans="1:78" ht="15.75" hidden="1" customHeight="1">
      <c r="A62" s="35" t="str">
        <f t="shared" si="0"/>
        <v>035/2646046</v>
      </c>
      <c r="C62" s="358" t="s">
        <v>24</v>
      </c>
      <c r="D62" s="358">
        <v>59</v>
      </c>
      <c r="E62" s="358" t="s">
        <v>3176</v>
      </c>
      <c r="F62" s="358" t="s">
        <v>34</v>
      </c>
      <c r="G62" s="384">
        <v>46046</v>
      </c>
      <c r="H62" s="358" t="s">
        <v>398</v>
      </c>
      <c r="I62" s="358">
        <v>14</v>
      </c>
      <c r="J62" s="359" t="str">
        <f>IFERROR(VLOOKUP($A62,#REF!,3,0),"")</f>
        <v/>
      </c>
      <c r="K62" s="359" t="str">
        <f>IFERROR(VLOOKUP($A62,#REF!,4,0),AF62)</f>
        <v>INT</v>
      </c>
      <c r="L62" s="359" t="str">
        <f>IFERROR(VLOOKUP($A62,#REF!,5,0),"")</f>
        <v/>
      </c>
      <c r="M62" s="359" t="str">
        <f>IFERROR(VLOOKUP($A62,#REF!,7,0),"")</f>
        <v/>
      </c>
      <c r="N62" s="359"/>
      <c r="O62" s="359" t="str">
        <f>IFERROR(VLOOKUP($A62,#REF!,6,0),"")</f>
        <v/>
      </c>
      <c r="P62" s="359" t="str">
        <f>IFERROR(VLOOKUP($A62,#REF!,9,0),"")</f>
        <v/>
      </c>
      <c r="Q62" s="359" t="str">
        <f>IFERROR(VLOOKUP($A62,#REF!,10,0),"")</f>
        <v/>
      </c>
      <c r="R62" s="359" t="str">
        <f>IFERROR(VLOOKUP($A62,#REF!,11,0),"")</f>
        <v/>
      </c>
      <c r="S62" s="359" t="str">
        <f>IFERROR(VLOOKUP($A62,#REF!,13,0),"")</f>
        <v/>
      </c>
      <c r="T62" s="359" t="str">
        <f>IFERROR(VLOOKUP($A62,#REF!,14,0),"")</f>
        <v/>
      </c>
      <c r="U62" s="359" t="str">
        <f>IFERROR(VLOOKUP($A62,#REF!,15,0),"")</f>
        <v/>
      </c>
      <c r="V62" s="359" t="str">
        <f>IFERROR(VLOOKUP($A62,#REF!,16,0),"")</f>
        <v/>
      </c>
      <c r="W62" s="359" t="str">
        <f>IFERROR(VLOOKUP($A62,#REF!,17,0),"")</f>
        <v/>
      </c>
      <c r="X62" s="359" t="str">
        <f>IFERROR(VLOOKUP($A62,#REF!,18,0),"")</f>
        <v/>
      </c>
      <c r="Y62" s="359" t="str">
        <f>IFERROR(VLOOKUP($A62,#REF!,19,0),"")</f>
        <v/>
      </c>
      <c r="Z62" s="400" t="str">
        <f>IFERROR(VLOOKUP($A62,#REF!,21,0),"")</f>
        <v/>
      </c>
      <c r="AA62" s="358"/>
      <c r="AB62" s="358"/>
      <c r="AC62" s="358" t="s">
        <v>67</v>
      </c>
      <c r="AD62" s="358" t="s">
        <v>47</v>
      </c>
      <c r="AE62" s="102" t="s">
        <v>2110</v>
      </c>
      <c r="AF62" s="141" t="s">
        <v>3077</v>
      </c>
      <c r="AG62" s="358" t="s">
        <v>2098</v>
      </c>
      <c r="AH62" s="358" t="s">
        <v>3163</v>
      </c>
      <c r="AI62" s="358" t="s">
        <v>3177</v>
      </c>
      <c r="AJ62" s="358" t="s">
        <v>2791</v>
      </c>
      <c r="AK62" s="358"/>
      <c r="AL62" s="358"/>
      <c r="AM62" s="358"/>
      <c r="AN62" s="359" t="s">
        <v>32</v>
      </c>
      <c r="AO62" s="117"/>
      <c r="AP62" s="380"/>
      <c r="AQ62" s="384" t="s">
        <v>47</v>
      </c>
      <c r="AR62" s="358" t="s">
        <v>30</v>
      </c>
      <c r="AS62" s="358">
        <v>15</v>
      </c>
      <c r="AT62" s="384" t="s">
        <v>47</v>
      </c>
      <c r="AU62" s="380">
        <v>46070</v>
      </c>
      <c r="AV62" s="82" t="s">
        <v>30</v>
      </c>
      <c r="AW62" s="100" t="s">
        <v>30</v>
      </c>
      <c r="AX62" s="100" t="s">
        <v>30</v>
      </c>
      <c r="AY62" s="100" t="s">
        <v>30</v>
      </c>
      <c r="AZ62" s="100" t="s">
        <v>30</v>
      </c>
      <c r="BA62" s="100" t="s">
        <v>30</v>
      </c>
      <c r="BB62" s="100" t="s">
        <v>30</v>
      </c>
      <c r="BC62" s="100" t="s">
        <v>30</v>
      </c>
      <c r="BD62" s="100" t="s">
        <v>30</v>
      </c>
      <c r="BE62" s="100" t="s">
        <v>30</v>
      </c>
      <c r="BF62" s="100" t="s">
        <v>30</v>
      </c>
      <c r="BG62" s="100" t="s">
        <v>30</v>
      </c>
      <c r="BH62" s="100" t="s">
        <v>30</v>
      </c>
      <c r="BI62" s="100" t="s">
        <v>30</v>
      </c>
      <c r="BJ62" s="100" t="s">
        <v>30</v>
      </c>
      <c r="BK62" s="95"/>
      <c r="BL62" s="360"/>
      <c r="BN62"/>
      <c r="BO62"/>
      <c r="BP62"/>
      <c r="BQ62"/>
      <c r="BR62"/>
      <c r="BS62"/>
      <c r="BT62"/>
      <c r="BU62"/>
      <c r="BV62"/>
      <c r="BZ62">
        <f t="shared" si="1"/>
        <v>1</v>
      </c>
    </row>
    <row r="63" spans="1:78" ht="15.75" hidden="1" customHeight="1">
      <c r="A63" s="35" t="str">
        <f t="shared" si="0"/>
        <v>037/2646046</v>
      </c>
      <c r="C63" s="358" t="s">
        <v>24</v>
      </c>
      <c r="D63" s="358">
        <v>60</v>
      </c>
      <c r="E63" s="358" t="s">
        <v>3178</v>
      </c>
      <c r="F63" s="358" t="s">
        <v>34</v>
      </c>
      <c r="G63" s="384">
        <v>46046</v>
      </c>
      <c r="H63" s="358" t="s">
        <v>324</v>
      </c>
      <c r="I63" s="358">
        <v>7</v>
      </c>
      <c r="J63" s="359" t="str">
        <f>IFERROR(VLOOKUP($A63,#REF!,3,0),"")</f>
        <v/>
      </c>
      <c r="K63" s="359" t="str">
        <f>IFERROR(VLOOKUP($A63,#REF!,4,0),AF63)</f>
        <v>INT</v>
      </c>
      <c r="L63" s="359" t="str">
        <f>IFERROR(VLOOKUP($A63,#REF!,5,0),"")</f>
        <v/>
      </c>
      <c r="M63" s="359" t="str">
        <f>IFERROR(VLOOKUP($A63,#REF!,7,0),"")</f>
        <v/>
      </c>
      <c r="N63" s="359"/>
      <c r="O63" s="359" t="str">
        <f>IFERROR(VLOOKUP($A63,#REF!,6,0),"")</f>
        <v/>
      </c>
      <c r="P63" s="359" t="str">
        <f>IFERROR(VLOOKUP($A63,#REF!,9,0),"")</f>
        <v/>
      </c>
      <c r="Q63" s="359" t="str">
        <f>IFERROR(VLOOKUP($A63,#REF!,10,0),"")</f>
        <v/>
      </c>
      <c r="R63" s="359" t="str">
        <f>IFERROR(VLOOKUP($A63,#REF!,11,0),"")</f>
        <v/>
      </c>
      <c r="S63" s="359" t="str">
        <f>IFERROR(VLOOKUP($A63,#REF!,13,0),"")</f>
        <v/>
      </c>
      <c r="T63" s="359" t="str">
        <f>IFERROR(VLOOKUP($A63,#REF!,14,0),"")</f>
        <v/>
      </c>
      <c r="U63" s="359" t="str">
        <f>IFERROR(VLOOKUP($A63,#REF!,15,0),"")</f>
        <v/>
      </c>
      <c r="V63" s="359" t="str">
        <f>IFERROR(VLOOKUP($A63,#REF!,16,0),"")</f>
        <v/>
      </c>
      <c r="W63" s="359" t="str">
        <f>IFERROR(VLOOKUP($A63,#REF!,17,0),"")</f>
        <v/>
      </c>
      <c r="X63" s="359" t="str">
        <f>IFERROR(VLOOKUP($A63,#REF!,18,0),"")</f>
        <v/>
      </c>
      <c r="Y63" s="359" t="str">
        <f>IFERROR(VLOOKUP($A63,#REF!,19,0),"")</f>
        <v/>
      </c>
      <c r="Z63" s="400" t="str">
        <f>IFERROR(VLOOKUP($A63,#REF!,21,0),"")</f>
        <v/>
      </c>
      <c r="AA63" s="358"/>
      <c r="AB63" s="358"/>
      <c r="AC63" s="358" t="s">
        <v>67</v>
      </c>
      <c r="AD63" s="358" t="s">
        <v>47</v>
      </c>
      <c r="AE63" s="358"/>
      <c r="AF63" s="141" t="s">
        <v>3077</v>
      </c>
      <c r="AG63" s="358" t="s">
        <v>2123</v>
      </c>
      <c r="AH63" s="358" t="s">
        <v>3177</v>
      </c>
      <c r="AI63" s="358" t="s">
        <v>3177</v>
      </c>
      <c r="AJ63" s="358" t="s">
        <v>2166</v>
      </c>
      <c r="AK63" s="358"/>
      <c r="AL63" s="358"/>
      <c r="AM63" s="358"/>
      <c r="AN63" s="359" t="s">
        <v>32</v>
      </c>
      <c r="AO63" s="358" t="s">
        <v>30</v>
      </c>
      <c r="AP63" s="380">
        <v>46070</v>
      </c>
      <c r="AQ63" s="384" t="s">
        <v>47</v>
      </c>
      <c r="AR63" s="358" t="s">
        <v>32</v>
      </c>
      <c r="AS63" s="358">
        <v>9</v>
      </c>
      <c r="AT63" s="384" t="s">
        <v>47</v>
      </c>
      <c r="AU63" s="380">
        <v>46070</v>
      </c>
      <c r="AV63" s="82" t="s">
        <v>30</v>
      </c>
      <c r="AW63" s="100" t="s">
        <v>30</v>
      </c>
      <c r="AX63" s="100" t="s">
        <v>30</v>
      </c>
      <c r="AY63" s="100" t="s">
        <v>30</v>
      </c>
      <c r="AZ63" s="100" t="s">
        <v>30</v>
      </c>
      <c r="BA63" s="100" t="s">
        <v>30</v>
      </c>
      <c r="BB63" s="100" t="s">
        <v>30</v>
      </c>
      <c r="BC63" s="100" t="s">
        <v>30</v>
      </c>
      <c r="BD63" s="100" t="s">
        <v>30</v>
      </c>
      <c r="BE63" s="100" t="s">
        <v>30</v>
      </c>
      <c r="BF63" s="100" t="s">
        <v>30</v>
      </c>
      <c r="BG63" s="100" t="s">
        <v>30</v>
      </c>
      <c r="BH63" s="100" t="s">
        <v>30</v>
      </c>
      <c r="BI63" s="100" t="s">
        <v>30</v>
      </c>
      <c r="BJ63" s="100" t="s">
        <v>30</v>
      </c>
      <c r="BK63" s="100" t="s">
        <v>30</v>
      </c>
      <c r="BL63" s="360"/>
      <c r="BM63" s="91"/>
      <c r="BN63" s="91"/>
      <c r="BO63"/>
      <c r="BP63"/>
      <c r="BQ63"/>
      <c r="BR63"/>
      <c r="BS63" s="72"/>
      <c r="BZ63">
        <f t="shared" si="1"/>
        <v>1</v>
      </c>
    </row>
    <row r="64" spans="1:78" ht="15.75" hidden="1" customHeight="1">
      <c r="A64" s="35" t="str">
        <f t="shared" si="0"/>
        <v>M075/2646046</v>
      </c>
      <c r="C64" s="358" t="s">
        <v>24</v>
      </c>
      <c r="D64" s="358">
        <v>61</v>
      </c>
      <c r="E64" s="358" t="s">
        <v>3179</v>
      </c>
      <c r="F64" s="358" t="s">
        <v>34</v>
      </c>
      <c r="G64" s="384">
        <v>46046</v>
      </c>
      <c r="H64" s="358" t="s">
        <v>401</v>
      </c>
      <c r="I64" s="358">
        <v>4</v>
      </c>
      <c r="J64" s="359" t="str">
        <f>IFERROR(VLOOKUP($A64,#REF!,3,0),"")</f>
        <v/>
      </c>
      <c r="K64" s="359" t="str">
        <f>IFERROR(VLOOKUP($A64,#REF!,4,0),AF64)</f>
        <v>INT</v>
      </c>
      <c r="L64" s="359" t="str">
        <f>IFERROR(VLOOKUP($A64,#REF!,5,0),"")</f>
        <v/>
      </c>
      <c r="M64" s="359" t="str">
        <f>IFERROR(VLOOKUP($A64,#REF!,7,0),"")</f>
        <v/>
      </c>
      <c r="N64" s="359"/>
      <c r="O64" s="359" t="str">
        <f>IFERROR(VLOOKUP($A64,#REF!,6,0),"")</f>
        <v/>
      </c>
      <c r="P64" s="359" t="str">
        <f>IFERROR(VLOOKUP($A64,#REF!,9,0),"")</f>
        <v/>
      </c>
      <c r="Q64" s="359" t="str">
        <f>IFERROR(VLOOKUP($A64,#REF!,10,0),"")</f>
        <v/>
      </c>
      <c r="R64" s="359" t="str">
        <f>IFERROR(VLOOKUP($A64,#REF!,11,0),"")</f>
        <v/>
      </c>
      <c r="S64" s="359" t="str">
        <f>IFERROR(VLOOKUP($A64,#REF!,13,0),"")</f>
        <v/>
      </c>
      <c r="T64" s="359" t="str">
        <f>IFERROR(VLOOKUP($A64,#REF!,14,0),"")</f>
        <v/>
      </c>
      <c r="U64" s="359" t="str">
        <f>IFERROR(VLOOKUP($A64,#REF!,15,0),"")</f>
        <v/>
      </c>
      <c r="V64" s="359" t="str">
        <f>IFERROR(VLOOKUP($A64,#REF!,16,0),"")</f>
        <v/>
      </c>
      <c r="W64" s="359" t="str">
        <f>IFERROR(VLOOKUP($A64,#REF!,17,0),"")</f>
        <v/>
      </c>
      <c r="X64" s="359" t="str">
        <f>IFERROR(VLOOKUP($A64,#REF!,18,0),"")</f>
        <v/>
      </c>
      <c r="Y64" s="359" t="str">
        <f>IFERROR(VLOOKUP($A64,#REF!,19,0),"")</f>
        <v/>
      </c>
      <c r="Z64" s="400" t="str">
        <f>IFERROR(VLOOKUP($A64,#REF!,21,0),"")</f>
        <v/>
      </c>
      <c r="AA64" s="358"/>
      <c r="AB64" s="358"/>
      <c r="AC64" s="358" t="s">
        <v>67</v>
      </c>
      <c r="AD64" s="358" t="s">
        <v>47</v>
      </c>
      <c r="AE64" s="358"/>
      <c r="AF64" s="141" t="s">
        <v>3077</v>
      </c>
      <c r="AG64" s="358" t="s">
        <v>2123</v>
      </c>
      <c r="AH64" s="358"/>
      <c r="AI64" s="358"/>
      <c r="AJ64" s="358" t="s">
        <v>401</v>
      </c>
      <c r="AK64" s="358"/>
      <c r="AL64" s="358"/>
      <c r="AM64" s="358"/>
      <c r="AN64" s="359" t="s">
        <v>32</v>
      </c>
      <c r="AO64" s="358" t="s">
        <v>30</v>
      </c>
      <c r="AP64" s="380">
        <v>46069</v>
      </c>
      <c r="AQ64" s="384" t="s">
        <v>3075</v>
      </c>
      <c r="AR64" s="358" t="s">
        <v>32</v>
      </c>
      <c r="AS64" s="358">
        <v>7</v>
      </c>
      <c r="AT64" s="384" t="s">
        <v>3075</v>
      </c>
      <c r="AU64" s="380">
        <v>46069</v>
      </c>
      <c r="AV64" s="82" t="s">
        <v>30</v>
      </c>
      <c r="AW64" s="82" t="s">
        <v>30</v>
      </c>
      <c r="AX64" s="82" t="s">
        <v>30</v>
      </c>
      <c r="AY64" s="82" t="s">
        <v>30</v>
      </c>
      <c r="AZ64" s="82" t="s">
        <v>30</v>
      </c>
      <c r="BA64" s="82" t="s">
        <v>30</v>
      </c>
      <c r="BB64" s="82" t="s">
        <v>30</v>
      </c>
      <c r="BC64" s="82" t="s">
        <v>30</v>
      </c>
      <c r="BD64" s="82" t="s">
        <v>30</v>
      </c>
      <c r="BE64" s="82" t="s">
        <v>30</v>
      </c>
      <c r="BF64" s="82" t="s">
        <v>30</v>
      </c>
      <c r="BG64" s="100" t="s">
        <v>30</v>
      </c>
      <c r="BH64" s="82" t="s">
        <v>30</v>
      </c>
      <c r="BI64" s="82" t="s">
        <v>30</v>
      </c>
      <c r="BJ64" s="82" t="s">
        <v>30</v>
      </c>
      <c r="BK64" s="95"/>
      <c r="BL64" s="360"/>
      <c r="BN64"/>
      <c r="BO64"/>
      <c r="BP64"/>
      <c r="BQ64"/>
      <c r="BR64"/>
      <c r="BS64" s="72"/>
      <c r="BZ64">
        <f t="shared" si="1"/>
        <v>1</v>
      </c>
    </row>
    <row r="65" spans="1:78" ht="15.75" hidden="1" customHeight="1">
      <c r="A65" s="35" t="str">
        <f t="shared" si="0"/>
        <v>M048/2646046</v>
      </c>
      <c r="C65" s="358" t="s">
        <v>24</v>
      </c>
      <c r="D65" s="358">
        <v>62</v>
      </c>
      <c r="E65" s="358" t="s">
        <v>3180</v>
      </c>
      <c r="F65" s="358" t="s">
        <v>374</v>
      </c>
      <c r="G65" s="384">
        <v>46046</v>
      </c>
      <c r="H65" s="358" t="s">
        <v>1757</v>
      </c>
      <c r="I65" s="358">
        <v>13</v>
      </c>
      <c r="J65" s="359" t="str">
        <f>IFERROR(VLOOKUP($A65,#REF!,3,0),"")</f>
        <v/>
      </c>
      <c r="K65" s="359" t="str">
        <f>IFERROR(VLOOKUP($A65,#REF!,4,0),AF65)</f>
        <v>INT</v>
      </c>
      <c r="L65" s="359" t="str">
        <f>IFERROR(VLOOKUP($A65,#REF!,5,0),"")</f>
        <v/>
      </c>
      <c r="M65" s="359" t="str">
        <f>IFERROR(VLOOKUP($A65,#REF!,7,0),"")</f>
        <v/>
      </c>
      <c r="N65" s="359"/>
      <c r="O65" s="359" t="str">
        <f>IFERROR(VLOOKUP($A65,#REF!,6,0),"")</f>
        <v/>
      </c>
      <c r="P65" s="359" t="str">
        <f>IFERROR(VLOOKUP($A65,#REF!,9,0),"")</f>
        <v/>
      </c>
      <c r="Q65" s="359" t="str">
        <f>IFERROR(VLOOKUP($A65,#REF!,10,0),"")</f>
        <v/>
      </c>
      <c r="R65" s="359" t="str">
        <f>IFERROR(VLOOKUP($A65,#REF!,11,0),"")</f>
        <v/>
      </c>
      <c r="S65" s="359" t="str">
        <f>IFERROR(VLOOKUP($A65,#REF!,13,0),"")</f>
        <v/>
      </c>
      <c r="T65" s="359" t="str">
        <f>IFERROR(VLOOKUP($A65,#REF!,14,0),"")</f>
        <v/>
      </c>
      <c r="U65" s="359" t="str">
        <f>IFERROR(VLOOKUP($A65,#REF!,15,0),"")</f>
        <v/>
      </c>
      <c r="V65" s="359" t="str">
        <f>IFERROR(VLOOKUP($A65,#REF!,16,0),"")</f>
        <v/>
      </c>
      <c r="W65" s="359" t="str">
        <f>IFERROR(VLOOKUP($A65,#REF!,17,0),"")</f>
        <v/>
      </c>
      <c r="X65" s="359" t="str">
        <f>IFERROR(VLOOKUP($A65,#REF!,18,0),"")</f>
        <v/>
      </c>
      <c r="Y65" s="359" t="str">
        <f>IFERROR(VLOOKUP($A65,#REF!,19,0),"")</f>
        <v/>
      </c>
      <c r="Z65" s="400" t="str">
        <f>IFERROR(VLOOKUP($A65,#REF!,21,0),"")</f>
        <v/>
      </c>
      <c r="AA65" s="358"/>
      <c r="AB65" s="358"/>
      <c r="AC65" s="358" t="s">
        <v>67</v>
      </c>
      <c r="AD65" s="358" t="s">
        <v>47</v>
      </c>
      <c r="AE65" s="358"/>
      <c r="AF65" s="141" t="s">
        <v>3077</v>
      </c>
      <c r="AG65" s="358" t="s">
        <v>2264</v>
      </c>
      <c r="AH65" s="358" t="s">
        <v>3181</v>
      </c>
      <c r="AI65" s="358" t="s">
        <v>3181</v>
      </c>
      <c r="AJ65" s="358" t="s">
        <v>2050</v>
      </c>
      <c r="AK65" s="358"/>
      <c r="AL65" s="358"/>
      <c r="AM65" s="358"/>
      <c r="AN65" s="359" t="s">
        <v>32</v>
      </c>
      <c r="AO65" s="358" t="s">
        <v>30</v>
      </c>
      <c r="AP65" s="380">
        <v>46068</v>
      </c>
      <c r="AQ65" s="384" t="s">
        <v>47</v>
      </c>
      <c r="AR65" s="358" t="s">
        <v>32</v>
      </c>
      <c r="AS65" s="358">
        <v>12</v>
      </c>
      <c r="AT65" s="384" t="s">
        <v>47</v>
      </c>
      <c r="AU65" s="380">
        <v>46068</v>
      </c>
      <c r="AV65" s="82" t="s">
        <v>30</v>
      </c>
      <c r="AW65" s="82" t="s">
        <v>30</v>
      </c>
      <c r="AX65" s="82" t="s">
        <v>30</v>
      </c>
      <c r="AY65" s="100" t="s">
        <v>30</v>
      </c>
      <c r="AZ65" s="100" t="s">
        <v>30</v>
      </c>
      <c r="BA65" s="100" t="s">
        <v>30</v>
      </c>
      <c r="BB65" s="100" t="s">
        <v>30</v>
      </c>
      <c r="BC65" s="100" t="s">
        <v>30</v>
      </c>
      <c r="BD65" s="100" t="s">
        <v>30</v>
      </c>
      <c r="BE65" s="100" t="s">
        <v>30</v>
      </c>
      <c r="BF65" s="100" t="s">
        <v>30</v>
      </c>
      <c r="BG65" s="100" t="s">
        <v>30</v>
      </c>
      <c r="BH65" s="95" t="s">
        <v>32</v>
      </c>
      <c r="BI65" s="100" t="s">
        <v>30</v>
      </c>
      <c r="BJ65" s="100" t="s">
        <v>30</v>
      </c>
      <c r="BK65" s="95"/>
      <c r="BL65" s="360" t="s">
        <v>3182</v>
      </c>
      <c r="BM65" s="91"/>
      <c r="BN65" s="91"/>
      <c r="BO65"/>
      <c r="BP65"/>
      <c r="BQ65"/>
      <c r="BR65"/>
      <c r="BS65" s="72"/>
      <c r="BZ65">
        <f t="shared" si="1"/>
        <v>1</v>
      </c>
    </row>
    <row r="66" spans="1:78" ht="15.75" hidden="1" customHeight="1">
      <c r="A66" s="35" t="str">
        <f t="shared" si="0"/>
        <v>M010/2646046</v>
      </c>
      <c r="C66" s="358" t="s">
        <v>24</v>
      </c>
      <c r="D66" s="358">
        <v>63</v>
      </c>
      <c r="E66" s="358" t="s">
        <v>3183</v>
      </c>
      <c r="F66" s="358" t="s">
        <v>64</v>
      </c>
      <c r="G66" s="384">
        <v>46046</v>
      </c>
      <c r="H66" s="358" t="s">
        <v>1621</v>
      </c>
      <c r="I66" s="403">
        <v>12</v>
      </c>
      <c r="J66" s="359" t="str">
        <f>IFERROR(VLOOKUP($A66,#REF!,3,0),"")</f>
        <v/>
      </c>
      <c r="K66" s="359" t="str">
        <f>IFERROR(VLOOKUP($A66,#REF!,4,0),AF66)</f>
        <v>EXT</v>
      </c>
      <c r="L66" s="359" t="str">
        <f>IFERROR(VLOOKUP($A66,#REF!,5,0),"")</f>
        <v/>
      </c>
      <c r="M66" s="403" t="str">
        <f>IFERROR(VLOOKUP($A66,#REF!,7,0),"")</f>
        <v/>
      </c>
      <c r="N66" s="403"/>
      <c r="O66" s="359" t="str">
        <f>IFERROR(VLOOKUP($A66,#REF!,6,0),"")</f>
        <v/>
      </c>
      <c r="P66" s="359" t="str">
        <f>IFERROR(VLOOKUP($A66,#REF!,9,0),"")</f>
        <v/>
      </c>
      <c r="Q66" s="359" t="str">
        <f>IFERROR(VLOOKUP($A66,#REF!,10,0),"")</f>
        <v/>
      </c>
      <c r="R66" s="359" t="str">
        <f>IFERROR(VLOOKUP($A66,#REF!,11,0),"")</f>
        <v/>
      </c>
      <c r="S66" s="359" t="str">
        <f>IFERROR(VLOOKUP($A66,#REF!,13,0),"")</f>
        <v/>
      </c>
      <c r="T66" s="359" t="str">
        <f>IFERROR(VLOOKUP($A66,#REF!,14,0),"")</f>
        <v/>
      </c>
      <c r="U66" s="359" t="str">
        <f>IFERROR(VLOOKUP($A66,#REF!,15,0),"")</f>
        <v/>
      </c>
      <c r="V66" s="359" t="str">
        <f>IFERROR(VLOOKUP($A66,#REF!,16,0),"")</f>
        <v/>
      </c>
      <c r="W66" s="359" t="str">
        <f>IFERROR(VLOOKUP($A66,#REF!,17,0),"")</f>
        <v/>
      </c>
      <c r="X66" s="359" t="str">
        <f>IFERROR(VLOOKUP($A66,#REF!,18,0),"")</f>
        <v/>
      </c>
      <c r="Y66" s="359" t="str">
        <f>IFERROR(VLOOKUP($A66,#REF!,19,0),"")</f>
        <v/>
      </c>
      <c r="Z66" s="400" t="str">
        <f>IFERROR(VLOOKUP($A66,#REF!,21,0),"")</f>
        <v/>
      </c>
      <c r="AA66" s="358"/>
      <c r="AB66" s="358"/>
      <c r="AC66" s="358" t="s">
        <v>127</v>
      </c>
      <c r="AD66" s="358" t="s">
        <v>178</v>
      </c>
      <c r="AE66" s="102" t="s">
        <v>2110</v>
      </c>
      <c r="AF66" s="141" t="s">
        <v>3082</v>
      </c>
      <c r="AG66" s="358" t="s">
        <v>2056</v>
      </c>
      <c r="AH66" s="358" t="s">
        <v>3163</v>
      </c>
      <c r="AI66" s="358" t="s">
        <v>3169</v>
      </c>
      <c r="AJ66" s="358" t="s">
        <v>3184</v>
      </c>
      <c r="AK66" s="358"/>
      <c r="AL66" s="358"/>
      <c r="AM66" s="358"/>
      <c r="AN66" s="359" t="s">
        <v>32</v>
      </c>
      <c r="AO66" s="117"/>
      <c r="AP66" s="380"/>
      <c r="AQ66" s="384" t="s">
        <v>28</v>
      </c>
      <c r="AR66" s="358" t="s">
        <v>30</v>
      </c>
      <c r="AS66" s="365">
        <v>14</v>
      </c>
      <c r="AT66" s="384" t="s">
        <v>28</v>
      </c>
      <c r="AU66" s="380">
        <v>46057</v>
      </c>
      <c r="AV66" s="82" t="s">
        <v>30</v>
      </c>
      <c r="AW66" s="82" t="s">
        <v>30</v>
      </c>
      <c r="AX66" s="82" t="s">
        <v>30</v>
      </c>
      <c r="AY66" s="100" t="s">
        <v>30</v>
      </c>
      <c r="AZ66" s="100" t="s">
        <v>30</v>
      </c>
      <c r="BA66" s="100" t="s">
        <v>30</v>
      </c>
      <c r="BB66" s="100" t="s">
        <v>30</v>
      </c>
      <c r="BC66" s="100" t="s">
        <v>30</v>
      </c>
      <c r="BD66" s="100" t="s">
        <v>30</v>
      </c>
      <c r="BE66" s="100" t="s">
        <v>30</v>
      </c>
      <c r="BF66" s="100" t="s">
        <v>30</v>
      </c>
      <c r="BG66" s="100" t="s">
        <v>30</v>
      </c>
      <c r="BH66" s="111" t="s">
        <v>30</v>
      </c>
      <c r="BI66" s="111" t="s">
        <v>30</v>
      </c>
      <c r="BJ66" s="100" t="s">
        <v>30</v>
      </c>
      <c r="BK66" s="95"/>
      <c r="BL66" s="360"/>
      <c r="BN66"/>
      <c r="BO66"/>
      <c r="BP66"/>
      <c r="BQ66"/>
      <c r="BR66"/>
      <c r="BS66" s="72"/>
      <c r="BZ66">
        <f t="shared" si="1"/>
        <v>1</v>
      </c>
    </row>
    <row r="67" spans="1:78" ht="15.75" hidden="1" customHeight="1">
      <c r="A67" s="35" t="str">
        <f t="shared" si="0"/>
        <v>M086/2646046</v>
      </c>
      <c r="C67" s="358" t="s">
        <v>24</v>
      </c>
      <c r="D67" s="358">
        <v>64</v>
      </c>
      <c r="E67" s="358" t="s">
        <v>3185</v>
      </c>
      <c r="F67" s="358" t="s">
        <v>34</v>
      </c>
      <c r="G67" s="384">
        <v>46046</v>
      </c>
      <c r="H67" s="358" t="s">
        <v>93</v>
      </c>
      <c r="I67" s="358">
        <v>7</v>
      </c>
      <c r="J67" s="359" t="str">
        <f>IFERROR(VLOOKUP($A67,#REF!,3,0),"")</f>
        <v/>
      </c>
      <c r="K67" s="359" t="str">
        <f>IFERROR(VLOOKUP($A67,#REF!,4,0),AF67)</f>
        <v>INT</v>
      </c>
      <c r="L67" s="359" t="str">
        <f>IFERROR(VLOOKUP($A67,#REF!,5,0),"")</f>
        <v/>
      </c>
      <c r="M67" s="359" t="str">
        <f>IFERROR(VLOOKUP($A67,#REF!,7,0),"")</f>
        <v/>
      </c>
      <c r="N67" s="359"/>
      <c r="O67" s="359" t="str">
        <f>IFERROR(VLOOKUP($A67,#REF!,6,0),"")</f>
        <v/>
      </c>
      <c r="P67" s="359" t="str">
        <f>IFERROR(VLOOKUP($A67,#REF!,9,0),"")</f>
        <v/>
      </c>
      <c r="Q67" s="359" t="str">
        <f>IFERROR(VLOOKUP($A67,#REF!,10,0),"")</f>
        <v/>
      </c>
      <c r="R67" s="359" t="str">
        <f>IFERROR(VLOOKUP($A67,#REF!,11,0),"")</f>
        <v/>
      </c>
      <c r="S67" s="359" t="str">
        <f>IFERROR(VLOOKUP($A67,#REF!,13,0),"")</f>
        <v/>
      </c>
      <c r="T67" s="359" t="str">
        <f>IFERROR(VLOOKUP($A67,#REF!,14,0),"")</f>
        <v/>
      </c>
      <c r="U67" s="359" t="str">
        <f>IFERROR(VLOOKUP($A67,#REF!,15,0),"")</f>
        <v/>
      </c>
      <c r="V67" s="359" t="str">
        <f>IFERROR(VLOOKUP($A67,#REF!,16,0),"")</f>
        <v/>
      </c>
      <c r="W67" s="359" t="str">
        <f>IFERROR(VLOOKUP($A67,#REF!,17,0),"")</f>
        <v/>
      </c>
      <c r="X67" s="359" t="str">
        <f>IFERROR(VLOOKUP($A67,#REF!,18,0),"")</f>
        <v/>
      </c>
      <c r="Y67" s="359" t="str">
        <f>IFERROR(VLOOKUP($A67,#REF!,19,0),"")</f>
        <v/>
      </c>
      <c r="Z67" s="400" t="str">
        <f>IFERROR(VLOOKUP($A67,#REF!,21,0),"")</f>
        <v/>
      </c>
      <c r="AA67" s="358"/>
      <c r="AB67" s="358"/>
      <c r="AC67" s="359" t="s">
        <v>127</v>
      </c>
      <c r="AD67" s="358" t="s">
        <v>178</v>
      </c>
      <c r="AE67" s="358"/>
      <c r="AF67" s="141" t="s">
        <v>3077</v>
      </c>
      <c r="AG67" s="358" t="s">
        <v>2085</v>
      </c>
      <c r="AH67" s="358" t="s">
        <v>3169</v>
      </c>
      <c r="AI67" s="358" t="s">
        <v>3169</v>
      </c>
      <c r="AJ67" s="358" t="s">
        <v>2050</v>
      </c>
      <c r="AK67" s="358"/>
      <c r="AL67" s="358"/>
      <c r="AM67" s="358"/>
      <c r="AN67" s="359" t="s">
        <v>32</v>
      </c>
      <c r="AO67" s="327" t="s">
        <v>30</v>
      </c>
      <c r="AP67" s="380">
        <v>46065</v>
      </c>
      <c r="AQ67" s="384" t="s">
        <v>28</v>
      </c>
      <c r="AR67" s="358" t="s">
        <v>1140</v>
      </c>
      <c r="AS67" s="358">
        <v>6</v>
      </c>
      <c r="AT67" s="384" t="s">
        <v>28</v>
      </c>
      <c r="AU67" s="380">
        <v>46065</v>
      </c>
      <c r="AV67" s="94" t="s">
        <v>30</v>
      </c>
      <c r="AW67" s="100" t="s">
        <v>30</v>
      </c>
      <c r="AX67" s="100" t="s">
        <v>30</v>
      </c>
      <c r="AY67" s="100" t="s">
        <v>30</v>
      </c>
      <c r="AZ67" s="100" t="s">
        <v>30</v>
      </c>
      <c r="BA67" s="100" t="s">
        <v>30</v>
      </c>
      <c r="BB67" s="100" t="s">
        <v>30</v>
      </c>
      <c r="BC67" s="100" t="s">
        <v>30</v>
      </c>
      <c r="BD67" s="100" t="s">
        <v>30</v>
      </c>
      <c r="BE67" s="100" t="s">
        <v>30</v>
      </c>
      <c r="BF67" s="100" t="s">
        <v>30</v>
      </c>
      <c r="BG67" s="100" t="s">
        <v>30</v>
      </c>
      <c r="BH67" s="100" t="s">
        <v>30</v>
      </c>
      <c r="BI67" s="100" t="s">
        <v>30</v>
      </c>
      <c r="BJ67" s="100" t="s">
        <v>30</v>
      </c>
      <c r="BK67" s="95"/>
      <c r="BL67" s="360"/>
      <c r="BN67"/>
      <c r="BO67"/>
      <c r="BP67"/>
      <c r="BQ67"/>
      <c r="BR67"/>
      <c r="BS67"/>
      <c r="BT67"/>
      <c r="BU67"/>
      <c r="BV67"/>
      <c r="BZ67">
        <f t="shared" si="1"/>
        <v>1</v>
      </c>
    </row>
    <row r="68" spans="1:78" ht="15.75" hidden="1" customHeight="1">
      <c r="A68" s="35" t="str">
        <f t="shared" si="0"/>
        <v>043/2646046</v>
      </c>
      <c r="C68" s="358" t="s">
        <v>24</v>
      </c>
      <c r="D68" s="358">
        <v>65</v>
      </c>
      <c r="E68" s="358" t="s">
        <v>3186</v>
      </c>
      <c r="F68" s="358" t="s">
        <v>34</v>
      </c>
      <c r="G68" s="384">
        <v>46046</v>
      </c>
      <c r="H68" s="358" t="s">
        <v>93</v>
      </c>
      <c r="I68" s="358">
        <v>5</v>
      </c>
      <c r="J68" s="359" t="str">
        <f>IFERROR(VLOOKUP($A68,#REF!,3,0),"")</f>
        <v/>
      </c>
      <c r="K68" s="359" t="str">
        <f>IFERROR(VLOOKUP($A68,#REF!,4,0),AF68)</f>
        <v>INT</v>
      </c>
      <c r="L68" s="359" t="str">
        <f>IFERROR(VLOOKUP($A68,#REF!,5,0),"")</f>
        <v/>
      </c>
      <c r="M68" s="359" t="str">
        <f>IFERROR(VLOOKUP($A68,#REF!,7,0),"")</f>
        <v/>
      </c>
      <c r="N68" s="359"/>
      <c r="O68" s="359" t="str">
        <f>IFERROR(VLOOKUP($A68,#REF!,6,0),"")</f>
        <v/>
      </c>
      <c r="P68" s="359" t="str">
        <f>IFERROR(VLOOKUP($A68,#REF!,9,0),"")</f>
        <v/>
      </c>
      <c r="Q68" s="359" t="str">
        <f>IFERROR(VLOOKUP($A68,#REF!,10,0),"")</f>
        <v/>
      </c>
      <c r="R68" s="359" t="str">
        <f>IFERROR(VLOOKUP($A68,#REF!,11,0),"")</f>
        <v/>
      </c>
      <c r="S68" s="359" t="str">
        <f>IFERROR(VLOOKUP($A68,#REF!,13,0),"")</f>
        <v/>
      </c>
      <c r="T68" s="359" t="str">
        <f>IFERROR(VLOOKUP($A68,#REF!,14,0),"")</f>
        <v/>
      </c>
      <c r="U68" s="359" t="str">
        <f>IFERROR(VLOOKUP($A68,#REF!,15,0),"")</f>
        <v/>
      </c>
      <c r="V68" s="359" t="str">
        <f>IFERROR(VLOOKUP($A68,#REF!,16,0),"")</f>
        <v/>
      </c>
      <c r="W68" s="359" t="str">
        <f>IFERROR(VLOOKUP($A68,#REF!,17,0),"")</f>
        <v/>
      </c>
      <c r="X68" s="359" t="str">
        <f>IFERROR(VLOOKUP($A68,#REF!,18,0),"")</f>
        <v/>
      </c>
      <c r="Y68" s="359" t="str">
        <f>IFERROR(VLOOKUP($A68,#REF!,19,0),"")</f>
        <v/>
      </c>
      <c r="Z68" s="400" t="str">
        <f>IFERROR(VLOOKUP($A68,#REF!,21,0),"")</f>
        <v/>
      </c>
      <c r="AA68" s="358"/>
      <c r="AB68" s="358"/>
      <c r="AC68" s="358" t="s">
        <v>127</v>
      </c>
      <c r="AD68" s="358" t="s">
        <v>178</v>
      </c>
      <c r="AE68" s="358"/>
      <c r="AF68" s="141" t="s">
        <v>3077</v>
      </c>
      <c r="AG68" s="358" t="s">
        <v>2085</v>
      </c>
      <c r="AH68" s="358"/>
      <c r="AI68" s="358"/>
      <c r="AJ68" s="358" t="s">
        <v>401</v>
      </c>
      <c r="AK68" s="358"/>
      <c r="AL68" s="358"/>
      <c r="AM68" s="358"/>
      <c r="AN68" s="359" t="s">
        <v>32</v>
      </c>
      <c r="AO68" s="358" t="s">
        <v>30</v>
      </c>
      <c r="AP68" s="380">
        <v>46065</v>
      </c>
      <c r="AQ68" s="384" t="s">
        <v>28</v>
      </c>
      <c r="AR68" s="358" t="s">
        <v>1140</v>
      </c>
      <c r="AS68" s="358">
        <v>5</v>
      </c>
      <c r="AT68" s="384" t="s">
        <v>28</v>
      </c>
      <c r="AU68" s="380">
        <v>46065</v>
      </c>
      <c r="AV68" s="100" t="s">
        <v>30</v>
      </c>
      <c r="AW68" s="100" t="s">
        <v>30</v>
      </c>
      <c r="AX68" s="100" t="s">
        <v>30</v>
      </c>
      <c r="AY68" s="100" t="s">
        <v>30</v>
      </c>
      <c r="AZ68" s="100" t="s">
        <v>30</v>
      </c>
      <c r="BA68" s="100" t="s">
        <v>30</v>
      </c>
      <c r="BB68" s="100" t="s">
        <v>30</v>
      </c>
      <c r="BC68" s="100" t="s">
        <v>30</v>
      </c>
      <c r="BD68" s="100" t="s">
        <v>30</v>
      </c>
      <c r="BE68" s="100" t="s">
        <v>30</v>
      </c>
      <c r="BF68" s="100" t="s">
        <v>30</v>
      </c>
      <c r="BG68" s="114"/>
      <c r="BH68" s="100" t="s">
        <v>30</v>
      </c>
      <c r="BI68" s="100" t="s">
        <v>30</v>
      </c>
      <c r="BJ68" s="100" t="s">
        <v>30</v>
      </c>
      <c r="BK68" s="95"/>
      <c r="BL68" s="360"/>
      <c r="BN68"/>
      <c r="BO68"/>
      <c r="BP68"/>
      <c r="BQ68"/>
      <c r="BR68"/>
      <c r="BS68" s="72"/>
      <c r="BZ68">
        <f t="shared" si="1"/>
        <v>1</v>
      </c>
    </row>
    <row r="69" spans="1:78" ht="15.75" hidden="1" customHeight="1">
      <c r="A69" s="35" t="str">
        <f t="shared" ref="A69:A132" si="2">E69&amp;G69</f>
        <v>M066/2646046</v>
      </c>
      <c r="C69" s="358" t="s">
        <v>24</v>
      </c>
      <c r="D69" s="358">
        <v>66</v>
      </c>
      <c r="E69" s="358" t="s">
        <v>3187</v>
      </c>
      <c r="F69" s="358" t="s">
        <v>34</v>
      </c>
      <c r="G69" s="384">
        <v>46046</v>
      </c>
      <c r="H69" s="358" t="s">
        <v>202</v>
      </c>
      <c r="I69" s="358">
        <v>14</v>
      </c>
      <c r="J69" s="359" t="str">
        <f>IFERROR(VLOOKUP($A69,#REF!,3,0),"")</f>
        <v/>
      </c>
      <c r="K69" s="359" t="str">
        <f>IFERROR(VLOOKUP($A69,#REF!,4,0),AF69)</f>
        <v>INT</v>
      </c>
      <c r="L69" s="359" t="str">
        <f>IFERROR(VLOOKUP($A69,#REF!,5,0),"")</f>
        <v/>
      </c>
      <c r="M69" s="359" t="str">
        <f>IFERROR(VLOOKUP($A69,#REF!,7,0),"")</f>
        <v/>
      </c>
      <c r="N69" s="359"/>
      <c r="O69" s="359" t="str">
        <f>IFERROR(VLOOKUP($A69,#REF!,6,0),"")</f>
        <v/>
      </c>
      <c r="P69" s="359" t="str">
        <f>IFERROR(VLOOKUP($A69,#REF!,9,0),"")</f>
        <v/>
      </c>
      <c r="Q69" s="359" t="str">
        <f>IFERROR(VLOOKUP($A69,#REF!,10,0),"")</f>
        <v/>
      </c>
      <c r="R69" s="359" t="str">
        <f>IFERROR(VLOOKUP($A69,#REF!,11,0),"")</f>
        <v/>
      </c>
      <c r="S69" s="359" t="str">
        <f>IFERROR(VLOOKUP($A69,#REF!,13,0),"")</f>
        <v/>
      </c>
      <c r="T69" s="359" t="str">
        <f>IFERROR(VLOOKUP($A69,#REF!,14,0),"")</f>
        <v/>
      </c>
      <c r="U69" s="359" t="str">
        <f>IFERROR(VLOOKUP($A69,#REF!,15,0),"")</f>
        <v/>
      </c>
      <c r="V69" s="359" t="str">
        <f>IFERROR(VLOOKUP($A69,#REF!,16,0),"")</f>
        <v/>
      </c>
      <c r="W69" s="359" t="str">
        <f>IFERROR(VLOOKUP($A69,#REF!,17,0),"")</f>
        <v/>
      </c>
      <c r="X69" s="359" t="str">
        <f>IFERROR(VLOOKUP($A69,#REF!,18,0),"")</f>
        <v/>
      </c>
      <c r="Y69" s="359" t="str">
        <f>IFERROR(VLOOKUP($A69,#REF!,19,0),"")</f>
        <v/>
      </c>
      <c r="Z69" s="400" t="str">
        <f>IFERROR(VLOOKUP($A69,#REF!,21,0),"")</f>
        <v/>
      </c>
      <c r="AA69" s="358"/>
      <c r="AB69" s="358"/>
      <c r="AC69" s="358" t="s">
        <v>127</v>
      </c>
      <c r="AD69" s="358" t="s">
        <v>178</v>
      </c>
      <c r="AE69" s="358"/>
      <c r="AF69" s="141" t="s">
        <v>3077</v>
      </c>
      <c r="AG69" s="358" t="s">
        <v>2092</v>
      </c>
      <c r="AH69" s="358" t="s">
        <v>3163</v>
      </c>
      <c r="AI69" s="358" t="s">
        <v>3171</v>
      </c>
      <c r="AJ69" s="358" t="s">
        <v>3188</v>
      </c>
      <c r="AK69" s="358"/>
      <c r="AL69" s="358"/>
      <c r="AM69" s="358"/>
      <c r="AN69" s="359" t="s">
        <v>32</v>
      </c>
      <c r="AO69" s="327" t="s">
        <v>30</v>
      </c>
      <c r="AP69" s="380">
        <v>46064</v>
      </c>
      <c r="AQ69" s="384" t="s">
        <v>28</v>
      </c>
      <c r="AR69" s="358" t="s">
        <v>32</v>
      </c>
      <c r="AS69" s="358">
        <v>11</v>
      </c>
      <c r="AT69" s="384" t="s">
        <v>28</v>
      </c>
      <c r="AU69" s="380">
        <v>46064</v>
      </c>
      <c r="AV69" s="94" t="s">
        <v>30</v>
      </c>
      <c r="AW69" s="100" t="s">
        <v>30</v>
      </c>
      <c r="AX69" s="100" t="s">
        <v>30</v>
      </c>
      <c r="AY69" s="95" t="s">
        <v>32</v>
      </c>
      <c r="AZ69" s="95" t="s">
        <v>32</v>
      </c>
      <c r="BA69" s="95" t="s">
        <v>32</v>
      </c>
      <c r="BB69" s="100" t="s">
        <v>30</v>
      </c>
      <c r="BC69" s="100" t="s">
        <v>30</v>
      </c>
      <c r="BD69" s="100" t="s">
        <v>30</v>
      </c>
      <c r="BE69" s="100" t="s">
        <v>30</v>
      </c>
      <c r="BF69" s="100" t="s">
        <v>30</v>
      </c>
      <c r="BG69" s="100" t="s">
        <v>30</v>
      </c>
      <c r="BH69" s="94" t="s">
        <v>30</v>
      </c>
      <c r="BI69" s="94" t="s">
        <v>30</v>
      </c>
      <c r="BJ69" s="100" t="s">
        <v>30</v>
      </c>
      <c r="BK69" s="95"/>
      <c r="BL69" s="360"/>
      <c r="BN69"/>
      <c r="BO69"/>
      <c r="BP69"/>
      <c r="BQ69"/>
      <c r="BR69"/>
      <c r="BS69"/>
      <c r="BT69"/>
      <c r="BU69"/>
      <c r="BV69"/>
      <c r="BZ69">
        <f t="shared" ref="BZ69:BZ132" si="3">IF(G69&gt;1,1,"")</f>
        <v>1</v>
      </c>
    </row>
    <row r="70" spans="1:78" ht="15.75" hidden="1" customHeight="1">
      <c r="A70" s="35" t="str">
        <f t="shared" si="2"/>
        <v>M078/2646046</v>
      </c>
      <c r="C70" s="358" t="s">
        <v>24</v>
      </c>
      <c r="D70" s="358">
        <v>67</v>
      </c>
      <c r="E70" s="358" t="s">
        <v>3189</v>
      </c>
      <c r="F70" s="358" t="s">
        <v>34</v>
      </c>
      <c r="G70" s="384">
        <v>46046</v>
      </c>
      <c r="H70" s="358" t="s">
        <v>202</v>
      </c>
      <c r="I70" s="358">
        <v>12</v>
      </c>
      <c r="J70" s="359" t="str">
        <f>IFERROR(VLOOKUP($A70,#REF!,3,0),"")</f>
        <v/>
      </c>
      <c r="K70" s="359" t="str">
        <f>IFERROR(VLOOKUP($A70,#REF!,4,0),AF70)</f>
        <v>INT</v>
      </c>
      <c r="L70" s="359" t="str">
        <f>IFERROR(VLOOKUP($A70,#REF!,5,0),"")</f>
        <v/>
      </c>
      <c r="M70" s="359" t="str">
        <f>IFERROR(VLOOKUP($A70,#REF!,7,0),"")</f>
        <v/>
      </c>
      <c r="N70" s="359"/>
      <c r="O70" s="359" t="str">
        <f>IFERROR(VLOOKUP($A70,#REF!,6,0),"")</f>
        <v/>
      </c>
      <c r="P70" s="359" t="str">
        <f>IFERROR(VLOOKUP($A70,#REF!,9,0),"")</f>
        <v/>
      </c>
      <c r="Q70" s="359" t="str">
        <f>IFERROR(VLOOKUP($A70,#REF!,10,0),"")</f>
        <v/>
      </c>
      <c r="R70" s="359" t="str">
        <f>IFERROR(VLOOKUP($A70,#REF!,11,0),"")</f>
        <v/>
      </c>
      <c r="S70" s="359" t="str">
        <f>IFERROR(VLOOKUP($A70,#REF!,13,0),"")</f>
        <v/>
      </c>
      <c r="T70" s="359" t="str">
        <f>IFERROR(VLOOKUP($A70,#REF!,14,0),"")</f>
        <v/>
      </c>
      <c r="U70" s="359" t="str">
        <f>IFERROR(VLOOKUP($A70,#REF!,15,0),"")</f>
        <v/>
      </c>
      <c r="V70" s="359" t="str">
        <f>IFERROR(VLOOKUP($A70,#REF!,16,0),"")</f>
        <v/>
      </c>
      <c r="W70" s="359" t="str">
        <f>IFERROR(VLOOKUP($A70,#REF!,17,0),"")</f>
        <v/>
      </c>
      <c r="X70" s="359" t="str">
        <f>IFERROR(VLOOKUP($A70,#REF!,18,0),"")</f>
        <v/>
      </c>
      <c r="Y70" s="359" t="str">
        <f>IFERROR(VLOOKUP($A70,#REF!,19,0),"")</f>
        <v/>
      </c>
      <c r="Z70" s="400" t="str">
        <f>IFERROR(VLOOKUP($A70,#REF!,21,0),"")</f>
        <v/>
      </c>
      <c r="AA70" s="358"/>
      <c r="AB70" s="358"/>
      <c r="AC70" s="359" t="s">
        <v>127</v>
      </c>
      <c r="AD70" s="358" t="s">
        <v>178</v>
      </c>
      <c r="AE70" s="102" t="s">
        <v>3190</v>
      </c>
      <c r="AF70" s="141" t="s">
        <v>3077</v>
      </c>
      <c r="AG70" s="358" t="s">
        <v>2180</v>
      </c>
      <c r="AH70" s="358" t="s">
        <v>3163</v>
      </c>
      <c r="AI70" s="358" t="s">
        <v>3171</v>
      </c>
      <c r="AJ70" s="358" t="s">
        <v>2050</v>
      </c>
      <c r="AK70" s="358"/>
      <c r="AL70" s="358"/>
      <c r="AM70" s="358"/>
      <c r="AN70" s="359" t="s">
        <v>32</v>
      </c>
      <c r="AO70" s="358" t="s">
        <v>30</v>
      </c>
      <c r="AP70" s="380">
        <v>46065</v>
      </c>
      <c r="AQ70" s="384" t="s">
        <v>1721</v>
      </c>
      <c r="AR70" s="358" t="s">
        <v>30</v>
      </c>
      <c r="AS70" s="358">
        <v>11</v>
      </c>
      <c r="AT70" s="384" t="s">
        <v>1721</v>
      </c>
      <c r="AU70" s="380">
        <v>46065</v>
      </c>
      <c r="AV70" s="94" t="s">
        <v>30</v>
      </c>
      <c r="AW70" s="82" t="s">
        <v>30</v>
      </c>
      <c r="AX70" s="94" t="s">
        <v>30</v>
      </c>
      <c r="AY70" s="95" t="s">
        <v>32</v>
      </c>
      <c r="AZ70" s="95" t="s">
        <v>32</v>
      </c>
      <c r="BA70" s="95" t="s">
        <v>32</v>
      </c>
      <c r="BB70" s="100" t="s">
        <v>30</v>
      </c>
      <c r="BC70" s="100" t="s">
        <v>30</v>
      </c>
      <c r="BD70" s="100" t="s">
        <v>30</v>
      </c>
      <c r="BE70" s="100" t="s">
        <v>30</v>
      </c>
      <c r="BF70" s="100" t="s">
        <v>30</v>
      </c>
      <c r="BG70" s="100" t="s">
        <v>30</v>
      </c>
      <c r="BH70" s="100" t="s">
        <v>30</v>
      </c>
      <c r="BI70" s="100" t="s">
        <v>30</v>
      </c>
      <c r="BJ70" s="112" t="s">
        <v>30</v>
      </c>
      <c r="BK70" s="95"/>
      <c r="BL70" s="360"/>
      <c r="BN70"/>
      <c r="BO70"/>
      <c r="BP70"/>
      <c r="BQ70"/>
      <c r="BR70"/>
      <c r="BS70"/>
      <c r="BT70"/>
      <c r="BU70"/>
      <c r="BV70"/>
      <c r="BZ70">
        <f t="shared" si="3"/>
        <v>1</v>
      </c>
    </row>
    <row r="71" spans="1:78" ht="15.75" hidden="1" customHeight="1">
      <c r="A71" s="35" t="str">
        <f t="shared" si="2"/>
        <v>042/2646046</v>
      </c>
      <c r="C71" s="358" t="s">
        <v>24</v>
      </c>
      <c r="D71" s="358">
        <v>68</v>
      </c>
      <c r="E71" s="358" t="s">
        <v>3191</v>
      </c>
      <c r="F71" s="358" t="s">
        <v>34</v>
      </c>
      <c r="G71" s="384">
        <v>46046</v>
      </c>
      <c r="H71" s="358" t="s">
        <v>202</v>
      </c>
      <c r="I71" s="358">
        <v>2</v>
      </c>
      <c r="J71" s="359" t="str">
        <f>IFERROR(VLOOKUP($A71,#REF!,3,0),"")</f>
        <v/>
      </c>
      <c r="K71" s="359" t="str">
        <f>IFERROR(VLOOKUP($A71,#REF!,4,0),AF71)</f>
        <v>INT</v>
      </c>
      <c r="L71" s="359" t="str">
        <f>IFERROR(VLOOKUP($A71,#REF!,5,0),"")</f>
        <v/>
      </c>
      <c r="M71" s="359" t="str">
        <f>IFERROR(VLOOKUP($A71,#REF!,7,0),"")</f>
        <v/>
      </c>
      <c r="N71" s="359"/>
      <c r="O71" s="359" t="str">
        <f>IFERROR(VLOOKUP($A71,#REF!,6,0),"")</f>
        <v/>
      </c>
      <c r="P71" s="359" t="str">
        <f>IFERROR(VLOOKUP($A71,#REF!,9,0),"")</f>
        <v/>
      </c>
      <c r="Q71" s="359" t="str">
        <f>IFERROR(VLOOKUP($A71,#REF!,10,0),"")</f>
        <v/>
      </c>
      <c r="R71" s="359" t="str">
        <f>IFERROR(VLOOKUP($A71,#REF!,11,0),"")</f>
        <v/>
      </c>
      <c r="S71" s="359" t="str">
        <f>IFERROR(VLOOKUP($A71,#REF!,13,0),"")</f>
        <v/>
      </c>
      <c r="T71" s="359" t="str">
        <f>IFERROR(VLOOKUP($A71,#REF!,14,0),"")</f>
        <v/>
      </c>
      <c r="U71" s="359" t="str">
        <f>IFERROR(VLOOKUP($A71,#REF!,15,0),"")</f>
        <v/>
      </c>
      <c r="V71" s="359" t="str">
        <f>IFERROR(VLOOKUP($A71,#REF!,16,0),"")</f>
        <v/>
      </c>
      <c r="W71" s="359" t="str">
        <f>IFERROR(VLOOKUP($A71,#REF!,17,0),"")</f>
        <v/>
      </c>
      <c r="X71" s="359" t="str">
        <f>IFERROR(VLOOKUP($A71,#REF!,18,0),"")</f>
        <v/>
      </c>
      <c r="Y71" s="359" t="str">
        <f>IFERROR(VLOOKUP($A71,#REF!,19,0),"")</f>
        <v/>
      </c>
      <c r="Z71" s="400" t="str">
        <f>IFERROR(VLOOKUP($A71,#REF!,21,0),"")</f>
        <v/>
      </c>
      <c r="AA71" s="358"/>
      <c r="AB71" s="358"/>
      <c r="AC71" s="358" t="s">
        <v>1721</v>
      </c>
      <c r="AD71" s="358" t="s">
        <v>1638</v>
      </c>
      <c r="AE71" s="102"/>
      <c r="AF71" s="141" t="s">
        <v>3077</v>
      </c>
      <c r="AG71" s="358" t="s">
        <v>2180</v>
      </c>
      <c r="AH71" s="358" t="s">
        <v>401</v>
      </c>
      <c r="AI71" s="358" t="s">
        <v>401</v>
      </c>
      <c r="AJ71" s="358"/>
      <c r="AK71" s="358"/>
      <c r="AL71" s="358"/>
      <c r="AM71" s="358"/>
      <c r="AN71" s="359" t="s">
        <v>32</v>
      </c>
      <c r="AO71" s="358"/>
      <c r="AP71" s="380"/>
      <c r="AQ71" s="384" t="s">
        <v>1638</v>
      </c>
      <c r="AR71" s="358"/>
      <c r="AS71" s="358"/>
      <c r="AT71" s="384"/>
      <c r="AU71" s="380"/>
      <c r="AV71" s="95" t="s">
        <v>32</v>
      </c>
      <c r="AW71" s="95" t="s">
        <v>32</v>
      </c>
      <c r="AX71" s="95"/>
      <c r="AY71" s="95" t="s">
        <v>32</v>
      </c>
      <c r="AZ71" s="95" t="s">
        <v>32</v>
      </c>
      <c r="BA71" s="95" t="s">
        <v>32</v>
      </c>
      <c r="BB71" s="100" t="s">
        <v>30</v>
      </c>
      <c r="BC71" s="100" t="s">
        <v>30</v>
      </c>
      <c r="BD71" s="100" t="s">
        <v>30</v>
      </c>
      <c r="BE71" s="100" t="s">
        <v>30</v>
      </c>
      <c r="BF71" s="100" t="s">
        <v>30</v>
      </c>
      <c r="BG71" s="114"/>
      <c r="BH71" s="95" t="s">
        <v>32</v>
      </c>
      <c r="BI71" s="100" t="s">
        <v>30</v>
      </c>
      <c r="BJ71" s="95" t="s">
        <v>32</v>
      </c>
      <c r="BK71" s="95"/>
      <c r="BL71" s="360" t="s">
        <v>3094</v>
      </c>
      <c r="BN71"/>
      <c r="BO71"/>
      <c r="BP71"/>
      <c r="BQ71"/>
      <c r="BR71" s="88"/>
      <c r="BS71" s="72"/>
      <c r="BT71" s="72"/>
      <c r="BU71" s="72"/>
      <c r="BV71" s="72"/>
      <c r="BZ71">
        <f t="shared" si="3"/>
        <v>1</v>
      </c>
    </row>
    <row r="72" spans="1:78" ht="15.75" hidden="1" customHeight="1">
      <c r="A72" s="35" t="str">
        <f t="shared" si="2"/>
        <v>M067/2646046</v>
      </c>
      <c r="C72" s="358" t="s">
        <v>24</v>
      </c>
      <c r="D72" s="358">
        <v>69</v>
      </c>
      <c r="E72" s="358" t="s">
        <v>3192</v>
      </c>
      <c r="F72" s="358" t="s">
        <v>34</v>
      </c>
      <c r="G72" s="384">
        <v>46046</v>
      </c>
      <c r="H72" s="358" t="s">
        <v>97</v>
      </c>
      <c r="I72" s="358">
        <v>21</v>
      </c>
      <c r="J72" s="359" t="str">
        <f>IFERROR(VLOOKUP($A72,#REF!,3,0),"")</f>
        <v/>
      </c>
      <c r="K72" s="359" t="str">
        <f>IFERROR(VLOOKUP($A72,#REF!,4,0),AF72)</f>
        <v>EXT</v>
      </c>
      <c r="L72" s="359" t="str">
        <f>IFERROR(VLOOKUP($A72,#REF!,5,0),"")</f>
        <v/>
      </c>
      <c r="M72" s="359" t="str">
        <f>IFERROR(VLOOKUP($A72,#REF!,7,0),"")</f>
        <v/>
      </c>
      <c r="N72" s="359"/>
      <c r="O72" s="359" t="str">
        <f>IFERROR(VLOOKUP($A72,#REF!,6,0),"")</f>
        <v/>
      </c>
      <c r="P72" s="359" t="str">
        <f>IFERROR(VLOOKUP($A72,#REF!,9,0),"")</f>
        <v/>
      </c>
      <c r="Q72" s="359" t="str">
        <f>IFERROR(VLOOKUP($A72,#REF!,10,0),"")</f>
        <v/>
      </c>
      <c r="R72" s="359" t="str">
        <f>IFERROR(VLOOKUP($A72,#REF!,11,0),"")</f>
        <v/>
      </c>
      <c r="S72" s="359" t="str">
        <f>IFERROR(VLOOKUP($A72,#REF!,13,0),"")</f>
        <v/>
      </c>
      <c r="T72" s="359" t="str">
        <f>IFERROR(VLOOKUP($A72,#REF!,14,0),"")</f>
        <v/>
      </c>
      <c r="U72" s="359" t="str">
        <f>IFERROR(VLOOKUP($A72,#REF!,15,0),"")</f>
        <v/>
      </c>
      <c r="V72" s="359" t="str">
        <f>IFERROR(VLOOKUP($A72,#REF!,16,0),"")</f>
        <v/>
      </c>
      <c r="W72" s="359" t="str">
        <f>IFERROR(VLOOKUP($A72,#REF!,17,0),"")</f>
        <v/>
      </c>
      <c r="X72" s="359" t="str">
        <f>IFERROR(VLOOKUP($A72,#REF!,18,0),"")</f>
        <v/>
      </c>
      <c r="Y72" s="359" t="str">
        <f>IFERROR(VLOOKUP($A72,#REF!,19,0),"")</f>
        <v/>
      </c>
      <c r="Z72" s="400" t="str">
        <f>IFERROR(VLOOKUP($A72,#REF!,21,0),"")</f>
        <v/>
      </c>
      <c r="AA72" s="358"/>
      <c r="AB72" s="358"/>
      <c r="AC72" s="358" t="s">
        <v>127</v>
      </c>
      <c r="AD72" s="358" t="s">
        <v>178</v>
      </c>
      <c r="AE72" s="102" t="s">
        <v>2110</v>
      </c>
      <c r="AF72" s="141" t="s">
        <v>3082</v>
      </c>
      <c r="AG72" s="358" t="s">
        <v>2312</v>
      </c>
      <c r="AH72" s="358" t="s">
        <v>3163</v>
      </c>
      <c r="AI72" s="358" t="s">
        <v>3171</v>
      </c>
      <c r="AJ72" s="358" t="s">
        <v>2245</v>
      </c>
      <c r="AK72" s="358"/>
      <c r="AL72" s="358"/>
      <c r="AM72" s="358"/>
      <c r="AN72" s="130" t="s">
        <v>31</v>
      </c>
      <c r="AO72" s="358"/>
      <c r="AP72" s="380"/>
      <c r="AQ72" s="384" t="s">
        <v>28</v>
      </c>
      <c r="AR72" s="358" t="s">
        <v>30</v>
      </c>
      <c r="AS72" s="358">
        <v>18</v>
      </c>
      <c r="AT72" s="384" t="s">
        <v>28</v>
      </c>
      <c r="AU72" s="380">
        <v>46065</v>
      </c>
      <c r="AV72" s="94" t="s">
        <v>30</v>
      </c>
      <c r="AW72" s="82" t="s">
        <v>30</v>
      </c>
      <c r="AX72" s="100" t="s">
        <v>30</v>
      </c>
      <c r="AY72" s="100" t="s">
        <v>30</v>
      </c>
      <c r="AZ72" s="100" t="s">
        <v>30</v>
      </c>
      <c r="BA72" s="100" t="s">
        <v>30</v>
      </c>
      <c r="BB72" s="100" t="s">
        <v>30</v>
      </c>
      <c r="BC72" s="100" t="s">
        <v>30</v>
      </c>
      <c r="BD72" s="100" t="s">
        <v>30</v>
      </c>
      <c r="BE72" s="100" t="s">
        <v>30</v>
      </c>
      <c r="BF72" s="100" t="s">
        <v>30</v>
      </c>
      <c r="BG72" s="100" t="s">
        <v>30</v>
      </c>
      <c r="BH72" s="100" t="s">
        <v>30</v>
      </c>
      <c r="BI72" s="100" t="s">
        <v>30</v>
      </c>
      <c r="BJ72" s="100" t="s">
        <v>30</v>
      </c>
      <c r="BK72" s="95"/>
      <c r="BL72" s="360"/>
      <c r="BN72"/>
      <c r="BO72"/>
      <c r="BP72"/>
      <c r="BQ72"/>
      <c r="BR72"/>
      <c r="BS72"/>
      <c r="BT72"/>
      <c r="BU72"/>
      <c r="BV72"/>
      <c r="BZ72">
        <f t="shared" si="3"/>
        <v>1</v>
      </c>
    </row>
    <row r="73" spans="1:78" ht="15.75" hidden="1" customHeight="1">
      <c r="A73" s="35" t="str">
        <f t="shared" si="2"/>
        <v>033/2646046</v>
      </c>
      <c r="C73" s="358" t="s">
        <v>24</v>
      </c>
      <c r="D73" s="358">
        <v>70</v>
      </c>
      <c r="E73" s="358" t="s">
        <v>3193</v>
      </c>
      <c r="F73" s="358" t="s">
        <v>34</v>
      </c>
      <c r="G73" s="384">
        <v>46046</v>
      </c>
      <c r="H73" s="358" t="s">
        <v>401</v>
      </c>
      <c r="I73" s="358">
        <v>7</v>
      </c>
      <c r="J73" s="359" t="str">
        <f>IFERROR(VLOOKUP($A73,#REF!,3,0),"")</f>
        <v/>
      </c>
      <c r="K73" s="359" t="str">
        <f>IFERROR(VLOOKUP($A73,#REF!,4,0),AF73)</f>
        <v>EXT</v>
      </c>
      <c r="L73" s="359" t="str">
        <f>IFERROR(VLOOKUP($A73,#REF!,5,0),"")</f>
        <v/>
      </c>
      <c r="M73" s="359" t="str">
        <f>IFERROR(VLOOKUP($A73,#REF!,7,0),"")</f>
        <v/>
      </c>
      <c r="N73" s="359"/>
      <c r="O73" s="359" t="str">
        <f>IFERROR(VLOOKUP($A73,#REF!,6,0),"")</f>
        <v/>
      </c>
      <c r="P73" s="359" t="str">
        <f>IFERROR(VLOOKUP($A73,#REF!,9,0),"")</f>
        <v/>
      </c>
      <c r="Q73" s="359" t="str">
        <f>IFERROR(VLOOKUP($A73,#REF!,10,0),"")</f>
        <v/>
      </c>
      <c r="R73" s="359" t="str">
        <f>IFERROR(VLOOKUP($A73,#REF!,11,0),"")</f>
        <v/>
      </c>
      <c r="S73" s="359" t="str">
        <f>IFERROR(VLOOKUP($A73,#REF!,13,0),"")</f>
        <v/>
      </c>
      <c r="T73" s="359" t="str">
        <f>IFERROR(VLOOKUP($A73,#REF!,14,0),"")</f>
        <v/>
      </c>
      <c r="U73" s="359" t="str">
        <f>IFERROR(VLOOKUP($A73,#REF!,15,0),"")</f>
        <v/>
      </c>
      <c r="V73" s="359" t="str">
        <f>IFERROR(VLOOKUP($A73,#REF!,16,0),"")</f>
        <v/>
      </c>
      <c r="W73" s="359" t="str">
        <f>IFERROR(VLOOKUP($A73,#REF!,17,0),"")</f>
        <v/>
      </c>
      <c r="X73" s="359" t="str">
        <f>IFERROR(VLOOKUP($A73,#REF!,18,0),"")</f>
        <v/>
      </c>
      <c r="Y73" s="359" t="str">
        <f>IFERROR(VLOOKUP($A73,#REF!,19,0),"")</f>
        <v/>
      </c>
      <c r="Z73" s="400" t="str">
        <f>IFERROR(VLOOKUP($A73,#REF!,21,0),"")</f>
        <v/>
      </c>
      <c r="AA73" s="358"/>
      <c r="AB73" s="358"/>
      <c r="AC73" s="358" t="s">
        <v>1721</v>
      </c>
      <c r="AD73" s="358" t="s">
        <v>1638</v>
      </c>
      <c r="AE73" s="358"/>
      <c r="AF73" s="141" t="s">
        <v>3082</v>
      </c>
      <c r="AG73" s="358" t="s">
        <v>2312</v>
      </c>
      <c r="AH73" s="358" t="s">
        <v>401</v>
      </c>
      <c r="AI73" s="358" t="s">
        <v>401</v>
      </c>
      <c r="AJ73" s="358" t="s">
        <v>401</v>
      </c>
      <c r="AK73" s="358"/>
      <c r="AL73" s="358"/>
      <c r="AM73" s="358"/>
      <c r="AN73" s="359" t="s">
        <v>32</v>
      </c>
      <c r="AO73" s="358" t="s">
        <v>30</v>
      </c>
      <c r="AP73" s="380">
        <v>46059</v>
      </c>
      <c r="AQ73" s="384" t="s">
        <v>1638</v>
      </c>
      <c r="AR73" s="358" t="s">
        <v>32</v>
      </c>
      <c r="AS73" s="358">
        <v>7</v>
      </c>
      <c r="AT73" s="384" t="s">
        <v>1638</v>
      </c>
      <c r="AU73" s="380">
        <v>46059</v>
      </c>
      <c r="AV73" s="94" t="s">
        <v>30</v>
      </c>
      <c r="AW73" s="100" t="s">
        <v>30</v>
      </c>
      <c r="AX73" s="94" t="s">
        <v>30</v>
      </c>
      <c r="AY73" s="100" t="s">
        <v>30</v>
      </c>
      <c r="AZ73" s="100" t="s">
        <v>30</v>
      </c>
      <c r="BA73" s="100" t="s">
        <v>30</v>
      </c>
      <c r="BB73" s="100" t="s">
        <v>30</v>
      </c>
      <c r="BC73" s="100" t="s">
        <v>30</v>
      </c>
      <c r="BD73" s="100" t="s">
        <v>30</v>
      </c>
      <c r="BE73" s="100" t="s">
        <v>30</v>
      </c>
      <c r="BF73" s="100" t="s">
        <v>30</v>
      </c>
      <c r="BG73" s="100" t="s">
        <v>30</v>
      </c>
      <c r="BH73" s="100" t="s">
        <v>30</v>
      </c>
      <c r="BI73" s="100" t="s">
        <v>30</v>
      </c>
      <c r="BJ73" s="95" t="s">
        <v>32</v>
      </c>
      <c r="BK73" s="95"/>
      <c r="BL73" s="360" t="s">
        <v>3128</v>
      </c>
      <c r="BM73" s="343"/>
      <c r="BN73" s="343"/>
      <c r="BO73" s="344"/>
      <c r="BP73" s="344"/>
      <c r="BQ73" s="343"/>
      <c r="BR73" s="343"/>
      <c r="BS73" s="139"/>
      <c r="BT73" s="140"/>
      <c r="BU73" s="343"/>
      <c r="BV73" s="140"/>
      <c r="BW73" s="140"/>
      <c r="BZ73">
        <f t="shared" si="3"/>
        <v>1</v>
      </c>
    </row>
    <row r="74" spans="1:78" ht="15.75" hidden="1" customHeight="1">
      <c r="A74" s="35" t="str">
        <f t="shared" si="2"/>
        <v>002/2646046</v>
      </c>
      <c r="C74" s="358" t="s">
        <v>24</v>
      </c>
      <c r="D74" s="358">
        <v>71</v>
      </c>
      <c r="E74" s="358" t="s">
        <v>3194</v>
      </c>
      <c r="F74" s="358" t="s">
        <v>34</v>
      </c>
      <c r="G74" s="384">
        <v>46046</v>
      </c>
      <c r="H74" s="358" t="s">
        <v>202</v>
      </c>
      <c r="I74" s="358">
        <v>17</v>
      </c>
      <c r="J74" s="359" t="str">
        <f>IFERROR(VLOOKUP($A74,#REF!,3,0),"")</f>
        <v/>
      </c>
      <c r="K74" s="359" t="str">
        <f>IFERROR(VLOOKUP($A74,#REF!,4,0),AF74)</f>
        <v>INT</v>
      </c>
      <c r="L74" s="359" t="str">
        <f>IFERROR(VLOOKUP($A74,#REF!,5,0),"")</f>
        <v/>
      </c>
      <c r="M74" s="359" t="str">
        <f>IFERROR(VLOOKUP($A74,#REF!,7,0),"")</f>
        <v/>
      </c>
      <c r="N74" s="359"/>
      <c r="O74" s="359" t="str">
        <f>IFERROR(VLOOKUP($A74,#REF!,6,0),"")</f>
        <v/>
      </c>
      <c r="P74" s="359" t="str">
        <f>IFERROR(VLOOKUP($A74,#REF!,9,0),"")</f>
        <v/>
      </c>
      <c r="Q74" s="359" t="str">
        <f>IFERROR(VLOOKUP($A74,#REF!,10,0),"")</f>
        <v/>
      </c>
      <c r="R74" s="359" t="str">
        <f>IFERROR(VLOOKUP($A74,#REF!,11,0),"")</f>
        <v/>
      </c>
      <c r="S74" s="359" t="str">
        <f>IFERROR(VLOOKUP($A74,#REF!,13,0),"")</f>
        <v/>
      </c>
      <c r="T74" s="359" t="str">
        <f>IFERROR(VLOOKUP($A74,#REF!,14,0),"")</f>
        <v/>
      </c>
      <c r="U74" s="359" t="str">
        <f>IFERROR(VLOOKUP($A74,#REF!,15,0),"")</f>
        <v/>
      </c>
      <c r="V74" s="359" t="str">
        <f>IFERROR(VLOOKUP($A74,#REF!,16,0),"")</f>
        <v/>
      </c>
      <c r="W74" s="359" t="str">
        <f>IFERROR(VLOOKUP($A74,#REF!,17,0),"")</f>
        <v/>
      </c>
      <c r="X74" s="359" t="str">
        <f>IFERROR(VLOOKUP($A74,#REF!,18,0),"")</f>
        <v/>
      </c>
      <c r="Y74" s="359" t="str">
        <f>IFERROR(VLOOKUP($A74,#REF!,19,0),"")</f>
        <v/>
      </c>
      <c r="Z74" s="400" t="str">
        <f>IFERROR(VLOOKUP($A74,#REF!,21,0),"")</f>
        <v/>
      </c>
      <c r="AA74" s="358"/>
      <c r="AB74" s="358"/>
      <c r="AC74" s="359" t="s">
        <v>127</v>
      </c>
      <c r="AD74" s="358" t="s">
        <v>178</v>
      </c>
      <c r="AE74" s="358"/>
      <c r="AF74" s="141" t="s">
        <v>3077</v>
      </c>
      <c r="AG74" s="358" t="s">
        <v>2316</v>
      </c>
      <c r="AH74" s="358" t="s">
        <v>3163</v>
      </c>
      <c r="AI74" s="358" t="s">
        <v>3177</v>
      </c>
      <c r="AJ74" s="358" t="s">
        <v>2050</v>
      </c>
      <c r="AK74" s="358"/>
      <c r="AL74" s="358"/>
      <c r="AM74" s="358"/>
      <c r="AN74" s="130" t="s">
        <v>31</v>
      </c>
      <c r="AO74" s="358" t="s">
        <v>30</v>
      </c>
      <c r="AP74" s="380">
        <v>46065</v>
      </c>
      <c r="AQ74" s="384" t="s">
        <v>28</v>
      </c>
      <c r="AR74" s="358" t="s">
        <v>32</v>
      </c>
      <c r="AS74" s="358">
        <v>15</v>
      </c>
      <c r="AT74" s="384" t="s">
        <v>28</v>
      </c>
      <c r="AU74" s="380">
        <v>46065</v>
      </c>
      <c r="AV74" s="100" t="s">
        <v>30</v>
      </c>
      <c r="AW74" s="100" t="s">
        <v>30</v>
      </c>
      <c r="AX74" s="100" t="s">
        <v>30</v>
      </c>
      <c r="AY74" s="95" t="s">
        <v>32</v>
      </c>
      <c r="AZ74" s="95" t="s">
        <v>32</v>
      </c>
      <c r="BA74" s="95" t="s">
        <v>32</v>
      </c>
      <c r="BB74" s="100" t="s">
        <v>30</v>
      </c>
      <c r="BC74" s="100" t="s">
        <v>30</v>
      </c>
      <c r="BD74" s="100" t="s">
        <v>30</v>
      </c>
      <c r="BE74" s="100" t="s">
        <v>30</v>
      </c>
      <c r="BF74" s="100" t="s">
        <v>30</v>
      </c>
      <c r="BG74" s="114"/>
      <c r="BH74" s="111" t="s">
        <v>30</v>
      </c>
      <c r="BI74" s="111" t="s">
        <v>30</v>
      </c>
      <c r="BJ74" s="100" t="s">
        <v>30</v>
      </c>
      <c r="BK74" s="114"/>
      <c r="BL74" s="360"/>
      <c r="BN74" s="412"/>
      <c r="BO74" s="412"/>
      <c r="BP74" s="412"/>
      <c r="BQ74" s="412"/>
      <c r="BR74" s="412"/>
      <c r="BS74"/>
      <c r="BT74"/>
      <c r="BU74"/>
      <c r="BV74"/>
      <c r="BW74" s="109"/>
      <c r="BZ74">
        <f t="shared" si="3"/>
        <v>1</v>
      </c>
    </row>
    <row r="75" spans="1:78" ht="15.75" hidden="1" customHeight="1">
      <c r="A75" s="35" t="str">
        <f t="shared" si="2"/>
        <v>004/2646046</v>
      </c>
      <c r="C75" s="358" t="s">
        <v>24</v>
      </c>
      <c r="D75" s="358">
        <v>72</v>
      </c>
      <c r="E75" s="358" t="s">
        <v>3195</v>
      </c>
      <c r="F75" s="358" t="s">
        <v>34</v>
      </c>
      <c r="G75" s="384">
        <v>46046</v>
      </c>
      <c r="H75" s="358" t="s">
        <v>1105</v>
      </c>
      <c r="I75" s="358">
        <v>15</v>
      </c>
      <c r="J75" s="359" t="str">
        <f>IFERROR(VLOOKUP($A75,#REF!,3,0),"")</f>
        <v/>
      </c>
      <c r="K75" s="359" t="str">
        <f>IFERROR(VLOOKUP($A75,#REF!,4,0),AF75)</f>
        <v>INT</v>
      </c>
      <c r="L75" s="359" t="str">
        <f>IFERROR(VLOOKUP($A75,#REF!,5,0),"")</f>
        <v/>
      </c>
      <c r="M75" s="359" t="str">
        <f>IFERROR(VLOOKUP($A75,#REF!,7,0),"")</f>
        <v/>
      </c>
      <c r="N75" s="359"/>
      <c r="O75" s="359" t="str">
        <f>IFERROR(VLOOKUP($A75,#REF!,6,0),"")</f>
        <v/>
      </c>
      <c r="P75" s="359" t="str">
        <f>IFERROR(VLOOKUP($A75,#REF!,9,0),"")</f>
        <v/>
      </c>
      <c r="Q75" s="359" t="str">
        <f>IFERROR(VLOOKUP($A75,#REF!,10,0),"")</f>
        <v/>
      </c>
      <c r="R75" s="359" t="str">
        <f>IFERROR(VLOOKUP($A75,#REF!,11,0),"")</f>
        <v/>
      </c>
      <c r="S75" s="359" t="str">
        <f>IFERROR(VLOOKUP($A75,#REF!,13,0),"")</f>
        <v/>
      </c>
      <c r="T75" s="359" t="str">
        <f>IFERROR(VLOOKUP($A75,#REF!,14,0),"")</f>
        <v/>
      </c>
      <c r="U75" s="359" t="str">
        <f>IFERROR(VLOOKUP($A75,#REF!,15,0),"")</f>
        <v/>
      </c>
      <c r="V75" s="359" t="str">
        <f>IFERROR(VLOOKUP($A75,#REF!,16,0),"")</f>
        <v/>
      </c>
      <c r="W75" s="359" t="str">
        <f>IFERROR(VLOOKUP($A75,#REF!,17,0),"")</f>
        <v/>
      </c>
      <c r="X75" s="359" t="str">
        <f>IFERROR(VLOOKUP($A75,#REF!,18,0),"")</f>
        <v/>
      </c>
      <c r="Y75" s="359" t="str">
        <f>IFERROR(VLOOKUP($A75,#REF!,19,0),"")</f>
        <v/>
      </c>
      <c r="Z75" s="400" t="str">
        <f>IFERROR(VLOOKUP($A75,#REF!,21,0),"")</f>
        <v/>
      </c>
      <c r="AA75" s="358"/>
      <c r="AB75" s="358"/>
      <c r="AC75" s="358" t="s">
        <v>1721</v>
      </c>
      <c r="AD75" s="358" t="s">
        <v>1638</v>
      </c>
      <c r="AE75" s="358"/>
      <c r="AF75" s="141" t="s">
        <v>3077</v>
      </c>
      <c r="AG75" s="358" t="s">
        <v>2130</v>
      </c>
      <c r="AH75" s="358" t="s">
        <v>3163</v>
      </c>
      <c r="AI75" s="358" t="s">
        <v>3177</v>
      </c>
      <c r="AJ75" s="358" t="s">
        <v>2083</v>
      </c>
      <c r="AK75" s="358"/>
      <c r="AL75" s="358"/>
      <c r="AM75" s="358"/>
      <c r="AN75" s="130" t="s">
        <v>31</v>
      </c>
      <c r="AO75" s="358" t="s">
        <v>30</v>
      </c>
      <c r="AP75" s="380">
        <v>46059</v>
      </c>
      <c r="AQ75" s="384" t="s">
        <v>1638</v>
      </c>
      <c r="AR75" s="358" t="s">
        <v>32</v>
      </c>
      <c r="AS75" s="358">
        <v>12</v>
      </c>
      <c r="AT75" s="384" t="s">
        <v>1638</v>
      </c>
      <c r="AU75" s="380">
        <v>46059</v>
      </c>
      <c r="AV75" s="94" t="s">
        <v>30</v>
      </c>
      <c r="AW75" s="100" t="s">
        <v>30</v>
      </c>
      <c r="AX75" s="94" t="s">
        <v>30</v>
      </c>
      <c r="AY75" s="95" t="s">
        <v>32</v>
      </c>
      <c r="AZ75" s="95" t="s">
        <v>32</v>
      </c>
      <c r="BA75" s="100" t="s">
        <v>30</v>
      </c>
      <c r="BB75" s="100" t="s">
        <v>30</v>
      </c>
      <c r="BC75" s="100" t="s">
        <v>30</v>
      </c>
      <c r="BD75" s="100" t="s">
        <v>30</v>
      </c>
      <c r="BE75" s="100" t="s">
        <v>30</v>
      </c>
      <c r="BF75" s="100" t="s">
        <v>30</v>
      </c>
      <c r="BG75" s="100" t="s">
        <v>30</v>
      </c>
      <c r="BH75" s="100" t="s">
        <v>30</v>
      </c>
      <c r="BI75" s="100" t="s">
        <v>30</v>
      </c>
      <c r="BJ75" s="100" t="s">
        <v>30</v>
      </c>
      <c r="BK75" s="100" t="s">
        <v>30</v>
      </c>
      <c r="BL75" s="360"/>
      <c r="BN75" s="412"/>
      <c r="BO75" s="412"/>
      <c r="BP75" s="412"/>
      <c r="BQ75" s="412"/>
      <c r="BR75" s="412"/>
      <c r="BS75"/>
      <c r="BT75"/>
      <c r="BU75"/>
      <c r="BV75"/>
      <c r="BW75" s="109"/>
      <c r="BZ75">
        <f t="shared" si="3"/>
        <v>1</v>
      </c>
    </row>
    <row r="76" spans="1:78" ht="15.75" hidden="1" customHeight="1">
      <c r="A76" s="35" t="str">
        <f t="shared" si="2"/>
        <v>M051/2646048</v>
      </c>
      <c r="C76" s="358" t="s">
        <v>24</v>
      </c>
      <c r="D76" s="358">
        <v>73</v>
      </c>
      <c r="E76" s="358" t="s">
        <v>3196</v>
      </c>
      <c r="F76" s="358" t="s">
        <v>34</v>
      </c>
      <c r="G76" s="384">
        <v>46048</v>
      </c>
      <c r="H76" s="358" t="s">
        <v>3197</v>
      </c>
      <c r="I76" s="358">
        <v>22</v>
      </c>
      <c r="J76" s="359" t="str">
        <f>IFERROR(VLOOKUP($A76,#REF!,3,0),"")</f>
        <v/>
      </c>
      <c r="K76" s="359" t="str">
        <f>IFERROR(VLOOKUP($A76,#REF!,4,0),AF76)</f>
        <v>INT</v>
      </c>
      <c r="L76" s="359" t="str">
        <f>IFERROR(VLOOKUP($A76,#REF!,5,0),"")</f>
        <v/>
      </c>
      <c r="M76" s="359" t="str">
        <f>IFERROR(VLOOKUP($A76,#REF!,7,0),"")</f>
        <v/>
      </c>
      <c r="N76" s="359"/>
      <c r="O76" s="359" t="str">
        <f>IFERROR(VLOOKUP($A76,#REF!,6,0),"")</f>
        <v/>
      </c>
      <c r="P76" s="359" t="str">
        <f>IFERROR(VLOOKUP($A76,#REF!,9,0),"")</f>
        <v/>
      </c>
      <c r="Q76" s="359" t="str">
        <f>IFERROR(VLOOKUP($A76,#REF!,10,0),"")</f>
        <v/>
      </c>
      <c r="R76" s="359" t="str">
        <f>IFERROR(VLOOKUP($A76,#REF!,11,0),"")</f>
        <v/>
      </c>
      <c r="S76" s="359" t="str">
        <f>IFERROR(VLOOKUP($A76,#REF!,13,0),"")</f>
        <v/>
      </c>
      <c r="T76" s="359" t="str">
        <f>IFERROR(VLOOKUP($A76,#REF!,14,0),"")</f>
        <v/>
      </c>
      <c r="U76" s="359" t="str">
        <f>IFERROR(VLOOKUP($A76,#REF!,15,0),"")</f>
        <v/>
      </c>
      <c r="V76" s="359" t="str">
        <f>IFERROR(VLOOKUP($A76,#REF!,16,0),"")</f>
        <v/>
      </c>
      <c r="W76" s="359" t="str">
        <f>IFERROR(VLOOKUP($A76,#REF!,17,0),"")</f>
        <v/>
      </c>
      <c r="X76" s="359" t="str">
        <f>IFERROR(VLOOKUP($A76,#REF!,18,0),"")</f>
        <v/>
      </c>
      <c r="Y76" s="359" t="str">
        <f>IFERROR(VLOOKUP($A76,#REF!,19,0),"")</f>
        <v/>
      </c>
      <c r="Z76" s="400" t="str">
        <f>IFERROR(VLOOKUP($A76,#REF!,21,0),"")</f>
        <v/>
      </c>
      <c r="AA76" s="358"/>
      <c r="AB76" s="358"/>
      <c r="AC76" s="358" t="s">
        <v>1077</v>
      </c>
      <c r="AD76" s="358" t="s">
        <v>1138</v>
      </c>
      <c r="AE76" s="358"/>
      <c r="AF76" s="141" t="s">
        <v>3077</v>
      </c>
      <c r="AG76" s="358" t="s">
        <v>3198</v>
      </c>
      <c r="AH76" s="358" t="s">
        <v>3169</v>
      </c>
      <c r="AI76" s="358" t="s">
        <v>3169</v>
      </c>
      <c r="AJ76" s="358" t="s">
        <v>2058</v>
      </c>
      <c r="AK76" s="358"/>
      <c r="AL76" s="358"/>
      <c r="AM76" s="358"/>
      <c r="AN76" s="129" t="s">
        <v>31</v>
      </c>
      <c r="AO76" s="327" t="s">
        <v>30</v>
      </c>
      <c r="AP76" s="380">
        <v>46057</v>
      </c>
      <c r="AQ76" s="384" t="s">
        <v>1138</v>
      </c>
      <c r="AR76" s="358" t="s">
        <v>32</v>
      </c>
      <c r="AS76" s="358">
        <v>21</v>
      </c>
      <c r="AT76" s="384" t="s">
        <v>1138</v>
      </c>
      <c r="AU76" s="380">
        <v>46057</v>
      </c>
      <c r="AV76" s="82" t="s">
        <v>30</v>
      </c>
      <c r="AW76" s="82" t="s">
        <v>30</v>
      </c>
      <c r="AX76" s="82" t="s">
        <v>30</v>
      </c>
      <c r="AY76" s="95" t="s">
        <v>32</v>
      </c>
      <c r="AZ76" s="95" t="s">
        <v>32</v>
      </c>
      <c r="BA76" s="95" t="s">
        <v>32</v>
      </c>
      <c r="BB76" s="82" t="s">
        <v>30</v>
      </c>
      <c r="BC76" s="82" t="s">
        <v>30</v>
      </c>
      <c r="BD76" s="82" t="s">
        <v>30</v>
      </c>
      <c r="BE76" s="82" t="s">
        <v>30</v>
      </c>
      <c r="BF76" s="82" t="s">
        <v>30</v>
      </c>
      <c r="BG76" s="100" t="s">
        <v>30</v>
      </c>
      <c r="BH76" s="111" t="s">
        <v>30</v>
      </c>
      <c r="BI76" s="111" t="s">
        <v>30</v>
      </c>
      <c r="BJ76" s="111" t="s">
        <v>30</v>
      </c>
      <c r="BK76" s="114"/>
      <c r="BL76" s="360"/>
      <c r="BN76"/>
      <c r="BO76"/>
      <c r="BP76"/>
      <c r="BQ76"/>
      <c r="BR76"/>
      <c r="BS76" s="72"/>
      <c r="BW76" s="109"/>
      <c r="BZ76">
        <f t="shared" si="3"/>
        <v>1</v>
      </c>
    </row>
    <row r="77" spans="1:78" ht="15.6" hidden="1" customHeight="1">
      <c r="A77" s="35" t="str">
        <f t="shared" si="2"/>
        <v>038/2646048</v>
      </c>
      <c r="C77" s="358" t="s">
        <v>24</v>
      </c>
      <c r="D77" s="358">
        <v>74</v>
      </c>
      <c r="E77" s="358" t="s">
        <v>3199</v>
      </c>
      <c r="F77" s="358" t="s">
        <v>446</v>
      </c>
      <c r="G77" s="384">
        <v>46048</v>
      </c>
      <c r="H77" s="358" t="s">
        <v>885</v>
      </c>
      <c r="I77" s="358">
        <v>31</v>
      </c>
      <c r="J77" s="359" t="str">
        <f>IFERROR(VLOOKUP($A77,#REF!,3,0),"")</f>
        <v/>
      </c>
      <c r="K77" s="359" t="str">
        <f>IFERROR(VLOOKUP($A77,#REF!,4,0),AF77)</f>
        <v>EXT</v>
      </c>
      <c r="L77" s="359" t="str">
        <f>IFERROR(VLOOKUP($A77,#REF!,5,0),"")</f>
        <v/>
      </c>
      <c r="M77" s="359" t="str">
        <f>IFERROR(VLOOKUP($A77,#REF!,7,0),"")</f>
        <v/>
      </c>
      <c r="N77" s="359"/>
      <c r="O77" s="359" t="str">
        <f>IFERROR(VLOOKUP($A77,#REF!,6,0),"")</f>
        <v/>
      </c>
      <c r="P77" s="359" t="str">
        <f>IFERROR(VLOOKUP($A77,#REF!,9,0),"")</f>
        <v/>
      </c>
      <c r="Q77" s="359" t="str">
        <f>IFERROR(VLOOKUP($A77,#REF!,10,0),"")</f>
        <v/>
      </c>
      <c r="R77" s="359" t="str">
        <f>IFERROR(VLOOKUP($A77,#REF!,11,0),"")</f>
        <v/>
      </c>
      <c r="S77" s="359" t="str">
        <f>IFERROR(VLOOKUP($A77,#REF!,13,0),"")</f>
        <v/>
      </c>
      <c r="T77" s="359" t="str">
        <f>IFERROR(VLOOKUP($A77,#REF!,14,0),"")</f>
        <v/>
      </c>
      <c r="U77" s="359" t="str">
        <f>IFERROR(VLOOKUP($A77,#REF!,15,0),"")</f>
        <v/>
      </c>
      <c r="V77" s="359" t="str">
        <f>IFERROR(VLOOKUP($A77,#REF!,16,0),"")</f>
        <v/>
      </c>
      <c r="W77" s="359" t="str">
        <f>IFERROR(VLOOKUP($A77,#REF!,17,0),"")</f>
        <v/>
      </c>
      <c r="X77" s="359" t="str">
        <f>IFERROR(VLOOKUP($A77,#REF!,18,0),"")</f>
        <v/>
      </c>
      <c r="Y77" s="359" t="str">
        <f>IFERROR(VLOOKUP($A77,#REF!,19,0),"")</f>
        <v/>
      </c>
      <c r="Z77" s="400" t="str">
        <f>IFERROR(VLOOKUP($A77,#REF!,21,0),"")</f>
        <v/>
      </c>
      <c r="AA77" s="358"/>
      <c r="AB77" s="358"/>
      <c r="AC77" s="359" t="s">
        <v>1721</v>
      </c>
      <c r="AD77" s="358" t="s">
        <v>1638</v>
      </c>
      <c r="AE77" s="102"/>
      <c r="AF77" s="141" t="s">
        <v>3082</v>
      </c>
      <c r="AG77" s="358" t="s">
        <v>2222</v>
      </c>
      <c r="AH77" s="358" t="s">
        <v>3177</v>
      </c>
      <c r="AI77" s="358" t="s">
        <v>3169</v>
      </c>
      <c r="AJ77" s="358" t="s">
        <v>2050</v>
      </c>
      <c r="AK77" s="358"/>
      <c r="AL77" s="358"/>
      <c r="AM77" s="358"/>
      <c r="AN77" s="130" t="s">
        <v>31</v>
      </c>
      <c r="AO77" s="122" t="s">
        <v>30</v>
      </c>
      <c r="AP77" s="380">
        <v>46077</v>
      </c>
      <c r="AQ77" s="384" t="s">
        <v>1638</v>
      </c>
      <c r="AR77" s="358" t="s">
        <v>32</v>
      </c>
      <c r="AS77" s="358">
        <v>30</v>
      </c>
      <c r="AT77" s="384" t="s">
        <v>1638</v>
      </c>
      <c r="AU77" s="380">
        <v>46077</v>
      </c>
      <c r="AV77" s="100" t="s">
        <v>30</v>
      </c>
      <c r="AW77" s="82" t="s">
        <v>30</v>
      </c>
      <c r="AX77" s="100" t="s">
        <v>30</v>
      </c>
      <c r="AY77" s="100" t="s">
        <v>30</v>
      </c>
      <c r="AZ77" s="100" t="s">
        <v>30</v>
      </c>
      <c r="BA77" s="100" t="s">
        <v>30</v>
      </c>
      <c r="BB77" s="100" t="s">
        <v>30</v>
      </c>
      <c r="BC77" s="100" t="s">
        <v>30</v>
      </c>
      <c r="BD77" s="100" t="s">
        <v>30</v>
      </c>
      <c r="BE77" s="95" t="s">
        <v>32</v>
      </c>
      <c r="BF77" s="100" t="s">
        <v>30</v>
      </c>
      <c r="BG77" s="100" t="s">
        <v>30</v>
      </c>
      <c r="BH77" s="111" t="s">
        <v>30</v>
      </c>
      <c r="BI77" s="111" t="s">
        <v>30</v>
      </c>
      <c r="BJ77" s="111" t="s">
        <v>30</v>
      </c>
      <c r="BK77" s="114"/>
      <c r="BL77" s="360" t="s">
        <v>3094</v>
      </c>
      <c r="BN77" s="412"/>
      <c r="BO77" s="412"/>
      <c r="BP77" s="412"/>
      <c r="BQ77" s="412"/>
      <c r="BR77" s="412"/>
      <c r="BS77"/>
      <c r="BT77"/>
      <c r="BU77"/>
      <c r="BV77"/>
      <c r="BW77" s="109"/>
      <c r="BZ77">
        <f t="shared" si="3"/>
        <v>1</v>
      </c>
    </row>
    <row r="78" spans="1:78" ht="15.6" hidden="1" customHeight="1">
      <c r="A78" s="35" t="str">
        <f t="shared" si="2"/>
        <v>M036/2646048</v>
      </c>
      <c r="C78" s="358" t="s">
        <v>24</v>
      </c>
      <c r="D78" s="358">
        <v>75</v>
      </c>
      <c r="E78" s="358" t="s">
        <v>3200</v>
      </c>
      <c r="F78" s="358" t="s">
        <v>43</v>
      </c>
      <c r="G78" s="384">
        <v>46048</v>
      </c>
      <c r="H78" s="358" t="s">
        <v>737</v>
      </c>
      <c r="I78" s="403">
        <v>17</v>
      </c>
      <c r="J78" s="359" t="str">
        <f>IFERROR(VLOOKUP($A78,#REF!,3,0),"")</f>
        <v/>
      </c>
      <c r="K78" s="359" t="str">
        <f>IFERROR(VLOOKUP($A78,#REF!,4,0),AF78)</f>
        <v>EXT</v>
      </c>
      <c r="L78" s="359" t="str">
        <f>IFERROR(VLOOKUP($A78,#REF!,5,0),"")</f>
        <v/>
      </c>
      <c r="M78" s="403" t="str">
        <f>IFERROR(VLOOKUP($A78,#REF!,7,0),"")</f>
        <v/>
      </c>
      <c r="N78" s="403"/>
      <c r="O78" s="359" t="str">
        <f>IFERROR(VLOOKUP($A78,#REF!,6,0),"")</f>
        <v/>
      </c>
      <c r="P78" s="359" t="str">
        <f>IFERROR(VLOOKUP($A78,#REF!,9,0),"")</f>
        <v/>
      </c>
      <c r="Q78" s="359" t="str">
        <f>IFERROR(VLOOKUP($A78,#REF!,10,0),"")</f>
        <v/>
      </c>
      <c r="R78" s="359" t="str">
        <f>IFERROR(VLOOKUP($A78,#REF!,11,0),"")</f>
        <v/>
      </c>
      <c r="S78" s="359" t="str">
        <f>IFERROR(VLOOKUP($A78,#REF!,13,0),"")</f>
        <v/>
      </c>
      <c r="T78" s="359" t="str">
        <f>IFERROR(VLOOKUP($A78,#REF!,14,0),"")</f>
        <v/>
      </c>
      <c r="U78" s="359" t="str">
        <f>IFERROR(VLOOKUP($A78,#REF!,15,0),"")</f>
        <v/>
      </c>
      <c r="V78" s="359" t="str">
        <f>IFERROR(VLOOKUP($A78,#REF!,16,0),"")</f>
        <v/>
      </c>
      <c r="W78" s="359" t="str">
        <f>IFERROR(VLOOKUP($A78,#REF!,17,0),"")</f>
        <v/>
      </c>
      <c r="X78" s="359" t="str">
        <f>IFERROR(VLOOKUP($A78,#REF!,18,0),"")</f>
        <v/>
      </c>
      <c r="Y78" s="359" t="str">
        <f>IFERROR(VLOOKUP($A78,#REF!,19,0),"")</f>
        <v/>
      </c>
      <c r="Z78" s="400" t="str">
        <f>IFERROR(VLOOKUP($A78,#REF!,21,0),"")</f>
        <v/>
      </c>
      <c r="AA78" s="358"/>
      <c r="AB78" s="358"/>
      <c r="AC78" s="359" t="s">
        <v>127</v>
      </c>
      <c r="AD78" s="358" t="s">
        <v>178</v>
      </c>
      <c r="AE78" s="102"/>
      <c r="AF78" s="141" t="s">
        <v>3082</v>
      </c>
      <c r="AG78" s="358" t="s">
        <v>2056</v>
      </c>
      <c r="AH78" s="358" t="s">
        <v>3169</v>
      </c>
      <c r="AI78" s="358" t="s">
        <v>3169</v>
      </c>
      <c r="AJ78" s="358" t="s">
        <v>2058</v>
      </c>
      <c r="AK78" s="358"/>
      <c r="AL78" s="358"/>
      <c r="AM78" s="358"/>
      <c r="AN78" s="130" t="s">
        <v>31</v>
      </c>
      <c r="AO78" s="380" t="s">
        <v>30</v>
      </c>
      <c r="AP78" s="380">
        <v>46080</v>
      </c>
      <c r="AQ78" s="384" t="s">
        <v>48</v>
      </c>
      <c r="AR78" s="358" t="s">
        <v>32</v>
      </c>
      <c r="AS78" s="358">
        <v>17</v>
      </c>
      <c r="AT78" s="384" t="s">
        <v>48</v>
      </c>
      <c r="AU78" s="380">
        <v>46078</v>
      </c>
      <c r="AV78" s="82" t="s">
        <v>30</v>
      </c>
      <c r="AW78" s="82" t="s">
        <v>30</v>
      </c>
      <c r="AX78" s="82" t="s">
        <v>30</v>
      </c>
      <c r="AY78" s="100" t="s">
        <v>30</v>
      </c>
      <c r="AZ78" s="100" t="s">
        <v>30</v>
      </c>
      <c r="BA78" s="100" t="s">
        <v>30</v>
      </c>
      <c r="BB78" s="100" t="s">
        <v>30</v>
      </c>
      <c r="BC78" s="100" t="s">
        <v>30</v>
      </c>
      <c r="BD78" s="100" t="s">
        <v>30</v>
      </c>
      <c r="BE78" s="100" t="s">
        <v>30</v>
      </c>
      <c r="BF78" s="100" t="s">
        <v>30</v>
      </c>
      <c r="BG78" s="100" t="s">
        <v>30</v>
      </c>
      <c r="BH78" s="111" t="s">
        <v>30</v>
      </c>
      <c r="BI78" s="111" t="s">
        <v>30</v>
      </c>
      <c r="BJ78" s="111" t="s">
        <v>30</v>
      </c>
      <c r="BK78" s="112" t="s">
        <v>30</v>
      </c>
      <c r="BL78" s="360"/>
      <c r="BM78" s="6"/>
      <c r="BN78" s="6"/>
      <c r="BO78" s="6"/>
      <c r="BP78" s="6"/>
      <c r="BQ78" s="6"/>
      <c r="BR78" s="6"/>
      <c r="BS78" s="108"/>
      <c r="BT78" s="109"/>
      <c r="BU78" s="109"/>
      <c r="BV78" s="109"/>
      <c r="BW78" s="109"/>
      <c r="BZ78">
        <f t="shared" si="3"/>
        <v>1</v>
      </c>
    </row>
    <row r="79" spans="1:78" ht="15.6" hidden="1" customHeight="1">
      <c r="A79" s="35" t="str">
        <f t="shared" si="2"/>
        <v>003/2646048</v>
      </c>
      <c r="C79" s="358" t="s">
        <v>24</v>
      </c>
      <c r="D79" s="358">
        <v>76</v>
      </c>
      <c r="E79" s="358" t="s">
        <v>3130</v>
      </c>
      <c r="F79" s="358" t="s">
        <v>34</v>
      </c>
      <c r="G79" s="384">
        <v>46048</v>
      </c>
      <c r="H79" s="358" t="s">
        <v>3201</v>
      </c>
      <c r="I79" s="358">
        <v>9</v>
      </c>
      <c r="J79" s="359" t="str">
        <f>IFERROR(VLOOKUP($A79,#REF!,3,0),"")</f>
        <v/>
      </c>
      <c r="K79" s="359" t="str">
        <f>IFERROR(VLOOKUP($A79,#REF!,4,0),AF79)</f>
        <v>INT</v>
      </c>
      <c r="L79" s="359" t="str">
        <f>IFERROR(VLOOKUP($A79,#REF!,5,0),"")</f>
        <v/>
      </c>
      <c r="M79" s="359" t="str">
        <f>IFERROR(VLOOKUP($A79,#REF!,7,0),"")</f>
        <v/>
      </c>
      <c r="N79" s="359"/>
      <c r="O79" s="359" t="str">
        <f>IFERROR(VLOOKUP($A79,#REF!,6,0),"")</f>
        <v/>
      </c>
      <c r="P79" s="359" t="str">
        <f>IFERROR(VLOOKUP($A79,#REF!,9,0),"")</f>
        <v/>
      </c>
      <c r="Q79" s="359" t="str">
        <f>IFERROR(VLOOKUP($A79,#REF!,10,0),"")</f>
        <v/>
      </c>
      <c r="R79" s="359" t="str">
        <f>IFERROR(VLOOKUP($A79,#REF!,11,0),"")</f>
        <v/>
      </c>
      <c r="S79" s="359" t="str">
        <f>IFERROR(VLOOKUP($A79,#REF!,13,0),"")</f>
        <v/>
      </c>
      <c r="T79" s="359" t="str">
        <f>IFERROR(VLOOKUP($A79,#REF!,14,0),"")</f>
        <v/>
      </c>
      <c r="U79" s="359" t="str">
        <f>IFERROR(VLOOKUP($A79,#REF!,15,0),"")</f>
        <v/>
      </c>
      <c r="V79" s="359" t="str">
        <f>IFERROR(VLOOKUP($A79,#REF!,16,0),"")</f>
        <v/>
      </c>
      <c r="W79" s="359" t="str">
        <f>IFERROR(VLOOKUP($A79,#REF!,17,0),"")</f>
        <v/>
      </c>
      <c r="X79" s="359" t="str">
        <f>IFERROR(VLOOKUP($A79,#REF!,18,0),"")</f>
        <v/>
      </c>
      <c r="Y79" s="359" t="str">
        <f>IFERROR(VLOOKUP($A79,#REF!,19,0),"")</f>
        <v/>
      </c>
      <c r="Z79" s="400" t="str">
        <f>IFERROR(VLOOKUP($A79,#REF!,21,0),"")</f>
        <v/>
      </c>
      <c r="AA79" s="358"/>
      <c r="AB79" s="358"/>
      <c r="AC79" s="359" t="s">
        <v>127</v>
      </c>
      <c r="AD79" s="358" t="s">
        <v>178</v>
      </c>
      <c r="AE79" s="358"/>
      <c r="AF79" s="141" t="s">
        <v>3077</v>
      </c>
      <c r="AG79" s="358" t="s">
        <v>2087</v>
      </c>
      <c r="AH79" s="358" t="s">
        <v>3177</v>
      </c>
      <c r="AI79" s="358" t="s">
        <v>3177</v>
      </c>
      <c r="AJ79" s="358" t="s">
        <v>2050</v>
      </c>
      <c r="AK79" s="358"/>
      <c r="AL79" s="358"/>
      <c r="AM79" s="358"/>
      <c r="AN79" s="359" t="s">
        <v>32</v>
      </c>
      <c r="AO79" s="327" t="s">
        <v>30</v>
      </c>
      <c r="AP79" s="380">
        <v>46062</v>
      </c>
      <c r="AQ79" s="384" t="s">
        <v>1138</v>
      </c>
      <c r="AR79" s="358" t="s">
        <v>32</v>
      </c>
      <c r="AS79" s="358">
        <v>16</v>
      </c>
      <c r="AT79" s="384" t="s">
        <v>1138</v>
      </c>
      <c r="AU79" s="380">
        <v>46062</v>
      </c>
      <c r="AV79" s="94" t="s">
        <v>30</v>
      </c>
      <c r="AW79" s="100" t="s">
        <v>30</v>
      </c>
      <c r="AX79" s="82" t="s">
        <v>30</v>
      </c>
      <c r="AY79" s="95" t="s">
        <v>32</v>
      </c>
      <c r="AZ79" s="95" t="s">
        <v>32</v>
      </c>
      <c r="BA79" s="95" t="s">
        <v>32</v>
      </c>
      <c r="BB79" s="100" t="s">
        <v>30</v>
      </c>
      <c r="BC79" s="100" t="s">
        <v>30</v>
      </c>
      <c r="BD79" s="100" t="s">
        <v>30</v>
      </c>
      <c r="BE79" s="100" t="s">
        <v>30</v>
      </c>
      <c r="BF79" s="100" t="s">
        <v>30</v>
      </c>
      <c r="BG79" s="100" t="s">
        <v>30</v>
      </c>
      <c r="BH79" s="100" t="s">
        <v>30</v>
      </c>
      <c r="BI79" s="100" t="s">
        <v>30</v>
      </c>
      <c r="BJ79" s="100" t="s">
        <v>30</v>
      </c>
      <c r="BK79" s="114"/>
      <c r="BL79" s="360"/>
      <c r="BN79"/>
      <c r="BO79"/>
      <c r="BP79"/>
      <c r="BQ79"/>
      <c r="BR79"/>
      <c r="BS79"/>
      <c r="BT79"/>
      <c r="BU79"/>
      <c r="BV79"/>
      <c r="BW79" s="109"/>
      <c r="BZ79">
        <f t="shared" si="3"/>
        <v>1</v>
      </c>
    </row>
    <row r="80" spans="1:78" ht="15.6" hidden="1" customHeight="1">
      <c r="A80" s="35" t="str">
        <f t="shared" si="2"/>
        <v>M097/2646049</v>
      </c>
      <c r="C80" s="358" t="s">
        <v>24</v>
      </c>
      <c r="D80" s="358">
        <v>77</v>
      </c>
      <c r="E80" s="358" t="s">
        <v>3202</v>
      </c>
      <c r="F80" s="358" t="s">
        <v>34</v>
      </c>
      <c r="G80" s="384">
        <v>46049</v>
      </c>
      <c r="H80" s="358" t="s">
        <v>272</v>
      </c>
      <c r="I80" s="358">
        <v>21</v>
      </c>
      <c r="J80" s="359" t="str">
        <f>IFERROR(VLOOKUP($A80,#REF!,3,0),"")</f>
        <v/>
      </c>
      <c r="K80" s="359" t="str">
        <f>IFERROR(VLOOKUP($A80,#REF!,4,0),AF80)</f>
        <v>INT</v>
      </c>
      <c r="L80" s="359" t="str">
        <f>IFERROR(VLOOKUP($A80,#REF!,5,0),"")</f>
        <v/>
      </c>
      <c r="M80" s="359" t="str">
        <f>IFERROR(VLOOKUP($A80,#REF!,7,0),"")</f>
        <v/>
      </c>
      <c r="N80" s="359"/>
      <c r="O80" s="359" t="str">
        <f>IFERROR(VLOOKUP($A80,#REF!,6,0),"")</f>
        <v/>
      </c>
      <c r="P80" s="359" t="str">
        <f>IFERROR(VLOOKUP($A80,#REF!,9,0),"")</f>
        <v/>
      </c>
      <c r="Q80" s="359" t="str">
        <f>IFERROR(VLOOKUP($A80,#REF!,10,0),"")</f>
        <v/>
      </c>
      <c r="R80" s="359" t="str">
        <f>IFERROR(VLOOKUP($A80,#REF!,11,0),"")</f>
        <v/>
      </c>
      <c r="S80" s="359" t="str">
        <f>IFERROR(VLOOKUP($A80,#REF!,13,0),"")</f>
        <v/>
      </c>
      <c r="T80" s="359" t="str">
        <f>IFERROR(VLOOKUP($A80,#REF!,14,0),"")</f>
        <v/>
      </c>
      <c r="U80" s="359" t="str">
        <f>IFERROR(VLOOKUP($A80,#REF!,15,0),"")</f>
        <v/>
      </c>
      <c r="V80" s="359" t="str">
        <f>IFERROR(VLOOKUP($A80,#REF!,16,0),"")</f>
        <v/>
      </c>
      <c r="W80" s="359" t="str">
        <f>IFERROR(VLOOKUP($A80,#REF!,17,0),"")</f>
        <v/>
      </c>
      <c r="X80" s="359" t="str">
        <f>IFERROR(VLOOKUP($A80,#REF!,18,0),"")</f>
        <v/>
      </c>
      <c r="Y80" s="359" t="str">
        <f>IFERROR(VLOOKUP($A80,#REF!,19,0),"")</f>
        <v/>
      </c>
      <c r="Z80" s="400" t="str">
        <f>IFERROR(VLOOKUP($A80,#REF!,21,0),"")</f>
        <v/>
      </c>
      <c r="AA80" s="358"/>
      <c r="AB80" s="358"/>
      <c r="AC80" s="358" t="s">
        <v>67</v>
      </c>
      <c r="AD80" s="358" t="s">
        <v>47</v>
      </c>
      <c r="AE80" s="358"/>
      <c r="AF80" s="141" t="s">
        <v>3077</v>
      </c>
      <c r="AG80" s="358" t="s">
        <v>2119</v>
      </c>
      <c r="AH80" s="358" t="s">
        <v>3203</v>
      </c>
      <c r="AI80" s="358" t="s">
        <v>3203</v>
      </c>
      <c r="AJ80" s="358" t="s">
        <v>3204</v>
      </c>
      <c r="AK80" s="358"/>
      <c r="AL80" s="358"/>
      <c r="AM80" s="358"/>
      <c r="AN80" s="130" t="s">
        <v>31</v>
      </c>
      <c r="AO80" s="358" t="s">
        <v>30</v>
      </c>
      <c r="AP80" s="380">
        <v>46069</v>
      </c>
      <c r="AQ80" s="384" t="s">
        <v>1721</v>
      </c>
      <c r="AR80" s="358" t="s">
        <v>32</v>
      </c>
      <c r="AS80" s="358">
        <v>18</v>
      </c>
      <c r="AT80" s="384" t="s">
        <v>1721</v>
      </c>
      <c r="AU80" s="380">
        <v>46069</v>
      </c>
      <c r="AV80" s="94" t="s">
        <v>30</v>
      </c>
      <c r="AW80" s="82" t="s">
        <v>30</v>
      </c>
      <c r="AX80" s="82" t="s">
        <v>30</v>
      </c>
      <c r="AY80" s="95" t="s">
        <v>32</v>
      </c>
      <c r="AZ80" s="95" t="s">
        <v>32</v>
      </c>
      <c r="BA80" s="95" t="s">
        <v>32</v>
      </c>
      <c r="BB80" s="100" t="s">
        <v>30</v>
      </c>
      <c r="BC80" s="100" t="s">
        <v>30</v>
      </c>
      <c r="BD80" s="100" t="s">
        <v>30</v>
      </c>
      <c r="BE80" s="100" t="s">
        <v>30</v>
      </c>
      <c r="BF80" s="100" t="s">
        <v>30</v>
      </c>
      <c r="BG80" s="100" t="s">
        <v>30</v>
      </c>
      <c r="BH80" s="111" t="s">
        <v>30</v>
      </c>
      <c r="BI80" s="111" t="s">
        <v>30</v>
      </c>
      <c r="BJ80" s="111" t="s">
        <v>30</v>
      </c>
      <c r="BK80" s="114"/>
      <c r="BL80" s="360"/>
      <c r="BM80" s="343"/>
      <c r="BN80" s="343"/>
      <c r="BO80" s="343"/>
      <c r="BP80" s="343"/>
      <c r="BQ80" s="343"/>
      <c r="BR80" s="343"/>
      <c r="BS80" s="139"/>
      <c r="BT80" s="140"/>
      <c r="BU80" s="140"/>
      <c r="BV80" s="140"/>
      <c r="BW80" s="140"/>
      <c r="BZ80">
        <f t="shared" si="3"/>
        <v>1</v>
      </c>
    </row>
    <row r="81" spans="1:78" ht="15.6" hidden="1" customHeight="1">
      <c r="A81" s="35" t="str">
        <f t="shared" si="2"/>
        <v>031/2646050</v>
      </c>
      <c r="C81" s="358" t="s">
        <v>24</v>
      </c>
      <c r="D81" s="358">
        <v>78</v>
      </c>
      <c r="E81" s="358" t="s">
        <v>3205</v>
      </c>
      <c r="F81" s="358" t="s">
        <v>57</v>
      </c>
      <c r="G81" s="384">
        <v>46050</v>
      </c>
      <c r="H81" s="358" t="s">
        <v>737</v>
      </c>
      <c r="I81" s="358">
        <v>15</v>
      </c>
      <c r="J81" s="359" t="str">
        <f>IFERROR(VLOOKUP($A81,#REF!,3,0),"")</f>
        <v/>
      </c>
      <c r="K81" s="359" t="str">
        <f>IFERROR(VLOOKUP($A81,#REF!,4,0),AF81)</f>
        <v>INT</v>
      </c>
      <c r="L81" s="359" t="str">
        <f>IFERROR(VLOOKUP($A81,#REF!,5,0),"")</f>
        <v/>
      </c>
      <c r="M81" s="359" t="str">
        <f>IFERROR(VLOOKUP($A81,#REF!,7,0),"")</f>
        <v/>
      </c>
      <c r="N81" s="359"/>
      <c r="O81" s="359" t="str">
        <f>IFERROR(VLOOKUP($A81,#REF!,6,0),"")</f>
        <v/>
      </c>
      <c r="P81" s="359" t="str">
        <f>IFERROR(VLOOKUP($A81,#REF!,9,0),"")</f>
        <v/>
      </c>
      <c r="Q81" s="359" t="str">
        <f>IFERROR(VLOOKUP($A81,#REF!,10,0),"")</f>
        <v/>
      </c>
      <c r="R81" s="359" t="str">
        <f>IFERROR(VLOOKUP($A81,#REF!,11,0),"")</f>
        <v/>
      </c>
      <c r="S81" s="359" t="str">
        <f>IFERROR(VLOOKUP($A81,#REF!,13,0),"")</f>
        <v/>
      </c>
      <c r="T81" s="359" t="str">
        <f>IFERROR(VLOOKUP($A81,#REF!,14,0),"")</f>
        <v/>
      </c>
      <c r="U81" s="359" t="str">
        <f>IFERROR(VLOOKUP($A81,#REF!,15,0),"")</f>
        <v/>
      </c>
      <c r="V81" s="359" t="str">
        <f>IFERROR(VLOOKUP($A81,#REF!,16,0),"")</f>
        <v/>
      </c>
      <c r="W81" s="359" t="str">
        <f>IFERROR(VLOOKUP($A81,#REF!,17,0),"")</f>
        <v/>
      </c>
      <c r="X81" s="359" t="str">
        <f>IFERROR(VLOOKUP($A81,#REF!,18,0),"")</f>
        <v/>
      </c>
      <c r="Y81" s="359" t="str">
        <f>IFERROR(VLOOKUP($A81,#REF!,19,0),"")</f>
        <v/>
      </c>
      <c r="Z81" s="400" t="str">
        <f>IFERROR(VLOOKUP($A81,#REF!,21,0),"")</f>
        <v/>
      </c>
      <c r="AA81" s="358"/>
      <c r="AB81" s="358"/>
      <c r="AC81" s="358" t="s">
        <v>127</v>
      </c>
      <c r="AD81" s="358" t="s">
        <v>178</v>
      </c>
      <c r="AE81" s="358"/>
      <c r="AF81" s="141" t="s">
        <v>3077</v>
      </c>
      <c r="AG81" s="358" t="s">
        <v>2264</v>
      </c>
      <c r="AH81" s="358" t="s">
        <v>3203</v>
      </c>
      <c r="AI81" s="358" t="s">
        <v>3206</v>
      </c>
      <c r="AJ81" s="358" t="s">
        <v>2050</v>
      </c>
      <c r="AK81" s="358"/>
      <c r="AL81" s="358"/>
      <c r="AM81" s="358"/>
      <c r="AN81" s="130" t="s">
        <v>31</v>
      </c>
      <c r="AO81" s="327" t="s">
        <v>30</v>
      </c>
      <c r="AP81" s="380">
        <v>46073</v>
      </c>
      <c r="AQ81" s="384" t="s">
        <v>1138</v>
      </c>
      <c r="AR81" s="358" t="s">
        <v>32</v>
      </c>
      <c r="AS81" s="358">
        <v>16</v>
      </c>
      <c r="AT81" s="384" t="s">
        <v>1138</v>
      </c>
      <c r="AU81" s="380">
        <v>46073</v>
      </c>
      <c r="AV81" s="94" t="s">
        <v>30</v>
      </c>
      <c r="AW81" s="82" t="s">
        <v>30</v>
      </c>
      <c r="AX81" s="82" t="s">
        <v>30</v>
      </c>
      <c r="AY81" s="100" t="s">
        <v>30</v>
      </c>
      <c r="AZ81" s="100" t="s">
        <v>30</v>
      </c>
      <c r="BA81" s="100" t="s">
        <v>30</v>
      </c>
      <c r="BB81" s="100" t="s">
        <v>30</v>
      </c>
      <c r="BC81" s="100" t="s">
        <v>30</v>
      </c>
      <c r="BD81" s="100" t="s">
        <v>30</v>
      </c>
      <c r="BE81" s="100" t="s">
        <v>30</v>
      </c>
      <c r="BF81" s="100" t="s">
        <v>30</v>
      </c>
      <c r="BG81" s="100" t="s">
        <v>30</v>
      </c>
      <c r="BH81" s="100" t="s">
        <v>30</v>
      </c>
      <c r="BI81" s="100" t="s">
        <v>30</v>
      </c>
      <c r="BJ81" s="100" t="s">
        <v>30</v>
      </c>
      <c r="BK81" s="114"/>
      <c r="BL81" s="360"/>
      <c r="BN81"/>
      <c r="BO81"/>
      <c r="BP81"/>
      <c r="BQ81"/>
      <c r="BR81"/>
      <c r="BS81"/>
      <c r="BT81"/>
      <c r="BU81"/>
      <c r="BV81"/>
      <c r="BW81" s="109"/>
      <c r="BZ81">
        <f t="shared" si="3"/>
        <v>1</v>
      </c>
    </row>
    <row r="82" spans="1:78" ht="15.75" hidden="1" customHeight="1">
      <c r="A82" s="35" t="str">
        <f t="shared" si="2"/>
        <v>032/2646050</v>
      </c>
      <c r="C82" s="358" t="s">
        <v>24</v>
      </c>
      <c r="D82" s="358">
        <v>79</v>
      </c>
      <c r="E82" s="358" t="s">
        <v>3207</v>
      </c>
      <c r="F82" s="358" t="s">
        <v>57</v>
      </c>
      <c r="G82" s="384">
        <v>46050</v>
      </c>
      <c r="H82" s="358" t="s">
        <v>737</v>
      </c>
      <c r="I82" s="358">
        <v>13</v>
      </c>
      <c r="J82" s="359" t="str">
        <f>IFERROR(VLOOKUP($A82,#REF!,3,0),"")</f>
        <v/>
      </c>
      <c r="K82" s="359" t="str">
        <f>IFERROR(VLOOKUP($A82,#REF!,4,0),AF82)</f>
        <v>INT</v>
      </c>
      <c r="L82" s="359" t="str">
        <f>IFERROR(VLOOKUP($A82,#REF!,5,0),"")</f>
        <v/>
      </c>
      <c r="M82" s="359" t="str">
        <f>IFERROR(VLOOKUP($A82,#REF!,7,0),"")</f>
        <v/>
      </c>
      <c r="N82" s="359"/>
      <c r="O82" s="359" t="str">
        <f>IFERROR(VLOOKUP($A82,#REF!,6,0),"")</f>
        <v/>
      </c>
      <c r="P82" s="359" t="str">
        <f>IFERROR(VLOOKUP($A82,#REF!,9,0),"")</f>
        <v/>
      </c>
      <c r="Q82" s="359" t="str">
        <f>IFERROR(VLOOKUP($A82,#REF!,10,0),"")</f>
        <v/>
      </c>
      <c r="R82" s="359" t="str">
        <f>IFERROR(VLOOKUP($A82,#REF!,11,0),"")</f>
        <v/>
      </c>
      <c r="S82" s="359" t="str">
        <f>IFERROR(VLOOKUP($A82,#REF!,13,0),"")</f>
        <v/>
      </c>
      <c r="T82" s="359" t="str">
        <f>IFERROR(VLOOKUP($A82,#REF!,14,0),"")</f>
        <v/>
      </c>
      <c r="U82" s="359" t="str">
        <f>IFERROR(VLOOKUP($A82,#REF!,15,0),"")</f>
        <v/>
      </c>
      <c r="V82" s="359" t="str">
        <f>IFERROR(VLOOKUP($A82,#REF!,16,0),"")</f>
        <v/>
      </c>
      <c r="W82" s="359" t="str">
        <f>IFERROR(VLOOKUP($A82,#REF!,17,0),"")</f>
        <v/>
      </c>
      <c r="X82" s="359" t="str">
        <f>IFERROR(VLOOKUP($A82,#REF!,18,0),"")</f>
        <v/>
      </c>
      <c r="Y82" s="359" t="str">
        <f>IFERROR(VLOOKUP($A82,#REF!,19,0),"")</f>
        <v/>
      </c>
      <c r="Z82" s="400" t="str">
        <f>IFERROR(VLOOKUP($A82,#REF!,21,0),"")</f>
        <v/>
      </c>
      <c r="AA82" s="358"/>
      <c r="AB82" s="358"/>
      <c r="AC82" s="358" t="s">
        <v>127</v>
      </c>
      <c r="AD82" s="358" t="s">
        <v>178</v>
      </c>
      <c r="AE82" s="358"/>
      <c r="AF82" s="141" t="s">
        <v>3077</v>
      </c>
      <c r="AG82" s="358" t="s">
        <v>2264</v>
      </c>
      <c r="AH82" s="358" t="s">
        <v>3203</v>
      </c>
      <c r="AI82" s="358" t="s">
        <v>3206</v>
      </c>
      <c r="AJ82" s="358" t="s">
        <v>401</v>
      </c>
      <c r="AK82" s="358"/>
      <c r="AL82" s="358"/>
      <c r="AM82" s="358"/>
      <c r="AN82" s="359" t="s">
        <v>32</v>
      </c>
      <c r="AO82" s="380" t="s">
        <v>30</v>
      </c>
      <c r="AP82" s="380">
        <v>46080</v>
      </c>
      <c r="AQ82" s="384" t="s">
        <v>48</v>
      </c>
      <c r="AR82" s="358" t="s">
        <v>32</v>
      </c>
      <c r="AS82" s="358">
        <v>12</v>
      </c>
      <c r="AT82" s="384" t="s">
        <v>48</v>
      </c>
      <c r="AU82" s="380">
        <v>46080</v>
      </c>
      <c r="AV82" s="82" t="s">
        <v>30</v>
      </c>
      <c r="AW82" s="82" t="s">
        <v>30</v>
      </c>
      <c r="AX82" s="82" t="s">
        <v>30</v>
      </c>
      <c r="AY82" s="100" t="s">
        <v>30</v>
      </c>
      <c r="AZ82" s="100" t="s">
        <v>30</v>
      </c>
      <c r="BA82" s="100" t="s">
        <v>30</v>
      </c>
      <c r="BB82" s="100" t="s">
        <v>30</v>
      </c>
      <c r="BC82" s="100" t="s">
        <v>30</v>
      </c>
      <c r="BD82" s="100" t="s">
        <v>30</v>
      </c>
      <c r="BE82" s="100" t="s">
        <v>30</v>
      </c>
      <c r="BF82" s="100" t="s">
        <v>30</v>
      </c>
      <c r="BG82" s="100" t="s">
        <v>30</v>
      </c>
      <c r="BH82" s="100" t="s">
        <v>30</v>
      </c>
      <c r="BI82" s="100" t="s">
        <v>30</v>
      </c>
      <c r="BJ82" s="100" t="s">
        <v>30</v>
      </c>
      <c r="BK82" s="114"/>
      <c r="BL82" s="360" t="s">
        <v>3182</v>
      </c>
      <c r="BN82"/>
      <c r="BO82"/>
      <c r="BP82"/>
      <c r="BQ82"/>
      <c r="BR82"/>
      <c r="BS82"/>
      <c r="BT82"/>
      <c r="BU82"/>
      <c r="BV82"/>
      <c r="BW82" s="109"/>
      <c r="BZ82">
        <f t="shared" si="3"/>
        <v>1</v>
      </c>
    </row>
    <row r="83" spans="1:78" ht="15.75" hidden="1" customHeight="1">
      <c r="A83" s="35" t="str">
        <f t="shared" si="2"/>
        <v>M032/2546051</v>
      </c>
      <c r="C83" s="358" t="s">
        <v>24</v>
      </c>
      <c r="D83" s="358">
        <v>80</v>
      </c>
      <c r="E83" s="358" t="s">
        <v>1145</v>
      </c>
      <c r="F83" s="358" t="s">
        <v>64</v>
      </c>
      <c r="G83" s="384">
        <v>46051</v>
      </c>
      <c r="H83" s="358" t="s">
        <v>885</v>
      </c>
      <c r="I83" s="358">
        <v>8</v>
      </c>
      <c r="J83" s="359" t="str">
        <f>IFERROR(VLOOKUP($A83,#REF!,3,0),"")</f>
        <v/>
      </c>
      <c r="K83" s="359" t="str">
        <f>IFERROR(VLOOKUP($A83,#REF!,4,0),AF83)</f>
        <v>EXT</v>
      </c>
      <c r="L83" s="359" t="str">
        <f>IFERROR(VLOOKUP($A83,#REF!,5,0),"")</f>
        <v/>
      </c>
      <c r="M83" s="359" t="str">
        <f>IFERROR(VLOOKUP($A83,#REF!,7,0),"")</f>
        <v/>
      </c>
      <c r="N83" s="359"/>
      <c r="O83" s="359" t="str">
        <f>IFERROR(VLOOKUP($A83,#REF!,6,0),"")</f>
        <v/>
      </c>
      <c r="P83" s="359" t="str">
        <f>IFERROR(VLOOKUP($A83,#REF!,9,0),"")</f>
        <v/>
      </c>
      <c r="Q83" s="359" t="str">
        <f>IFERROR(VLOOKUP($A83,#REF!,10,0),"")</f>
        <v/>
      </c>
      <c r="R83" s="359" t="str">
        <f>IFERROR(VLOOKUP($A83,#REF!,11,0),"")</f>
        <v/>
      </c>
      <c r="S83" s="359" t="str">
        <f>IFERROR(VLOOKUP($A83,#REF!,13,0),"")</f>
        <v/>
      </c>
      <c r="T83" s="359" t="str">
        <f>IFERROR(VLOOKUP($A83,#REF!,14,0),"")</f>
        <v/>
      </c>
      <c r="U83" s="359" t="str">
        <f>IFERROR(VLOOKUP($A83,#REF!,15,0),"")</f>
        <v/>
      </c>
      <c r="V83" s="359" t="str">
        <f>IFERROR(VLOOKUP($A83,#REF!,16,0),"")</f>
        <v/>
      </c>
      <c r="W83" s="359" t="str">
        <f>IFERROR(VLOOKUP($A83,#REF!,17,0),"")</f>
        <v/>
      </c>
      <c r="X83" s="359" t="str">
        <f>IFERROR(VLOOKUP($A83,#REF!,18,0),"")</f>
        <v/>
      </c>
      <c r="Y83" s="359" t="str">
        <f>IFERROR(VLOOKUP($A83,#REF!,19,0),"")</f>
        <v/>
      </c>
      <c r="Z83" s="400" t="str">
        <f>IFERROR(VLOOKUP($A83,#REF!,21,0),"")</f>
        <v/>
      </c>
      <c r="AA83" s="358"/>
      <c r="AB83" s="358"/>
      <c r="AC83" s="358" t="s">
        <v>1721</v>
      </c>
      <c r="AD83" s="358" t="s">
        <v>1638</v>
      </c>
      <c r="AE83" s="358"/>
      <c r="AF83" s="141" t="s">
        <v>3082</v>
      </c>
      <c r="AG83" s="358" t="s">
        <v>2056</v>
      </c>
      <c r="AH83" s="358" t="s">
        <v>3203</v>
      </c>
      <c r="AI83" s="358" t="s">
        <v>3203</v>
      </c>
      <c r="AJ83" s="358" t="s">
        <v>2058</v>
      </c>
      <c r="AK83" s="358"/>
      <c r="AL83" s="358"/>
      <c r="AM83" s="358"/>
      <c r="AN83" s="359" t="s">
        <v>32</v>
      </c>
      <c r="AO83" s="358" t="s">
        <v>30</v>
      </c>
      <c r="AP83" s="380">
        <v>46066</v>
      </c>
      <c r="AQ83" s="384" t="s">
        <v>1638</v>
      </c>
      <c r="AR83" s="358" t="s">
        <v>32</v>
      </c>
      <c r="AS83" s="358">
        <v>8</v>
      </c>
      <c r="AT83" s="384" t="s">
        <v>1638</v>
      </c>
      <c r="AU83" s="380">
        <v>46066</v>
      </c>
      <c r="AV83" s="82" t="s">
        <v>30</v>
      </c>
      <c r="AW83" s="82" t="s">
        <v>30</v>
      </c>
      <c r="AX83" s="82" t="s">
        <v>30</v>
      </c>
      <c r="AY83" s="100" t="s">
        <v>30</v>
      </c>
      <c r="AZ83" s="100" t="s">
        <v>30</v>
      </c>
      <c r="BA83" s="100" t="s">
        <v>30</v>
      </c>
      <c r="BB83" s="100" t="s">
        <v>30</v>
      </c>
      <c r="BC83" s="100" t="s">
        <v>30</v>
      </c>
      <c r="BD83" s="100" t="s">
        <v>30</v>
      </c>
      <c r="BE83" s="100" t="s">
        <v>30</v>
      </c>
      <c r="BF83" s="100" t="s">
        <v>30</v>
      </c>
      <c r="BG83" s="100" t="s">
        <v>30</v>
      </c>
      <c r="BH83" s="111" t="s">
        <v>30</v>
      </c>
      <c r="BI83" s="111" t="s">
        <v>30</v>
      </c>
      <c r="BJ83" s="111" t="s">
        <v>30</v>
      </c>
      <c r="BK83" s="114"/>
      <c r="BL83" s="360"/>
      <c r="BM83" s="91"/>
      <c r="BN83" s="91"/>
      <c r="BO83"/>
      <c r="BP83"/>
      <c r="BQ83"/>
      <c r="BR83"/>
      <c r="BS83" s="72"/>
      <c r="BW83" s="109"/>
      <c r="BZ83">
        <f t="shared" si="3"/>
        <v>1</v>
      </c>
    </row>
    <row r="84" spans="1:78" ht="15.75" hidden="1" customHeight="1">
      <c r="A84" s="35" t="str">
        <f t="shared" si="2"/>
        <v>M099/2646052</v>
      </c>
      <c r="C84" s="358" t="s">
        <v>24</v>
      </c>
      <c r="D84" s="358">
        <v>81</v>
      </c>
      <c r="E84" s="358" t="s">
        <v>3208</v>
      </c>
      <c r="F84" s="358" t="s">
        <v>3209</v>
      </c>
      <c r="G84" s="384">
        <v>46052</v>
      </c>
      <c r="H84" s="358" t="s">
        <v>385</v>
      </c>
      <c r="I84" s="358">
        <v>28</v>
      </c>
      <c r="J84" s="359" t="str">
        <f>IFERROR(VLOOKUP($A84,#REF!,3,0),"")</f>
        <v/>
      </c>
      <c r="K84" s="359" t="str">
        <f>IFERROR(VLOOKUP($A84,#REF!,4,0),AF84)</f>
        <v>EXT</v>
      </c>
      <c r="L84" s="359" t="str">
        <f>IFERROR(VLOOKUP($A84,#REF!,5,0),"")</f>
        <v/>
      </c>
      <c r="M84" s="359" t="str">
        <f>IFERROR(VLOOKUP($A84,#REF!,7,0),"")</f>
        <v/>
      </c>
      <c r="N84" s="359"/>
      <c r="O84" s="359" t="str">
        <f>IFERROR(VLOOKUP($A84,#REF!,6,0),"")</f>
        <v/>
      </c>
      <c r="P84" s="359" t="str">
        <f>IFERROR(VLOOKUP($A84,#REF!,9,0),"")</f>
        <v/>
      </c>
      <c r="Q84" s="359" t="str">
        <f>IFERROR(VLOOKUP($A84,#REF!,10,0),"")</f>
        <v/>
      </c>
      <c r="R84" s="359" t="str">
        <f>IFERROR(VLOOKUP($A84,#REF!,11,0),"")</f>
        <v/>
      </c>
      <c r="S84" s="359" t="str">
        <f>IFERROR(VLOOKUP($A84,#REF!,13,0),"")</f>
        <v/>
      </c>
      <c r="T84" s="359" t="str">
        <f>IFERROR(VLOOKUP($A84,#REF!,14,0),"")</f>
        <v/>
      </c>
      <c r="U84" s="359" t="str">
        <f>IFERROR(VLOOKUP($A84,#REF!,15,0),"")</f>
        <v/>
      </c>
      <c r="V84" s="359" t="str">
        <f>IFERROR(VLOOKUP($A84,#REF!,16,0),"")</f>
        <v/>
      </c>
      <c r="W84" s="359" t="str">
        <f>IFERROR(VLOOKUP($A84,#REF!,17,0),"")</f>
        <v/>
      </c>
      <c r="X84" s="359" t="str">
        <f>IFERROR(VLOOKUP($A84,#REF!,18,0),"")</f>
        <v/>
      </c>
      <c r="Y84" s="359" t="str">
        <f>IFERROR(VLOOKUP($A84,#REF!,19,0),"")</f>
        <v/>
      </c>
      <c r="Z84" s="400" t="str">
        <f>IFERROR(VLOOKUP($A84,#REF!,21,0),"")</f>
        <v/>
      </c>
      <c r="AA84" s="358"/>
      <c r="AB84" s="358"/>
      <c r="AC84" s="358" t="s">
        <v>1077</v>
      </c>
      <c r="AD84" s="358" t="s">
        <v>1138</v>
      </c>
      <c r="AE84" s="358"/>
      <c r="AF84" s="141" t="s">
        <v>3082</v>
      </c>
      <c r="AG84" s="358" t="s">
        <v>2076</v>
      </c>
      <c r="AH84" s="358" t="s">
        <v>3210</v>
      </c>
      <c r="AI84" s="358" t="s">
        <v>3210</v>
      </c>
      <c r="AJ84" s="358" t="s">
        <v>2050</v>
      </c>
      <c r="AK84" s="358"/>
      <c r="AL84" s="358"/>
      <c r="AM84" s="358"/>
      <c r="AN84" s="129" t="s">
        <v>31</v>
      </c>
      <c r="AO84" s="358"/>
      <c r="AP84" s="380">
        <v>46062</v>
      </c>
      <c r="AQ84" s="384" t="s">
        <v>1138</v>
      </c>
      <c r="AR84" s="358" t="s">
        <v>30</v>
      </c>
      <c r="AS84" s="358">
        <v>25</v>
      </c>
      <c r="AT84" s="384" t="s">
        <v>1138</v>
      </c>
      <c r="AU84" s="380">
        <v>46062</v>
      </c>
      <c r="AV84" s="94" t="s">
        <v>30</v>
      </c>
      <c r="AW84" s="100" t="s">
        <v>30</v>
      </c>
      <c r="AX84" s="100" t="s">
        <v>30</v>
      </c>
      <c r="AY84" s="100" t="s">
        <v>30</v>
      </c>
      <c r="AZ84" s="100" t="s">
        <v>30</v>
      </c>
      <c r="BA84" s="100" t="s">
        <v>30</v>
      </c>
      <c r="BB84" s="100" t="s">
        <v>30</v>
      </c>
      <c r="BC84" s="100" t="s">
        <v>30</v>
      </c>
      <c r="BD84" s="100" t="s">
        <v>30</v>
      </c>
      <c r="BE84" s="100" t="s">
        <v>30</v>
      </c>
      <c r="BF84" s="100" t="s">
        <v>30</v>
      </c>
      <c r="BG84" s="100" t="s">
        <v>30</v>
      </c>
      <c r="BH84" s="111" t="s">
        <v>30</v>
      </c>
      <c r="BI84" s="111" t="s">
        <v>30</v>
      </c>
      <c r="BJ84" s="111" t="s">
        <v>30</v>
      </c>
      <c r="BK84" s="114"/>
      <c r="BL84" s="360"/>
      <c r="BM84" s="91"/>
      <c r="BN84" s="91"/>
      <c r="BO84"/>
      <c r="BP84"/>
      <c r="BQ84"/>
      <c r="BR84"/>
      <c r="BS84" s="72"/>
      <c r="BW84" s="109"/>
      <c r="BZ84">
        <f t="shared" si="3"/>
        <v>1</v>
      </c>
    </row>
    <row r="85" spans="1:78" ht="15.75" hidden="1" customHeight="1">
      <c r="A85" s="35" t="str">
        <f t="shared" si="2"/>
        <v>M057/2646052</v>
      </c>
      <c r="C85" s="358" t="s">
        <v>24</v>
      </c>
      <c r="D85" s="358">
        <v>82</v>
      </c>
      <c r="E85" s="358" t="s">
        <v>3211</v>
      </c>
      <c r="F85" s="358" t="s">
        <v>102</v>
      </c>
      <c r="G85" s="384">
        <v>46052</v>
      </c>
      <c r="H85" s="358" t="s">
        <v>3212</v>
      </c>
      <c r="I85" s="358">
        <v>10</v>
      </c>
      <c r="J85" s="359" t="str">
        <f>IFERROR(VLOOKUP($A85,#REF!,3,0),"")</f>
        <v/>
      </c>
      <c r="K85" s="359" t="str">
        <f>IFERROR(VLOOKUP($A85,#REF!,4,0),AF85)</f>
        <v>EXT</v>
      </c>
      <c r="L85" s="359" t="str">
        <f>IFERROR(VLOOKUP($A85,#REF!,5,0),"")</f>
        <v/>
      </c>
      <c r="M85" s="359" t="str">
        <f>IFERROR(VLOOKUP($A85,#REF!,7,0),"")</f>
        <v/>
      </c>
      <c r="N85" s="359"/>
      <c r="O85" s="359" t="str">
        <f>IFERROR(VLOOKUP($A85,#REF!,6,0),"")</f>
        <v/>
      </c>
      <c r="P85" s="359" t="str">
        <f>IFERROR(VLOOKUP($A85,#REF!,9,0),"")</f>
        <v/>
      </c>
      <c r="Q85" s="359" t="str">
        <f>IFERROR(VLOOKUP($A85,#REF!,10,0),"")</f>
        <v/>
      </c>
      <c r="R85" s="359" t="str">
        <f>IFERROR(VLOOKUP($A85,#REF!,11,0),"")</f>
        <v/>
      </c>
      <c r="S85" s="359" t="str">
        <f>IFERROR(VLOOKUP($A85,#REF!,13,0),"")</f>
        <v/>
      </c>
      <c r="T85" s="359" t="str">
        <f>IFERROR(VLOOKUP($A85,#REF!,14,0),"")</f>
        <v/>
      </c>
      <c r="U85" s="359" t="str">
        <f>IFERROR(VLOOKUP($A85,#REF!,15,0),"")</f>
        <v/>
      </c>
      <c r="V85" s="359" t="str">
        <f>IFERROR(VLOOKUP($A85,#REF!,16,0),"")</f>
        <v/>
      </c>
      <c r="W85" s="359" t="str">
        <f>IFERROR(VLOOKUP($A85,#REF!,17,0),"")</f>
        <v/>
      </c>
      <c r="X85" s="359" t="str">
        <f>IFERROR(VLOOKUP($A85,#REF!,18,0),"")</f>
        <v/>
      </c>
      <c r="Y85" s="359" t="str">
        <f>IFERROR(VLOOKUP($A85,#REF!,19,0),"")</f>
        <v/>
      </c>
      <c r="Z85" s="400" t="str">
        <f>IFERROR(VLOOKUP($A85,#REF!,21,0),"")</f>
        <v/>
      </c>
      <c r="AA85" s="358"/>
      <c r="AB85" s="358"/>
      <c r="AC85" s="358" t="s">
        <v>1077</v>
      </c>
      <c r="AD85" s="358" t="s">
        <v>1138</v>
      </c>
      <c r="AE85" s="358"/>
      <c r="AF85" s="141" t="s">
        <v>3082</v>
      </c>
      <c r="AG85" s="358" t="s">
        <v>3213</v>
      </c>
      <c r="AH85" s="358" t="s">
        <v>3210</v>
      </c>
      <c r="AI85" s="358" t="s">
        <v>3210</v>
      </c>
      <c r="AJ85" s="358" t="s">
        <v>2050</v>
      </c>
      <c r="AK85" s="358"/>
      <c r="AL85" s="358"/>
      <c r="AM85" s="358"/>
      <c r="AN85" s="359" t="s">
        <v>32</v>
      </c>
      <c r="AO85" s="327" t="s">
        <v>30</v>
      </c>
      <c r="AP85" s="380">
        <v>46059</v>
      </c>
      <c r="AQ85" s="384" t="s">
        <v>1138</v>
      </c>
      <c r="AR85" s="358" t="s">
        <v>32</v>
      </c>
      <c r="AS85" s="358">
        <v>11</v>
      </c>
      <c r="AT85" s="384" t="s">
        <v>1138</v>
      </c>
      <c r="AU85" s="380">
        <v>46059</v>
      </c>
      <c r="AV85" s="100" t="s">
        <v>30</v>
      </c>
      <c r="AW85" s="100" t="s">
        <v>30</v>
      </c>
      <c r="AX85" s="100" t="s">
        <v>30</v>
      </c>
      <c r="AY85" s="100" t="s">
        <v>30</v>
      </c>
      <c r="AZ85" s="100" t="s">
        <v>30</v>
      </c>
      <c r="BA85" s="100" t="s">
        <v>30</v>
      </c>
      <c r="BB85" s="100" t="s">
        <v>30</v>
      </c>
      <c r="BC85" s="100" t="s">
        <v>30</v>
      </c>
      <c r="BD85" s="100" t="s">
        <v>30</v>
      </c>
      <c r="BE85" s="114" t="s">
        <v>32</v>
      </c>
      <c r="BF85" s="100" t="s">
        <v>30</v>
      </c>
      <c r="BG85" s="100" t="s">
        <v>30</v>
      </c>
      <c r="BH85" s="111" t="s">
        <v>30</v>
      </c>
      <c r="BI85" s="111" t="s">
        <v>30</v>
      </c>
      <c r="BJ85" s="111" t="s">
        <v>30</v>
      </c>
      <c r="BK85" s="114"/>
      <c r="BL85" s="360" t="s">
        <v>3094</v>
      </c>
      <c r="BN85"/>
      <c r="BO85"/>
      <c r="BP85"/>
      <c r="BQ85"/>
      <c r="BR85"/>
      <c r="BS85"/>
      <c r="BT85"/>
      <c r="BU85"/>
      <c r="BV85"/>
      <c r="BW85" s="109"/>
      <c r="BZ85">
        <f t="shared" si="3"/>
        <v>1</v>
      </c>
    </row>
    <row r="86" spans="1:78" ht="15.75" hidden="1" customHeight="1">
      <c r="A86" s="35" t="str">
        <f t="shared" si="2"/>
        <v>M014/2646052</v>
      </c>
      <c r="C86" s="358" t="s">
        <v>24</v>
      </c>
      <c r="D86" s="358">
        <v>83</v>
      </c>
      <c r="E86" s="358" t="s">
        <v>3214</v>
      </c>
      <c r="F86" s="358" t="s">
        <v>3215</v>
      </c>
      <c r="G86" s="384">
        <v>46052</v>
      </c>
      <c r="H86" s="358" t="s">
        <v>2159</v>
      </c>
      <c r="I86" s="358">
        <v>9</v>
      </c>
      <c r="J86" s="359" t="str">
        <f>IFERROR(VLOOKUP($A86,#REF!,3,0),"")</f>
        <v/>
      </c>
      <c r="K86" s="359" t="str">
        <f>IFERROR(VLOOKUP($A86,#REF!,4,0),AF86)</f>
        <v>EXT</v>
      </c>
      <c r="L86" s="359" t="str">
        <f>IFERROR(VLOOKUP($A86,#REF!,5,0),"")</f>
        <v/>
      </c>
      <c r="M86" s="359" t="str">
        <f>IFERROR(VLOOKUP($A86,#REF!,7,0),"")</f>
        <v/>
      </c>
      <c r="N86" s="359"/>
      <c r="O86" s="359" t="str">
        <f>IFERROR(VLOOKUP($A86,#REF!,6,0),"")</f>
        <v/>
      </c>
      <c r="P86" s="359" t="str">
        <f>IFERROR(VLOOKUP($A86,#REF!,9,0),"")</f>
        <v/>
      </c>
      <c r="Q86" s="359" t="str">
        <f>IFERROR(VLOOKUP($A86,#REF!,10,0),"")</f>
        <v/>
      </c>
      <c r="R86" s="359" t="str">
        <f>IFERROR(VLOOKUP($A86,#REF!,11,0),"")</f>
        <v/>
      </c>
      <c r="S86" s="359" t="str">
        <f>IFERROR(VLOOKUP($A86,#REF!,13,0),"")</f>
        <v/>
      </c>
      <c r="T86" s="359" t="str">
        <f>IFERROR(VLOOKUP($A86,#REF!,14,0),"")</f>
        <v/>
      </c>
      <c r="U86" s="359" t="str">
        <f>IFERROR(VLOOKUP($A86,#REF!,15,0),"")</f>
        <v/>
      </c>
      <c r="V86" s="359" t="str">
        <f>IFERROR(VLOOKUP($A86,#REF!,16,0),"")</f>
        <v/>
      </c>
      <c r="W86" s="359" t="str">
        <f>IFERROR(VLOOKUP($A86,#REF!,17,0),"")</f>
        <v/>
      </c>
      <c r="X86" s="359" t="str">
        <f>IFERROR(VLOOKUP($A86,#REF!,18,0),"")</f>
        <v/>
      </c>
      <c r="Y86" s="359" t="str">
        <f>IFERROR(VLOOKUP($A86,#REF!,19,0),"")</f>
        <v/>
      </c>
      <c r="Z86" s="400" t="str">
        <f>IFERROR(VLOOKUP($A86,#REF!,21,0),"")</f>
        <v/>
      </c>
      <c r="AA86" s="358"/>
      <c r="AB86" s="358"/>
      <c r="AC86" s="358" t="s">
        <v>1077</v>
      </c>
      <c r="AD86" s="358" t="s">
        <v>1138</v>
      </c>
      <c r="AE86" s="358"/>
      <c r="AF86" s="141" t="s">
        <v>3082</v>
      </c>
      <c r="AG86" s="358" t="s">
        <v>2056</v>
      </c>
      <c r="AH86" s="358" t="s">
        <v>3210</v>
      </c>
      <c r="AI86" s="358" t="s">
        <v>3210</v>
      </c>
      <c r="AJ86" s="358" t="s">
        <v>2050</v>
      </c>
      <c r="AK86" s="358"/>
      <c r="AL86" s="358"/>
      <c r="AM86" s="358"/>
      <c r="AN86" s="359" t="s">
        <v>32</v>
      </c>
      <c r="AO86" s="327" t="s">
        <v>30</v>
      </c>
      <c r="AP86" s="380">
        <v>46066</v>
      </c>
      <c r="AQ86" s="384" t="s">
        <v>1138</v>
      </c>
      <c r="AR86" s="358" t="s">
        <v>32</v>
      </c>
      <c r="AS86" s="358">
        <v>9</v>
      </c>
      <c r="AT86" s="384" t="s">
        <v>1138</v>
      </c>
      <c r="AU86" s="380">
        <v>46066</v>
      </c>
      <c r="AV86" s="82" t="s">
        <v>30</v>
      </c>
      <c r="AW86" s="82" t="s">
        <v>30</v>
      </c>
      <c r="AX86" s="95"/>
      <c r="AY86" s="100" t="s">
        <v>30</v>
      </c>
      <c r="AZ86" s="100" t="s">
        <v>30</v>
      </c>
      <c r="BA86" s="100" t="s">
        <v>30</v>
      </c>
      <c r="BB86" s="100" t="s">
        <v>30</v>
      </c>
      <c r="BC86" s="100" t="s">
        <v>30</v>
      </c>
      <c r="BD86" s="100" t="s">
        <v>30</v>
      </c>
      <c r="BE86" s="95" t="s">
        <v>32</v>
      </c>
      <c r="BF86" s="100" t="s">
        <v>30</v>
      </c>
      <c r="BG86" s="114"/>
      <c r="BH86" s="111" t="s">
        <v>30</v>
      </c>
      <c r="BI86" s="111" t="s">
        <v>30</v>
      </c>
      <c r="BJ86" s="111" t="s">
        <v>30</v>
      </c>
      <c r="BK86" s="114"/>
      <c r="BL86" s="360"/>
      <c r="BN86"/>
      <c r="BO86"/>
      <c r="BP86"/>
      <c r="BQ86"/>
      <c r="BR86" s="88"/>
      <c r="BS86" s="72"/>
      <c r="BT86" s="72"/>
      <c r="BU86" s="72"/>
      <c r="BV86" s="72"/>
      <c r="BW86" s="109"/>
      <c r="BZ86">
        <f t="shared" si="3"/>
        <v>1</v>
      </c>
    </row>
    <row r="87" spans="1:78" ht="15.75" hidden="1" customHeight="1">
      <c r="A87" s="35" t="str">
        <f t="shared" si="2"/>
        <v>M094/2646052</v>
      </c>
      <c r="C87" s="358" t="s">
        <v>24</v>
      </c>
      <c r="D87" s="358">
        <v>84</v>
      </c>
      <c r="E87" s="358" t="s">
        <v>3216</v>
      </c>
      <c r="F87" s="358" t="s">
        <v>923</v>
      </c>
      <c r="G87" s="384">
        <v>46052</v>
      </c>
      <c r="H87" s="358" t="s">
        <v>412</v>
      </c>
      <c r="I87" s="358">
        <v>8</v>
      </c>
      <c r="J87" s="359" t="str">
        <f>IFERROR(VLOOKUP($A87,#REF!,3,0),"")</f>
        <v/>
      </c>
      <c r="K87" s="359" t="str">
        <f>IFERROR(VLOOKUP($A87,#REF!,4,0),AF87)</f>
        <v>INT</v>
      </c>
      <c r="L87" s="359" t="str">
        <f>IFERROR(VLOOKUP($A87,#REF!,5,0),"")</f>
        <v/>
      </c>
      <c r="M87" s="359" t="str">
        <f>IFERROR(VLOOKUP($A87,#REF!,7,0),"")</f>
        <v/>
      </c>
      <c r="N87" s="359"/>
      <c r="O87" s="359" t="str">
        <f>IFERROR(VLOOKUP($A87,#REF!,6,0),"")</f>
        <v/>
      </c>
      <c r="P87" s="359" t="str">
        <f>IFERROR(VLOOKUP($A87,#REF!,9,0),"")</f>
        <v/>
      </c>
      <c r="Q87" s="359" t="str">
        <f>IFERROR(VLOOKUP($A87,#REF!,10,0),"")</f>
        <v/>
      </c>
      <c r="R87" s="359" t="str">
        <f>IFERROR(VLOOKUP($A87,#REF!,11,0),"")</f>
        <v/>
      </c>
      <c r="S87" s="359" t="str">
        <f>IFERROR(VLOOKUP($A87,#REF!,13,0),"")</f>
        <v/>
      </c>
      <c r="T87" s="359" t="str">
        <f>IFERROR(VLOOKUP($A87,#REF!,14,0),"")</f>
        <v/>
      </c>
      <c r="U87" s="359" t="str">
        <f>IFERROR(VLOOKUP($A87,#REF!,15,0),"")</f>
        <v/>
      </c>
      <c r="V87" s="359" t="str">
        <f>IFERROR(VLOOKUP($A87,#REF!,16,0),"")</f>
        <v/>
      </c>
      <c r="W87" s="359" t="str">
        <f>IFERROR(VLOOKUP($A87,#REF!,17,0),"")</f>
        <v/>
      </c>
      <c r="X87" s="359" t="str">
        <f>IFERROR(VLOOKUP($A87,#REF!,18,0),"")</f>
        <v/>
      </c>
      <c r="Y87" s="359" t="str">
        <f>IFERROR(VLOOKUP($A87,#REF!,19,0),"")</f>
        <v/>
      </c>
      <c r="Z87" s="400" t="str">
        <f>IFERROR(VLOOKUP($A87,#REF!,21,0),"")</f>
        <v/>
      </c>
      <c r="AA87" s="358"/>
      <c r="AB87" s="358"/>
      <c r="AC87" s="358" t="s">
        <v>1721</v>
      </c>
      <c r="AD87" s="358" t="s">
        <v>1638</v>
      </c>
      <c r="AE87" s="358"/>
      <c r="AF87" s="141" t="s">
        <v>3077</v>
      </c>
      <c r="AG87" s="358" t="s">
        <v>2098</v>
      </c>
      <c r="AH87" s="358" t="s">
        <v>3217</v>
      </c>
      <c r="AI87" s="358" t="s">
        <v>3217</v>
      </c>
      <c r="AJ87" s="358" t="s">
        <v>2050</v>
      </c>
      <c r="AK87" s="358"/>
      <c r="AL87" s="358"/>
      <c r="AM87" s="358"/>
      <c r="AN87" s="359" t="s">
        <v>32</v>
      </c>
      <c r="AO87" s="380" t="s">
        <v>30</v>
      </c>
      <c r="AP87" s="327">
        <v>46062</v>
      </c>
      <c r="AQ87" s="384" t="s">
        <v>1638</v>
      </c>
      <c r="AR87" s="358" t="s">
        <v>32</v>
      </c>
      <c r="AS87" s="358">
        <v>7</v>
      </c>
      <c r="AT87" s="384" t="s">
        <v>1638</v>
      </c>
      <c r="AU87" s="327">
        <v>46062</v>
      </c>
      <c r="AV87" s="82" t="s">
        <v>30</v>
      </c>
      <c r="AW87" s="100" t="s">
        <v>30</v>
      </c>
      <c r="AX87" s="100" t="s">
        <v>30</v>
      </c>
      <c r="AY87" s="100" t="s">
        <v>30</v>
      </c>
      <c r="AZ87" s="100" t="s">
        <v>30</v>
      </c>
      <c r="BA87" s="100" t="s">
        <v>30</v>
      </c>
      <c r="BB87" s="100" t="s">
        <v>30</v>
      </c>
      <c r="BC87" s="100" t="s">
        <v>30</v>
      </c>
      <c r="BD87" s="100" t="s">
        <v>30</v>
      </c>
      <c r="BE87" s="95" t="s">
        <v>32</v>
      </c>
      <c r="BF87" s="100" t="s">
        <v>30</v>
      </c>
      <c r="BG87" s="100" t="s">
        <v>30</v>
      </c>
      <c r="BH87" s="100" t="s">
        <v>30</v>
      </c>
      <c r="BI87" s="100" t="s">
        <v>30</v>
      </c>
      <c r="BJ87" s="100" t="s">
        <v>30</v>
      </c>
      <c r="BK87" s="114"/>
      <c r="BL87" s="360"/>
      <c r="BN87"/>
      <c r="BO87"/>
      <c r="BP87"/>
      <c r="BQ87"/>
      <c r="BR87"/>
      <c r="BS87"/>
      <c r="BT87"/>
      <c r="BU87"/>
      <c r="BV87"/>
      <c r="BW87" s="109"/>
      <c r="BZ87">
        <f t="shared" si="3"/>
        <v>1</v>
      </c>
    </row>
    <row r="88" spans="1:78" ht="15.75" hidden="1" customHeight="1">
      <c r="A88" s="35" t="str">
        <f t="shared" si="2"/>
        <v>055/2546052</v>
      </c>
      <c r="C88" s="358" t="s">
        <v>24</v>
      </c>
      <c r="D88" s="358">
        <v>85</v>
      </c>
      <c r="E88" s="358" t="s">
        <v>501</v>
      </c>
      <c r="F88" s="358" t="s">
        <v>34</v>
      </c>
      <c r="G88" s="384">
        <v>46052</v>
      </c>
      <c r="H88" s="358" t="s">
        <v>3218</v>
      </c>
      <c r="I88" s="358">
        <v>15</v>
      </c>
      <c r="J88" s="359" t="str">
        <f>IFERROR(VLOOKUP($A88,#REF!,3,0),"")</f>
        <v/>
      </c>
      <c r="K88" s="359" t="str">
        <f>IFERROR(VLOOKUP($A88,#REF!,4,0),AF88)</f>
        <v>INT</v>
      </c>
      <c r="L88" s="359" t="str">
        <f>IFERROR(VLOOKUP($A88,#REF!,5,0),"")</f>
        <v/>
      </c>
      <c r="M88" s="359" t="str">
        <f>IFERROR(VLOOKUP($A88,#REF!,7,0),"")</f>
        <v/>
      </c>
      <c r="N88" s="359"/>
      <c r="O88" s="359" t="str">
        <f>IFERROR(VLOOKUP($A88,#REF!,6,0),"")</f>
        <v/>
      </c>
      <c r="P88" s="359" t="str">
        <f>IFERROR(VLOOKUP($A88,#REF!,9,0),"")</f>
        <v/>
      </c>
      <c r="Q88" s="359" t="str">
        <f>IFERROR(VLOOKUP($A88,#REF!,10,0),"")</f>
        <v/>
      </c>
      <c r="R88" s="359" t="str">
        <f>IFERROR(VLOOKUP($A88,#REF!,11,0),"")</f>
        <v/>
      </c>
      <c r="S88" s="359" t="str">
        <f>IFERROR(VLOOKUP($A88,#REF!,13,0),"")</f>
        <v/>
      </c>
      <c r="T88" s="359" t="str">
        <f>IFERROR(VLOOKUP($A88,#REF!,14,0),"")</f>
        <v/>
      </c>
      <c r="U88" s="359" t="str">
        <f>IFERROR(VLOOKUP($A88,#REF!,15,0),"")</f>
        <v/>
      </c>
      <c r="V88" s="359" t="str">
        <f>IFERROR(VLOOKUP($A88,#REF!,16,0),"")</f>
        <v/>
      </c>
      <c r="W88" s="359" t="str">
        <f>IFERROR(VLOOKUP($A88,#REF!,17,0),"")</f>
        <v/>
      </c>
      <c r="X88" s="359" t="str">
        <f>IFERROR(VLOOKUP($A88,#REF!,18,0),"")</f>
        <v/>
      </c>
      <c r="Y88" s="359" t="str">
        <f>IFERROR(VLOOKUP($A88,#REF!,19,0),"")</f>
        <v/>
      </c>
      <c r="Z88" s="400" t="str">
        <f>IFERROR(VLOOKUP($A88,#REF!,21,0),"")</f>
        <v/>
      </c>
      <c r="AA88" s="358"/>
      <c r="AB88" s="358"/>
      <c r="AC88" s="358" t="s">
        <v>1077</v>
      </c>
      <c r="AD88" s="358" t="s">
        <v>1138</v>
      </c>
      <c r="AE88" s="102" t="s">
        <v>3155</v>
      </c>
      <c r="AF88" s="141" t="s">
        <v>3077</v>
      </c>
      <c r="AG88" s="358" t="s">
        <v>2052</v>
      </c>
      <c r="AH88" s="358" t="s">
        <v>3217</v>
      </c>
      <c r="AI88" s="358" t="s">
        <v>3217</v>
      </c>
      <c r="AJ88" s="358" t="s">
        <v>2050</v>
      </c>
      <c r="AK88" s="358"/>
      <c r="AL88" s="358"/>
      <c r="AM88" s="358"/>
      <c r="AN88" s="129" t="s">
        <v>31</v>
      </c>
      <c r="AO88" s="117"/>
      <c r="AP88" s="380">
        <v>46058</v>
      </c>
      <c r="AQ88" s="384" t="s">
        <v>1138</v>
      </c>
      <c r="AR88" s="358" t="s">
        <v>32</v>
      </c>
      <c r="AS88" s="358">
        <v>14</v>
      </c>
      <c r="AT88" s="384" t="s">
        <v>1138</v>
      </c>
      <c r="AU88" s="380"/>
      <c r="AV88" s="82" t="s">
        <v>30</v>
      </c>
      <c r="AW88" s="82" t="s">
        <v>30</v>
      </c>
      <c r="AX88" s="82" t="s">
        <v>30</v>
      </c>
      <c r="AY88" s="100" t="s">
        <v>30</v>
      </c>
      <c r="AZ88" s="100" t="s">
        <v>30</v>
      </c>
      <c r="BA88" s="100" t="s">
        <v>30</v>
      </c>
      <c r="BB88" s="100" t="s">
        <v>30</v>
      </c>
      <c r="BC88" s="100" t="s">
        <v>30</v>
      </c>
      <c r="BD88" s="100" t="s">
        <v>30</v>
      </c>
      <c r="BE88" s="100" t="s">
        <v>30</v>
      </c>
      <c r="BF88" s="100" t="s">
        <v>30</v>
      </c>
      <c r="BG88" s="100" t="s">
        <v>30</v>
      </c>
      <c r="BH88" s="111" t="s">
        <v>30</v>
      </c>
      <c r="BI88" s="111" t="s">
        <v>30</v>
      </c>
      <c r="BJ88" s="111" t="s">
        <v>30</v>
      </c>
      <c r="BK88" s="114"/>
      <c r="BL88" s="360"/>
      <c r="BN88"/>
      <c r="BO88"/>
      <c r="BP88"/>
      <c r="BQ88"/>
      <c r="BR88"/>
      <c r="BS88"/>
      <c r="BT88"/>
      <c r="BU88"/>
      <c r="BV88"/>
      <c r="BW88" s="109"/>
      <c r="BZ88">
        <f t="shared" si="3"/>
        <v>1</v>
      </c>
    </row>
    <row r="89" spans="1:78" ht="15.75" hidden="1" customHeight="1">
      <c r="A89" s="35" t="str">
        <f t="shared" si="2"/>
        <v>M070/2646053</v>
      </c>
      <c r="C89" s="358" t="s">
        <v>24</v>
      </c>
      <c r="D89" s="358">
        <v>86</v>
      </c>
      <c r="E89" s="358" t="s">
        <v>3219</v>
      </c>
      <c r="F89" s="358" t="s">
        <v>64</v>
      </c>
      <c r="G89" s="384">
        <v>46053</v>
      </c>
      <c r="H89" s="358" t="s">
        <v>97</v>
      </c>
      <c r="I89" s="358">
        <v>16</v>
      </c>
      <c r="J89" s="359" t="str">
        <f>IFERROR(VLOOKUP($A89,#REF!,3,0),"")</f>
        <v/>
      </c>
      <c r="K89" s="359" t="str">
        <f>IFERROR(VLOOKUP($A89,#REF!,4,0),AF89)</f>
        <v>INT</v>
      </c>
      <c r="L89" s="359" t="str">
        <f>IFERROR(VLOOKUP($A89,#REF!,5,0),"")</f>
        <v/>
      </c>
      <c r="M89" s="359" t="str">
        <f>IFERROR(VLOOKUP($A89,#REF!,7,0),"")</f>
        <v/>
      </c>
      <c r="N89" s="359"/>
      <c r="O89" s="359" t="str">
        <f>IFERROR(VLOOKUP($A89,#REF!,6,0),"")</f>
        <v/>
      </c>
      <c r="P89" s="359" t="str">
        <f>IFERROR(VLOOKUP($A89,#REF!,9,0),"")</f>
        <v/>
      </c>
      <c r="Q89" s="359" t="str">
        <f>IFERROR(VLOOKUP($A89,#REF!,10,0),"")</f>
        <v/>
      </c>
      <c r="R89" s="359" t="str">
        <f>IFERROR(VLOOKUP($A89,#REF!,11,0),"")</f>
        <v/>
      </c>
      <c r="S89" s="359" t="str">
        <f>IFERROR(VLOOKUP($A89,#REF!,13,0),"")</f>
        <v/>
      </c>
      <c r="T89" s="359" t="str">
        <f>IFERROR(VLOOKUP($A89,#REF!,14,0),"")</f>
        <v/>
      </c>
      <c r="U89" s="359" t="str">
        <f>IFERROR(VLOOKUP($A89,#REF!,15,0),"")</f>
        <v/>
      </c>
      <c r="V89" s="359" t="str">
        <f>IFERROR(VLOOKUP($A89,#REF!,16,0),"")</f>
        <v/>
      </c>
      <c r="W89" s="359" t="str">
        <f>IFERROR(VLOOKUP($A89,#REF!,17,0),"")</f>
        <v/>
      </c>
      <c r="X89" s="359" t="str">
        <f>IFERROR(VLOOKUP($A89,#REF!,18,0),"")</f>
        <v/>
      </c>
      <c r="Y89" s="359" t="str">
        <f>IFERROR(VLOOKUP($A89,#REF!,19,0),"")</f>
        <v/>
      </c>
      <c r="Z89" s="400" t="str">
        <f>IFERROR(VLOOKUP($A89,#REF!,21,0),"")</f>
        <v/>
      </c>
      <c r="AA89" s="358"/>
      <c r="AB89" s="358"/>
      <c r="AC89" s="358" t="s">
        <v>127</v>
      </c>
      <c r="AD89" s="358" t="s">
        <v>178</v>
      </c>
      <c r="AE89" s="358"/>
      <c r="AF89" s="141" t="s">
        <v>3077</v>
      </c>
      <c r="AG89" s="358" t="s">
        <v>2142</v>
      </c>
      <c r="AH89" s="358" t="s">
        <v>3210</v>
      </c>
      <c r="AI89" s="358" t="s">
        <v>3210</v>
      </c>
      <c r="AJ89" s="358" t="s">
        <v>2245</v>
      </c>
      <c r="AK89" s="358"/>
      <c r="AL89" s="358"/>
      <c r="AM89" s="358"/>
      <c r="AN89" s="130" t="s">
        <v>31</v>
      </c>
      <c r="AO89" s="327" t="s">
        <v>30</v>
      </c>
      <c r="AP89" s="380">
        <v>46080</v>
      </c>
      <c r="AQ89" s="384" t="s">
        <v>1721</v>
      </c>
      <c r="AR89" s="358" t="s">
        <v>32</v>
      </c>
      <c r="AS89" s="358">
        <v>19</v>
      </c>
      <c r="AT89" s="384" t="s">
        <v>1721</v>
      </c>
      <c r="AU89" s="380">
        <v>46080</v>
      </c>
      <c r="AV89" s="82" t="s">
        <v>30</v>
      </c>
      <c r="AW89" s="100" t="s">
        <v>30</v>
      </c>
      <c r="AX89" s="100" t="s">
        <v>30</v>
      </c>
      <c r="AY89" s="114" t="s">
        <v>32</v>
      </c>
      <c r="AZ89" s="114" t="s">
        <v>32</v>
      </c>
      <c r="BA89" s="94" t="s">
        <v>30</v>
      </c>
      <c r="BB89" s="94" t="s">
        <v>30</v>
      </c>
      <c r="BC89" s="94" t="s">
        <v>30</v>
      </c>
      <c r="BD89" s="94" t="s">
        <v>30</v>
      </c>
      <c r="BE89" s="94" t="s">
        <v>30</v>
      </c>
      <c r="BF89" s="94" t="s">
        <v>30</v>
      </c>
      <c r="BG89" s="94" t="s">
        <v>30</v>
      </c>
      <c r="BH89" s="114" t="s">
        <v>32</v>
      </c>
      <c r="BI89" s="114" t="s">
        <v>32</v>
      </c>
      <c r="BJ89" s="100" t="s">
        <v>30</v>
      </c>
      <c r="BK89" s="114"/>
      <c r="BL89" s="360" t="s">
        <v>3220</v>
      </c>
      <c r="BM89" s="343"/>
      <c r="BN89" s="343"/>
      <c r="BO89" s="343"/>
      <c r="BP89" s="343"/>
      <c r="BQ89" s="343"/>
      <c r="BR89" s="343"/>
      <c r="BS89" s="139"/>
      <c r="BT89" s="140"/>
      <c r="BU89" s="140"/>
      <c r="BV89" s="140"/>
      <c r="BW89" s="140"/>
      <c r="BZ89">
        <f t="shared" si="3"/>
        <v>1</v>
      </c>
    </row>
    <row r="90" spans="1:78" ht="15.75" hidden="1" customHeight="1">
      <c r="A90" s="35" t="str">
        <f t="shared" si="2"/>
        <v>M079/2646053</v>
      </c>
      <c r="C90" s="358" t="s">
        <v>24</v>
      </c>
      <c r="D90" s="358">
        <v>87</v>
      </c>
      <c r="E90" s="358" t="s">
        <v>3221</v>
      </c>
      <c r="F90" s="358" t="s">
        <v>34</v>
      </c>
      <c r="G90" s="384">
        <v>46053</v>
      </c>
      <c r="H90" s="358" t="s">
        <v>202</v>
      </c>
      <c r="I90" s="358">
        <v>10</v>
      </c>
      <c r="J90" s="359" t="str">
        <f>IFERROR(VLOOKUP($A90,#REF!,3,0),"")</f>
        <v/>
      </c>
      <c r="K90" s="359" t="str">
        <f>IFERROR(VLOOKUP($A90,#REF!,4,0),AF90)</f>
        <v>INT</v>
      </c>
      <c r="L90" s="359" t="str">
        <f>IFERROR(VLOOKUP($A90,#REF!,5,0),"")</f>
        <v/>
      </c>
      <c r="M90" s="359" t="str">
        <f>IFERROR(VLOOKUP($A90,#REF!,7,0),"")</f>
        <v/>
      </c>
      <c r="N90" s="359"/>
      <c r="O90" s="359" t="str">
        <f>IFERROR(VLOOKUP($A90,#REF!,6,0),"")</f>
        <v/>
      </c>
      <c r="P90" s="359" t="str">
        <f>IFERROR(VLOOKUP($A90,#REF!,9,0),"")</f>
        <v/>
      </c>
      <c r="Q90" s="359" t="str">
        <f>IFERROR(VLOOKUP($A90,#REF!,10,0),"")</f>
        <v/>
      </c>
      <c r="R90" s="359" t="str">
        <f>IFERROR(VLOOKUP($A90,#REF!,11,0),"")</f>
        <v/>
      </c>
      <c r="S90" s="359" t="str">
        <f>IFERROR(VLOOKUP($A90,#REF!,13,0),"")</f>
        <v/>
      </c>
      <c r="T90" s="359" t="str">
        <f>IFERROR(VLOOKUP($A90,#REF!,14,0),"")</f>
        <v/>
      </c>
      <c r="U90" s="359" t="str">
        <f>IFERROR(VLOOKUP($A90,#REF!,15,0),"")</f>
        <v/>
      </c>
      <c r="V90" s="359" t="str">
        <f>IFERROR(VLOOKUP($A90,#REF!,16,0),"")</f>
        <v/>
      </c>
      <c r="W90" s="359" t="str">
        <f>IFERROR(VLOOKUP($A90,#REF!,17,0),"")</f>
        <v/>
      </c>
      <c r="X90" s="359" t="str">
        <f>IFERROR(VLOOKUP($A90,#REF!,18,0),"")</f>
        <v/>
      </c>
      <c r="Y90" s="359" t="str">
        <f>IFERROR(VLOOKUP($A90,#REF!,19,0),"")</f>
        <v/>
      </c>
      <c r="Z90" s="400" t="str">
        <f>IFERROR(VLOOKUP($A90,#REF!,21,0),"")</f>
        <v/>
      </c>
      <c r="AA90" s="358"/>
      <c r="AB90" s="358"/>
      <c r="AC90" s="358" t="s">
        <v>127</v>
      </c>
      <c r="AD90" s="358" t="s">
        <v>178</v>
      </c>
      <c r="AE90" s="102"/>
      <c r="AF90" s="141" t="s">
        <v>3077</v>
      </c>
      <c r="AG90" s="358" t="s">
        <v>2119</v>
      </c>
      <c r="AH90" s="358" t="s">
        <v>3210</v>
      </c>
      <c r="AI90" s="358" t="s">
        <v>3222</v>
      </c>
      <c r="AJ90" s="358" t="s">
        <v>2050</v>
      </c>
      <c r="AK90" s="358"/>
      <c r="AL90" s="358"/>
      <c r="AM90" s="358"/>
      <c r="AN90" s="359" t="s">
        <v>32</v>
      </c>
      <c r="AO90" s="380" t="s">
        <v>30</v>
      </c>
      <c r="AP90" s="380">
        <v>46080</v>
      </c>
      <c r="AQ90" s="384" t="s">
        <v>48</v>
      </c>
      <c r="AR90" s="358" t="s">
        <v>32</v>
      </c>
      <c r="AS90" s="358">
        <v>10</v>
      </c>
      <c r="AT90" s="384" t="s">
        <v>48</v>
      </c>
      <c r="AU90" s="380">
        <v>46079</v>
      </c>
      <c r="AV90" s="82" t="s">
        <v>30</v>
      </c>
      <c r="AW90" s="122" t="s">
        <v>30</v>
      </c>
      <c r="AX90" s="122" t="s">
        <v>30</v>
      </c>
      <c r="AY90" s="95" t="s">
        <v>32</v>
      </c>
      <c r="AZ90" s="95" t="s">
        <v>32</v>
      </c>
      <c r="BA90" s="95" t="s">
        <v>32</v>
      </c>
      <c r="BB90" s="100" t="s">
        <v>30</v>
      </c>
      <c r="BC90" s="100" t="s">
        <v>30</v>
      </c>
      <c r="BD90" s="100" t="s">
        <v>30</v>
      </c>
      <c r="BE90" s="100" t="s">
        <v>30</v>
      </c>
      <c r="BF90" s="94" t="s">
        <v>30</v>
      </c>
      <c r="BG90" s="94" t="s">
        <v>30</v>
      </c>
      <c r="BH90" s="111" t="s">
        <v>30</v>
      </c>
      <c r="BI90" s="111" t="s">
        <v>30</v>
      </c>
      <c r="BJ90" s="111" t="s">
        <v>30</v>
      </c>
      <c r="BK90" s="114"/>
      <c r="BL90" s="360"/>
      <c r="BN90" s="412"/>
      <c r="BO90" s="412"/>
      <c r="BP90" s="412"/>
      <c r="BQ90" s="412"/>
      <c r="BR90" s="412"/>
      <c r="BS90"/>
      <c r="BT90"/>
      <c r="BU90"/>
      <c r="BV90"/>
      <c r="BW90" s="109"/>
      <c r="BZ90">
        <f t="shared" si="3"/>
        <v>1</v>
      </c>
    </row>
    <row r="91" spans="1:78" ht="15.75" hidden="1" customHeight="1">
      <c r="A91" s="35" t="str">
        <f t="shared" si="2"/>
        <v>M076/2646053</v>
      </c>
      <c r="C91" s="358" t="s">
        <v>24</v>
      </c>
      <c r="D91" s="358">
        <v>88</v>
      </c>
      <c r="E91" s="358" t="s">
        <v>3223</v>
      </c>
      <c r="F91" s="358" t="s">
        <v>34</v>
      </c>
      <c r="G91" s="384">
        <v>46053</v>
      </c>
      <c r="H91" s="358" t="s">
        <v>439</v>
      </c>
      <c r="I91" s="358">
        <v>12</v>
      </c>
      <c r="J91" s="359" t="str">
        <f>IFERROR(VLOOKUP($A91,#REF!,3,0),"")</f>
        <v/>
      </c>
      <c r="K91" s="359" t="str">
        <f>IFERROR(VLOOKUP($A91,#REF!,4,0),AF91)</f>
        <v>INT</v>
      </c>
      <c r="L91" s="359" t="str">
        <f>IFERROR(VLOOKUP($A91,#REF!,5,0),"")</f>
        <v/>
      </c>
      <c r="M91" s="359" t="str">
        <f>IFERROR(VLOOKUP($A91,#REF!,7,0),"")</f>
        <v/>
      </c>
      <c r="N91" s="359"/>
      <c r="O91" s="359" t="str">
        <f>IFERROR(VLOOKUP($A91,#REF!,6,0),"")</f>
        <v/>
      </c>
      <c r="P91" s="359" t="str">
        <f>IFERROR(VLOOKUP($A91,#REF!,9,0),"")</f>
        <v/>
      </c>
      <c r="Q91" s="359" t="str">
        <f>IFERROR(VLOOKUP($A91,#REF!,10,0),"")</f>
        <v/>
      </c>
      <c r="R91" s="359" t="str">
        <f>IFERROR(VLOOKUP($A91,#REF!,11,0),"")</f>
        <v/>
      </c>
      <c r="S91" s="359" t="str">
        <f>IFERROR(VLOOKUP($A91,#REF!,13,0),"")</f>
        <v/>
      </c>
      <c r="T91" s="359" t="str">
        <f>IFERROR(VLOOKUP($A91,#REF!,14,0),"")</f>
        <v/>
      </c>
      <c r="U91" s="359" t="str">
        <f>IFERROR(VLOOKUP($A91,#REF!,15,0),"")</f>
        <v/>
      </c>
      <c r="V91" s="359" t="str">
        <f>IFERROR(VLOOKUP($A91,#REF!,16,0),"")</f>
        <v/>
      </c>
      <c r="W91" s="359" t="str">
        <f>IFERROR(VLOOKUP($A91,#REF!,17,0),"")</f>
        <v/>
      </c>
      <c r="X91" s="359" t="str">
        <f>IFERROR(VLOOKUP($A91,#REF!,18,0),"")</f>
        <v/>
      </c>
      <c r="Y91" s="359" t="str">
        <f>IFERROR(VLOOKUP($A91,#REF!,19,0),"")</f>
        <v/>
      </c>
      <c r="Z91" s="400" t="str">
        <f>IFERROR(VLOOKUP($A91,#REF!,21,0),"")</f>
        <v/>
      </c>
      <c r="AA91" s="358"/>
      <c r="AB91" s="358"/>
      <c r="AC91" s="358" t="s">
        <v>127</v>
      </c>
      <c r="AD91" s="358" t="s">
        <v>178</v>
      </c>
      <c r="AE91" s="102"/>
      <c r="AF91" s="141" t="s">
        <v>3077</v>
      </c>
      <c r="AG91" s="358" t="s">
        <v>2316</v>
      </c>
      <c r="AH91" s="358" t="s">
        <v>3210</v>
      </c>
      <c r="AI91" s="358" t="s">
        <v>3217</v>
      </c>
      <c r="AJ91" s="358" t="s">
        <v>2050</v>
      </c>
      <c r="AK91" s="358"/>
      <c r="AL91" s="358"/>
      <c r="AM91" s="358"/>
      <c r="AN91" s="359" t="s">
        <v>32</v>
      </c>
      <c r="AO91" s="380" t="s">
        <v>30</v>
      </c>
      <c r="AP91" s="380">
        <v>46079</v>
      </c>
      <c r="AQ91" s="384" t="s">
        <v>48</v>
      </c>
      <c r="AR91" s="358" t="s">
        <v>32</v>
      </c>
      <c r="AS91" s="358">
        <v>12</v>
      </c>
      <c r="AT91" s="384" t="s">
        <v>48</v>
      </c>
      <c r="AU91" s="380">
        <v>46079</v>
      </c>
      <c r="AV91" s="100" t="s">
        <v>30</v>
      </c>
      <c r="AW91" s="100" t="s">
        <v>30</v>
      </c>
      <c r="AX91" s="100" t="s">
        <v>30</v>
      </c>
      <c r="AY91" s="95" t="s">
        <v>32</v>
      </c>
      <c r="AZ91" s="95" t="s">
        <v>32</v>
      </c>
      <c r="BA91" s="95" t="s">
        <v>32</v>
      </c>
      <c r="BB91" s="100" t="s">
        <v>30</v>
      </c>
      <c r="BC91" s="100" t="s">
        <v>30</v>
      </c>
      <c r="BD91" s="100" t="s">
        <v>30</v>
      </c>
      <c r="BE91" s="100" t="s">
        <v>30</v>
      </c>
      <c r="BF91" s="100" t="s">
        <v>30</v>
      </c>
      <c r="BG91" s="114"/>
      <c r="BH91" s="111" t="s">
        <v>30</v>
      </c>
      <c r="BI91" s="111" t="s">
        <v>30</v>
      </c>
      <c r="BJ91" s="100" t="s">
        <v>30</v>
      </c>
      <c r="BK91" s="114"/>
      <c r="BL91" s="360" t="s">
        <v>3094</v>
      </c>
      <c r="BN91"/>
      <c r="BO91"/>
      <c r="BP91"/>
      <c r="BQ91"/>
      <c r="BR91"/>
      <c r="BS91" s="72"/>
      <c r="BW91" s="109"/>
      <c r="BZ91">
        <f t="shared" si="3"/>
        <v>1</v>
      </c>
    </row>
    <row r="92" spans="1:78" ht="15.6" hidden="1" customHeight="1">
      <c r="A92" s="35" t="str">
        <f t="shared" si="2"/>
        <v>M056/2646053</v>
      </c>
      <c r="C92" s="358" t="s">
        <v>24</v>
      </c>
      <c r="D92" s="358">
        <v>89</v>
      </c>
      <c r="E92" s="358" t="s">
        <v>3224</v>
      </c>
      <c r="F92" s="358" t="s">
        <v>234</v>
      </c>
      <c r="G92" s="384">
        <v>46053</v>
      </c>
      <c r="H92" s="358" t="s">
        <v>2179</v>
      </c>
      <c r="I92" s="358">
        <v>12</v>
      </c>
      <c r="J92" s="359" t="str">
        <f>IFERROR(VLOOKUP($A92,#REF!,3,0),"")</f>
        <v/>
      </c>
      <c r="K92" s="359" t="str">
        <f>IFERROR(VLOOKUP($A92,#REF!,4,0),AF92)</f>
        <v>INT</v>
      </c>
      <c r="L92" s="359" t="str">
        <f>IFERROR(VLOOKUP($A92,#REF!,5,0),"")</f>
        <v/>
      </c>
      <c r="M92" s="359" t="str">
        <f>IFERROR(VLOOKUP($A92,#REF!,7,0),"")</f>
        <v/>
      </c>
      <c r="N92" s="359"/>
      <c r="O92" s="359" t="str">
        <f>IFERROR(VLOOKUP($A92,#REF!,6,0),"")</f>
        <v/>
      </c>
      <c r="P92" s="359" t="str">
        <f>IFERROR(VLOOKUP($A92,#REF!,9,0),"")</f>
        <v/>
      </c>
      <c r="Q92" s="359" t="str">
        <f>IFERROR(VLOOKUP($A92,#REF!,10,0),"")</f>
        <v/>
      </c>
      <c r="R92" s="359" t="str">
        <f>IFERROR(VLOOKUP($A92,#REF!,11,0),"")</f>
        <v/>
      </c>
      <c r="S92" s="359" t="str">
        <f>IFERROR(VLOOKUP($A92,#REF!,13,0),"")</f>
        <v/>
      </c>
      <c r="T92" s="359" t="str">
        <f>IFERROR(VLOOKUP($A92,#REF!,14,0),"")</f>
        <v/>
      </c>
      <c r="U92" s="359" t="str">
        <f>IFERROR(VLOOKUP($A92,#REF!,15,0),"")</f>
        <v/>
      </c>
      <c r="V92" s="359" t="str">
        <f>IFERROR(VLOOKUP($A92,#REF!,16,0),"")</f>
        <v/>
      </c>
      <c r="W92" s="359" t="str">
        <f>IFERROR(VLOOKUP($A92,#REF!,17,0),"")</f>
        <v/>
      </c>
      <c r="X92" s="359" t="str">
        <f>IFERROR(VLOOKUP($A92,#REF!,18,0),"")</f>
        <v/>
      </c>
      <c r="Y92" s="359" t="str">
        <f>IFERROR(VLOOKUP($A92,#REF!,19,0),"")</f>
        <v/>
      </c>
      <c r="Z92" s="400" t="str">
        <f>IFERROR(VLOOKUP($A92,#REF!,21,0),"")</f>
        <v/>
      </c>
      <c r="AA92" s="358"/>
      <c r="AB92" s="358"/>
      <c r="AC92" s="358" t="s">
        <v>127</v>
      </c>
      <c r="AD92" s="358" t="s">
        <v>178</v>
      </c>
      <c r="AE92" s="102"/>
      <c r="AF92" s="141" t="s">
        <v>3077</v>
      </c>
      <c r="AG92" s="358" t="s">
        <v>2085</v>
      </c>
      <c r="AH92" s="358" t="s">
        <v>3210</v>
      </c>
      <c r="AI92" s="358" t="s">
        <v>3210</v>
      </c>
      <c r="AJ92" s="358" t="s">
        <v>2050</v>
      </c>
      <c r="AK92" s="358"/>
      <c r="AL92" s="358"/>
      <c r="AM92" s="358"/>
      <c r="AN92" s="359" t="s">
        <v>32</v>
      </c>
      <c r="AO92" s="380" t="s">
        <v>30</v>
      </c>
      <c r="AP92" s="380">
        <v>46080</v>
      </c>
      <c r="AQ92" s="384" t="s">
        <v>48</v>
      </c>
      <c r="AR92" s="358" t="s">
        <v>32</v>
      </c>
      <c r="AS92" s="358">
        <v>12</v>
      </c>
      <c r="AT92" s="384" t="s">
        <v>48</v>
      </c>
      <c r="AU92" s="380">
        <v>46080</v>
      </c>
      <c r="AV92" s="82" t="s">
        <v>30</v>
      </c>
      <c r="AW92" s="100" t="s">
        <v>30</v>
      </c>
      <c r="AX92" s="100" t="s">
        <v>30</v>
      </c>
      <c r="AY92" s="100" t="s">
        <v>30</v>
      </c>
      <c r="AZ92" s="100" t="s">
        <v>30</v>
      </c>
      <c r="BA92" s="100" t="s">
        <v>30</v>
      </c>
      <c r="BB92" s="100" t="s">
        <v>30</v>
      </c>
      <c r="BC92" s="100" t="s">
        <v>30</v>
      </c>
      <c r="BD92" s="100" t="s">
        <v>30</v>
      </c>
      <c r="BE92" s="95" t="s">
        <v>32</v>
      </c>
      <c r="BF92" s="100" t="s">
        <v>30</v>
      </c>
      <c r="BG92" s="100" t="s">
        <v>30</v>
      </c>
      <c r="BH92" s="100" t="s">
        <v>30</v>
      </c>
      <c r="BI92" s="100" t="s">
        <v>30</v>
      </c>
      <c r="BJ92" s="100" t="s">
        <v>30</v>
      </c>
      <c r="BK92" s="114"/>
      <c r="BL92" s="360" t="s">
        <v>3080</v>
      </c>
      <c r="BM92" s="343"/>
      <c r="BN92" s="343"/>
      <c r="BO92" s="343"/>
      <c r="BP92" s="343"/>
      <c r="BQ92" s="343"/>
      <c r="BR92" s="343"/>
      <c r="BS92" s="139"/>
      <c r="BT92" s="140"/>
      <c r="BU92" s="140"/>
      <c r="BV92" s="140"/>
      <c r="BW92" s="140"/>
      <c r="BZ92">
        <f t="shared" si="3"/>
        <v>1</v>
      </c>
    </row>
    <row r="93" spans="1:78" ht="15.6" hidden="1" customHeight="1">
      <c r="A93" s="35" t="str">
        <f t="shared" si="2"/>
        <v>M096/2646053</v>
      </c>
      <c r="C93" s="358" t="s">
        <v>24</v>
      </c>
      <c r="D93" s="358">
        <v>90</v>
      </c>
      <c r="E93" s="358" t="s">
        <v>3225</v>
      </c>
      <c r="F93" s="358" t="s">
        <v>34</v>
      </c>
      <c r="G93" s="384">
        <v>46053</v>
      </c>
      <c r="H93" s="358" t="s">
        <v>439</v>
      </c>
      <c r="I93" s="358">
        <v>8</v>
      </c>
      <c r="J93" s="359" t="str">
        <f>IFERROR(VLOOKUP($A93,#REF!,3,0),"")</f>
        <v/>
      </c>
      <c r="K93" s="359" t="str">
        <f>IFERROR(VLOOKUP($A93,#REF!,4,0),AF93)</f>
        <v>INT</v>
      </c>
      <c r="L93" s="359" t="str">
        <f>IFERROR(VLOOKUP($A93,#REF!,5,0),"")</f>
        <v/>
      </c>
      <c r="M93" s="359" t="str">
        <f>IFERROR(VLOOKUP($A93,#REF!,7,0),"")</f>
        <v/>
      </c>
      <c r="N93" s="359"/>
      <c r="O93" s="359" t="str">
        <f>IFERROR(VLOOKUP($A93,#REF!,6,0),"")</f>
        <v/>
      </c>
      <c r="P93" s="359" t="str">
        <f>IFERROR(VLOOKUP($A93,#REF!,9,0),"")</f>
        <v/>
      </c>
      <c r="Q93" s="359" t="str">
        <f>IFERROR(VLOOKUP($A93,#REF!,10,0),"")</f>
        <v/>
      </c>
      <c r="R93" s="359" t="str">
        <f>IFERROR(VLOOKUP($A93,#REF!,11,0),"")</f>
        <v/>
      </c>
      <c r="S93" s="359" t="str">
        <f>IFERROR(VLOOKUP($A93,#REF!,13,0),"")</f>
        <v/>
      </c>
      <c r="T93" s="359" t="str">
        <f>IFERROR(VLOOKUP($A93,#REF!,14,0),"")</f>
        <v/>
      </c>
      <c r="U93" s="359" t="str">
        <f>IFERROR(VLOOKUP($A93,#REF!,15,0),"")</f>
        <v/>
      </c>
      <c r="V93" s="359" t="str">
        <f>IFERROR(VLOOKUP($A93,#REF!,16,0),"")</f>
        <v/>
      </c>
      <c r="W93" s="359" t="str">
        <f>IFERROR(VLOOKUP($A93,#REF!,17,0),"")</f>
        <v/>
      </c>
      <c r="X93" s="359" t="str">
        <f>IFERROR(VLOOKUP($A93,#REF!,18,0),"")</f>
        <v/>
      </c>
      <c r="Y93" s="359" t="str">
        <f>IFERROR(VLOOKUP($A93,#REF!,19,0),"")</f>
        <v/>
      </c>
      <c r="Z93" s="400" t="str">
        <f>IFERROR(VLOOKUP($A93,#REF!,21,0),"")</f>
        <v/>
      </c>
      <c r="AA93" s="358"/>
      <c r="AB93" s="358"/>
      <c r="AC93" s="359" t="s">
        <v>127</v>
      </c>
      <c r="AD93" s="358" t="s">
        <v>178</v>
      </c>
      <c r="AE93" s="102"/>
      <c r="AF93" s="141" t="s">
        <v>3077</v>
      </c>
      <c r="AG93" s="358" t="s">
        <v>2180</v>
      </c>
      <c r="AH93" s="358" t="s">
        <v>3210</v>
      </c>
      <c r="AI93" s="358" t="s">
        <v>3217</v>
      </c>
      <c r="AJ93" s="358" t="s">
        <v>2804</v>
      </c>
      <c r="AK93" s="358"/>
      <c r="AL93" s="358"/>
      <c r="AM93" s="358"/>
      <c r="AN93" s="359" t="s">
        <v>32</v>
      </c>
      <c r="AO93" s="380" t="s">
        <v>30</v>
      </c>
      <c r="AP93" s="380">
        <v>46080</v>
      </c>
      <c r="AQ93" s="384" t="s">
        <v>48</v>
      </c>
      <c r="AR93" s="358" t="s">
        <v>32</v>
      </c>
      <c r="AS93" s="358">
        <v>8</v>
      </c>
      <c r="AT93" s="384" t="s">
        <v>48</v>
      </c>
      <c r="AU93" s="380">
        <v>46080</v>
      </c>
      <c r="AV93" s="82" t="s">
        <v>30</v>
      </c>
      <c r="AW93" s="82" t="s">
        <v>30</v>
      </c>
      <c r="AX93" s="82" t="s">
        <v>30</v>
      </c>
      <c r="AY93" s="95" t="s">
        <v>32</v>
      </c>
      <c r="AZ93" s="95" t="s">
        <v>32</v>
      </c>
      <c r="BA93" s="95" t="s">
        <v>32</v>
      </c>
      <c r="BB93" s="100" t="s">
        <v>30</v>
      </c>
      <c r="BC93" s="100" t="s">
        <v>30</v>
      </c>
      <c r="BD93" s="100" t="s">
        <v>30</v>
      </c>
      <c r="BE93" s="100" t="s">
        <v>30</v>
      </c>
      <c r="BF93" s="100" t="s">
        <v>30</v>
      </c>
      <c r="BG93" s="100" t="s">
        <v>30</v>
      </c>
      <c r="BH93" s="100" t="s">
        <v>30</v>
      </c>
      <c r="BI93" s="100" t="s">
        <v>30</v>
      </c>
      <c r="BJ93" s="111" t="s">
        <v>30</v>
      </c>
      <c r="BK93" s="114"/>
      <c r="BL93" s="360"/>
      <c r="BN93" s="412"/>
      <c r="BO93" s="412"/>
      <c r="BP93" s="412"/>
      <c r="BQ93" s="412"/>
      <c r="BR93" s="412"/>
      <c r="BS93"/>
      <c r="BT93"/>
      <c r="BU93"/>
      <c r="BV93"/>
      <c r="BW93" s="109"/>
      <c r="BZ93">
        <f t="shared" si="3"/>
        <v>1</v>
      </c>
    </row>
    <row r="94" spans="1:78" ht="15.6" hidden="1" customHeight="1">
      <c r="A94" s="35" t="str">
        <f t="shared" si="2"/>
        <v>044/2646053</v>
      </c>
      <c r="C94" s="358" t="s">
        <v>24</v>
      </c>
      <c r="D94" s="358">
        <v>91</v>
      </c>
      <c r="E94" s="358" t="s">
        <v>3226</v>
      </c>
      <c r="F94" s="358" t="s">
        <v>34</v>
      </c>
      <c r="G94" s="384">
        <v>46053</v>
      </c>
      <c r="H94" s="358" t="s">
        <v>401</v>
      </c>
      <c r="I94" s="358">
        <v>9</v>
      </c>
      <c r="J94" s="359" t="str">
        <f>IFERROR(VLOOKUP($A94,#REF!,3,0),"")</f>
        <v/>
      </c>
      <c r="K94" s="359" t="str">
        <f>IFERROR(VLOOKUP($A94,#REF!,4,0),AF94)</f>
        <v>INT</v>
      </c>
      <c r="L94" s="359" t="str">
        <f>IFERROR(VLOOKUP($A94,#REF!,5,0),"")</f>
        <v/>
      </c>
      <c r="M94" s="359" t="str">
        <f>IFERROR(VLOOKUP($A94,#REF!,7,0),"")</f>
        <v/>
      </c>
      <c r="N94" s="359"/>
      <c r="O94" s="359" t="str">
        <f>IFERROR(VLOOKUP($A94,#REF!,6,0),"")</f>
        <v/>
      </c>
      <c r="P94" s="359" t="str">
        <f>IFERROR(VLOOKUP($A94,#REF!,9,0),"")</f>
        <v/>
      </c>
      <c r="Q94" s="359" t="str">
        <f>IFERROR(VLOOKUP($A94,#REF!,10,0),"")</f>
        <v/>
      </c>
      <c r="R94" s="359" t="str">
        <f>IFERROR(VLOOKUP($A94,#REF!,11,0),"")</f>
        <v/>
      </c>
      <c r="S94" s="359" t="str">
        <f>IFERROR(VLOOKUP($A94,#REF!,13,0),"")</f>
        <v/>
      </c>
      <c r="T94" s="359" t="str">
        <f>IFERROR(VLOOKUP($A94,#REF!,14,0),"")</f>
        <v/>
      </c>
      <c r="U94" s="359" t="str">
        <f>IFERROR(VLOOKUP($A94,#REF!,15,0),"")</f>
        <v/>
      </c>
      <c r="V94" s="359" t="str">
        <f>IFERROR(VLOOKUP($A94,#REF!,16,0),"")</f>
        <v/>
      </c>
      <c r="W94" s="359" t="str">
        <f>IFERROR(VLOOKUP($A94,#REF!,17,0),"")</f>
        <v/>
      </c>
      <c r="X94" s="359" t="str">
        <f>IFERROR(VLOOKUP($A94,#REF!,18,0),"")</f>
        <v/>
      </c>
      <c r="Y94" s="359" t="str">
        <f>IFERROR(VLOOKUP($A94,#REF!,19,0),"")</f>
        <v/>
      </c>
      <c r="Z94" s="400" t="str">
        <f>IFERROR(VLOOKUP($A94,#REF!,21,0),"")</f>
        <v/>
      </c>
      <c r="AA94" s="358"/>
      <c r="AB94" s="358"/>
      <c r="AC94" s="359" t="s">
        <v>127</v>
      </c>
      <c r="AD94" s="358" t="s">
        <v>178</v>
      </c>
      <c r="AE94" s="102"/>
      <c r="AF94" s="141" t="s">
        <v>3077</v>
      </c>
      <c r="AG94" s="358" t="s">
        <v>2180</v>
      </c>
      <c r="AH94" s="358" t="s">
        <v>401</v>
      </c>
      <c r="AI94" s="358" t="s">
        <v>401</v>
      </c>
      <c r="AJ94" s="358" t="s">
        <v>401</v>
      </c>
      <c r="AK94" s="358"/>
      <c r="AL94" s="358"/>
      <c r="AM94" s="358"/>
      <c r="AN94" s="359" t="s">
        <v>32</v>
      </c>
      <c r="AO94" s="380" t="s">
        <v>30</v>
      </c>
      <c r="AP94" s="380">
        <v>46080</v>
      </c>
      <c r="AQ94" s="384" t="s">
        <v>48</v>
      </c>
      <c r="AR94" s="358" t="s">
        <v>32</v>
      </c>
      <c r="AS94" s="358">
        <v>9</v>
      </c>
      <c r="AT94" s="384" t="s">
        <v>48</v>
      </c>
      <c r="AU94" s="380">
        <v>46080</v>
      </c>
      <c r="AV94" s="82" t="s">
        <v>30</v>
      </c>
      <c r="AW94" s="82" t="s">
        <v>30</v>
      </c>
      <c r="AX94" s="82" t="s">
        <v>30</v>
      </c>
      <c r="AY94" s="95" t="s">
        <v>32</v>
      </c>
      <c r="AZ94" s="95" t="s">
        <v>32</v>
      </c>
      <c r="BA94" s="95" t="s">
        <v>32</v>
      </c>
      <c r="BB94" s="100" t="s">
        <v>30</v>
      </c>
      <c r="BC94" s="100" t="s">
        <v>30</v>
      </c>
      <c r="BD94" s="100" t="s">
        <v>30</v>
      </c>
      <c r="BE94" s="100" t="s">
        <v>30</v>
      </c>
      <c r="BF94" s="100" t="s">
        <v>30</v>
      </c>
      <c r="BG94" s="100" t="s">
        <v>30</v>
      </c>
      <c r="BH94" s="100" t="s">
        <v>30</v>
      </c>
      <c r="BI94" s="100" t="s">
        <v>30</v>
      </c>
      <c r="BJ94" s="111" t="s">
        <v>30</v>
      </c>
      <c r="BK94" s="114"/>
      <c r="BL94" s="360"/>
      <c r="BM94" s="6"/>
      <c r="BN94" s="6"/>
      <c r="BO94" s="6"/>
      <c r="BP94" s="6"/>
      <c r="BQ94" s="6"/>
      <c r="BR94" s="6"/>
      <c r="BS94" s="108"/>
      <c r="BT94" s="109"/>
      <c r="BU94" s="109"/>
      <c r="BV94" s="109"/>
      <c r="BW94" s="109"/>
      <c r="BZ94">
        <f t="shared" si="3"/>
        <v>1</v>
      </c>
    </row>
    <row r="95" spans="1:78" ht="15.6" hidden="1" customHeight="1">
      <c r="A95" s="35" t="str">
        <f t="shared" si="2"/>
        <v>045/2646053</v>
      </c>
      <c r="C95" s="358" t="s">
        <v>24</v>
      </c>
      <c r="D95" s="358">
        <v>92</v>
      </c>
      <c r="E95" s="358" t="s">
        <v>3227</v>
      </c>
      <c r="F95" s="358" t="s">
        <v>259</v>
      </c>
      <c r="G95" s="384">
        <v>46053</v>
      </c>
      <c r="H95" s="358" t="s">
        <v>117</v>
      </c>
      <c r="I95" s="358">
        <v>12</v>
      </c>
      <c r="J95" s="359" t="str">
        <f>IFERROR(VLOOKUP($A95,#REF!,3,0),"")</f>
        <v/>
      </c>
      <c r="K95" s="359" t="str">
        <f>IFERROR(VLOOKUP($A95,#REF!,4,0),AF95)</f>
        <v>INT</v>
      </c>
      <c r="L95" s="359" t="str">
        <f>IFERROR(VLOOKUP($A95,#REF!,5,0),"")</f>
        <v/>
      </c>
      <c r="M95" s="359" t="str">
        <f>IFERROR(VLOOKUP($A95,#REF!,7,0),"")</f>
        <v/>
      </c>
      <c r="N95" s="359"/>
      <c r="O95" s="359" t="str">
        <f>IFERROR(VLOOKUP($A95,#REF!,6,0),"")</f>
        <v/>
      </c>
      <c r="P95" s="359" t="str">
        <f>IFERROR(VLOOKUP($A95,#REF!,9,0),"")</f>
        <v/>
      </c>
      <c r="Q95" s="359" t="str">
        <f>IFERROR(VLOOKUP($A95,#REF!,10,0),"")</f>
        <v/>
      </c>
      <c r="R95" s="359" t="str">
        <f>IFERROR(VLOOKUP($A95,#REF!,11,0),"")</f>
        <v/>
      </c>
      <c r="S95" s="359" t="str">
        <f>IFERROR(VLOOKUP($A95,#REF!,13,0),"")</f>
        <v/>
      </c>
      <c r="T95" s="359" t="str">
        <f>IFERROR(VLOOKUP($A95,#REF!,14,0),"")</f>
        <v/>
      </c>
      <c r="U95" s="359" t="str">
        <f>IFERROR(VLOOKUP($A95,#REF!,15,0),"")</f>
        <v/>
      </c>
      <c r="V95" s="359" t="str">
        <f>IFERROR(VLOOKUP($A95,#REF!,16,0),"")</f>
        <v/>
      </c>
      <c r="W95" s="359" t="str">
        <f>IFERROR(VLOOKUP($A95,#REF!,17,0),"")</f>
        <v/>
      </c>
      <c r="X95" s="359" t="str">
        <f>IFERROR(VLOOKUP($A95,#REF!,18,0),"")</f>
        <v/>
      </c>
      <c r="Y95" s="359" t="str">
        <f>IFERROR(VLOOKUP($A95,#REF!,19,0),"")</f>
        <v/>
      </c>
      <c r="Z95" s="400" t="str">
        <f>IFERROR(VLOOKUP($A95,#REF!,21,0),"")</f>
        <v/>
      </c>
      <c r="AA95" s="358"/>
      <c r="AB95" s="358"/>
      <c r="AC95" s="359" t="s">
        <v>1721</v>
      </c>
      <c r="AD95" s="358" t="s">
        <v>1638</v>
      </c>
      <c r="AE95" s="102" t="s">
        <v>3115</v>
      </c>
      <c r="AF95" s="141" t="s">
        <v>3077</v>
      </c>
      <c r="AG95" s="358" t="s">
        <v>2123</v>
      </c>
      <c r="AH95" s="358" t="s">
        <v>3210</v>
      </c>
      <c r="AI95" s="358" t="s">
        <v>3210</v>
      </c>
      <c r="AJ95" s="358" t="s">
        <v>2050</v>
      </c>
      <c r="AK95" s="358"/>
      <c r="AL95" s="358"/>
      <c r="AM95" s="358"/>
      <c r="AN95" s="359" t="s">
        <v>32</v>
      </c>
      <c r="AO95" s="117"/>
      <c r="AP95" s="380"/>
      <c r="AQ95" s="384" t="s">
        <v>1138</v>
      </c>
      <c r="AR95" s="358" t="s">
        <v>30</v>
      </c>
      <c r="AS95" s="358">
        <v>12</v>
      </c>
      <c r="AT95" s="384" t="s">
        <v>1138</v>
      </c>
      <c r="AU95" s="380"/>
      <c r="AV95" s="82" t="s">
        <v>30</v>
      </c>
      <c r="AW95" s="82" t="s">
        <v>30</v>
      </c>
      <c r="AX95" s="82" t="s">
        <v>30</v>
      </c>
      <c r="AY95" s="82" t="s">
        <v>30</v>
      </c>
      <c r="AZ95" s="82" t="s">
        <v>30</v>
      </c>
      <c r="BA95" s="82" t="s">
        <v>30</v>
      </c>
      <c r="BB95" s="82" t="s">
        <v>30</v>
      </c>
      <c r="BC95" s="95" t="s">
        <v>32</v>
      </c>
      <c r="BD95" s="82" t="s">
        <v>30</v>
      </c>
      <c r="BE95" s="95" t="s">
        <v>32</v>
      </c>
      <c r="BF95" s="95" t="s">
        <v>32</v>
      </c>
      <c r="BG95" s="100" t="s">
        <v>30</v>
      </c>
      <c r="BH95" s="82" t="s">
        <v>30</v>
      </c>
      <c r="BI95" s="82" t="s">
        <v>30</v>
      </c>
      <c r="BJ95" s="82" t="s">
        <v>30</v>
      </c>
      <c r="BK95" s="114"/>
      <c r="BL95" s="360" t="s">
        <v>3094</v>
      </c>
      <c r="BM95" s="6"/>
      <c r="BN95" s="6"/>
      <c r="BO95" s="6"/>
      <c r="BP95" s="6"/>
      <c r="BQ95" s="6"/>
      <c r="BR95" s="6"/>
      <c r="BS95" s="108"/>
      <c r="BT95" s="109"/>
      <c r="BU95" s="109"/>
      <c r="BV95" s="109"/>
      <c r="BW95" s="109"/>
      <c r="BZ95">
        <f t="shared" si="3"/>
        <v>1</v>
      </c>
    </row>
    <row r="96" spans="1:78" ht="15.6" hidden="1" customHeight="1">
      <c r="A96" s="35" t="str">
        <f t="shared" si="2"/>
        <v>M022/2646053</v>
      </c>
      <c r="C96" s="358" t="s">
        <v>24</v>
      </c>
      <c r="D96" s="358">
        <v>93</v>
      </c>
      <c r="E96" s="358" t="s">
        <v>3228</v>
      </c>
      <c r="F96" s="358" t="s">
        <v>102</v>
      </c>
      <c r="G96" s="384">
        <v>46053</v>
      </c>
      <c r="H96" s="358" t="s">
        <v>35</v>
      </c>
      <c r="I96" s="358">
        <v>15</v>
      </c>
      <c r="J96" s="359" t="str">
        <f>IFERROR(VLOOKUP($A96,#REF!,3,0),"")</f>
        <v/>
      </c>
      <c r="K96" s="359" t="str">
        <f>IFERROR(VLOOKUP($A96,#REF!,4,0),AF96)</f>
        <v>INT</v>
      </c>
      <c r="L96" s="359" t="str">
        <f>IFERROR(VLOOKUP($A96,#REF!,5,0),"")</f>
        <v/>
      </c>
      <c r="M96" s="359" t="str">
        <f>IFERROR(VLOOKUP($A96,#REF!,7,0),"")</f>
        <v/>
      </c>
      <c r="N96" s="359"/>
      <c r="O96" s="359" t="str">
        <f>IFERROR(VLOOKUP($A96,#REF!,6,0),"")</f>
        <v/>
      </c>
      <c r="P96" s="359" t="str">
        <f>IFERROR(VLOOKUP($A96,#REF!,9,0),"")</f>
        <v/>
      </c>
      <c r="Q96" s="359" t="str">
        <f>IFERROR(VLOOKUP($A96,#REF!,10,0),"")</f>
        <v/>
      </c>
      <c r="R96" s="359" t="str">
        <f>IFERROR(VLOOKUP($A96,#REF!,11,0),"")</f>
        <v/>
      </c>
      <c r="S96" s="359" t="str">
        <f>IFERROR(VLOOKUP($A96,#REF!,13,0),"")</f>
        <v/>
      </c>
      <c r="T96" s="359" t="str">
        <f>IFERROR(VLOOKUP($A96,#REF!,14,0),"")</f>
        <v/>
      </c>
      <c r="U96" s="359" t="str">
        <f>IFERROR(VLOOKUP($A96,#REF!,15,0),"")</f>
        <v/>
      </c>
      <c r="V96" s="359" t="str">
        <f>IFERROR(VLOOKUP($A96,#REF!,16,0),"")</f>
        <v/>
      </c>
      <c r="W96" s="359" t="str">
        <f>IFERROR(VLOOKUP($A96,#REF!,17,0),"")</f>
        <v/>
      </c>
      <c r="X96" s="359" t="str">
        <f>IFERROR(VLOOKUP($A96,#REF!,18,0),"")</f>
        <v/>
      </c>
      <c r="Y96" s="359" t="str">
        <f>IFERROR(VLOOKUP($A96,#REF!,19,0),"")</f>
        <v/>
      </c>
      <c r="Z96" s="400" t="str">
        <f>IFERROR(VLOOKUP($A96,#REF!,21,0),"")</f>
        <v/>
      </c>
      <c r="AA96" s="358"/>
      <c r="AB96" s="358"/>
      <c r="AC96" s="359" t="s">
        <v>1721</v>
      </c>
      <c r="AD96" s="358" t="s">
        <v>1638</v>
      </c>
      <c r="AE96" s="102"/>
      <c r="AF96" s="141" t="s">
        <v>3077</v>
      </c>
      <c r="AG96" s="358" t="s">
        <v>2102</v>
      </c>
      <c r="AH96" s="358" t="s">
        <v>3210</v>
      </c>
      <c r="AI96" s="358" t="s">
        <v>3217</v>
      </c>
      <c r="AJ96" s="358" t="s">
        <v>2083</v>
      </c>
      <c r="AK96" s="358"/>
      <c r="AL96" s="358"/>
      <c r="AM96" s="358"/>
      <c r="AN96" s="130" t="s">
        <v>31</v>
      </c>
      <c r="AO96" s="327" t="s">
        <v>30</v>
      </c>
      <c r="AP96" s="380">
        <v>46080</v>
      </c>
      <c r="AQ96" s="384" t="s">
        <v>1721</v>
      </c>
      <c r="AR96" s="358" t="s">
        <v>32</v>
      </c>
      <c r="AS96" s="358">
        <v>15</v>
      </c>
      <c r="AT96" s="384" t="s">
        <v>1721</v>
      </c>
      <c r="AU96" s="380">
        <v>46080</v>
      </c>
      <c r="AV96" s="82" t="s">
        <v>30</v>
      </c>
      <c r="AW96" s="82" t="s">
        <v>30</v>
      </c>
      <c r="AX96" s="82" t="s">
        <v>30</v>
      </c>
      <c r="AY96" s="82" t="s">
        <v>30</v>
      </c>
      <c r="AZ96" s="82" t="s">
        <v>30</v>
      </c>
      <c r="BA96" s="82" t="s">
        <v>30</v>
      </c>
      <c r="BB96" s="82" t="s">
        <v>30</v>
      </c>
      <c r="BC96" s="82" t="s">
        <v>30</v>
      </c>
      <c r="BD96" s="82" t="s">
        <v>30</v>
      </c>
      <c r="BE96" s="95" t="s">
        <v>32</v>
      </c>
      <c r="BF96" s="82" t="s">
        <v>30</v>
      </c>
      <c r="BG96" s="82" t="s">
        <v>30</v>
      </c>
      <c r="BH96" s="95" t="s">
        <v>32</v>
      </c>
      <c r="BI96" s="95" t="s">
        <v>32</v>
      </c>
      <c r="BJ96" s="111" t="s">
        <v>30</v>
      </c>
      <c r="BK96" s="114"/>
      <c r="BL96" s="360" t="s">
        <v>3080</v>
      </c>
      <c r="BN96"/>
      <c r="BO96"/>
      <c r="BP96"/>
      <c r="BQ96"/>
      <c r="BR96"/>
      <c r="BS96"/>
      <c r="BT96"/>
      <c r="BU96"/>
      <c r="BV96"/>
      <c r="BW96" s="109"/>
      <c r="BZ96">
        <f t="shared" si="3"/>
        <v>1</v>
      </c>
    </row>
    <row r="97" spans="1:78" ht="15.6" hidden="1" customHeight="1">
      <c r="A97" s="35" t="str">
        <f t="shared" si="2"/>
        <v>M104/2646053</v>
      </c>
      <c r="C97" s="358" t="s">
        <v>24</v>
      </c>
      <c r="D97" s="358">
        <v>94</v>
      </c>
      <c r="E97" s="358" t="s">
        <v>3229</v>
      </c>
      <c r="F97" s="358" t="s">
        <v>34</v>
      </c>
      <c r="G97" s="384">
        <v>46053</v>
      </c>
      <c r="H97" s="358" t="s">
        <v>698</v>
      </c>
      <c r="I97" s="358">
        <v>12</v>
      </c>
      <c r="J97" s="359" t="str">
        <f>IFERROR(VLOOKUP($A97,#REF!,3,0),"")</f>
        <v/>
      </c>
      <c r="K97" s="359" t="str">
        <f>IFERROR(VLOOKUP($A97,#REF!,4,0),AF97)</f>
        <v>INT</v>
      </c>
      <c r="L97" s="359" t="str">
        <f>IFERROR(VLOOKUP($A97,#REF!,5,0),"")</f>
        <v/>
      </c>
      <c r="M97" s="359" t="str">
        <f>IFERROR(VLOOKUP($A97,#REF!,7,0),"")</f>
        <v/>
      </c>
      <c r="N97" s="359"/>
      <c r="O97" s="359" t="str">
        <f>IFERROR(VLOOKUP($A97,#REF!,6,0),"")</f>
        <v/>
      </c>
      <c r="P97" s="359" t="str">
        <f>IFERROR(VLOOKUP($A97,#REF!,9,0),"")</f>
        <v/>
      </c>
      <c r="Q97" s="359" t="str">
        <f>IFERROR(VLOOKUP($A97,#REF!,10,0),"")</f>
        <v/>
      </c>
      <c r="R97" s="359" t="str">
        <f>IFERROR(VLOOKUP($A97,#REF!,11,0),"")</f>
        <v/>
      </c>
      <c r="S97" s="359" t="str">
        <f>IFERROR(VLOOKUP($A97,#REF!,13,0),"")</f>
        <v/>
      </c>
      <c r="T97" s="359" t="str">
        <f>IFERROR(VLOOKUP($A97,#REF!,14,0),"")</f>
        <v/>
      </c>
      <c r="U97" s="359" t="str">
        <f>IFERROR(VLOOKUP($A97,#REF!,15,0),"")</f>
        <v/>
      </c>
      <c r="V97" s="359" t="str">
        <f>IFERROR(VLOOKUP($A97,#REF!,16,0),"")</f>
        <v/>
      </c>
      <c r="W97" s="359" t="str">
        <f>IFERROR(VLOOKUP($A97,#REF!,17,0),"")</f>
        <v/>
      </c>
      <c r="X97" s="359" t="str">
        <f>IFERROR(VLOOKUP($A97,#REF!,18,0),"")</f>
        <v/>
      </c>
      <c r="Y97" s="359" t="str">
        <f>IFERROR(VLOOKUP($A97,#REF!,19,0),"")</f>
        <v/>
      </c>
      <c r="Z97" s="400" t="str">
        <f>IFERROR(VLOOKUP($A97,#REF!,21,0),"")</f>
        <v/>
      </c>
      <c r="AA97" s="358"/>
      <c r="AB97" s="358"/>
      <c r="AC97" s="359" t="s">
        <v>67</v>
      </c>
      <c r="AD97" s="358" t="s">
        <v>47</v>
      </c>
      <c r="AE97" s="358"/>
      <c r="AF97" s="141" t="s">
        <v>3077</v>
      </c>
      <c r="AG97" s="358" t="s">
        <v>2126</v>
      </c>
      <c r="AH97" s="358" t="s">
        <v>3210</v>
      </c>
      <c r="AI97" s="358" t="s">
        <v>3217</v>
      </c>
      <c r="AJ97" s="358" t="s">
        <v>3126</v>
      </c>
      <c r="AK97" s="358"/>
      <c r="AL97" s="358"/>
      <c r="AM97" s="358"/>
      <c r="AN97" s="359" t="s">
        <v>32</v>
      </c>
      <c r="AO97" s="380" t="s">
        <v>30</v>
      </c>
      <c r="AP97" s="128">
        <v>46077</v>
      </c>
      <c r="AQ97" s="384" t="s">
        <v>1721</v>
      </c>
      <c r="AR97" s="358" t="s">
        <v>32</v>
      </c>
      <c r="AS97" s="358">
        <v>17</v>
      </c>
      <c r="AT97" s="384" t="s">
        <v>1721</v>
      </c>
      <c r="AU97" s="128">
        <v>46077</v>
      </c>
      <c r="AV97" s="82" t="s">
        <v>30</v>
      </c>
      <c r="AW97" s="100" t="s">
        <v>30</v>
      </c>
      <c r="AX97" s="100" t="s">
        <v>30</v>
      </c>
      <c r="AY97" s="100" t="s">
        <v>30</v>
      </c>
      <c r="AZ97" s="100" t="s">
        <v>30</v>
      </c>
      <c r="BA97" s="100" t="s">
        <v>30</v>
      </c>
      <c r="BB97" s="100" t="s">
        <v>30</v>
      </c>
      <c r="BC97" s="100" t="s">
        <v>30</v>
      </c>
      <c r="BD97" s="100" t="s">
        <v>30</v>
      </c>
      <c r="BE97" s="100" t="s">
        <v>30</v>
      </c>
      <c r="BF97" s="100" t="s">
        <v>30</v>
      </c>
      <c r="BG97" s="100" t="s">
        <v>30</v>
      </c>
      <c r="BH97" s="100" t="s">
        <v>30</v>
      </c>
      <c r="BI97" s="100" t="s">
        <v>30</v>
      </c>
      <c r="BJ97" s="100" t="s">
        <v>30</v>
      </c>
      <c r="BK97" s="114"/>
      <c r="BL97" s="360"/>
      <c r="BM97" s="91"/>
      <c r="BN97" s="91"/>
      <c r="BO97"/>
      <c r="BP97"/>
      <c r="BQ97"/>
      <c r="BR97"/>
      <c r="BS97" s="72"/>
      <c r="BW97" s="109"/>
      <c r="BZ97">
        <f t="shared" si="3"/>
        <v>1</v>
      </c>
    </row>
    <row r="98" spans="1:78" ht="15.75" hidden="1" customHeight="1">
      <c r="A98" s="35" t="str">
        <f t="shared" si="2"/>
        <v>052/2646053</v>
      </c>
      <c r="C98" s="358" t="s">
        <v>24</v>
      </c>
      <c r="D98" s="358">
        <v>95</v>
      </c>
      <c r="E98" s="358" t="s">
        <v>3230</v>
      </c>
      <c r="F98" s="358" t="s">
        <v>34</v>
      </c>
      <c r="G98" s="384">
        <v>46053</v>
      </c>
      <c r="H98" s="358" t="s">
        <v>401</v>
      </c>
      <c r="I98" s="358">
        <v>13</v>
      </c>
      <c r="J98" s="359" t="str">
        <f>IFERROR(VLOOKUP($A98,#REF!,3,0),"")</f>
        <v/>
      </c>
      <c r="K98" s="359" t="str">
        <f>IFERROR(VLOOKUP($A98,#REF!,4,0),AF98)</f>
        <v>INT</v>
      </c>
      <c r="L98" s="359" t="str">
        <f>IFERROR(VLOOKUP($A98,#REF!,5,0),"")</f>
        <v/>
      </c>
      <c r="M98" s="359" t="str">
        <f>IFERROR(VLOOKUP($A98,#REF!,7,0),"")</f>
        <v/>
      </c>
      <c r="N98" s="359"/>
      <c r="O98" s="359" t="str">
        <f>IFERROR(VLOOKUP($A98,#REF!,6,0),"")</f>
        <v/>
      </c>
      <c r="P98" s="359" t="str">
        <f>IFERROR(VLOOKUP($A98,#REF!,9,0),"")</f>
        <v/>
      </c>
      <c r="Q98" s="359" t="str">
        <f>IFERROR(VLOOKUP($A98,#REF!,10,0),"")</f>
        <v/>
      </c>
      <c r="R98" s="359" t="str">
        <f>IFERROR(VLOOKUP($A98,#REF!,11,0),"")</f>
        <v/>
      </c>
      <c r="S98" s="359" t="str">
        <f>IFERROR(VLOOKUP($A98,#REF!,13,0),"")</f>
        <v/>
      </c>
      <c r="T98" s="359" t="str">
        <f>IFERROR(VLOOKUP($A98,#REF!,14,0),"")</f>
        <v/>
      </c>
      <c r="U98" s="359" t="str">
        <f>IFERROR(VLOOKUP($A98,#REF!,15,0),"")</f>
        <v/>
      </c>
      <c r="V98" s="359" t="str">
        <f>IFERROR(VLOOKUP($A98,#REF!,16,0),"")</f>
        <v/>
      </c>
      <c r="W98" s="359" t="str">
        <f>IFERROR(VLOOKUP($A98,#REF!,17,0),"")</f>
        <v/>
      </c>
      <c r="X98" s="359" t="str">
        <f>IFERROR(VLOOKUP($A98,#REF!,18,0),"")</f>
        <v/>
      </c>
      <c r="Y98" s="359" t="str">
        <f>IFERROR(VLOOKUP($A98,#REF!,19,0),"")</f>
        <v/>
      </c>
      <c r="Z98" s="400" t="str">
        <f>IFERROR(VLOOKUP($A98,#REF!,21,0),"")</f>
        <v/>
      </c>
      <c r="AA98" s="358"/>
      <c r="AB98" s="358"/>
      <c r="AC98" s="359" t="s">
        <v>67</v>
      </c>
      <c r="AD98" s="358" t="s">
        <v>47</v>
      </c>
      <c r="AE98" s="102" t="s">
        <v>2110</v>
      </c>
      <c r="AF98" s="141" t="s">
        <v>3077</v>
      </c>
      <c r="AG98" s="358" t="s">
        <v>2126</v>
      </c>
      <c r="AH98" s="358" t="s">
        <v>401</v>
      </c>
      <c r="AI98" s="358" t="s">
        <v>401</v>
      </c>
      <c r="AJ98" s="358" t="s">
        <v>401</v>
      </c>
      <c r="AK98" s="358"/>
      <c r="AL98" s="358"/>
      <c r="AM98" s="358"/>
      <c r="AN98" s="359" t="s">
        <v>32</v>
      </c>
      <c r="AO98" s="117"/>
      <c r="AP98" s="128">
        <v>46080</v>
      </c>
      <c r="AQ98" s="128" t="s">
        <v>1638</v>
      </c>
      <c r="AR98" s="141" t="s">
        <v>30</v>
      </c>
      <c r="AS98" s="141">
        <v>8</v>
      </c>
      <c r="AT98" s="128" t="s">
        <v>1638</v>
      </c>
      <c r="AU98" s="128">
        <v>46080</v>
      </c>
      <c r="AV98" s="82" t="s">
        <v>30</v>
      </c>
      <c r="AW98" s="82" t="s">
        <v>30</v>
      </c>
      <c r="AX98" s="100" t="s">
        <v>30</v>
      </c>
      <c r="AY98" s="100" t="s">
        <v>30</v>
      </c>
      <c r="AZ98" s="100" t="s">
        <v>30</v>
      </c>
      <c r="BA98" s="100" t="s">
        <v>30</v>
      </c>
      <c r="BB98" s="100" t="s">
        <v>30</v>
      </c>
      <c r="BC98" s="100" t="s">
        <v>30</v>
      </c>
      <c r="BD98" s="100" t="s">
        <v>30</v>
      </c>
      <c r="BE98" s="100" t="s">
        <v>30</v>
      </c>
      <c r="BF98" s="100" t="s">
        <v>30</v>
      </c>
      <c r="BG98" s="100" t="s">
        <v>30</v>
      </c>
      <c r="BH98" s="111" t="s">
        <v>30</v>
      </c>
      <c r="BI98" s="111" t="s">
        <v>30</v>
      </c>
      <c r="BJ98" s="111" t="s">
        <v>30</v>
      </c>
      <c r="BK98" s="114"/>
      <c r="BL98" s="360"/>
      <c r="BN98"/>
      <c r="BO98"/>
      <c r="BP98"/>
      <c r="BQ98"/>
      <c r="BR98"/>
      <c r="BS98" s="72"/>
      <c r="BW98" s="109"/>
      <c r="BZ98">
        <f t="shared" si="3"/>
        <v>1</v>
      </c>
    </row>
    <row r="99" spans="1:78" ht="15.75" hidden="1" customHeight="1">
      <c r="A99" s="35" t="str">
        <f t="shared" si="2"/>
        <v>S006/2646053</v>
      </c>
      <c r="C99" s="358" t="s">
        <v>24</v>
      </c>
      <c r="D99" s="358">
        <v>96</v>
      </c>
      <c r="E99" s="358" t="s">
        <v>3231</v>
      </c>
      <c r="F99" s="358" t="s">
        <v>1754</v>
      </c>
      <c r="G99" s="384">
        <v>46053</v>
      </c>
      <c r="H99" s="358" t="s">
        <v>110</v>
      </c>
      <c r="I99" s="358">
        <v>12</v>
      </c>
      <c r="J99" s="359" t="str">
        <f>IFERROR(VLOOKUP($A99,#REF!,3,0),"")</f>
        <v/>
      </c>
      <c r="K99" s="359" t="str">
        <f>IFERROR(VLOOKUP($A99,#REF!,4,0),AF99)</f>
        <v>EXT</v>
      </c>
      <c r="L99" s="359" t="str">
        <f>IFERROR(VLOOKUP($A99,#REF!,5,0),"")</f>
        <v/>
      </c>
      <c r="M99" s="359" t="str">
        <f>IFERROR(VLOOKUP($A99,#REF!,7,0),"")</f>
        <v/>
      </c>
      <c r="N99" s="359"/>
      <c r="O99" s="359" t="str">
        <f>IFERROR(VLOOKUP($A99,#REF!,6,0),"")</f>
        <v/>
      </c>
      <c r="P99" s="359" t="str">
        <f>IFERROR(VLOOKUP($A99,#REF!,9,0),"")</f>
        <v/>
      </c>
      <c r="Q99" s="359" t="str">
        <f>IFERROR(VLOOKUP($A99,#REF!,10,0),"")</f>
        <v/>
      </c>
      <c r="R99" s="359" t="str">
        <f>IFERROR(VLOOKUP($A99,#REF!,11,0),"")</f>
        <v/>
      </c>
      <c r="S99" s="359" t="str">
        <f>IFERROR(VLOOKUP($A99,#REF!,13,0),"")</f>
        <v/>
      </c>
      <c r="T99" s="359" t="str">
        <f>IFERROR(VLOOKUP($A99,#REF!,14,0),"")</f>
        <v/>
      </c>
      <c r="U99" s="359" t="str">
        <f>IFERROR(VLOOKUP($A99,#REF!,15,0),"")</f>
        <v/>
      </c>
      <c r="V99" s="359" t="str">
        <f>IFERROR(VLOOKUP($A99,#REF!,16,0),"")</f>
        <v/>
      </c>
      <c r="W99" s="359" t="str">
        <f>IFERROR(VLOOKUP($A99,#REF!,17,0),"")</f>
        <v/>
      </c>
      <c r="X99" s="359" t="str">
        <f>IFERROR(VLOOKUP($A99,#REF!,18,0),"")</f>
        <v/>
      </c>
      <c r="Y99" s="359" t="str">
        <f>IFERROR(VLOOKUP($A99,#REF!,19,0),"")</f>
        <v/>
      </c>
      <c r="Z99" s="400" t="str">
        <f>IFERROR(VLOOKUP($A99,#REF!,21,0),"")</f>
        <v/>
      </c>
      <c r="AA99" s="358"/>
      <c r="AB99" s="358"/>
      <c r="AC99" s="359" t="s">
        <v>1334</v>
      </c>
      <c r="AD99" s="358"/>
      <c r="AE99" s="358"/>
      <c r="AF99" s="141" t="s">
        <v>3082</v>
      </c>
      <c r="AG99" s="358" t="s">
        <v>3232</v>
      </c>
      <c r="AH99" s="358" t="s">
        <v>3222</v>
      </c>
      <c r="AI99" s="358" t="s">
        <v>3222</v>
      </c>
      <c r="AJ99" s="358" t="s">
        <v>110</v>
      </c>
      <c r="AK99" s="358"/>
      <c r="AL99" s="358"/>
      <c r="AM99" s="358"/>
      <c r="AN99" s="359" t="s">
        <v>32</v>
      </c>
      <c r="AO99" s="380" t="s">
        <v>30</v>
      </c>
      <c r="AP99" s="380">
        <v>46076</v>
      </c>
      <c r="AQ99" s="384" t="s">
        <v>48</v>
      </c>
      <c r="AR99" s="358" t="s">
        <v>32</v>
      </c>
      <c r="AS99" s="358">
        <v>12</v>
      </c>
      <c r="AT99" s="384" t="s">
        <v>48</v>
      </c>
      <c r="AU99" s="380">
        <v>46076</v>
      </c>
      <c r="AV99" s="100" t="s">
        <v>113</v>
      </c>
      <c r="AW99" s="82" t="s">
        <v>30</v>
      </c>
      <c r="AX99" s="95"/>
      <c r="AY99" s="95" t="s">
        <v>32</v>
      </c>
      <c r="AZ99" s="95" t="s">
        <v>32</v>
      </c>
      <c r="BA99" s="95" t="s">
        <v>32</v>
      </c>
      <c r="BB99" s="100" t="s">
        <v>30</v>
      </c>
      <c r="BC99" s="100" t="s">
        <v>30</v>
      </c>
      <c r="BD99" s="95" t="s">
        <v>32</v>
      </c>
      <c r="BE99" s="95" t="s">
        <v>32</v>
      </c>
      <c r="BF99" s="95" t="s">
        <v>32</v>
      </c>
      <c r="BG99" s="95" t="s">
        <v>32</v>
      </c>
      <c r="BH99" s="95" t="s">
        <v>32</v>
      </c>
      <c r="BI99" s="95" t="s">
        <v>32</v>
      </c>
      <c r="BJ99" s="95" t="s">
        <v>32</v>
      </c>
      <c r="BK99" s="114"/>
      <c r="BL99" s="360"/>
      <c r="BM99" s="91"/>
      <c r="BN99" s="91"/>
      <c r="BO99"/>
      <c r="BP99"/>
      <c r="BQ99"/>
      <c r="BR99"/>
      <c r="BS99" s="72"/>
      <c r="BW99" s="109"/>
      <c r="BZ99">
        <f t="shared" si="3"/>
        <v>1</v>
      </c>
    </row>
    <row r="100" spans="1:78" ht="15.75" hidden="1" customHeight="1">
      <c r="A100" s="35" t="str">
        <f t="shared" si="2"/>
        <v>M007/2646053</v>
      </c>
      <c r="C100" s="358" t="s">
        <v>24</v>
      </c>
      <c r="D100" s="358">
        <v>97</v>
      </c>
      <c r="E100" s="358" t="s">
        <v>3233</v>
      </c>
      <c r="F100" s="358" t="s">
        <v>99</v>
      </c>
      <c r="G100" s="384">
        <v>46053</v>
      </c>
      <c r="H100" s="358" t="s">
        <v>646</v>
      </c>
      <c r="I100" s="358">
        <v>16</v>
      </c>
      <c r="J100" s="359" t="str">
        <f>IFERROR(VLOOKUP($A100,#REF!,3,0),"")</f>
        <v/>
      </c>
      <c r="K100" s="359" t="str">
        <f>IFERROR(VLOOKUP($A100,#REF!,4,0),AF100)</f>
        <v>INT</v>
      </c>
      <c r="L100" s="359" t="str">
        <f>IFERROR(VLOOKUP($A100,#REF!,5,0),"")</f>
        <v/>
      </c>
      <c r="M100" s="359" t="str">
        <f>IFERROR(VLOOKUP($A100,#REF!,7,0),"")</f>
        <v/>
      </c>
      <c r="N100" s="359"/>
      <c r="O100" s="359" t="str">
        <f>IFERROR(VLOOKUP($A100,#REF!,6,0),"")</f>
        <v/>
      </c>
      <c r="P100" s="359" t="str">
        <f>IFERROR(VLOOKUP($A100,#REF!,9,0),"")</f>
        <v/>
      </c>
      <c r="Q100" s="359" t="str">
        <f>IFERROR(VLOOKUP($A100,#REF!,10,0),"")</f>
        <v/>
      </c>
      <c r="R100" s="359" t="str">
        <f>IFERROR(VLOOKUP($A100,#REF!,11,0),"")</f>
        <v/>
      </c>
      <c r="S100" s="359" t="str">
        <f>IFERROR(VLOOKUP($A100,#REF!,13,0),"")</f>
        <v/>
      </c>
      <c r="T100" s="359" t="str">
        <f>IFERROR(VLOOKUP($A100,#REF!,14,0),"")</f>
        <v/>
      </c>
      <c r="U100" s="359" t="str">
        <f>IFERROR(VLOOKUP($A100,#REF!,15,0),"")</f>
        <v/>
      </c>
      <c r="V100" s="359" t="str">
        <f>IFERROR(VLOOKUP($A100,#REF!,16,0),"")</f>
        <v/>
      </c>
      <c r="W100" s="359" t="str">
        <f>IFERROR(VLOOKUP($A100,#REF!,17,0),"")</f>
        <v/>
      </c>
      <c r="X100" s="359" t="str">
        <f>IFERROR(VLOOKUP($A100,#REF!,18,0),"")</f>
        <v/>
      </c>
      <c r="Y100" s="359" t="str">
        <f>IFERROR(VLOOKUP($A100,#REF!,19,0),"")</f>
        <v/>
      </c>
      <c r="Z100" s="400" t="str">
        <f>IFERROR(VLOOKUP($A100,#REF!,21,0),"")</f>
        <v/>
      </c>
      <c r="AA100" s="358"/>
      <c r="AB100" s="358"/>
      <c r="AC100" s="358" t="s">
        <v>1077</v>
      </c>
      <c r="AD100" s="358" t="s">
        <v>1138</v>
      </c>
      <c r="AE100" s="358"/>
      <c r="AF100" s="141" t="s">
        <v>3077</v>
      </c>
      <c r="AG100" s="358" t="s">
        <v>2115</v>
      </c>
      <c r="AH100" s="358" t="s">
        <v>3222</v>
      </c>
      <c r="AI100" s="358" t="s">
        <v>3222</v>
      </c>
      <c r="AJ100" s="358" t="s">
        <v>2050</v>
      </c>
      <c r="AK100" s="358"/>
      <c r="AL100" s="358"/>
      <c r="AM100" s="358"/>
      <c r="AN100" s="129" t="s">
        <v>31</v>
      </c>
      <c r="AO100" s="327" t="s">
        <v>30</v>
      </c>
      <c r="AP100" s="327">
        <v>46058</v>
      </c>
      <c r="AQ100" s="384" t="s">
        <v>1138</v>
      </c>
      <c r="AR100" s="358" t="s">
        <v>32</v>
      </c>
      <c r="AS100" s="365">
        <v>13</v>
      </c>
      <c r="AT100" s="384" t="s">
        <v>1138</v>
      </c>
      <c r="AU100" s="327">
        <v>46058</v>
      </c>
      <c r="AV100" s="94" t="s">
        <v>30</v>
      </c>
      <c r="AW100" s="100" t="s">
        <v>30</v>
      </c>
      <c r="AX100" s="100" t="s">
        <v>30</v>
      </c>
      <c r="AY100" s="95" t="s">
        <v>32</v>
      </c>
      <c r="AZ100" s="95" t="s">
        <v>32</v>
      </c>
      <c r="BA100" s="95" t="s">
        <v>32</v>
      </c>
      <c r="BB100" s="100" t="s">
        <v>30</v>
      </c>
      <c r="BC100" s="100" t="s">
        <v>30</v>
      </c>
      <c r="BD100" s="100" t="s">
        <v>30</v>
      </c>
      <c r="BE100" s="100" t="s">
        <v>30</v>
      </c>
      <c r="BF100" s="100" t="s">
        <v>30</v>
      </c>
      <c r="BG100" s="100" t="s">
        <v>30</v>
      </c>
      <c r="BH100" s="100" t="s">
        <v>30</v>
      </c>
      <c r="BI100" s="100" t="s">
        <v>30</v>
      </c>
      <c r="BJ100" s="100" t="s">
        <v>30</v>
      </c>
      <c r="BK100" s="114"/>
      <c r="BL100" s="360"/>
      <c r="BM100" s="91"/>
      <c r="BN100" s="91"/>
      <c r="BO100"/>
      <c r="BP100"/>
      <c r="BQ100"/>
      <c r="BR100"/>
      <c r="BS100" s="72"/>
      <c r="BW100" s="109"/>
      <c r="BZ100">
        <f t="shared" si="3"/>
        <v>1</v>
      </c>
    </row>
    <row r="101" spans="1:78" ht="15.75" hidden="1" customHeight="1">
      <c r="A101" s="35" t="str">
        <f t="shared" si="2"/>
        <v>M108/2646053</v>
      </c>
      <c r="C101" s="358" t="s">
        <v>24</v>
      </c>
      <c r="D101" s="358">
        <v>98</v>
      </c>
      <c r="E101" s="358" t="s">
        <v>3234</v>
      </c>
      <c r="F101" s="358" t="s">
        <v>34</v>
      </c>
      <c r="G101" s="384">
        <v>46053</v>
      </c>
      <c r="H101" s="358" t="s">
        <v>65</v>
      </c>
      <c r="I101" s="358">
        <v>12</v>
      </c>
      <c r="J101" s="359" t="str">
        <f>IFERROR(VLOOKUP($A101,#REF!,3,0),"")</f>
        <v/>
      </c>
      <c r="K101" s="359" t="str">
        <f>IFERROR(VLOOKUP($A101,#REF!,4,0),AF101)</f>
        <v>INT</v>
      </c>
      <c r="L101" s="359" t="str">
        <f>IFERROR(VLOOKUP($A101,#REF!,5,0),"")</f>
        <v/>
      </c>
      <c r="M101" s="359" t="str">
        <f>IFERROR(VLOOKUP($A101,#REF!,7,0),"")</f>
        <v/>
      </c>
      <c r="N101" s="359"/>
      <c r="O101" s="359" t="str">
        <f>IFERROR(VLOOKUP($A101,#REF!,6,0),"")</f>
        <v/>
      </c>
      <c r="P101" s="359" t="str">
        <f>IFERROR(VLOOKUP($A101,#REF!,9,0),"")</f>
        <v/>
      </c>
      <c r="Q101" s="359" t="str">
        <f>IFERROR(VLOOKUP($A101,#REF!,10,0),"")</f>
        <v/>
      </c>
      <c r="R101" s="359" t="str">
        <f>IFERROR(VLOOKUP($A101,#REF!,11,0),"")</f>
        <v/>
      </c>
      <c r="S101" s="359" t="str">
        <f>IFERROR(VLOOKUP($A101,#REF!,13,0),"")</f>
        <v/>
      </c>
      <c r="T101" s="359" t="str">
        <f>IFERROR(VLOOKUP($A101,#REF!,14,0),"")</f>
        <v/>
      </c>
      <c r="U101" s="359" t="str">
        <f>IFERROR(VLOOKUP($A101,#REF!,15,0),"")</f>
        <v/>
      </c>
      <c r="V101" s="359" t="str">
        <f>IFERROR(VLOOKUP($A101,#REF!,16,0),"")</f>
        <v/>
      </c>
      <c r="W101" s="359" t="str">
        <f>IFERROR(VLOOKUP($A101,#REF!,17,0),"")</f>
        <v/>
      </c>
      <c r="X101" s="359" t="str">
        <f>IFERROR(VLOOKUP($A101,#REF!,18,0),"")</f>
        <v/>
      </c>
      <c r="Y101" s="359" t="str">
        <f>IFERROR(VLOOKUP($A101,#REF!,19,0),"")</f>
        <v/>
      </c>
      <c r="Z101" s="400" t="str">
        <f>IFERROR(VLOOKUP($A101,#REF!,21,0),"")</f>
        <v/>
      </c>
      <c r="AA101" s="358"/>
      <c r="AB101" s="358"/>
      <c r="AC101" s="358" t="s">
        <v>1077</v>
      </c>
      <c r="AD101" s="358" t="s">
        <v>1138</v>
      </c>
      <c r="AE101" s="358"/>
      <c r="AF101" s="141" t="s">
        <v>3077</v>
      </c>
      <c r="AG101" s="358" t="s">
        <v>2052</v>
      </c>
      <c r="AH101" s="358" t="s">
        <v>3217</v>
      </c>
      <c r="AI101" s="358" t="s">
        <v>3217</v>
      </c>
      <c r="AJ101" s="358" t="s">
        <v>2166</v>
      </c>
      <c r="AK101" s="358"/>
      <c r="AL101" s="358"/>
      <c r="AM101" s="358"/>
      <c r="AN101" s="359" t="s">
        <v>32</v>
      </c>
      <c r="AO101" s="358" t="s">
        <v>30</v>
      </c>
      <c r="AP101" s="380">
        <v>46065</v>
      </c>
      <c r="AQ101" s="384" t="s">
        <v>1138</v>
      </c>
      <c r="AR101" s="358" t="s">
        <v>32</v>
      </c>
      <c r="AS101" s="358">
        <v>3</v>
      </c>
      <c r="AT101" s="384" t="s">
        <v>1138</v>
      </c>
      <c r="AU101" s="380">
        <v>46065</v>
      </c>
      <c r="AV101" s="94" t="s">
        <v>30</v>
      </c>
      <c r="AW101" s="94" t="s">
        <v>30</v>
      </c>
      <c r="AX101" s="94" t="s">
        <v>30</v>
      </c>
      <c r="AY101" s="94" t="s">
        <v>30</v>
      </c>
      <c r="AZ101" s="94" t="s">
        <v>30</v>
      </c>
      <c r="BA101" s="94" t="s">
        <v>30</v>
      </c>
      <c r="BB101" s="94" t="s">
        <v>30</v>
      </c>
      <c r="BC101" s="94" t="s">
        <v>30</v>
      </c>
      <c r="BD101" s="94" t="s">
        <v>30</v>
      </c>
      <c r="BE101" s="94" t="s">
        <v>30</v>
      </c>
      <c r="BF101" s="94" t="s">
        <v>30</v>
      </c>
      <c r="BG101" s="100" t="s">
        <v>30</v>
      </c>
      <c r="BH101" s="111" t="s">
        <v>30</v>
      </c>
      <c r="BI101" s="111" t="s">
        <v>30</v>
      </c>
      <c r="BJ101" s="111" t="s">
        <v>30</v>
      </c>
      <c r="BK101" s="114"/>
      <c r="BL101" s="360"/>
      <c r="BM101" s="6"/>
      <c r="BN101" s="6"/>
      <c r="BO101" s="6"/>
      <c r="BP101" s="6"/>
      <c r="BQ101" s="6"/>
      <c r="BR101" s="6"/>
      <c r="BS101" s="108"/>
      <c r="BT101" s="109"/>
      <c r="BU101" s="109"/>
      <c r="BV101" s="109"/>
      <c r="BW101" s="109"/>
      <c r="BZ101">
        <f t="shared" si="3"/>
        <v>1</v>
      </c>
    </row>
    <row r="102" spans="1:78" ht="15.75" hidden="1" customHeight="1">
      <c r="A102" s="35" t="str">
        <f t="shared" si="2"/>
        <v>054/2646053</v>
      </c>
      <c r="C102" s="358" t="s">
        <v>24</v>
      </c>
      <c r="D102" s="358">
        <v>99</v>
      </c>
      <c r="E102" s="358" t="s">
        <v>3235</v>
      </c>
      <c r="F102" s="358" t="s">
        <v>34</v>
      </c>
      <c r="G102" s="384">
        <v>46053</v>
      </c>
      <c r="H102" s="358" t="s">
        <v>401</v>
      </c>
      <c r="I102" s="358">
        <v>2</v>
      </c>
      <c r="J102" s="359" t="str">
        <f>IFERROR(VLOOKUP($A102,#REF!,3,0),"")</f>
        <v/>
      </c>
      <c r="K102" s="359" t="str">
        <f>IFERROR(VLOOKUP($A102,#REF!,4,0),AF102)</f>
        <v>INT</v>
      </c>
      <c r="L102" s="359" t="str">
        <f>IFERROR(VLOOKUP($A102,#REF!,5,0),"")</f>
        <v/>
      </c>
      <c r="M102" s="359" t="str">
        <f>IFERROR(VLOOKUP($A102,#REF!,7,0),"")</f>
        <v/>
      </c>
      <c r="N102" s="359"/>
      <c r="O102" s="359" t="str">
        <f>IFERROR(VLOOKUP($A102,#REF!,6,0),"")</f>
        <v/>
      </c>
      <c r="P102" s="359" t="str">
        <f>IFERROR(VLOOKUP($A102,#REF!,9,0),"")</f>
        <v/>
      </c>
      <c r="Q102" s="359" t="str">
        <f>IFERROR(VLOOKUP($A102,#REF!,10,0),"")</f>
        <v/>
      </c>
      <c r="R102" s="359" t="str">
        <f>IFERROR(VLOOKUP($A102,#REF!,11,0),"")</f>
        <v/>
      </c>
      <c r="S102" s="359" t="str">
        <f>IFERROR(VLOOKUP($A102,#REF!,13,0),"")</f>
        <v/>
      </c>
      <c r="T102" s="359" t="str">
        <f>IFERROR(VLOOKUP($A102,#REF!,14,0),"")</f>
        <v/>
      </c>
      <c r="U102" s="359" t="str">
        <f>IFERROR(VLOOKUP($A102,#REF!,15,0),"")</f>
        <v/>
      </c>
      <c r="V102" s="359" t="str">
        <f>IFERROR(VLOOKUP($A102,#REF!,16,0),"")</f>
        <v/>
      </c>
      <c r="W102" s="359" t="str">
        <f>IFERROR(VLOOKUP($A102,#REF!,17,0),"")</f>
        <v/>
      </c>
      <c r="X102" s="359" t="str">
        <f>IFERROR(VLOOKUP($A102,#REF!,18,0),"")</f>
        <v/>
      </c>
      <c r="Y102" s="359" t="str">
        <f>IFERROR(VLOOKUP($A102,#REF!,19,0),"")</f>
        <v/>
      </c>
      <c r="Z102" s="400" t="str">
        <f>IFERROR(VLOOKUP($A102,#REF!,21,0),"")</f>
        <v/>
      </c>
      <c r="AA102" s="358"/>
      <c r="AB102" s="358"/>
      <c r="AC102" s="358" t="s">
        <v>1077</v>
      </c>
      <c r="AD102" s="358" t="s">
        <v>1138</v>
      </c>
      <c r="AE102" s="358"/>
      <c r="AF102" s="141" t="s">
        <v>3077</v>
      </c>
      <c r="AG102" s="358" t="s">
        <v>2052</v>
      </c>
      <c r="AH102" s="358" t="s">
        <v>401</v>
      </c>
      <c r="AI102" s="358" t="s">
        <v>401</v>
      </c>
      <c r="AJ102" s="358" t="s">
        <v>401</v>
      </c>
      <c r="AK102" s="358"/>
      <c r="AL102" s="358"/>
      <c r="AM102" s="358"/>
      <c r="AN102" s="359" t="s">
        <v>32</v>
      </c>
      <c r="AO102" s="380" t="s">
        <v>30</v>
      </c>
      <c r="AP102" s="380">
        <v>46057</v>
      </c>
      <c r="AQ102" s="384" t="s">
        <v>1138</v>
      </c>
      <c r="AR102" s="358" t="s">
        <v>32</v>
      </c>
      <c r="AS102" s="358">
        <v>11</v>
      </c>
      <c r="AT102" s="384" t="s">
        <v>1138</v>
      </c>
      <c r="AU102" s="380">
        <v>46057</v>
      </c>
      <c r="AV102" s="100" t="s">
        <v>30</v>
      </c>
      <c r="AW102" s="100" t="s">
        <v>30</v>
      </c>
      <c r="AX102" s="100" t="s">
        <v>30</v>
      </c>
      <c r="AY102" s="100" t="s">
        <v>30</v>
      </c>
      <c r="AZ102" s="100" t="s">
        <v>30</v>
      </c>
      <c r="BA102" s="100" t="s">
        <v>30</v>
      </c>
      <c r="BB102" s="100" t="s">
        <v>30</v>
      </c>
      <c r="BC102" s="100" t="s">
        <v>30</v>
      </c>
      <c r="BD102" s="100" t="s">
        <v>30</v>
      </c>
      <c r="BE102" s="100" t="s">
        <v>30</v>
      </c>
      <c r="BF102" s="100" t="s">
        <v>30</v>
      </c>
      <c r="BG102" s="100" t="s">
        <v>30</v>
      </c>
      <c r="BH102" s="111" t="s">
        <v>30</v>
      </c>
      <c r="BI102" s="111" t="s">
        <v>30</v>
      </c>
      <c r="BJ102" s="111" t="s">
        <v>30</v>
      </c>
      <c r="BK102" s="114"/>
      <c r="BL102" s="360"/>
      <c r="BN102"/>
      <c r="BO102"/>
      <c r="BP102"/>
      <c r="BQ102"/>
      <c r="BR102"/>
      <c r="BS102"/>
      <c r="BT102"/>
      <c r="BU102"/>
      <c r="BV102"/>
      <c r="BW102" s="109"/>
      <c r="BZ102">
        <f t="shared" si="3"/>
        <v>1</v>
      </c>
    </row>
    <row r="103" spans="1:78" ht="15.75" hidden="1" customHeight="1">
      <c r="A103" s="35" t="str">
        <f t="shared" si="2"/>
        <v>ELPTMED_001/2646027,375</v>
      </c>
      <c r="C103" s="358" t="s">
        <v>2342</v>
      </c>
      <c r="D103" s="358">
        <v>100</v>
      </c>
      <c r="E103" s="358" t="s">
        <v>3236</v>
      </c>
      <c r="F103" s="358" t="s">
        <v>829</v>
      </c>
      <c r="G103" s="384">
        <v>46027.375</v>
      </c>
      <c r="H103" s="358" t="s">
        <v>140</v>
      </c>
      <c r="I103" s="358">
        <v>30</v>
      </c>
      <c r="J103" s="359" t="str">
        <f>IFERROR(VLOOKUP($A103,#REF!,3,0),"")</f>
        <v/>
      </c>
      <c r="K103" s="359" t="str">
        <f>IFERROR(VLOOKUP($A103,#REF!,4,0),AF103)</f>
        <v>NA</v>
      </c>
      <c r="L103" s="359" t="str">
        <f>IFERROR(VLOOKUP($A103,#REF!,5,0),"")</f>
        <v/>
      </c>
      <c r="M103" s="359" t="str">
        <f>IFERROR(VLOOKUP($A103,#REF!,7,0),"")</f>
        <v/>
      </c>
      <c r="N103" s="359"/>
      <c r="O103" s="359" t="str">
        <f>IFERROR(VLOOKUP($A103,#REF!,6,0),"")</f>
        <v/>
      </c>
      <c r="P103" s="359" t="str">
        <f>IFERROR(VLOOKUP($A103,#REF!,9,0),"")</f>
        <v/>
      </c>
      <c r="Q103" s="359" t="str">
        <f>IFERROR(VLOOKUP($A103,#REF!,10,0),"")</f>
        <v/>
      </c>
      <c r="R103" s="359" t="str">
        <f>IFERROR(VLOOKUP($A103,#REF!,11,0),"")</f>
        <v/>
      </c>
      <c r="S103" s="359" t="str">
        <f>IFERROR(VLOOKUP($A103,#REF!,13,0),"")</f>
        <v/>
      </c>
      <c r="T103" s="359" t="str">
        <f>IFERROR(VLOOKUP($A103,#REF!,14,0),"")</f>
        <v/>
      </c>
      <c r="U103" s="359" t="str">
        <f>IFERROR(VLOOKUP($A103,#REF!,15,0),"")</f>
        <v/>
      </c>
      <c r="V103" s="359" t="str">
        <f>IFERROR(VLOOKUP($A103,#REF!,16,0),"")</f>
        <v/>
      </c>
      <c r="W103" s="359" t="str">
        <f>IFERROR(VLOOKUP($A103,#REF!,17,0),"")</f>
        <v/>
      </c>
      <c r="X103" s="359" t="str">
        <f>IFERROR(VLOOKUP($A103,#REF!,18,0),"")</f>
        <v/>
      </c>
      <c r="Y103" s="359" t="str">
        <f>IFERROR(VLOOKUP($A103,#REF!,19,0),"")</f>
        <v/>
      </c>
      <c r="Z103" s="400" t="str">
        <f>IFERROR(VLOOKUP($A103,#REF!,21,0),"")</f>
        <v/>
      </c>
      <c r="AA103" s="358"/>
      <c r="AB103" s="358"/>
      <c r="AC103" s="358" t="s">
        <v>2934</v>
      </c>
      <c r="AD103" s="358"/>
      <c r="AE103" s="102"/>
      <c r="AF103" s="141" t="s">
        <v>3237</v>
      </c>
      <c r="AG103" s="358"/>
      <c r="AH103" s="358"/>
      <c r="AI103" s="358"/>
      <c r="AJ103" s="358"/>
      <c r="AK103" s="358"/>
      <c r="AL103" s="358"/>
      <c r="AM103" s="358"/>
      <c r="AN103" s="358" t="s">
        <v>113</v>
      </c>
      <c r="AO103" s="327" t="s">
        <v>30</v>
      </c>
      <c r="AP103" s="380">
        <v>46082</v>
      </c>
      <c r="AQ103" s="384" t="s">
        <v>67</v>
      </c>
      <c r="AR103" s="358" t="s">
        <v>32</v>
      </c>
      <c r="AS103" s="358">
        <v>30</v>
      </c>
      <c r="AT103" s="384" t="s">
        <v>67</v>
      </c>
      <c r="AU103" s="380">
        <v>46082</v>
      </c>
      <c r="AV103" s="100" t="s">
        <v>113</v>
      </c>
      <c r="AW103" s="95"/>
      <c r="AX103" s="107"/>
      <c r="AY103" s="100"/>
      <c r="AZ103" s="95"/>
      <c r="BA103" s="100"/>
      <c r="BB103" s="100"/>
      <c r="BC103" s="100"/>
      <c r="BD103" s="100"/>
      <c r="BE103" s="100"/>
      <c r="BF103" s="100"/>
      <c r="BG103" s="114"/>
      <c r="BH103" s="114"/>
      <c r="BI103" s="114"/>
      <c r="BJ103" s="114"/>
      <c r="BK103" s="114"/>
      <c r="BL103" s="360"/>
      <c r="BM103" s="343"/>
      <c r="BN103" s="343"/>
      <c r="BO103" s="343"/>
      <c r="BP103" s="343"/>
      <c r="BQ103" s="343"/>
      <c r="BR103" s="343"/>
      <c r="BS103" s="139"/>
      <c r="BT103" s="140"/>
      <c r="BU103" s="140"/>
      <c r="BV103" s="140"/>
      <c r="BW103" s="140"/>
      <c r="BZ103">
        <f t="shared" si="3"/>
        <v>1</v>
      </c>
    </row>
    <row r="104" spans="1:78" ht="15.75" hidden="1" customHeight="1">
      <c r="A104" s="35" t="str">
        <f t="shared" si="2"/>
        <v>ELPTMED_002/2646027</v>
      </c>
      <c r="C104" s="358" t="s">
        <v>2342</v>
      </c>
      <c r="D104" s="358">
        <v>101</v>
      </c>
      <c r="E104" s="358" t="s">
        <v>3238</v>
      </c>
      <c r="F104" s="358" t="s">
        <v>1230</v>
      </c>
      <c r="G104" s="384">
        <v>46027</v>
      </c>
      <c r="H104" s="358" t="s">
        <v>140</v>
      </c>
      <c r="I104" s="358">
        <v>1</v>
      </c>
      <c r="J104" s="359" t="str">
        <f>IFERROR(VLOOKUP($A104,#REF!,3,0),"")</f>
        <v/>
      </c>
      <c r="K104" s="359" t="str">
        <f>IFERROR(VLOOKUP($A104,#REF!,4,0),AF104)</f>
        <v>NA</v>
      </c>
      <c r="L104" s="359" t="str">
        <f>IFERROR(VLOOKUP($A104,#REF!,5,0),"")</f>
        <v/>
      </c>
      <c r="M104" s="359" t="str">
        <f>IFERROR(VLOOKUP($A104,#REF!,7,0),"")</f>
        <v/>
      </c>
      <c r="N104" s="359"/>
      <c r="O104" s="359" t="str">
        <f>IFERROR(VLOOKUP($A104,#REF!,6,0),"")</f>
        <v/>
      </c>
      <c r="P104" s="359" t="str">
        <f>IFERROR(VLOOKUP($A104,#REF!,9,0),"")</f>
        <v/>
      </c>
      <c r="Q104" s="359" t="str">
        <f>IFERROR(VLOOKUP($A104,#REF!,10,0),"")</f>
        <v/>
      </c>
      <c r="R104" s="359" t="str">
        <f>IFERROR(VLOOKUP($A104,#REF!,11,0),"")</f>
        <v/>
      </c>
      <c r="S104" s="359" t="str">
        <f>IFERROR(VLOOKUP($A104,#REF!,13,0),"")</f>
        <v/>
      </c>
      <c r="T104" s="359" t="str">
        <f>IFERROR(VLOOKUP($A104,#REF!,14,0),"")</f>
        <v/>
      </c>
      <c r="U104" s="359" t="str">
        <f>IFERROR(VLOOKUP($A104,#REF!,15,0),"")</f>
        <v/>
      </c>
      <c r="V104" s="359" t="str">
        <f>IFERROR(VLOOKUP($A104,#REF!,16,0),"")</f>
        <v/>
      </c>
      <c r="W104" s="359" t="str">
        <f>IFERROR(VLOOKUP($A104,#REF!,17,0),"")</f>
        <v/>
      </c>
      <c r="X104" s="359" t="str">
        <f>IFERROR(VLOOKUP($A104,#REF!,18,0),"")</f>
        <v/>
      </c>
      <c r="Y104" s="359" t="str">
        <f>IFERROR(VLOOKUP($A104,#REF!,19,0),"")</f>
        <v/>
      </c>
      <c r="Z104" s="400" t="str">
        <f>IFERROR(VLOOKUP($A104,#REF!,21,0),"")</f>
        <v/>
      </c>
      <c r="AA104" s="358"/>
      <c r="AB104" s="358"/>
      <c r="AC104" s="358" t="s">
        <v>1721</v>
      </c>
      <c r="AD104" s="358"/>
      <c r="AE104" s="358"/>
      <c r="AF104" s="141" t="s">
        <v>3237</v>
      </c>
      <c r="AG104" s="358"/>
      <c r="AH104" s="358"/>
      <c r="AI104" s="358"/>
      <c r="AJ104" s="358"/>
      <c r="AK104" s="358"/>
      <c r="AL104" s="358"/>
      <c r="AM104" s="358"/>
      <c r="AN104" s="358" t="s">
        <v>113</v>
      </c>
      <c r="AO104" s="327" t="s">
        <v>30</v>
      </c>
      <c r="AP104" s="380">
        <v>46063</v>
      </c>
      <c r="AQ104" s="384" t="s">
        <v>67</v>
      </c>
      <c r="AR104" s="358" t="s">
        <v>32</v>
      </c>
      <c r="AS104" s="358">
        <v>1</v>
      </c>
      <c r="AT104" s="384" t="s">
        <v>67</v>
      </c>
      <c r="AU104" s="380">
        <v>46063</v>
      </c>
      <c r="AV104" s="100" t="s">
        <v>113</v>
      </c>
      <c r="AW104" s="95"/>
      <c r="AX104" s="95"/>
      <c r="AY104" s="100"/>
      <c r="AZ104" s="100"/>
      <c r="BA104" s="100"/>
      <c r="BB104" s="100"/>
      <c r="BC104" s="100"/>
      <c r="BD104" s="100"/>
      <c r="BE104" s="100"/>
      <c r="BF104" s="100"/>
      <c r="BG104" s="114"/>
      <c r="BH104" s="114"/>
      <c r="BI104" s="111"/>
      <c r="BJ104" s="111"/>
      <c r="BK104" s="114"/>
      <c r="BL104" s="360"/>
      <c r="BM104" s="6"/>
      <c r="BN104" s="6"/>
      <c r="BO104" s="6"/>
      <c r="BP104" s="6"/>
      <c r="BQ104" s="6"/>
      <c r="BR104" s="6"/>
      <c r="BS104" s="108"/>
      <c r="BT104" s="109"/>
      <c r="BU104" s="109"/>
      <c r="BV104" s="109"/>
      <c r="BW104" s="109"/>
      <c r="BZ104">
        <f t="shared" si="3"/>
        <v>1</v>
      </c>
    </row>
    <row r="105" spans="1:78" ht="15.75" hidden="1" customHeight="1">
      <c r="A105" s="35" t="str">
        <f t="shared" si="2"/>
        <v>ELPTMED_003/2646027,0833333333</v>
      </c>
      <c r="C105" s="358" t="s">
        <v>2342</v>
      </c>
      <c r="D105" s="358">
        <v>102</v>
      </c>
      <c r="E105" s="358" t="s">
        <v>3239</v>
      </c>
      <c r="F105" s="358" t="s">
        <v>2896</v>
      </c>
      <c r="G105" s="384">
        <v>46027.083333333336</v>
      </c>
      <c r="H105" s="358" t="s">
        <v>140</v>
      </c>
      <c r="I105" s="358">
        <v>4</v>
      </c>
      <c r="J105" s="359" t="str">
        <f>IFERROR(VLOOKUP($A105,#REF!,3,0),"")</f>
        <v/>
      </c>
      <c r="K105" s="359" t="str">
        <f>IFERROR(VLOOKUP($A105,#REF!,4,0),AF105)</f>
        <v>NA</v>
      </c>
      <c r="L105" s="359" t="str">
        <f>IFERROR(VLOOKUP($A105,#REF!,5,0),"")</f>
        <v/>
      </c>
      <c r="M105" s="359" t="str">
        <f>IFERROR(VLOOKUP($A105,#REF!,7,0),"")</f>
        <v/>
      </c>
      <c r="N105" s="359"/>
      <c r="O105" s="359" t="str">
        <f>IFERROR(VLOOKUP($A105,#REF!,6,0),"")</f>
        <v/>
      </c>
      <c r="P105" s="359" t="str">
        <f>IFERROR(VLOOKUP($A105,#REF!,9,0),"")</f>
        <v/>
      </c>
      <c r="Q105" s="359" t="str">
        <f>IFERROR(VLOOKUP($A105,#REF!,10,0),"")</f>
        <v/>
      </c>
      <c r="R105" s="359" t="str">
        <f>IFERROR(VLOOKUP($A105,#REF!,11,0),"")</f>
        <v/>
      </c>
      <c r="S105" s="359" t="str">
        <f>IFERROR(VLOOKUP($A105,#REF!,13,0),"")</f>
        <v/>
      </c>
      <c r="T105" s="359" t="str">
        <f>IFERROR(VLOOKUP($A105,#REF!,14,0),"")</f>
        <v/>
      </c>
      <c r="U105" s="359" t="str">
        <f>IFERROR(VLOOKUP($A105,#REF!,15,0),"")</f>
        <v/>
      </c>
      <c r="V105" s="359" t="str">
        <f>IFERROR(VLOOKUP($A105,#REF!,16,0),"")</f>
        <v/>
      </c>
      <c r="W105" s="359" t="str">
        <f>IFERROR(VLOOKUP($A105,#REF!,17,0),"")</f>
        <v/>
      </c>
      <c r="X105" s="359" t="str">
        <f>IFERROR(VLOOKUP($A105,#REF!,18,0),"")</f>
        <v/>
      </c>
      <c r="Y105" s="359" t="str">
        <f>IFERROR(VLOOKUP($A105,#REF!,19,0),"")</f>
        <v/>
      </c>
      <c r="Z105" s="400" t="str">
        <f>IFERROR(VLOOKUP($A105,#REF!,21,0),"")</f>
        <v/>
      </c>
      <c r="AA105" s="358"/>
      <c r="AB105" s="358"/>
      <c r="AC105" s="358" t="s">
        <v>1077</v>
      </c>
      <c r="AD105" s="358"/>
      <c r="AE105" s="358"/>
      <c r="AF105" s="141" t="s">
        <v>3237</v>
      </c>
      <c r="AG105" s="358"/>
      <c r="AH105" s="358"/>
      <c r="AI105" s="358"/>
      <c r="AJ105" s="358"/>
      <c r="AK105" s="358"/>
      <c r="AL105" s="358"/>
      <c r="AM105" s="358"/>
      <c r="AN105" s="358" t="s">
        <v>113</v>
      </c>
      <c r="AO105" s="327" t="s">
        <v>30</v>
      </c>
      <c r="AP105" s="380">
        <v>46063</v>
      </c>
      <c r="AQ105" s="384" t="s">
        <v>67</v>
      </c>
      <c r="AR105" s="358" t="s">
        <v>32</v>
      </c>
      <c r="AS105" s="358">
        <v>4</v>
      </c>
      <c r="AT105" s="384" t="s">
        <v>67</v>
      </c>
      <c r="AU105" s="380">
        <v>46063</v>
      </c>
      <c r="AV105" s="100" t="s">
        <v>113</v>
      </c>
      <c r="AW105" s="100"/>
      <c r="AX105" s="95"/>
      <c r="AY105" s="100"/>
      <c r="AZ105" s="95"/>
      <c r="BA105" s="100"/>
      <c r="BB105" s="100"/>
      <c r="BC105" s="100"/>
      <c r="BD105" s="100"/>
      <c r="BE105" s="100"/>
      <c r="BF105" s="100"/>
      <c r="BG105" s="114"/>
      <c r="BH105" s="114"/>
      <c r="BI105" s="114"/>
      <c r="BJ105" s="111"/>
      <c r="BK105" s="114"/>
      <c r="BL105" s="360"/>
      <c r="BM105" s="6"/>
      <c r="BN105" s="6"/>
      <c r="BO105" s="6"/>
      <c r="BP105" s="6"/>
      <c r="BQ105" s="6"/>
      <c r="BR105" s="6"/>
      <c r="BS105" s="108"/>
      <c r="BT105" s="109"/>
      <c r="BU105" s="109"/>
      <c r="BV105" s="109"/>
      <c r="BW105" s="109"/>
      <c r="BZ105">
        <f t="shared" si="3"/>
        <v>1</v>
      </c>
    </row>
    <row r="106" spans="1:78" ht="15.75" hidden="1" customHeight="1">
      <c r="A106" s="35" t="str">
        <f t="shared" si="2"/>
        <v>ELPTMED_004/2646027</v>
      </c>
      <c r="C106" s="358" t="s">
        <v>2342</v>
      </c>
      <c r="D106" s="358">
        <v>103</v>
      </c>
      <c r="E106" s="358" t="s">
        <v>3240</v>
      </c>
      <c r="F106" s="358" t="s">
        <v>1198</v>
      </c>
      <c r="G106" s="384">
        <v>46027</v>
      </c>
      <c r="H106" s="358" t="s">
        <v>140</v>
      </c>
      <c r="I106" s="358">
        <v>22</v>
      </c>
      <c r="J106" s="359" t="str">
        <f>IFERROR(VLOOKUP($A106,#REF!,3,0),"")</f>
        <v/>
      </c>
      <c r="K106" s="359" t="str">
        <f>IFERROR(VLOOKUP($A106,#REF!,4,0),AF106)</f>
        <v>NA</v>
      </c>
      <c r="L106" s="359" t="str">
        <f>IFERROR(VLOOKUP($A106,#REF!,5,0),"")</f>
        <v/>
      </c>
      <c r="M106" s="359" t="str">
        <f>IFERROR(VLOOKUP($A106,#REF!,7,0),"")</f>
        <v/>
      </c>
      <c r="N106" s="359"/>
      <c r="O106" s="359" t="str">
        <f>IFERROR(VLOOKUP($A106,#REF!,6,0),"")</f>
        <v/>
      </c>
      <c r="P106" s="359" t="str">
        <f>IFERROR(VLOOKUP($A106,#REF!,9,0),"")</f>
        <v/>
      </c>
      <c r="Q106" s="359" t="str">
        <f>IFERROR(VLOOKUP($A106,#REF!,10,0),"")</f>
        <v/>
      </c>
      <c r="R106" s="359" t="str">
        <f>IFERROR(VLOOKUP($A106,#REF!,11,0),"")</f>
        <v/>
      </c>
      <c r="S106" s="359" t="str">
        <f>IFERROR(VLOOKUP($A106,#REF!,13,0),"")</f>
        <v/>
      </c>
      <c r="T106" s="359" t="str">
        <f>IFERROR(VLOOKUP($A106,#REF!,14,0),"")</f>
        <v/>
      </c>
      <c r="U106" s="359" t="str">
        <f>IFERROR(VLOOKUP($A106,#REF!,15,0),"")</f>
        <v/>
      </c>
      <c r="V106" s="359" t="str">
        <f>IFERROR(VLOOKUP($A106,#REF!,16,0),"")</f>
        <v/>
      </c>
      <c r="W106" s="359" t="str">
        <f>IFERROR(VLOOKUP($A106,#REF!,17,0),"")</f>
        <v/>
      </c>
      <c r="X106" s="359" t="str">
        <f>IFERROR(VLOOKUP($A106,#REF!,18,0),"")</f>
        <v/>
      </c>
      <c r="Y106" s="359" t="str">
        <f>IFERROR(VLOOKUP($A106,#REF!,19,0),"")</f>
        <v/>
      </c>
      <c r="Z106" s="400" t="str">
        <f>IFERROR(VLOOKUP($A106,#REF!,21,0),"")</f>
        <v/>
      </c>
      <c r="AA106" s="358"/>
      <c r="AB106" s="358"/>
      <c r="AC106" s="358" t="s">
        <v>1853</v>
      </c>
      <c r="AD106" s="358"/>
      <c r="AE106" s="358"/>
      <c r="AF106" s="141" t="s">
        <v>3237</v>
      </c>
      <c r="AG106" s="358"/>
      <c r="AH106" s="358"/>
      <c r="AI106" s="358"/>
      <c r="AJ106" s="358"/>
      <c r="AK106" s="358"/>
      <c r="AL106" s="358"/>
      <c r="AM106" s="358"/>
      <c r="AN106" s="358" t="s">
        <v>113</v>
      </c>
      <c r="AO106" s="327" t="s">
        <v>30</v>
      </c>
      <c r="AP106" s="380">
        <v>46063</v>
      </c>
      <c r="AQ106" s="384" t="s">
        <v>67</v>
      </c>
      <c r="AR106" s="358" t="s">
        <v>32</v>
      </c>
      <c r="AS106" s="358">
        <v>23</v>
      </c>
      <c r="AT106" s="384" t="s">
        <v>67</v>
      </c>
      <c r="AU106" s="380">
        <v>46063</v>
      </c>
      <c r="AV106" s="100" t="s">
        <v>113</v>
      </c>
      <c r="AW106" s="100"/>
      <c r="AX106" s="95"/>
      <c r="AY106" s="100"/>
      <c r="AZ106" s="100"/>
      <c r="BA106" s="100"/>
      <c r="BB106" s="100"/>
      <c r="BC106" s="100"/>
      <c r="BD106" s="100"/>
      <c r="BE106" s="100"/>
      <c r="BF106" s="100"/>
      <c r="BG106" s="114"/>
      <c r="BH106" s="114"/>
      <c r="BI106" s="114"/>
      <c r="BJ106" s="111"/>
      <c r="BK106" s="114"/>
      <c r="BL106" s="360"/>
      <c r="BN106"/>
      <c r="BO106"/>
      <c r="BP106"/>
      <c r="BQ106"/>
      <c r="BR106"/>
      <c r="BS106"/>
      <c r="BT106"/>
      <c r="BU106"/>
      <c r="BV106"/>
      <c r="BW106" s="109"/>
      <c r="BZ106">
        <f t="shared" si="3"/>
        <v>1</v>
      </c>
    </row>
    <row r="107" spans="1:78" ht="15.75" hidden="1" customHeight="1">
      <c r="A107" s="35" t="str">
        <f t="shared" si="2"/>
        <v>ELPTMED_005/2646027,375</v>
      </c>
      <c r="C107" s="358" t="s">
        <v>2342</v>
      </c>
      <c r="D107" s="358">
        <v>104</v>
      </c>
      <c r="E107" s="358" t="s">
        <v>3241</v>
      </c>
      <c r="F107" s="358" t="s">
        <v>3242</v>
      </c>
      <c r="G107" s="384">
        <v>46027.375</v>
      </c>
      <c r="H107" s="358" t="s">
        <v>140</v>
      </c>
      <c r="I107" s="358">
        <v>15</v>
      </c>
      <c r="J107" s="359" t="str">
        <f>IFERROR(VLOOKUP($A107,#REF!,3,0),"")</f>
        <v/>
      </c>
      <c r="K107" s="359" t="str">
        <f>IFERROR(VLOOKUP($A107,#REF!,4,0),AF107)</f>
        <v>NA</v>
      </c>
      <c r="L107" s="359" t="str">
        <f>IFERROR(VLOOKUP($A107,#REF!,5,0),"")</f>
        <v/>
      </c>
      <c r="M107" s="359" t="str">
        <f>IFERROR(VLOOKUP($A107,#REF!,7,0),"")</f>
        <v/>
      </c>
      <c r="N107" s="359"/>
      <c r="O107" s="359" t="str">
        <f>IFERROR(VLOOKUP($A107,#REF!,6,0),"")</f>
        <v/>
      </c>
      <c r="P107" s="359" t="str">
        <f>IFERROR(VLOOKUP($A107,#REF!,9,0),"")</f>
        <v/>
      </c>
      <c r="Q107" s="359" t="str">
        <f>IFERROR(VLOOKUP($A107,#REF!,10,0),"")</f>
        <v/>
      </c>
      <c r="R107" s="359" t="str">
        <f>IFERROR(VLOOKUP($A107,#REF!,11,0),"")</f>
        <v/>
      </c>
      <c r="S107" s="359" t="str">
        <f>IFERROR(VLOOKUP($A107,#REF!,13,0),"")</f>
        <v/>
      </c>
      <c r="T107" s="359" t="str">
        <f>IFERROR(VLOOKUP($A107,#REF!,14,0),"")</f>
        <v/>
      </c>
      <c r="U107" s="359" t="str">
        <f>IFERROR(VLOOKUP($A107,#REF!,15,0),"")</f>
        <v/>
      </c>
      <c r="V107" s="359" t="str">
        <f>IFERROR(VLOOKUP($A107,#REF!,16,0),"")</f>
        <v/>
      </c>
      <c r="W107" s="359" t="str">
        <f>IFERROR(VLOOKUP($A107,#REF!,17,0),"")</f>
        <v/>
      </c>
      <c r="X107" s="359" t="str">
        <f>IFERROR(VLOOKUP($A107,#REF!,18,0),"")</f>
        <v/>
      </c>
      <c r="Y107" s="359" t="str">
        <f>IFERROR(VLOOKUP($A107,#REF!,19,0),"")</f>
        <v/>
      </c>
      <c r="Z107" s="400" t="str">
        <f>IFERROR(VLOOKUP($A107,#REF!,21,0),"")</f>
        <v/>
      </c>
      <c r="AA107" s="358"/>
      <c r="AB107" s="358"/>
      <c r="AC107" s="358" t="s">
        <v>3243</v>
      </c>
      <c r="AD107" s="358"/>
      <c r="AE107" s="358"/>
      <c r="AF107" s="141" t="s">
        <v>3237</v>
      </c>
      <c r="AG107" s="358"/>
      <c r="AH107" s="358"/>
      <c r="AI107" s="358"/>
      <c r="AJ107" s="358"/>
      <c r="AK107" s="358"/>
      <c r="AL107" s="358"/>
      <c r="AM107" s="358"/>
      <c r="AN107" s="358" t="s">
        <v>113</v>
      </c>
      <c r="AO107" s="327" t="s">
        <v>30</v>
      </c>
      <c r="AP107" s="380">
        <v>46077</v>
      </c>
      <c r="AQ107" s="384" t="s">
        <v>67</v>
      </c>
      <c r="AR107" s="358" t="s">
        <v>32</v>
      </c>
      <c r="AS107" s="358">
        <v>14</v>
      </c>
      <c r="AT107" s="384" t="s">
        <v>67</v>
      </c>
      <c r="AU107" s="380">
        <v>46077</v>
      </c>
      <c r="AV107" s="100" t="s">
        <v>113</v>
      </c>
      <c r="AW107" s="95"/>
      <c r="AX107" s="107"/>
      <c r="AY107" s="100"/>
      <c r="AZ107" s="100"/>
      <c r="BA107" s="100"/>
      <c r="BB107" s="100"/>
      <c r="BC107" s="100"/>
      <c r="BD107" s="100"/>
      <c r="BE107" s="100"/>
      <c r="BF107" s="100"/>
      <c r="BG107" s="114"/>
      <c r="BH107" s="114"/>
      <c r="BI107" s="114"/>
      <c r="BJ107" s="111"/>
      <c r="BK107" s="114"/>
      <c r="BL107" s="360"/>
      <c r="BN107"/>
      <c r="BO107"/>
      <c r="BP107"/>
      <c r="BQ107"/>
      <c r="BR107" s="88"/>
      <c r="BS107" s="72"/>
      <c r="BT107" s="72"/>
      <c r="BU107" s="72"/>
      <c r="BV107" s="72"/>
      <c r="BW107" s="109"/>
      <c r="BZ107">
        <f t="shared" si="3"/>
        <v>1</v>
      </c>
    </row>
    <row r="108" spans="1:78" ht="15.75" hidden="1" customHeight="1">
      <c r="A108" s="35" t="str">
        <f t="shared" si="2"/>
        <v>ELPTMED_006/2646027,0416666667</v>
      </c>
      <c r="C108" s="358" t="s">
        <v>2342</v>
      </c>
      <c r="D108" s="358">
        <v>105</v>
      </c>
      <c r="E108" s="358" t="s">
        <v>3244</v>
      </c>
      <c r="F108" s="358" t="s">
        <v>1184</v>
      </c>
      <c r="G108" s="384">
        <v>46027.041666666664</v>
      </c>
      <c r="H108" s="358" t="s">
        <v>140</v>
      </c>
      <c r="I108" s="358">
        <v>1</v>
      </c>
      <c r="J108" s="359" t="str">
        <f>IFERROR(VLOOKUP($A108,#REF!,3,0),"")</f>
        <v/>
      </c>
      <c r="K108" s="359" t="str">
        <f>IFERROR(VLOOKUP($A108,#REF!,4,0),AF108)</f>
        <v>NA</v>
      </c>
      <c r="L108" s="359" t="str">
        <f>IFERROR(VLOOKUP($A108,#REF!,5,0),"")</f>
        <v/>
      </c>
      <c r="M108" s="359" t="str">
        <f>IFERROR(VLOOKUP($A108,#REF!,7,0),"")</f>
        <v/>
      </c>
      <c r="N108" s="359"/>
      <c r="O108" s="359" t="str">
        <f>IFERROR(VLOOKUP($A108,#REF!,6,0),"")</f>
        <v/>
      </c>
      <c r="P108" s="359" t="str">
        <f>IFERROR(VLOOKUP($A108,#REF!,9,0),"")</f>
        <v/>
      </c>
      <c r="Q108" s="359" t="str">
        <f>IFERROR(VLOOKUP($A108,#REF!,10,0),"")</f>
        <v/>
      </c>
      <c r="R108" s="359" t="str">
        <f>IFERROR(VLOOKUP($A108,#REF!,11,0),"")</f>
        <v/>
      </c>
      <c r="S108" s="359" t="str">
        <f>IFERROR(VLOOKUP($A108,#REF!,13,0),"")</f>
        <v/>
      </c>
      <c r="T108" s="359" t="str">
        <f>IFERROR(VLOOKUP($A108,#REF!,14,0),"")</f>
        <v/>
      </c>
      <c r="U108" s="359" t="str">
        <f>IFERROR(VLOOKUP($A108,#REF!,15,0),"")</f>
        <v/>
      </c>
      <c r="V108" s="359" t="str">
        <f>IFERROR(VLOOKUP($A108,#REF!,16,0),"")</f>
        <v/>
      </c>
      <c r="W108" s="359" t="str">
        <f>IFERROR(VLOOKUP($A108,#REF!,17,0),"")</f>
        <v/>
      </c>
      <c r="X108" s="359" t="str">
        <f>IFERROR(VLOOKUP($A108,#REF!,18,0),"")</f>
        <v/>
      </c>
      <c r="Y108" s="359" t="str">
        <f>IFERROR(VLOOKUP($A108,#REF!,19,0),"")</f>
        <v/>
      </c>
      <c r="Z108" s="400" t="str">
        <f>IFERROR(VLOOKUP($A108,#REF!,21,0),"")</f>
        <v/>
      </c>
      <c r="AA108" s="358"/>
      <c r="AB108" s="358"/>
      <c r="AC108" s="358" t="s">
        <v>127</v>
      </c>
      <c r="AD108" s="358"/>
      <c r="AE108" s="358"/>
      <c r="AF108" s="141" t="s">
        <v>3237</v>
      </c>
      <c r="AG108" s="358"/>
      <c r="AH108" s="358"/>
      <c r="AI108" s="358"/>
      <c r="AJ108" s="358"/>
      <c r="AK108" s="358"/>
      <c r="AL108" s="358"/>
      <c r="AM108" s="358"/>
      <c r="AN108" s="358" t="s">
        <v>113</v>
      </c>
      <c r="AO108" s="327" t="s">
        <v>30</v>
      </c>
      <c r="AP108" s="380">
        <v>46077</v>
      </c>
      <c r="AQ108" s="384" t="s">
        <v>67</v>
      </c>
      <c r="AR108" s="358" t="s">
        <v>32</v>
      </c>
      <c r="AS108" s="358">
        <v>1</v>
      </c>
      <c r="AT108" s="384" t="s">
        <v>67</v>
      </c>
      <c r="AU108" s="380">
        <v>46077</v>
      </c>
      <c r="AV108" s="100" t="s">
        <v>113</v>
      </c>
      <c r="AW108" s="100"/>
      <c r="AX108" s="95"/>
      <c r="AY108" s="95"/>
      <c r="AZ108" s="95"/>
      <c r="BA108" s="95"/>
      <c r="BB108" s="100"/>
      <c r="BC108" s="100"/>
      <c r="BD108" s="100"/>
      <c r="BE108" s="100"/>
      <c r="BF108" s="100"/>
      <c r="BG108" s="114"/>
      <c r="BH108" s="100"/>
      <c r="BI108" s="100"/>
      <c r="BJ108" s="100"/>
      <c r="BK108" s="114"/>
      <c r="BL108" s="360"/>
      <c r="BN108"/>
      <c r="BO108"/>
      <c r="BP108"/>
      <c r="BQ108"/>
      <c r="BR108"/>
      <c r="BS108" s="72"/>
      <c r="BW108" s="109"/>
      <c r="BZ108">
        <f t="shared" si="3"/>
        <v>1</v>
      </c>
    </row>
    <row r="109" spans="1:78" ht="15.75" hidden="1" customHeight="1">
      <c r="A109" s="35" t="str">
        <f t="shared" si="2"/>
        <v>ELPTMED_007/2646027,0833333333</v>
      </c>
      <c r="C109" s="358" t="s">
        <v>2342</v>
      </c>
      <c r="D109" s="358">
        <v>106</v>
      </c>
      <c r="E109" s="358" t="s">
        <v>3245</v>
      </c>
      <c r="F109" s="358" t="s">
        <v>779</v>
      </c>
      <c r="G109" s="384">
        <v>46027.083333333336</v>
      </c>
      <c r="H109" s="358" t="s">
        <v>140</v>
      </c>
      <c r="I109" s="358">
        <v>6</v>
      </c>
      <c r="J109" s="359" t="str">
        <f>IFERROR(VLOOKUP($A109,#REF!,3,0),"")</f>
        <v/>
      </c>
      <c r="K109" s="359" t="str">
        <f>IFERROR(VLOOKUP($A109,#REF!,4,0),AF109)</f>
        <v>NA</v>
      </c>
      <c r="L109" s="359" t="str">
        <f>IFERROR(VLOOKUP($A109,#REF!,5,0),"")</f>
        <v/>
      </c>
      <c r="M109" s="359" t="str">
        <f>IFERROR(VLOOKUP($A109,#REF!,7,0),"")</f>
        <v/>
      </c>
      <c r="N109" s="359"/>
      <c r="O109" s="359" t="str">
        <f>IFERROR(VLOOKUP($A109,#REF!,6,0),"")</f>
        <v/>
      </c>
      <c r="P109" s="359" t="str">
        <f>IFERROR(VLOOKUP($A109,#REF!,9,0),"")</f>
        <v/>
      </c>
      <c r="Q109" s="359" t="str">
        <f>IFERROR(VLOOKUP($A109,#REF!,10,0),"")</f>
        <v/>
      </c>
      <c r="R109" s="359" t="str">
        <f>IFERROR(VLOOKUP($A109,#REF!,11,0),"")</f>
        <v/>
      </c>
      <c r="S109" s="359" t="str">
        <f>IFERROR(VLOOKUP($A109,#REF!,13,0),"")</f>
        <v/>
      </c>
      <c r="T109" s="359" t="str">
        <f>IFERROR(VLOOKUP($A109,#REF!,14,0),"")</f>
        <v/>
      </c>
      <c r="U109" s="359" t="str">
        <f>IFERROR(VLOOKUP($A109,#REF!,15,0),"")</f>
        <v/>
      </c>
      <c r="V109" s="359" t="str">
        <f>IFERROR(VLOOKUP($A109,#REF!,16,0),"")</f>
        <v/>
      </c>
      <c r="W109" s="359" t="str">
        <f>IFERROR(VLOOKUP($A109,#REF!,17,0),"")</f>
        <v/>
      </c>
      <c r="X109" s="359" t="str">
        <f>IFERROR(VLOOKUP($A109,#REF!,18,0),"")</f>
        <v/>
      </c>
      <c r="Y109" s="359" t="str">
        <f>IFERROR(VLOOKUP($A109,#REF!,19,0),"")</f>
        <v/>
      </c>
      <c r="Z109" s="400" t="str">
        <f>IFERROR(VLOOKUP($A109,#REF!,21,0),"")</f>
        <v/>
      </c>
      <c r="AA109" s="358"/>
      <c r="AB109" s="358"/>
      <c r="AC109" s="358" t="s">
        <v>3246</v>
      </c>
      <c r="AD109" s="358"/>
      <c r="AE109" s="102"/>
      <c r="AF109" s="141" t="s">
        <v>3237</v>
      </c>
      <c r="AG109" s="358"/>
      <c r="AH109" s="358"/>
      <c r="AI109" s="358"/>
      <c r="AJ109" s="358"/>
      <c r="AK109" s="358"/>
      <c r="AL109" s="358"/>
      <c r="AM109" s="358"/>
      <c r="AN109" s="358" t="s">
        <v>113</v>
      </c>
      <c r="AO109" s="327" t="s">
        <v>30</v>
      </c>
      <c r="AP109" s="380">
        <v>46082</v>
      </c>
      <c r="AQ109" s="384" t="s">
        <v>67</v>
      </c>
      <c r="AR109" s="358" t="s">
        <v>32</v>
      </c>
      <c r="AS109" s="358">
        <v>7</v>
      </c>
      <c r="AT109" s="384" t="s">
        <v>67</v>
      </c>
      <c r="AU109" s="380">
        <v>46082</v>
      </c>
      <c r="AV109" s="100" t="s">
        <v>113</v>
      </c>
      <c r="AW109" s="95"/>
      <c r="AX109" s="95"/>
      <c r="AY109" s="100"/>
      <c r="AZ109" s="100"/>
      <c r="BA109" s="100"/>
      <c r="BB109" s="100"/>
      <c r="BC109" s="100"/>
      <c r="BD109" s="100"/>
      <c r="BE109" s="100"/>
      <c r="BF109" s="100"/>
      <c r="BG109" s="114"/>
      <c r="BH109" s="111"/>
      <c r="BI109" s="111"/>
      <c r="BJ109" s="111"/>
      <c r="BK109" s="114"/>
      <c r="BL109" s="360"/>
      <c r="BN109"/>
      <c r="BO109"/>
      <c r="BP109"/>
      <c r="BQ109"/>
      <c r="BR109"/>
      <c r="BS109"/>
      <c r="BT109"/>
      <c r="BU109"/>
      <c r="BV109"/>
      <c r="BW109" s="109"/>
      <c r="BZ109">
        <f t="shared" si="3"/>
        <v>1</v>
      </c>
    </row>
    <row r="110" spans="1:78" ht="15.75" hidden="1" customHeight="1">
      <c r="A110" s="35" t="str">
        <f t="shared" si="2"/>
        <v>ELPTMED_008/2646027</v>
      </c>
      <c r="C110" s="358" t="s">
        <v>2342</v>
      </c>
      <c r="D110" s="358">
        <v>107</v>
      </c>
      <c r="E110" s="358" t="s">
        <v>3247</v>
      </c>
      <c r="F110" s="358" t="s">
        <v>1565</v>
      </c>
      <c r="G110" s="384">
        <v>46027</v>
      </c>
      <c r="H110" s="358" t="s">
        <v>140</v>
      </c>
      <c r="I110" s="358">
        <v>3</v>
      </c>
      <c r="J110" s="359" t="str">
        <f>IFERROR(VLOOKUP($A110,#REF!,3,0),"")</f>
        <v/>
      </c>
      <c r="K110" s="359" t="str">
        <f>IFERROR(VLOOKUP($A110,#REF!,4,0),AF110)</f>
        <v>NA</v>
      </c>
      <c r="L110" s="359" t="str">
        <f>IFERROR(VLOOKUP($A110,#REF!,5,0),"")</f>
        <v/>
      </c>
      <c r="M110" s="359" t="str">
        <f>IFERROR(VLOOKUP($A110,#REF!,7,0),"")</f>
        <v/>
      </c>
      <c r="N110" s="359"/>
      <c r="O110" s="359" t="str">
        <f>IFERROR(VLOOKUP($A110,#REF!,6,0),"")</f>
        <v/>
      </c>
      <c r="P110" s="359" t="str">
        <f>IFERROR(VLOOKUP($A110,#REF!,9,0),"")</f>
        <v/>
      </c>
      <c r="Q110" s="359" t="str">
        <f>IFERROR(VLOOKUP($A110,#REF!,10,0),"")</f>
        <v/>
      </c>
      <c r="R110" s="359" t="str">
        <f>IFERROR(VLOOKUP($A110,#REF!,11,0),"")</f>
        <v/>
      </c>
      <c r="S110" s="359" t="str">
        <f>IFERROR(VLOOKUP($A110,#REF!,13,0),"")</f>
        <v/>
      </c>
      <c r="T110" s="359" t="str">
        <f>IFERROR(VLOOKUP($A110,#REF!,14,0),"")</f>
        <v/>
      </c>
      <c r="U110" s="359" t="str">
        <f>IFERROR(VLOOKUP($A110,#REF!,15,0),"")</f>
        <v/>
      </c>
      <c r="V110" s="359" t="str">
        <f>IFERROR(VLOOKUP($A110,#REF!,16,0),"")</f>
        <v/>
      </c>
      <c r="W110" s="359" t="str">
        <f>IFERROR(VLOOKUP($A110,#REF!,17,0),"")</f>
        <v/>
      </c>
      <c r="X110" s="359" t="str">
        <f>IFERROR(VLOOKUP($A110,#REF!,18,0),"")</f>
        <v/>
      </c>
      <c r="Y110" s="359" t="str">
        <f>IFERROR(VLOOKUP($A110,#REF!,19,0),"")</f>
        <v/>
      </c>
      <c r="Z110" s="400" t="str">
        <f>IFERROR(VLOOKUP($A110,#REF!,21,0),"")</f>
        <v/>
      </c>
      <c r="AA110" s="358"/>
      <c r="AB110" s="358"/>
      <c r="AC110" s="359" t="s">
        <v>1077</v>
      </c>
      <c r="AD110" s="358"/>
      <c r="AE110" s="102"/>
      <c r="AF110" s="141" t="s">
        <v>3237</v>
      </c>
      <c r="AG110" s="358"/>
      <c r="AH110" s="358"/>
      <c r="AI110" s="358"/>
      <c r="AJ110" s="358"/>
      <c r="AK110" s="358"/>
      <c r="AL110" s="358"/>
      <c r="AM110" s="358"/>
      <c r="AN110" s="358" t="s">
        <v>113</v>
      </c>
      <c r="AO110" s="327" t="s">
        <v>30</v>
      </c>
      <c r="AP110" s="380">
        <v>46078</v>
      </c>
      <c r="AQ110" s="384" t="s">
        <v>67</v>
      </c>
      <c r="AR110" s="358" t="s">
        <v>32</v>
      </c>
      <c r="AS110" s="358">
        <v>3</v>
      </c>
      <c r="AT110" s="384" t="s">
        <v>67</v>
      </c>
      <c r="AU110" s="380">
        <v>46078</v>
      </c>
      <c r="AV110" s="100" t="s">
        <v>113</v>
      </c>
      <c r="AW110" s="95"/>
      <c r="AX110" s="95"/>
      <c r="AY110" s="100"/>
      <c r="AZ110" s="100"/>
      <c r="BA110" s="100"/>
      <c r="BB110" s="100"/>
      <c r="BC110" s="100"/>
      <c r="BD110" s="100"/>
      <c r="BE110" s="100"/>
      <c r="BF110" s="100"/>
      <c r="BG110" s="114"/>
      <c r="BH110" s="114"/>
      <c r="BI110" s="114"/>
      <c r="BJ110" s="114"/>
      <c r="BK110" s="114"/>
      <c r="BL110" s="360"/>
      <c r="BN110"/>
      <c r="BO110"/>
      <c r="BP110"/>
      <c r="BQ110"/>
      <c r="BR110"/>
      <c r="BS110"/>
      <c r="BT110"/>
      <c r="BU110"/>
      <c r="BV110"/>
      <c r="BW110" s="109"/>
      <c r="BZ110">
        <f t="shared" si="3"/>
        <v>1</v>
      </c>
    </row>
    <row r="111" spans="1:78" ht="15.75" hidden="1" customHeight="1">
      <c r="A111" s="35" t="str">
        <f t="shared" si="2"/>
        <v>ELPTMED_009/2646027,0416666667</v>
      </c>
      <c r="C111" s="358" t="s">
        <v>2342</v>
      </c>
      <c r="D111" s="358">
        <v>108</v>
      </c>
      <c r="E111" s="358" t="s">
        <v>3248</v>
      </c>
      <c r="F111" s="358" t="s">
        <v>3249</v>
      </c>
      <c r="G111" s="384">
        <v>46027.041666666664</v>
      </c>
      <c r="H111" s="358" t="s">
        <v>140</v>
      </c>
      <c r="I111" s="358">
        <v>12</v>
      </c>
      <c r="J111" s="359" t="str">
        <f>IFERROR(VLOOKUP($A111,#REF!,3,0),"")</f>
        <v/>
      </c>
      <c r="K111" s="359" t="str">
        <f>IFERROR(VLOOKUP($A111,#REF!,4,0),AF111)</f>
        <v>NA</v>
      </c>
      <c r="L111" s="359" t="str">
        <f>IFERROR(VLOOKUP($A111,#REF!,5,0),"")</f>
        <v/>
      </c>
      <c r="M111" s="359" t="str">
        <f>IFERROR(VLOOKUP($A111,#REF!,7,0),"")</f>
        <v/>
      </c>
      <c r="N111" s="359"/>
      <c r="O111" s="359" t="str">
        <f>IFERROR(VLOOKUP($A111,#REF!,6,0),"")</f>
        <v/>
      </c>
      <c r="P111" s="359" t="str">
        <f>IFERROR(VLOOKUP($A111,#REF!,9,0),"")</f>
        <v/>
      </c>
      <c r="Q111" s="359" t="str">
        <f>IFERROR(VLOOKUP($A111,#REF!,10,0),"")</f>
        <v/>
      </c>
      <c r="R111" s="359" t="str">
        <f>IFERROR(VLOOKUP($A111,#REF!,11,0),"")</f>
        <v/>
      </c>
      <c r="S111" s="359" t="str">
        <f>IFERROR(VLOOKUP($A111,#REF!,13,0),"")</f>
        <v/>
      </c>
      <c r="T111" s="359" t="str">
        <f>IFERROR(VLOOKUP($A111,#REF!,14,0),"")</f>
        <v/>
      </c>
      <c r="U111" s="359" t="str">
        <f>IFERROR(VLOOKUP($A111,#REF!,15,0),"")</f>
        <v/>
      </c>
      <c r="V111" s="359" t="str">
        <f>IFERROR(VLOOKUP($A111,#REF!,16,0),"")</f>
        <v/>
      </c>
      <c r="W111" s="359" t="str">
        <f>IFERROR(VLOOKUP($A111,#REF!,17,0),"")</f>
        <v/>
      </c>
      <c r="X111" s="359" t="str">
        <f>IFERROR(VLOOKUP($A111,#REF!,18,0),"")</f>
        <v/>
      </c>
      <c r="Y111" s="359" t="str">
        <f>IFERROR(VLOOKUP($A111,#REF!,19,0),"")</f>
        <v/>
      </c>
      <c r="Z111" s="400" t="str">
        <f>IFERROR(VLOOKUP($A111,#REF!,21,0),"")</f>
        <v/>
      </c>
      <c r="AA111" s="358"/>
      <c r="AB111" s="358"/>
      <c r="AC111" s="358" t="s">
        <v>127</v>
      </c>
      <c r="AD111" s="358"/>
      <c r="AE111" s="102"/>
      <c r="AF111" s="141" t="s">
        <v>3237</v>
      </c>
      <c r="AG111" s="358"/>
      <c r="AH111" s="358"/>
      <c r="AI111" s="358"/>
      <c r="AJ111" s="358"/>
      <c r="AK111" s="358"/>
      <c r="AL111" s="358"/>
      <c r="AM111" s="358"/>
      <c r="AN111" s="358" t="s">
        <v>113</v>
      </c>
      <c r="AO111" s="327" t="s">
        <v>30</v>
      </c>
      <c r="AP111" s="380">
        <v>46077</v>
      </c>
      <c r="AQ111" s="384" t="s">
        <v>67</v>
      </c>
      <c r="AR111" s="358" t="s">
        <v>32</v>
      </c>
      <c r="AS111" s="358">
        <v>5</v>
      </c>
      <c r="AT111" s="384" t="s">
        <v>67</v>
      </c>
      <c r="AU111" s="380">
        <v>46077</v>
      </c>
      <c r="AV111" s="100" t="s">
        <v>113</v>
      </c>
      <c r="AW111" s="100"/>
      <c r="AX111" s="107"/>
      <c r="AY111" s="100"/>
      <c r="AZ111" s="100"/>
      <c r="BA111" s="100"/>
      <c r="BB111" s="100"/>
      <c r="BC111" s="100"/>
      <c r="BD111" s="100"/>
      <c r="BE111" s="100"/>
      <c r="BF111" s="100"/>
      <c r="BG111" s="114"/>
      <c r="BH111" s="100"/>
      <c r="BI111" s="100"/>
      <c r="BJ111" s="100"/>
      <c r="BK111" s="114"/>
      <c r="BL111" s="360"/>
      <c r="BN111" s="412"/>
      <c r="BO111" s="412"/>
      <c r="BP111" s="412"/>
      <c r="BQ111" s="412"/>
      <c r="BR111" s="412"/>
      <c r="BS111"/>
      <c r="BT111"/>
      <c r="BU111"/>
      <c r="BV111"/>
      <c r="BW111" s="109"/>
      <c r="BZ111">
        <f t="shared" si="3"/>
        <v>1</v>
      </c>
    </row>
    <row r="112" spans="1:78" ht="15.6" hidden="1" customHeight="1">
      <c r="A112" s="35" t="str">
        <f t="shared" si="2"/>
        <v>ELPTMED_010/2646027,2083333333</v>
      </c>
      <c r="C112" s="358" t="s">
        <v>2342</v>
      </c>
      <c r="D112" s="358">
        <v>109</v>
      </c>
      <c r="E112" s="358" t="s">
        <v>3250</v>
      </c>
      <c r="F112" s="358" t="s">
        <v>798</v>
      </c>
      <c r="G112" s="384">
        <v>46027.208333333336</v>
      </c>
      <c r="H112" s="358" t="s">
        <v>140</v>
      </c>
      <c r="I112" s="358">
        <v>4</v>
      </c>
      <c r="J112" s="359" t="str">
        <f>IFERROR(VLOOKUP($A112,#REF!,3,0),"")</f>
        <v/>
      </c>
      <c r="K112" s="359" t="str">
        <f>IFERROR(VLOOKUP($A112,#REF!,4,0),AF112)</f>
        <v>NA</v>
      </c>
      <c r="L112" s="359" t="str">
        <f>IFERROR(VLOOKUP($A112,#REF!,5,0),"")</f>
        <v/>
      </c>
      <c r="M112" s="359" t="str">
        <f>IFERROR(VLOOKUP($A112,#REF!,7,0),"")</f>
        <v/>
      </c>
      <c r="N112" s="359"/>
      <c r="O112" s="359" t="str">
        <f>IFERROR(VLOOKUP($A112,#REF!,6,0),"")</f>
        <v/>
      </c>
      <c r="P112" s="359" t="str">
        <f>IFERROR(VLOOKUP($A112,#REF!,9,0),"")</f>
        <v/>
      </c>
      <c r="Q112" s="359" t="str">
        <f>IFERROR(VLOOKUP($A112,#REF!,10,0),"")</f>
        <v/>
      </c>
      <c r="R112" s="359" t="str">
        <f>IFERROR(VLOOKUP($A112,#REF!,11,0),"")</f>
        <v/>
      </c>
      <c r="S112" s="359" t="str">
        <f>IFERROR(VLOOKUP($A112,#REF!,13,0),"")</f>
        <v/>
      </c>
      <c r="T112" s="359" t="str">
        <f>IFERROR(VLOOKUP($A112,#REF!,14,0),"")</f>
        <v/>
      </c>
      <c r="U112" s="359" t="str">
        <f>IFERROR(VLOOKUP($A112,#REF!,15,0),"")</f>
        <v/>
      </c>
      <c r="V112" s="359" t="str">
        <f>IFERROR(VLOOKUP($A112,#REF!,16,0),"")</f>
        <v/>
      </c>
      <c r="W112" s="359" t="str">
        <f>IFERROR(VLOOKUP($A112,#REF!,17,0),"")</f>
        <v/>
      </c>
      <c r="X112" s="359" t="str">
        <f>IFERROR(VLOOKUP($A112,#REF!,18,0),"")</f>
        <v/>
      </c>
      <c r="Y112" s="359" t="str">
        <f>IFERROR(VLOOKUP($A112,#REF!,19,0),"")</f>
        <v/>
      </c>
      <c r="Z112" s="400" t="str">
        <f>IFERROR(VLOOKUP($A112,#REF!,21,0),"")</f>
        <v/>
      </c>
      <c r="AA112" s="358"/>
      <c r="AB112" s="358"/>
      <c r="AC112" s="359" t="s">
        <v>1721</v>
      </c>
      <c r="AD112" s="358"/>
      <c r="AE112" s="102"/>
      <c r="AF112" s="141" t="s">
        <v>3237</v>
      </c>
      <c r="AG112" s="358"/>
      <c r="AH112" s="358"/>
      <c r="AI112" s="358"/>
      <c r="AJ112" s="358"/>
      <c r="AK112" s="358"/>
      <c r="AL112" s="358"/>
      <c r="AM112" s="358"/>
      <c r="AN112" s="358" t="s">
        <v>113</v>
      </c>
      <c r="AO112" s="327" t="s">
        <v>30</v>
      </c>
      <c r="AP112" s="380">
        <v>46082</v>
      </c>
      <c r="AQ112" s="384" t="s">
        <v>67</v>
      </c>
      <c r="AR112" s="358" t="s">
        <v>32</v>
      </c>
      <c r="AS112" s="358">
        <v>4</v>
      </c>
      <c r="AT112" s="384" t="s">
        <v>67</v>
      </c>
      <c r="AU112" s="380">
        <v>46082</v>
      </c>
      <c r="AV112" s="100" t="s">
        <v>113</v>
      </c>
      <c r="AW112" s="95"/>
      <c r="AX112" s="95"/>
      <c r="AY112" s="100"/>
      <c r="AZ112" s="100"/>
      <c r="BA112" s="100"/>
      <c r="BB112" s="100"/>
      <c r="BC112" s="100"/>
      <c r="BD112" s="100"/>
      <c r="BE112" s="100"/>
      <c r="BF112" s="100"/>
      <c r="BG112" s="114"/>
      <c r="BH112" s="111"/>
      <c r="BI112" s="111"/>
      <c r="BJ112" s="111"/>
      <c r="BK112" s="114"/>
      <c r="BL112" s="360"/>
      <c r="BN112"/>
      <c r="BO112"/>
      <c r="BP112"/>
      <c r="BQ112"/>
      <c r="BR112"/>
      <c r="BS112" s="72"/>
      <c r="BW112" s="109"/>
      <c r="BZ112">
        <f t="shared" si="3"/>
        <v>1</v>
      </c>
    </row>
    <row r="113" spans="1:78" ht="15.6" hidden="1" customHeight="1">
      <c r="A113" s="35" t="str">
        <f t="shared" si="2"/>
        <v>ELPTMED_012/2646027</v>
      </c>
      <c r="C113" s="358" t="s">
        <v>2342</v>
      </c>
      <c r="D113" s="358">
        <v>110</v>
      </c>
      <c r="E113" s="141" t="s">
        <v>3251</v>
      </c>
      <c r="F113" s="358" t="s">
        <v>2963</v>
      </c>
      <c r="G113" s="384">
        <v>46027</v>
      </c>
      <c r="H113" s="358" t="s">
        <v>140</v>
      </c>
      <c r="I113" s="358">
        <v>1</v>
      </c>
      <c r="J113" s="359" t="str">
        <f>IFERROR(VLOOKUP($A113,#REF!,3,0),"")</f>
        <v/>
      </c>
      <c r="K113" s="359" t="str">
        <f>IFERROR(VLOOKUP($A113,#REF!,4,0),AF113)</f>
        <v>NA</v>
      </c>
      <c r="L113" s="359" t="str">
        <f>IFERROR(VLOOKUP($A113,#REF!,5,0),"")</f>
        <v/>
      </c>
      <c r="M113" s="359" t="str">
        <f>IFERROR(VLOOKUP($A113,#REF!,7,0),"")</f>
        <v/>
      </c>
      <c r="N113" s="359"/>
      <c r="O113" s="359" t="str">
        <f>IFERROR(VLOOKUP($A113,#REF!,6,0),"")</f>
        <v/>
      </c>
      <c r="P113" s="359" t="str">
        <f>IFERROR(VLOOKUP($A113,#REF!,9,0),"")</f>
        <v/>
      </c>
      <c r="Q113" s="359" t="str">
        <f>IFERROR(VLOOKUP($A113,#REF!,10,0),"")</f>
        <v/>
      </c>
      <c r="R113" s="359" t="str">
        <f>IFERROR(VLOOKUP($A113,#REF!,11,0),"")</f>
        <v/>
      </c>
      <c r="S113" s="359" t="str">
        <f>IFERROR(VLOOKUP($A113,#REF!,13,0),"")</f>
        <v/>
      </c>
      <c r="T113" s="359" t="str">
        <f>IFERROR(VLOOKUP($A113,#REF!,14,0),"")</f>
        <v/>
      </c>
      <c r="U113" s="359" t="str">
        <f>IFERROR(VLOOKUP($A113,#REF!,15,0),"")</f>
        <v/>
      </c>
      <c r="V113" s="359" t="str">
        <f>IFERROR(VLOOKUP($A113,#REF!,16,0),"")</f>
        <v/>
      </c>
      <c r="W113" s="359" t="str">
        <f>IFERROR(VLOOKUP($A113,#REF!,17,0),"")</f>
        <v/>
      </c>
      <c r="X113" s="359" t="str">
        <f>IFERROR(VLOOKUP($A113,#REF!,18,0),"")</f>
        <v/>
      </c>
      <c r="Y113" s="359" t="str">
        <f>IFERROR(VLOOKUP($A113,#REF!,19,0),"")</f>
        <v/>
      </c>
      <c r="Z113" s="400" t="str">
        <f>IFERROR(VLOOKUP($A113,#REF!,21,0),"")</f>
        <v/>
      </c>
      <c r="AA113" s="358"/>
      <c r="AB113" s="358"/>
      <c r="AC113" s="359" t="s">
        <v>1721</v>
      </c>
      <c r="AD113" s="358"/>
      <c r="AE113" s="102"/>
      <c r="AF113" s="141" t="s">
        <v>3237</v>
      </c>
      <c r="AG113" s="358"/>
      <c r="AH113" s="358"/>
      <c r="AI113" s="358"/>
      <c r="AJ113" s="358"/>
      <c r="AK113" s="358"/>
      <c r="AL113" s="358"/>
      <c r="AM113" s="358"/>
      <c r="AN113" s="358" t="s">
        <v>113</v>
      </c>
      <c r="AO113" s="327" t="s">
        <v>30</v>
      </c>
      <c r="AP113" s="380">
        <v>46082</v>
      </c>
      <c r="AQ113" s="384" t="s">
        <v>67</v>
      </c>
      <c r="AR113" s="358" t="s">
        <v>32</v>
      </c>
      <c r="AS113" s="358">
        <v>1</v>
      </c>
      <c r="AT113" s="384" t="s">
        <v>67</v>
      </c>
      <c r="AU113" s="380">
        <v>46082</v>
      </c>
      <c r="AV113" s="100" t="s">
        <v>113</v>
      </c>
      <c r="AW113" s="95"/>
      <c r="AX113" s="95"/>
      <c r="AY113" s="100"/>
      <c r="AZ113" s="100"/>
      <c r="BA113" s="100"/>
      <c r="BB113" s="100"/>
      <c r="BC113" s="100"/>
      <c r="BD113" s="100"/>
      <c r="BE113" s="100"/>
      <c r="BF113" s="100"/>
      <c r="BG113" s="114"/>
      <c r="BH113" s="114"/>
      <c r="BI113" s="114"/>
      <c r="BJ113" s="114"/>
      <c r="BK113" s="114"/>
      <c r="BL113" s="360"/>
      <c r="BN113" s="412"/>
      <c r="BO113" s="412"/>
      <c r="BP113" s="412"/>
      <c r="BQ113" s="412"/>
      <c r="BR113" s="412"/>
      <c r="BS113"/>
      <c r="BT113"/>
      <c r="BU113"/>
      <c r="BV113"/>
      <c r="BW113" s="109"/>
      <c r="BZ113">
        <f t="shared" si="3"/>
        <v>1</v>
      </c>
    </row>
    <row r="114" spans="1:78" ht="15.6" hidden="1" customHeight="1">
      <c r="A114" s="35" t="str">
        <f t="shared" si="2"/>
        <v>ELPTMED_013/2646027,0416666667</v>
      </c>
      <c r="C114" s="358" t="s">
        <v>2342</v>
      </c>
      <c r="D114" s="358">
        <v>111</v>
      </c>
      <c r="E114" s="358" t="s">
        <v>3252</v>
      </c>
      <c r="F114" s="358" t="s">
        <v>846</v>
      </c>
      <c r="G114" s="384">
        <v>46027.041666666664</v>
      </c>
      <c r="H114" s="358" t="s">
        <v>140</v>
      </c>
      <c r="I114" s="358">
        <v>2</v>
      </c>
      <c r="J114" s="359" t="str">
        <f>IFERROR(VLOOKUP($A114,#REF!,3,0),"")</f>
        <v/>
      </c>
      <c r="K114" s="359" t="str">
        <f>IFERROR(VLOOKUP($A114,#REF!,4,0),AF114)</f>
        <v>NA</v>
      </c>
      <c r="L114" s="359" t="str">
        <f>IFERROR(VLOOKUP($A114,#REF!,5,0),"")</f>
        <v/>
      </c>
      <c r="M114" s="359" t="str">
        <f>IFERROR(VLOOKUP($A114,#REF!,7,0),"")</f>
        <v/>
      </c>
      <c r="N114" s="359"/>
      <c r="O114" s="359" t="str">
        <f>IFERROR(VLOOKUP($A114,#REF!,6,0),"")</f>
        <v/>
      </c>
      <c r="P114" s="359" t="str">
        <f>IFERROR(VLOOKUP($A114,#REF!,9,0),"")</f>
        <v/>
      </c>
      <c r="Q114" s="359" t="str">
        <f>IFERROR(VLOOKUP($A114,#REF!,10,0),"")</f>
        <v/>
      </c>
      <c r="R114" s="359" t="str">
        <f>IFERROR(VLOOKUP($A114,#REF!,11,0),"")</f>
        <v/>
      </c>
      <c r="S114" s="359" t="str">
        <f>IFERROR(VLOOKUP($A114,#REF!,13,0),"")</f>
        <v/>
      </c>
      <c r="T114" s="359" t="str">
        <f>IFERROR(VLOOKUP($A114,#REF!,14,0),"")</f>
        <v/>
      </c>
      <c r="U114" s="359" t="str">
        <f>IFERROR(VLOOKUP($A114,#REF!,15,0),"")</f>
        <v/>
      </c>
      <c r="V114" s="359" t="str">
        <f>IFERROR(VLOOKUP($A114,#REF!,16,0),"")</f>
        <v/>
      </c>
      <c r="W114" s="359" t="str">
        <f>IFERROR(VLOOKUP($A114,#REF!,17,0),"")</f>
        <v/>
      </c>
      <c r="X114" s="359" t="str">
        <f>IFERROR(VLOOKUP($A114,#REF!,18,0),"")</f>
        <v/>
      </c>
      <c r="Y114" s="359" t="str">
        <f>IFERROR(VLOOKUP($A114,#REF!,19,0),"")</f>
        <v/>
      </c>
      <c r="Z114" s="400" t="str">
        <f>IFERROR(VLOOKUP($A114,#REF!,21,0),"")</f>
        <v/>
      </c>
      <c r="AA114" s="358"/>
      <c r="AB114" s="358"/>
      <c r="AC114" s="359" t="s">
        <v>1721</v>
      </c>
      <c r="AD114" s="358"/>
      <c r="AE114" s="102"/>
      <c r="AF114" s="141" t="s">
        <v>3237</v>
      </c>
      <c r="AG114" s="358"/>
      <c r="AH114" s="358"/>
      <c r="AI114" s="358"/>
      <c r="AJ114" s="358"/>
      <c r="AK114" s="358"/>
      <c r="AL114" s="358"/>
      <c r="AM114" s="358"/>
      <c r="AN114" s="358" t="s">
        <v>113</v>
      </c>
      <c r="AO114" s="327" t="s">
        <v>30</v>
      </c>
      <c r="AP114" s="380">
        <v>46078</v>
      </c>
      <c r="AQ114" s="384" t="s">
        <v>67</v>
      </c>
      <c r="AR114" s="358" t="s">
        <v>32</v>
      </c>
      <c r="AS114" s="358">
        <v>2</v>
      </c>
      <c r="AT114" s="384" t="s">
        <v>67</v>
      </c>
      <c r="AU114" s="380">
        <v>46078</v>
      </c>
      <c r="AV114" s="100" t="s">
        <v>113</v>
      </c>
      <c r="AW114" s="95"/>
      <c r="AX114" s="95"/>
      <c r="AY114" s="100"/>
      <c r="AZ114" s="100"/>
      <c r="BA114" s="100"/>
      <c r="BB114" s="100"/>
      <c r="BC114" s="100"/>
      <c r="BD114" s="100"/>
      <c r="BE114" s="100"/>
      <c r="BF114" s="100"/>
      <c r="BG114" s="114"/>
      <c r="BH114" s="100"/>
      <c r="BI114" s="100"/>
      <c r="BJ114" s="100"/>
      <c r="BK114" s="114"/>
      <c r="BL114" s="360"/>
      <c r="BN114" s="412"/>
      <c r="BO114" s="412"/>
      <c r="BP114" s="412"/>
      <c r="BQ114" s="412"/>
      <c r="BR114" s="412"/>
      <c r="BS114"/>
      <c r="BT114"/>
      <c r="BU114"/>
      <c r="BV114"/>
      <c r="BW114" s="109"/>
      <c r="BZ114">
        <f t="shared" si="3"/>
        <v>1</v>
      </c>
    </row>
    <row r="115" spans="1:78" ht="15.6" hidden="1" customHeight="1">
      <c r="A115" s="35" t="str">
        <f t="shared" si="2"/>
        <v>ELPTMED_014/2646034</v>
      </c>
      <c r="C115" s="358" t="s">
        <v>2342</v>
      </c>
      <c r="D115" s="358">
        <v>112</v>
      </c>
      <c r="E115" s="358" t="s">
        <v>3253</v>
      </c>
      <c r="F115" s="358" t="s">
        <v>1212</v>
      </c>
      <c r="G115" s="384">
        <v>46034</v>
      </c>
      <c r="H115" s="358" t="s">
        <v>140</v>
      </c>
      <c r="I115" s="358">
        <v>2</v>
      </c>
      <c r="J115" s="359" t="str">
        <f>IFERROR(VLOOKUP($A115,#REF!,3,0),"")</f>
        <v/>
      </c>
      <c r="K115" s="359" t="str">
        <f>IFERROR(VLOOKUP($A115,#REF!,4,0),AF115)</f>
        <v>NA</v>
      </c>
      <c r="L115" s="359" t="str">
        <f>IFERROR(VLOOKUP($A115,#REF!,5,0),"")</f>
        <v/>
      </c>
      <c r="M115" s="359" t="str">
        <f>IFERROR(VLOOKUP($A115,#REF!,7,0),"")</f>
        <v/>
      </c>
      <c r="N115" s="359"/>
      <c r="O115" s="359" t="str">
        <f>IFERROR(VLOOKUP($A115,#REF!,6,0),"")</f>
        <v/>
      </c>
      <c r="P115" s="359" t="str">
        <f>IFERROR(VLOOKUP($A115,#REF!,9,0),"")</f>
        <v/>
      </c>
      <c r="Q115" s="359" t="str">
        <f>IFERROR(VLOOKUP($A115,#REF!,10,0),"")</f>
        <v/>
      </c>
      <c r="R115" s="359" t="str">
        <f>IFERROR(VLOOKUP($A115,#REF!,11,0),"")</f>
        <v/>
      </c>
      <c r="S115" s="359" t="str">
        <f>IFERROR(VLOOKUP($A115,#REF!,13,0),"")</f>
        <v/>
      </c>
      <c r="T115" s="359" t="str">
        <f>IFERROR(VLOOKUP($A115,#REF!,14,0),"")</f>
        <v/>
      </c>
      <c r="U115" s="359" t="str">
        <f>IFERROR(VLOOKUP($A115,#REF!,15,0),"")</f>
        <v/>
      </c>
      <c r="V115" s="359" t="str">
        <f>IFERROR(VLOOKUP($A115,#REF!,16,0),"")</f>
        <v/>
      </c>
      <c r="W115" s="359" t="str">
        <f>IFERROR(VLOOKUP($A115,#REF!,17,0),"")</f>
        <v/>
      </c>
      <c r="X115" s="359" t="str">
        <f>IFERROR(VLOOKUP($A115,#REF!,18,0),"")</f>
        <v/>
      </c>
      <c r="Y115" s="359" t="str">
        <f>IFERROR(VLOOKUP($A115,#REF!,19,0),"")</f>
        <v/>
      </c>
      <c r="Z115" s="400" t="str">
        <f>IFERROR(VLOOKUP($A115,#REF!,21,0),"")</f>
        <v/>
      </c>
      <c r="AA115" s="358"/>
      <c r="AB115" s="358"/>
      <c r="AC115" s="359" t="s">
        <v>1721</v>
      </c>
      <c r="AD115" s="358"/>
      <c r="AE115" s="102"/>
      <c r="AF115" s="141" t="s">
        <v>3237</v>
      </c>
      <c r="AG115" s="358"/>
      <c r="AH115" s="358"/>
      <c r="AI115" s="358"/>
      <c r="AJ115" s="358"/>
      <c r="AK115" s="358"/>
      <c r="AL115" s="358"/>
      <c r="AM115" s="358"/>
      <c r="AN115" s="358" t="s">
        <v>113</v>
      </c>
      <c r="AO115" s="327" t="s">
        <v>30</v>
      </c>
      <c r="AP115" s="380">
        <v>46048</v>
      </c>
      <c r="AQ115" s="384" t="s">
        <v>67</v>
      </c>
      <c r="AR115" s="358" t="s">
        <v>32</v>
      </c>
      <c r="AS115" s="358">
        <v>2</v>
      </c>
      <c r="AT115" s="384" t="s">
        <v>67</v>
      </c>
      <c r="AU115" s="380">
        <v>46048</v>
      </c>
      <c r="AV115" s="100" t="s">
        <v>113</v>
      </c>
      <c r="AW115" s="95"/>
      <c r="AX115" s="107"/>
      <c r="AY115" s="100"/>
      <c r="AZ115" s="100"/>
      <c r="BA115" s="100"/>
      <c r="BB115" s="100"/>
      <c r="BC115" s="100"/>
      <c r="BD115" s="100"/>
      <c r="BE115" s="100"/>
      <c r="BF115" s="100"/>
      <c r="BG115" s="114"/>
      <c r="BH115" s="114"/>
      <c r="BI115" s="114"/>
      <c r="BJ115" s="114"/>
      <c r="BK115" s="114"/>
      <c r="BL115" s="360"/>
      <c r="BN115"/>
      <c r="BO115"/>
      <c r="BP115"/>
      <c r="BQ115"/>
      <c r="BR115"/>
      <c r="BS115"/>
      <c r="BT115"/>
      <c r="BU115"/>
      <c r="BV115"/>
      <c r="BW115" s="109"/>
      <c r="BZ115">
        <f t="shared" si="3"/>
        <v>1</v>
      </c>
    </row>
    <row r="116" spans="1:78" ht="15.75" hidden="1" customHeight="1">
      <c r="A116" s="35" t="str">
        <f t="shared" si="2"/>
        <v>ELPTMED_015/2646048,375</v>
      </c>
      <c r="C116" s="358" t="s">
        <v>2342</v>
      </c>
      <c r="D116" s="358">
        <v>113</v>
      </c>
      <c r="E116" s="358" t="s">
        <v>3254</v>
      </c>
      <c r="F116" s="358" t="s">
        <v>3255</v>
      </c>
      <c r="G116" s="384">
        <v>46048.375</v>
      </c>
      <c r="H116" s="358" t="s">
        <v>140</v>
      </c>
      <c r="I116" s="358">
        <v>2</v>
      </c>
      <c r="J116" s="359" t="str">
        <f>IFERROR(VLOOKUP($A116,#REF!,3,0),"")</f>
        <v/>
      </c>
      <c r="K116" s="359" t="str">
        <f>IFERROR(VLOOKUP($A116,#REF!,4,0),AF116)</f>
        <v>NA</v>
      </c>
      <c r="L116" s="359" t="str">
        <f>IFERROR(VLOOKUP($A116,#REF!,5,0),"")</f>
        <v/>
      </c>
      <c r="M116" s="359" t="str">
        <f>IFERROR(VLOOKUP($A116,#REF!,7,0),"")</f>
        <v/>
      </c>
      <c r="N116" s="359"/>
      <c r="O116" s="359" t="str">
        <f>IFERROR(VLOOKUP($A116,#REF!,6,0),"")</f>
        <v/>
      </c>
      <c r="P116" s="359" t="str">
        <f>IFERROR(VLOOKUP($A116,#REF!,9,0),"")</f>
        <v/>
      </c>
      <c r="Q116" s="359" t="str">
        <f>IFERROR(VLOOKUP($A116,#REF!,10,0),"")</f>
        <v/>
      </c>
      <c r="R116" s="359" t="str">
        <f>IFERROR(VLOOKUP($A116,#REF!,11,0),"")</f>
        <v/>
      </c>
      <c r="S116" s="359" t="str">
        <f>IFERROR(VLOOKUP($A116,#REF!,13,0),"")</f>
        <v/>
      </c>
      <c r="T116" s="359" t="str">
        <f>IFERROR(VLOOKUP($A116,#REF!,14,0),"")</f>
        <v/>
      </c>
      <c r="U116" s="359" t="str">
        <f>IFERROR(VLOOKUP($A116,#REF!,15,0),"")</f>
        <v/>
      </c>
      <c r="V116" s="359" t="str">
        <f>IFERROR(VLOOKUP($A116,#REF!,16,0),"")</f>
        <v/>
      </c>
      <c r="W116" s="359" t="str">
        <f>IFERROR(VLOOKUP($A116,#REF!,17,0),"")</f>
        <v/>
      </c>
      <c r="X116" s="359" t="str">
        <f>IFERROR(VLOOKUP($A116,#REF!,18,0),"")</f>
        <v/>
      </c>
      <c r="Y116" s="359" t="str">
        <f>IFERROR(VLOOKUP($A116,#REF!,19,0),"")</f>
        <v/>
      </c>
      <c r="Z116" s="400" t="str">
        <f>IFERROR(VLOOKUP($A116,#REF!,21,0),"")</f>
        <v/>
      </c>
      <c r="AA116" s="358"/>
      <c r="AB116" s="358"/>
      <c r="AC116" s="359" t="s">
        <v>2835</v>
      </c>
      <c r="AD116" s="358"/>
      <c r="AE116" s="102"/>
      <c r="AF116" s="141" t="s">
        <v>3237</v>
      </c>
      <c r="AG116" s="358"/>
      <c r="AH116" s="358"/>
      <c r="AI116" s="358"/>
      <c r="AJ116" s="358"/>
      <c r="AK116" s="358"/>
      <c r="AL116" s="358"/>
      <c r="AM116" s="358"/>
      <c r="AN116" s="358" t="s">
        <v>113</v>
      </c>
      <c r="AO116" s="327" t="s">
        <v>30</v>
      </c>
      <c r="AP116" s="380">
        <v>46082</v>
      </c>
      <c r="AQ116" s="384" t="s">
        <v>67</v>
      </c>
      <c r="AR116" s="358" t="s">
        <v>32</v>
      </c>
      <c r="AS116" s="358">
        <v>2</v>
      </c>
      <c r="AT116" s="384" t="s">
        <v>67</v>
      </c>
      <c r="AU116" s="380">
        <v>46078</v>
      </c>
      <c r="AV116" s="100" t="s">
        <v>113</v>
      </c>
      <c r="AW116" s="95"/>
      <c r="AX116" s="107"/>
      <c r="AY116" s="100"/>
      <c r="AZ116" s="100"/>
      <c r="BA116" s="100"/>
      <c r="BB116" s="100"/>
      <c r="BC116" s="100"/>
      <c r="BD116" s="100"/>
      <c r="BE116" s="100"/>
      <c r="BF116" s="100"/>
      <c r="BG116" s="114"/>
      <c r="BH116" s="114"/>
      <c r="BI116" s="114"/>
      <c r="BJ116" s="114"/>
      <c r="BK116" s="114"/>
      <c r="BL116" s="360"/>
      <c r="BN116"/>
      <c r="BO116"/>
      <c r="BP116"/>
      <c r="BQ116"/>
      <c r="BR116"/>
      <c r="BS116"/>
      <c r="BT116"/>
      <c r="BU116"/>
      <c r="BV116"/>
      <c r="BW116" s="109"/>
      <c r="BZ116">
        <f t="shared" si="3"/>
        <v>1</v>
      </c>
    </row>
    <row r="117" spans="1:78" ht="15.75" hidden="1" customHeight="1">
      <c r="A117" s="35" t="str">
        <f t="shared" si="2"/>
        <v>ELPTMED_016/2646034,125</v>
      </c>
      <c r="C117" s="358" t="s">
        <v>2342</v>
      </c>
      <c r="D117" s="358">
        <v>114</v>
      </c>
      <c r="E117" s="358" t="s">
        <v>3256</v>
      </c>
      <c r="F117" s="358" t="s">
        <v>1198</v>
      </c>
      <c r="G117" s="384">
        <v>46034.125</v>
      </c>
      <c r="H117" s="358" t="s">
        <v>140</v>
      </c>
      <c r="I117" s="358">
        <v>5</v>
      </c>
      <c r="J117" s="359" t="str">
        <f>IFERROR(VLOOKUP($A117,#REF!,3,0),"")</f>
        <v/>
      </c>
      <c r="K117" s="359" t="str">
        <f>IFERROR(VLOOKUP($A117,#REF!,4,0),AF117)</f>
        <v>NA</v>
      </c>
      <c r="L117" s="359" t="str">
        <f>IFERROR(VLOOKUP($A117,#REF!,5,0),"")</f>
        <v/>
      </c>
      <c r="M117" s="359" t="str">
        <f>IFERROR(VLOOKUP($A117,#REF!,7,0),"")</f>
        <v/>
      </c>
      <c r="N117" s="359"/>
      <c r="O117" s="359" t="str">
        <f>IFERROR(VLOOKUP($A117,#REF!,6,0),"")</f>
        <v/>
      </c>
      <c r="P117" s="359" t="str">
        <f>IFERROR(VLOOKUP($A117,#REF!,9,0),"")</f>
        <v/>
      </c>
      <c r="Q117" s="359" t="str">
        <f>IFERROR(VLOOKUP($A117,#REF!,10,0),"")</f>
        <v/>
      </c>
      <c r="R117" s="359" t="str">
        <f>IFERROR(VLOOKUP($A117,#REF!,11,0),"")</f>
        <v/>
      </c>
      <c r="S117" s="359" t="str">
        <f>IFERROR(VLOOKUP($A117,#REF!,13,0),"")</f>
        <v/>
      </c>
      <c r="T117" s="359" t="str">
        <f>IFERROR(VLOOKUP($A117,#REF!,14,0),"")</f>
        <v/>
      </c>
      <c r="U117" s="359" t="str">
        <f>IFERROR(VLOOKUP($A117,#REF!,15,0),"")</f>
        <v/>
      </c>
      <c r="V117" s="359" t="str">
        <f>IFERROR(VLOOKUP($A117,#REF!,16,0),"")</f>
        <v/>
      </c>
      <c r="W117" s="359" t="str">
        <f>IFERROR(VLOOKUP($A117,#REF!,17,0),"")</f>
        <v/>
      </c>
      <c r="X117" s="359" t="str">
        <f>IFERROR(VLOOKUP($A117,#REF!,18,0),"")</f>
        <v/>
      </c>
      <c r="Y117" s="359" t="str">
        <f>IFERROR(VLOOKUP($A117,#REF!,19,0),"")</f>
        <v/>
      </c>
      <c r="Z117" s="400" t="str">
        <f>IFERROR(VLOOKUP($A117,#REF!,21,0),"")</f>
        <v/>
      </c>
      <c r="AA117" s="358"/>
      <c r="AB117" s="358"/>
      <c r="AC117" s="359" t="s">
        <v>1790</v>
      </c>
      <c r="AD117" s="358"/>
      <c r="AE117" s="102"/>
      <c r="AF117" s="141" t="s">
        <v>3237</v>
      </c>
      <c r="AG117" s="358"/>
      <c r="AH117" s="358"/>
      <c r="AI117" s="358"/>
      <c r="AJ117" s="358"/>
      <c r="AK117" s="358"/>
      <c r="AL117" s="358"/>
      <c r="AM117" s="358"/>
      <c r="AN117" s="358" t="s">
        <v>113</v>
      </c>
      <c r="AO117" s="327" t="s">
        <v>30</v>
      </c>
      <c r="AP117" s="380">
        <v>46082</v>
      </c>
      <c r="AQ117" s="384" t="s">
        <v>67</v>
      </c>
      <c r="AR117" s="358" t="s">
        <v>32</v>
      </c>
      <c r="AS117" s="358">
        <v>6</v>
      </c>
      <c r="AT117" s="384" t="s">
        <v>67</v>
      </c>
      <c r="AU117" s="380">
        <v>46078</v>
      </c>
      <c r="AV117" s="100" t="s">
        <v>113</v>
      </c>
      <c r="AW117" s="100"/>
      <c r="AX117" s="107"/>
      <c r="AY117" s="100"/>
      <c r="AZ117" s="100"/>
      <c r="BA117" s="100"/>
      <c r="BB117" s="100"/>
      <c r="BC117" s="100"/>
      <c r="BD117" s="100"/>
      <c r="BE117" s="100"/>
      <c r="BF117" s="100"/>
      <c r="BG117" s="114"/>
      <c r="BH117" s="111"/>
      <c r="BI117" s="111"/>
      <c r="BJ117" s="111"/>
      <c r="BK117" s="114"/>
      <c r="BL117" s="360"/>
      <c r="BM117" s="6"/>
      <c r="BN117" s="6"/>
      <c r="BO117" s="6"/>
      <c r="BP117" s="6"/>
      <c r="BQ117" s="6"/>
      <c r="BR117" s="6"/>
      <c r="BS117" s="108"/>
      <c r="BT117" s="109"/>
      <c r="BU117" s="109"/>
      <c r="BV117" s="109"/>
      <c r="BW117" s="109"/>
      <c r="BZ117">
        <f t="shared" si="3"/>
        <v>1</v>
      </c>
    </row>
    <row r="118" spans="1:78" ht="15.75" hidden="1" customHeight="1">
      <c r="A118" s="35" t="str">
        <f t="shared" si="2"/>
        <v>ELPTMED_017/2646034,0416666667</v>
      </c>
      <c r="C118" s="358" t="s">
        <v>2342</v>
      </c>
      <c r="D118" s="358">
        <v>115</v>
      </c>
      <c r="E118" s="358" t="s">
        <v>3257</v>
      </c>
      <c r="F118" s="358" t="s">
        <v>937</v>
      </c>
      <c r="G118" s="384">
        <v>46034.041666666664</v>
      </c>
      <c r="H118" s="358" t="s">
        <v>140</v>
      </c>
      <c r="I118" s="358">
        <v>19</v>
      </c>
      <c r="J118" s="359" t="str">
        <f>IFERROR(VLOOKUP($A118,#REF!,3,0),"")</f>
        <v/>
      </c>
      <c r="K118" s="359" t="str">
        <f>IFERROR(VLOOKUP($A118,#REF!,4,0),AF118)</f>
        <v>NA</v>
      </c>
      <c r="L118" s="359" t="str">
        <f>IFERROR(VLOOKUP($A118,#REF!,5,0),"")</f>
        <v/>
      </c>
      <c r="M118" s="359" t="str">
        <f>IFERROR(VLOOKUP($A118,#REF!,7,0),"")</f>
        <v/>
      </c>
      <c r="N118" s="359"/>
      <c r="O118" s="359" t="str">
        <f>IFERROR(VLOOKUP($A118,#REF!,6,0),"")</f>
        <v/>
      </c>
      <c r="P118" s="359" t="str">
        <f>IFERROR(VLOOKUP($A118,#REF!,9,0),"")</f>
        <v/>
      </c>
      <c r="Q118" s="359" t="str">
        <f>IFERROR(VLOOKUP($A118,#REF!,10,0),"")</f>
        <v/>
      </c>
      <c r="R118" s="359" t="str">
        <f>IFERROR(VLOOKUP($A118,#REF!,11,0),"")</f>
        <v/>
      </c>
      <c r="S118" s="359" t="str">
        <f>IFERROR(VLOOKUP($A118,#REF!,13,0),"")</f>
        <v/>
      </c>
      <c r="T118" s="359" t="str">
        <f>IFERROR(VLOOKUP($A118,#REF!,14,0),"")</f>
        <v/>
      </c>
      <c r="U118" s="359" t="str">
        <f>IFERROR(VLOOKUP($A118,#REF!,15,0),"")</f>
        <v/>
      </c>
      <c r="V118" s="359" t="str">
        <f>IFERROR(VLOOKUP($A118,#REF!,16,0),"")</f>
        <v/>
      </c>
      <c r="W118" s="359" t="str">
        <f>IFERROR(VLOOKUP($A118,#REF!,17,0),"")</f>
        <v/>
      </c>
      <c r="X118" s="359" t="str">
        <f>IFERROR(VLOOKUP($A118,#REF!,18,0),"")</f>
        <v/>
      </c>
      <c r="Y118" s="359" t="str">
        <f>IFERROR(VLOOKUP($A118,#REF!,19,0),"")</f>
        <v/>
      </c>
      <c r="Z118" s="400" t="str">
        <f>IFERROR(VLOOKUP($A118,#REF!,21,0),"")</f>
        <v/>
      </c>
      <c r="AA118" s="358"/>
      <c r="AB118" s="358"/>
      <c r="AC118" s="359" t="s">
        <v>3243</v>
      </c>
      <c r="AD118" s="358"/>
      <c r="AE118" s="102"/>
      <c r="AF118" s="141" t="s">
        <v>3237</v>
      </c>
      <c r="AG118" s="358"/>
      <c r="AH118" s="358"/>
      <c r="AI118" s="358"/>
      <c r="AJ118" s="358"/>
      <c r="AK118" s="358"/>
      <c r="AL118" s="358"/>
      <c r="AM118" s="358"/>
      <c r="AN118" s="358" t="s">
        <v>113</v>
      </c>
      <c r="AO118" s="327" t="s">
        <v>30</v>
      </c>
      <c r="AP118" s="380">
        <v>46082</v>
      </c>
      <c r="AQ118" s="384" t="s">
        <v>67</v>
      </c>
      <c r="AR118" s="358" t="s">
        <v>32</v>
      </c>
      <c r="AS118" s="358">
        <v>20</v>
      </c>
      <c r="AT118" s="384" t="s">
        <v>67</v>
      </c>
      <c r="AU118" s="380">
        <v>46078</v>
      </c>
      <c r="AV118" s="100" t="s">
        <v>113</v>
      </c>
      <c r="AW118" s="100"/>
      <c r="AX118" s="107"/>
      <c r="AY118" s="100"/>
      <c r="AZ118" s="100"/>
      <c r="BA118" s="100"/>
      <c r="BB118" s="100"/>
      <c r="BC118" s="100"/>
      <c r="BD118" s="100"/>
      <c r="BE118" s="100"/>
      <c r="BF118" s="100"/>
      <c r="BG118" s="114"/>
      <c r="BH118" s="111"/>
      <c r="BI118" s="111"/>
      <c r="BJ118" s="111"/>
      <c r="BK118" s="114"/>
      <c r="BL118" s="360"/>
      <c r="BN118"/>
      <c r="BO118"/>
      <c r="BP118"/>
      <c r="BQ118"/>
      <c r="BR118"/>
      <c r="BS118"/>
      <c r="BT118"/>
      <c r="BU118"/>
      <c r="BV118"/>
      <c r="BW118" s="109"/>
      <c r="BZ118">
        <f t="shared" si="3"/>
        <v>1</v>
      </c>
    </row>
    <row r="119" spans="1:78" ht="15.75" hidden="1" customHeight="1">
      <c r="A119" s="35" t="str">
        <f t="shared" si="2"/>
        <v>ELPTMED_018/2646034,0416666667</v>
      </c>
      <c r="C119" s="358" t="s">
        <v>2342</v>
      </c>
      <c r="D119" s="358">
        <v>116</v>
      </c>
      <c r="E119" s="358" t="s">
        <v>3258</v>
      </c>
      <c r="F119" s="358" t="s">
        <v>829</v>
      </c>
      <c r="G119" s="384">
        <v>46034.041666666664</v>
      </c>
      <c r="H119" s="358" t="s">
        <v>140</v>
      </c>
      <c r="I119" s="358">
        <v>8</v>
      </c>
      <c r="J119" s="359" t="str">
        <f>IFERROR(VLOOKUP($A119,#REF!,3,0),"")</f>
        <v/>
      </c>
      <c r="K119" s="359" t="str">
        <f>IFERROR(VLOOKUP($A119,#REF!,4,0),AF119)</f>
        <v>NA</v>
      </c>
      <c r="L119" s="359" t="str">
        <f>IFERROR(VLOOKUP($A119,#REF!,5,0),"")</f>
        <v/>
      </c>
      <c r="M119" s="359" t="str">
        <f>IFERROR(VLOOKUP($A119,#REF!,7,0),"")</f>
        <v/>
      </c>
      <c r="N119" s="359"/>
      <c r="O119" s="359" t="str">
        <f>IFERROR(VLOOKUP($A119,#REF!,6,0),"")</f>
        <v/>
      </c>
      <c r="P119" s="359" t="str">
        <f>IFERROR(VLOOKUP($A119,#REF!,9,0),"")</f>
        <v/>
      </c>
      <c r="Q119" s="359" t="str">
        <f>IFERROR(VLOOKUP($A119,#REF!,10,0),"")</f>
        <v/>
      </c>
      <c r="R119" s="359" t="str">
        <f>IFERROR(VLOOKUP($A119,#REF!,11,0),"")</f>
        <v/>
      </c>
      <c r="S119" s="359" t="str">
        <f>IFERROR(VLOOKUP($A119,#REF!,13,0),"")</f>
        <v/>
      </c>
      <c r="T119" s="359" t="str">
        <f>IFERROR(VLOOKUP($A119,#REF!,14,0),"")</f>
        <v/>
      </c>
      <c r="U119" s="359" t="str">
        <f>IFERROR(VLOOKUP($A119,#REF!,15,0),"")</f>
        <v/>
      </c>
      <c r="V119" s="359" t="str">
        <f>IFERROR(VLOOKUP($A119,#REF!,16,0),"")</f>
        <v/>
      </c>
      <c r="W119" s="359" t="str">
        <f>IFERROR(VLOOKUP($A119,#REF!,17,0),"")</f>
        <v/>
      </c>
      <c r="X119" s="359" t="str">
        <f>IFERROR(VLOOKUP($A119,#REF!,18,0),"")</f>
        <v/>
      </c>
      <c r="Y119" s="359" t="str">
        <f>IFERROR(VLOOKUP($A119,#REF!,19,0),"")</f>
        <v/>
      </c>
      <c r="Z119" s="400" t="str">
        <f>IFERROR(VLOOKUP($A119,#REF!,21,0),"")</f>
        <v/>
      </c>
      <c r="AA119" s="358"/>
      <c r="AB119" s="358"/>
      <c r="AC119" s="358" t="s">
        <v>1790</v>
      </c>
      <c r="AD119" s="358"/>
      <c r="AE119" s="102"/>
      <c r="AF119" s="141" t="s">
        <v>3237</v>
      </c>
      <c r="AG119" s="358"/>
      <c r="AH119" s="358"/>
      <c r="AI119" s="358"/>
      <c r="AJ119" s="358"/>
      <c r="AK119" s="358"/>
      <c r="AL119" s="358"/>
      <c r="AM119" s="358"/>
      <c r="AN119" s="358" t="s">
        <v>113</v>
      </c>
      <c r="AO119" s="327" t="s">
        <v>30</v>
      </c>
      <c r="AP119" s="380">
        <v>46082</v>
      </c>
      <c r="AQ119" s="384" t="s">
        <v>67</v>
      </c>
      <c r="AR119" s="358" t="s">
        <v>32</v>
      </c>
      <c r="AS119" s="358">
        <v>8</v>
      </c>
      <c r="AT119" s="384" t="s">
        <v>67</v>
      </c>
      <c r="AU119" s="380">
        <v>46078</v>
      </c>
      <c r="AV119" s="100" t="s">
        <v>113</v>
      </c>
      <c r="AW119" s="122"/>
      <c r="AX119" s="107"/>
      <c r="AY119" s="100"/>
      <c r="AZ119" s="95"/>
      <c r="BA119" s="100"/>
      <c r="BB119" s="100"/>
      <c r="BC119" s="100"/>
      <c r="BD119" s="100"/>
      <c r="BE119" s="100"/>
      <c r="BF119" s="100"/>
      <c r="BG119" s="114"/>
      <c r="BH119" s="111"/>
      <c r="BI119" s="111"/>
      <c r="BJ119" s="111"/>
      <c r="BK119" s="114"/>
      <c r="BL119" s="360"/>
      <c r="BM119" s="91"/>
      <c r="BN119" s="91"/>
      <c r="BO119"/>
      <c r="BP119"/>
      <c r="BQ119"/>
      <c r="BR119"/>
      <c r="BS119" s="72"/>
      <c r="BW119" s="109"/>
      <c r="BZ119">
        <f t="shared" si="3"/>
        <v>1</v>
      </c>
    </row>
    <row r="120" spans="1:78" ht="15.75" hidden="1" customHeight="1">
      <c r="A120" s="35" t="str">
        <f t="shared" si="2"/>
        <v>ELPTMED_019/2646034</v>
      </c>
      <c r="C120" s="358" t="s">
        <v>2342</v>
      </c>
      <c r="D120" s="358">
        <v>117</v>
      </c>
      <c r="E120" s="358" t="s">
        <v>3259</v>
      </c>
      <c r="F120" s="358" t="s">
        <v>1839</v>
      </c>
      <c r="G120" s="384">
        <v>46034</v>
      </c>
      <c r="H120" s="358" t="s">
        <v>140</v>
      </c>
      <c r="I120" s="358">
        <v>3</v>
      </c>
      <c r="J120" s="359" t="str">
        <f>IFERROR(VLOOKUP($A120,#REF!,3,0),"")</f>
        <v/>
      </c>
      <c r="K120" s="359" t="str">
        <f>IFERROR(VLOOKUP($A120,#REF!,4,0),AF120)</f>
        <v>NA</v>
      </c>
      <c r="L120" s="359" t="str">
        <f>IFERROR(VLOOKUP($A120,#REF!,5,0),"")</f>
        <v/>
      </c>
      <c r="M120" s="359" t="str">
        <f>IFERROR(VLOOKUP($A120,#REF!,7,0),"")</f>
        <v/>
      </c>
      <c r="N120" s="359"/>
      <c r="O120" s="359" t="str">
        <f>IFERROR(VLOOKUP($A120,#REF!,6,0),"")</f>
        <v/>
      </c>
      <c r="P120" s="359" t="str">
        <f>IFERROR(VLOOKUP($A120,#REF!,9,0),"")</f>
        <v/>
      </c>
      <c r="Q120" s="359" t="str">
        <f>IFERROR(VLOOKUP($A120,#REF!,10,0),"")</f>
        <v/>
      </c>
      <c r="R120" s="359" t="str">
        <f>IFERROR(VLOOKUP($A120,#REF!,11,0),"")</f>
        <v/>
      </c>
      <c r="S120" s="359" t="str">
        <f>IFERROR(VLOOKUP($A120,#REF!,13,0),"")</f>
        <v/>
      </c>
      <c r="T120" s="359" t="str">
        <f>IFERROR(VLOOKUP($A120,#REF!,14,0),"")</f>
        <v/>
      </c>
      <c r="U120" s="359" t="str">
        <f>IFERROR(VLOOKUP($A120,#REF!,15,0),"")</f>
        <v/>
      </c>
      <c r="V120" s="359" t="str">
        <f>IFERROR(VLOOKUP($A120,#REF!,16,0),"")</f>
        <v/>
      </c>
      <c r="W120" s="359" t="str">
        <f>IFERROR(VLOOKUP($A120,#REF!,17,0),"")</f>
        <v/>
      </c>
      <c r="X120" s="359" t="str">
        <f>IFERROR(VLOOKUP($A120,#REF!,18,0),"")</f>
        <v/>
      </c>
      <c r="Y120" s="359" t="str">
        <f>IFERROR(VLOOKUP($A120,#REF!,19,0),"")</f>
        <v/>
      </c>
      <c r="Z120" s="400" t="str">
        <f>IFERROR(VLOOKUP($A120,#REF!,21,0),"")</f>
        <v/>
      </c>
      <c r="AA120" s="358"/>
      <c r="AB120" s="358"/>
      <c r="AC120" s="358" t="s">
        <v>1721</v>
      </c>
      <c r="AD120" s="358"/>
      <c r="AE120" s="102"/>
      <c r="AF120" s="141" t="s">
        <v>3237</v>
      </c>
      <c r="AG120" s="358"/>
      <c r="AH120" s="358"/>
      <c r="AI120" s="380"/>
      <c r="AJ120" s="358"/>
      <c r="AK120" s="358"/>
      <c r="AL120" s="358"/>
      <c r="AM120" s="358"/>
      <c r="AN120" s="358" t="s">
        <v>113</v>
      </c>
      <c r="AO120" s="327" t="s">
        <v>30</v>
      </c>
      <c r="AP120" s="380">
        <v>46082</v>
      </c>
      <c r="AQ120" s="384" t="s">
        <v>67</v>
      </c>
      <c r="AR120" s="358" t="s">
        <v>32</v>
      </c>
      <c r="AS120" s="358">
        <v>3</v>
      </c>
      <c r="AT120" s="384" t="s">
        <v>67</v>
      </c>
      <c r="AU120" s="380">
        <v>46082</v>
      </c>
      <c r="AV120" s="100" t="s">
        <v>113</v>
      </c>
      <c r="AW120" s="95"/>
      <c r="AX120" s="95"/>
      <c r="AY120" s="100"/>
      <c r="AZ120" s="100"/>
      <c r="BA120" s="100"/>
      <c r="BB120" s="100"/>
      <c r="BC120" s="100"/>
      <c r="BD120" s="100"/>
      <c r="BE120" s="100"/>
      <c r="BF120" s="100"/>
      <c r="BG120" s="114"/>
      <c r="BH120" s="100"/>
      <c r="BI120" s="100"/>
      <c r="BJ120" s="100"/>
      <c r="BK120" s="114"/>
      <c r="BL120" s="360"/>
      <c r="BN120"/>
      <c r="BO120"/>
      <c r="BP120"/>
      <c r="BQ120"/>
      <c r="BR120"/>
      <c r="BS120" s="72"/>
      <c r="BW120" s="109"/>
      <c r="BZ120">
        <f t="shared" si="3"/>
        <v>1</v>
      </c>
    </row>
    <row r="121" spans="1:78" ht="15.75" hidden="1" customHeight="1">
      <c r="A121" s="35" t="str">
        <f t="shared" si="2"/>
        <v>ELPTMED_020/2646034,0416666667</v>
      </c>
      <c r="C121" s="358" t="s">
        <v>2342</v>
      </c>
      <c r="D121" s="358">
        <v>118</v>
      </c>
      <c r="E121" s="358" t="s">
        <v>3260</v>
      </c>
      <c r="F121" s="358" t="s">
        <v>3261</v>
      </c>
      <c r="G121" s="384">
        <v>46034.041666666664</v>
      </c>
      <c r="H121" s="358" t="s">
        <v>140</v>
      </c>
      <c r="I121" s="358">
        <v>3</v>
      </c>
      <c r="J121" s="359" t="str">
        <f>IFERROR(VLOOKUP($A121,#REF!,3,0),"")</f>
        <v/>
      </c>
      <c r="K121" s="359" t="str">
        <f>IFERROR(VLOOKUP($A121,#REF!,4,0),AF121)</f>
        <v>NA</v>
      </c>
      <c r="L121" s="359" t="str">
        <f>IFERROR(VLOOKUP($A121,#REF!,5,0),"")</f>
        <v/>
      </c>
      <c r="M121" s="359" t="str">
        <f>IFERROR(VLOOKUP($A121,#REF!,7,0),"")</f>
        <v/>
      </c>
      <c r="N121" s="359"/>
      <c r="O121" s="359" t="str">
        <f>IFERROR(VLOOKUP($A121,#REF!,6,0),"")</f>
        <v/>
      </c>
      <c r="P121" s="359" t="str">
        <f>IFERROR(VLOOKUP($A121,#REF!,9,0),"")</f>
        <v/>
      </c>
      <c r="Q121" s="359" t="str">
        <f>IFERROR(VLOOKUP($A121,#REF!,10,0),"")</f>
        <v/>
      </c>
      <c r="R121" s="359" t="str">
        <f>IFERROR(VLOOKUP($A121,#REF!,11,0),"")</f>
        <v/>
      </c>
      <c r="S121" s="359" t="str">
        <f>IFERROR(VLOOKUP($A121,#REF!,13,0),"")</f>
        <v/>
      </c>
      <c r="T121" s="359" t="str">
        <f>IFERROR(VLOOKUP($A121,#REF!,14,0),"")</f>
        <v/>
      </c>
      <c r="U121" s="359" t="str">
        <f>IFERROR(VLOOKUP($A121,#REF!,15,0),"")</f>
        <v/>
      </c>
      <c r="V121" s="359" t="str">
        <f>IFERROR(VLOOKUP($A121,#REF!,16,0),"")</f>
        <v/>
      </c>
      <c r="W121" s="359" t="str">
        <f>IFERROR(VLOOKUP($A121,#REF!,17,0),"")</f>
        <v/>
      </c>
      <c r="X121" s="359" t="str">
        <f>IFERROR(VLOOKUP($A121,#REF!,18,0),"")</f>
        <v/>
      </c>
      <c r="Y121" s="359" t="str">
        <f>IFERROR(VLOOKUP($A121,#REF!,19,0),"")</f>
        <v/>
      </c>
      <c r="Z121" s="400" t="str">
        <f>IFERROR(VLOOKUP($A121,#REF!,21,0),"")</f>
        <v/>
      </c>
      <c r="AA121" s="358"/>
      <c r="AB121" s="358"/>
      <c r="AC121" s="358" t="s">
        <v>127</v>
      </c>
      <c r="AD121" s="358"/>
      <c r="AE121" s="358"/>
      <c r="AF121" s="141" t="s">
        <v>3237</v>
      </c>
      <c r="AG121" s="358"/>
      <c r="AH121" s="358"/>
      <c r="AI121" s="380"/>
      <c r="AJ121" s="358"/>
      <c r="AK121" s="358"/>
      <c r="AL121" s="358"/>
      <c r="AM121" s="358"/>
      <c r="AN121" s="358" t="s">
        <v>113</v>
      </c>
      <c r="AO121" s="327" t="s">
        <v>30</v>
      </c>
      <c r="AP121" s="380">
        <v>46078</v>
      </c>
      <c r="AQ121" s="384" t="s">
        <v>67</v>
      </c>
      <c r="AR121" s="358" t="s">
        <v>32</v>
      </c>
      <c r="AS121" s="365">
        <v>3</v>
      </c>
      <c r="AT121" s="384" t="s">
        <v>67</v>
      </c>
      <c r="AU121" s="380">
        <v>46078</v>
      </c>
      <c r="AV121" s="100" t="s">
        <v>113</v>
      </c>
      <c r="AW121" s="95"/>
      <c r="AX121" s="95"/>
      <c r="AY121" s="100"/>
      <c r="AZ121" s="100"/>
      <c r="BA121" s="100"/>
      <c r="BB121" s="100"/>
      <c r="BC121" s="100"/>
      <c r="BD121" s="100"/>
      <c r="BE121" s="100"/>
      <c r="BF121" s="100"/>
      <c r="BG121" s="114"/>
      <c r="BH121" s="114"/>
      <c r="BI121" s="114"/>
      <c r="BJ121" s="111"/>
      <c r="BK121" s="114"/>
      <c r="BL121" s="360"/>
      <c r="BM121" s="91"/>
      <c r="BN121" s="91"/>
      <c r="BO121"/>
      <c r="BP121"/>
      <c r="BQ121"/>
      <c r="BR121"/>
      <c r="BS121" s="72"/>
      <c r="BW121" s="109"/>
      <c r="BZ121">
        <f t="shared" si="3"/>
        <v>1</v>
      </c>
    </row>
    <row r="122" spans="1:78" ht="15.75" hidden="1" customHeight="1">
      <c r="A122" s="35" t="str">
        <f t="shared" si="2"/>
        <v>ELPTMED_021/2646034,1666666667</v>
      </c>
      <c r="C122" s="358" t="s">
        <v>2342</v>
      </c>
      <c r="D122" s="358">
        <v>119</v>
      </c>
      <c r="E122" s="358" t="s">
        <v>3262</v>
      </c>
      <c r="F122" s="358" t="s">
        <v>798</v>
      </c>
      <c r="G122" s="384">
        <v>46034.166666666664</v>
      </c>
      <c r="H122" s="358" t="s">
        <v>140</v>
      </c>
      <c r="I122" s="358">
        <v>5</v>
      </c>
      <c r="J122" s="359" t="str">
        <f>IFERROR(VLOOKUP($A122,#REF!,3,0),"")</f>
        <v/>
      </c>
      <c r="K122" s="359" t="str">
        <f>IFERROR(VLOOKUP($A122,#REF!,4,0),AF122)</f>
        <v>NA</v>
      </c>
      <c r="L122" s="359" t="str">
        <f>IFERROR(VLOOKUP($A122,#REF!,5,0),"")</f>
        <v/>
      </c>
      <c r="M122" s="359" t="str">
        <f>IFERROR(VLOOKUP($A122,#REF!,7,0),"")</f>
        <v/>
      </c>
      <c r="N122" s="359"/>
      <c r="O122" s="359" t="str">
        <f>IFERROR(VLOOKUP($A122,#REF!,6,0),"")</f>
        <v/>
      </c>
      <c r="P122" s="359" t="str">
        <f>IFERROR(VLOOKUP($A122,#REF!,9,0),"")</f>
        <v/>
      </c>
      <c r="Q122" s="359" t="str">
        <f>IFERROR(VLOOKUP($A122,#REF!,10,0),"")</f>
        <v/>
      </c>
      <c r="R122" s="359" t="str">
        <f>IFERROR(VLOOKUP($A122,#REF!,11,0),"")</f>
        <v/>
      </c>
      <c r="S122" s="359" t="str">
        <f>IFERROR(VLOOKUP($A122,#REF!,13,0),"")</f>
        <v/>
      </c>
      <c r="T122" s="359" t="str">
        <f>IFERROR(VLOOKUP($A122,#REF!,14,0),"")</f>
        <v/>
      </c>
      <c r="U122" s="359" t="str">
        <f>IFERROR(VLOOKUP($A122,#REF!,15,0),"")</f>
        <v/>
      </c>
      <c r="V122" s="359" t="str">
        <f>IFERROR(VLOOKUP($A122,#REF!,16,0),"")</f>
        <v/>
      </c>
      <c r="W122" s="359" t="str">
        <f>IFERROR(VLOOKUP($A122,#REF!,17,0),"")</f>
        <v/>
      </c>
      <c r="X122" s="359" t="str">
        <f>IFERROR(VLOOKUP($A122,#REF!,18,0),"")</f>
        <v/>
      </c>
      <c r="Y122" s="359" t="str">
        <f>IFERROR(VLOOKUP($A122,#REF!,19,0),"")</f>
        <v/>
      </c>
      <c r="Z122" s="400" t="str">
        <f>IFERROR(VLOOKUP($A122,#REF!,21,0),"")</f>
        <v/>
      </c>
      <c r="AA122" s="358"/>
      <c r="AB122" s="358"/>
      <c r="AC122" s="358" t="s">
        <v>2897</v>
      </c>
      <c r="AD122" s="358"/>
      <c r="AE122" s="358"/>
      <c r="AF122" s="141" t="s">
        <v>3237</v>
      </c>
      <c r="AG122" s="358"/>
      <c r="AH122" s="358"/>
      <c r="AI122" s="358"/>
      <c r="AJ122" s="358"/>
      <c r="AK122" s="358"/>
      <c r="AL122" s="358"/>
      <c r="AM122" s="358"/>
      <c r="AN122" s="358" t="s">
        <v>113</v>
      </c>
      <c r="AO122" s="327" t="s">
        <v>30</v>
      </c>
      <c r="AP122" s="380">
        <v>46038</v>
      </c>
      <c r="AQ122" s="384" t="s">
        <v>67</v>
      </c>
      <c r="AR122" s="358" t="s">
        <v>32</v>
      </c>
      <c r="AS122" s="358">
        <v>4</v>
      </c>
      <c r="AT122" s="384" t="s">
        <v>67</v>
      </c>
      <c r="AU122" s="380">
        <v>46038</v>
      </c>
      <c r="AV122" s="100" t="s">
        <v>113</v>
      </c>
      <c r="AW122" s="100"/>
      <c r="AX122" s="107"/>
      <c r="AY122" s="100"/>
      <c r="AZ122" s="95"/>
      <c r="BA122" s="100"/>
      <c r="BB122" s="100"/>
      <c r="BC122" s="100"/>
      <c r="BD122" s="100"/>
      <c r="BE122" s="100"/>
      <c r="BF122" s="100"/>
      <c r="BG122" s="114"/>
      <c r="BH122" s="100"/>
      <c r="BI122" s="100"/>
      <c r="BJ122" s="100"/>
      <c r="BK122" s="114"/>
      <c r="BL122" s="360"/>
      <c r="BM122" s="343"/>
      <c r="BN122" s="343"/>
      <c r="BO122" s="343"/>
      <c r="BP122" s="343"/>
      <c r="BQ122" s="343"/>
      <c r="BR122" s="343"/>
      <c r="BS122" s="139"/>
      <c r="BT122" s="140"/>
      <c r="BU122" s="140"/>
      <c r="BV122" s="140"/>
      <c r="BW122" s="140"/>
      <c r="BZ122">
        <f t="shared" si="3"/>
        <v>1</v>
      </c>
    </row>
    <row r="123" spans="1:78" ht="15.75" hidden="1" customHeight="1">
      <c r="A123" s="35" t="str">
        <f t="shared" si="2"/>
        <v>ELPTMED_022/2646034</v>
      </c>
      <c r="C123" s="358" t="s">
        <v>2342</v>
      </c>
      <c r="D123" s="358">
        <v>120</v>
      </c>
      <c r="E123" s="358" t="s">
        <v>3263</v>
      </c>
      <c r="F123" s="358" t="s">
        <v>3264</v>
      </c>
      <c r="G123" s="384">
        <v>46034</v>
      </c>
      <c r="H123" s="358" t="s">
        <v>140</v>
      </c>
      <c r="I123" s="358">
        <v>2</v>
      </c>
      <c r="J123" s="359" t="str">
        <f>IFERROR(VLOOKUP($A123,#REF!,3,0),"")</f>
        <v/>
      </c>
      <c r="K123" s="359" t="str">
        <f>IFERROR(VLOOKUP($A123,#REF!,4,0),AF123)</f>
        <v>NA</v>
      </c>
      <c r="L123" s="359" t="str">
        <f>IFERROR(VLOOKUP($A123,#REF!,5,0),"")</f>
        <v/>
      </c>
      <c r="M123" s="359" t="str">
        <f>IFERROR(VLOOKUP($A123,#REF!,7,0),"")</f>
        <v/>
      </c>
      <c r="N123" s="359"/>
      <c r="O123" s="359" t="str">
        <f>IFERROR(VLOOKUP($A123,#REF!,6,0),"")</f>
        <v/>
      </c>
      <c r="P123" s="359" t="str">
        <f>IFERROR(VLOOKUP($A123,#REF!,9,0),"")</f>
        <v/>
      </c>
      <c r="Q123" s="359" t="str">
        <f>IFERROR(VLOOKUP($A123,#REF!,10,0),"")</f>
        <v/>
      </c>
      <c r="R123" s="359" t="str">
        <f>IFERROR(VLOOKUP($A123,#REF!,11,0),"")</f>
        <v/>
      </c>
      <c r="S123" s="359" t="str">
        <f>IFERROR(VLOOKUP($A123,#REF!,13,0),"")</f>
        <v/>
      </c>
      <c r="T123" s="359" t="str">
        <f>IFERROR(VLOOKUP($A123,#REF!,14,0),"")</f>
        <v/>
      </c>
      <c r="U123" s="359" t="str">
        <f>IFERROR(VLOOKUP($A123,#REF!,15,0),"")</f>
        <v/>
      </c>
      <c r="V123" s="359" t="str">
        <f>IFERROR(VLOOKUP($A123,#REF!,16,0),"")</f>
        <v/>
      </c>
      <c r="W123" s="359" t="str">
        <f>IFERROR(VLOOKUP($A123,#REF!,17,0),"")</f>
        <v/>
      </c>
      <c r="X123" s="359" t="str">
        <f>IFERROR(VLOOKUP($A123,#REF!,18,0),"")</f>
        <v/>
      </c>
      <c r="Y123" s="359" t="str">
        <f>IFERROR(VLOOKUP($A123,#REF!,19,0),"")</f>
        <v/>
      </c>
      <c r="Z123" s="400" t="str">
        <f>IFERROR(VLOOKUP($A123,#REF!,21,0),"")</f>
        <v/>
      </c>
      <c r="AA123" s="358"/>
      <c r="AB123" s="358"/>
      <c r="AC123" s="358" t="s">
        <v>1721</v>
      </c>
      <c r="AD123" s="358"/>
      <c r="AE123" s="358"/>
      <c r="AF123" s="141" t="s">
        <v>3237</v>
      </c>
      <c r="AG123" s="358"/>
      <c r="AH123" s="358"/>
      <c r="AI123" s="358"/>
      <c r="AJ123" s="358"/>
      <c r="AK123" s="358"/>
      <c r="AL123" s="358"/>
      <c r="AM123" s="358"/>
      <c r="AN123" s="358" t="s">
        <v>113</v>
      </c>
      <c r="AO123" s="327" t="s">
        <v>30</v>
      </c>
      <c r="AP123" s="380">
        <v>46079</v>
      </c>
      <c r="AQ123" s="384" t="s">
        <v>67</v>
      </c>
      <c r="AR123" s="358" t="s">
        <v>32</v>
      </c>
      <c r="AS123" s="358">
        <v>2</v>
      </c>
      <c r="AT123" s="384" t="s">
        <v>67</v>
      </c>
      <c r="AU123" s="380">
        <v>46079</v>
      </c>
      <c r="AV123" s="100" t="s">
        <v>113</v>
      </c>
      <c r="AW123" s="95"/>
      <c r="AX123" s="107"/>
      <c r="AY123" s="100"/>
      <c r="AZ123" s="100"/>
      <c r="BA123" s="100"/>
      <c r="BB123" s="100"/>
      <c r="BC123" s="100"/>
      <c r="BD123" s="100"/>
      <c r="BE123" s="100"/>
      <c r="BF123" s="100"/>
      <c r="BG123" s="114"/>
      <c r="BH123" s="111"/>
      <c r="BI123" s="111"/>
      <c r="BJ123" s="111"/>
      <c r="BK123" s="114"/>
      <c r="BL123" s="360"/>
      <c r="BN123"/>
      <c r="BO123"/>
      <c r="BP123"/>
      <c r="BQ123"/>
      <c r="BR123"/>
      <c r="BS123"/>
      <c r="BT123"/>
      <c r="BU123"/>
      <c r="BV123"/>
      <c r="BW123" s="109"/>
      <c r="BZ123">
        <f t="shared" si="3"/>
        <v>1</v>
      </c>
    </row>
    <row r="124" spans="1:78" ht="15.75" hidden="1" customHeight="1">
      <c r="A124" s="35" t="str">
        <f t="shared" si="2"/>
        <v>ELPTMED_023/2646034</v>
      </c>
      <c r="C124" s="358" t="s">
        <v>2342</v>
      </c>
      <c r="D124" s="358">
        <v>121</v>
      </c>
      <c r="E124" s="141" t="s">
        <v>3265</v>
      </c>
      <c r="F124" s="358" t="s">
        <v>1230</v>
      </c>
      <c r="G124" s="384">
        <v>46034</v>
      </c>
      <c r="H124" s="358" t="s">
        <v>140</v>
      </c>
      <c r="I124" s="358">
        <v>1</v>
      </c>
      <c r="J124" s="359" t="str">
        <f>IFERROR(VLOOKUP($A124,#REF!,3,0),"")</f>
        <v/>
      </c>
      <c r="K124" s="359" t="str">
        <f>IFERROR(VLOOKUP($A124,#REF!,4,0),AF124)</f>
        <v>NA</v>
      </c>
      <c r="L124" s="359" t="str">
        <f>IFERROR(VLOOKUP($A124,#REF!,5,0),"")</f>
        <v/>
      </c>
      <c r="M124" s="359" t="str">
        <f>IFERROR(VLOOKUP($A124,#REF!,7,0),"")</f>
        <v/>
      </c>
      <c r="N124" s="359"/>
      <c r="O124" s="359" t="str">
        <f>IFERROR(VLOOKUP($A124,#REF!,6,0),"")</f>
        <v/>
      </c>
      <c r="P124" s="359" t="str">
        <f>IFERROR(VLOOKUP($A124,#REF!,9,0),"")</f>
        <v/>
      </c>
      <c r="Q124" s="359" t="str">
        <f>IFERROR(VLOOKUP($A124,#REF!,10,0),"")</f>
        <v/>
      </c>
      <c r="R124" s="359" t="str">
        <f>IFERROR(VLOOKUP($A124,#REF!,11,0),"")</f>
        <v/>
      </c>
      <c r="S124" s="359" t="str">
        <f>IFERROR(VLOOKUP($A124,#REF!,13,0),"")</f>
        <v/>
      </c>
      <c r="T124" s="359" t="str">
        <f>IFERROR(VLOOKUP($A124,#REF!,14,0),"")</f>
        <v/>
      </c>
      <c r="U124" s="359" t="str">
        <f>IFERROR(VLOOKUP($A124,#REF!,15,0),"")</f>
        <v/>
      </c>
      <c r="V124" s="359" t="str">
        <f>IFERROR(VLOOKUP($A124,#REF!,16,0),"")</f>
        <v/>
      </c>
      <c r="W124" s="359" t="str">
        <f>IFERROR(VLOOKUP($A124,#REF!,17,0),"")</f>
        <v/>
      </c>
      <c r="X124" s="359" t="str">
        <f>IFERROR(VLOOKUP($A124,#REF!,18,0),"")</f>
        <v/>
      </c>
      <c r="Y124" s="359" t="str">
        <f>IFERROR(VLOOKUP($A124,#REF!,19,0),"")</f>
        <v/>
      </c>
      <c r="Z124" s="400" t="str">
        <f>IFERROR(VLOOKUP($A124,#REF!,21,0),"")</f>
        <v/>
      </c>
      <c r="AA124" s="358"/>
      <c r="AB124" s="358"/>
      <c r="AC124" s="358" t="s">
        <v>1077</v>
      </c>
      <c r="AD124" s="358"/>
      <c r="AE124" s="358"/>
      <c r="AF124" s="141" t="s">
        <v>3237</v>
      </c>
      <c r="AG124" s="358"/>
      <c r="AH124" s="358"/>
      <c r="AI124" s="358"/>
      <c r="AJ124" s="358"/>
      <c r="AK124" s="358"/>
      <c r="AL124" s="358"/>
      <c r="AM124" s="358"/>
      <c r="AN124" s="358" t="s">
        <v>113</v>
      </c>
      <c r="AO124" s="327" t="s">
        <v>30</v>
      </c>
      <c r="AP124" s="380">
        <v>46082</v>
      </c>
      <c r="AQ124" s="384" t="s">
        <v>67</v>
      </c>
      <c r="AR124" s="358" t="s">
        <v>32</v>
      </c>
      <c r="AS124" s="358">
        <v>1</v>
      </c>
      <c r="AT124" s="384" t="s">
        <v>67</v>
      </c>
      <c r="AU124" s="380">
        <v>46082</v>
      </c>
      <c r="AV124" s="100" t="s">
        <v>113</v>
      </c>
      <c r="AW124" s="122"/>
      <c r="AX124" s="107"/>
      <c r="AY124" s="100"/>
      <c r="AZ124" s="100"/>
      <c r="BA124" s="100"/>
      <c r="BB124" s="100"/>
      <c r="BC124" s="100"/>
      <c r="BD124" s="100"/>
      <c r="BE124" s="100"/>
      <c r="BF124" s="100"/>
      <c r="BG124" s="114"/>
      <c r="BH124" s="122"/>
      <c r="BI124" s="122"/>
      <c r="BJ124" s="122"/>
      <c r="BK124" s="114"/>
      <c r="BL124" s="360"/>
      <c r="BN124"/>
      <c r="BO124"/>
      <c r="BP124"/>
      <c r="BQ124"/>
      <c r="BR124"/>
      <c r="BS124" s="72"/>
      <c r="BW124" s="109"/>
      <c r="BZ124">
        <f t="shared" si="3"/>
        <v>1</v>
      </c>
    </row>
    <row r="125" spans="1:78" ht="15.75" hidden="1" customHeight="1">
      <c r="A125" s="35" t="str">
        <f t="shared" si="2"/>
        <v>ELPTMED_024/2646034,375</v>
      </c>
      <c r="C125" s="358" t="s">
        <v>2342</v>
      </c>
      <c r="D125" s="358">
        <v>122</v>
      </c>
      <c r="E125" s="141" t="s">
        <v>3266</v>
      </c>
      <c r="F125" s="358" t="s">
        <v>1565</v>
      </c>
      <c r="G125" s="384">
        <v>46034.375</v>
      </c>
      <c r="H125" s="358" t="s">
        <v>140</v>
      </c>
      <c r="I125" s="358">
        <v>2</v>
      </c>
      <c r="J125" s="359" t="str">
        <f>IFERROR(VLOOKUP($A125,#REF!,3,0),"")</f>
        <v/>
      </c>
      <c r="K125" s="359" t="str">
        <f>IFERROR(VLOOKUP($A125,#REF!,4,0),AF125)</f>
        <v>NA</v>
      </c>
      <c r="L125" s="359" t="str">
        <f>IFERROR(VLOOKUP($A125,#REF!,5,0),"")</f>
        <v/>
      </c>
      <c r="M125" s="359" t="str">
        <f>IFERROR(VLOOKUP($A125,#REF!,7,0),"")</f>
        <v/>
      </c>
      <c r="N125" s="359"/>
      <c r="O125" s="359" t="str">
        <f>IFERROR(VLOOKUP($A125,#REF!,6,0),"")</f>
        <v/>
      </c>
      <c r="P125" s="359" t="str">
        <f>IFERROR(VLOOKUP($A125,#REF!,9,0),"")</f>
        <v/>
      </c>
      <c r="Q125" s="359" t="str">
        <f>IFERROR(VLOOKUP($A125,#REF!,10,0),"")</f>
        <v/>
      </c>
      <c r="R125" s="359" t="str">
        <f>IFERROR(VLOOKUP($A125,#REF!,11,0),"")</f>
        <v/>
      </c>
      <c r="S125" s="359" t="str">
        <f>IFERROR(VLOOKUP($A125,#REF!,13,0),"")</f>
        <v/>
      </c>
      <c r="T125" s="359" t="str">
        <f>IFERROR(VLOOKUP($A125,#REF!,14,0),"")</f>
        <v/>
      </c>
      <c r="U125" s="359" t="str">
        <f>IFERROR(VLOOKUP($A125,#REF!,15,0),"")</f>
        <v/>
      </c>
      <c r="V125" s="359" t="str">
        <f>IFERROR(VLOOKUP($A125,#REF!,16,0),"")</f>
        <v/>
      </c>
      <c r="W125" s="359" t="str">
        <f>IFERROR(VLOOKUP($A125,#REF!,17,0),"")</f>
        <v/>
      </c>
      <c r="X125" s="359" t="str">
        <f>IFERROR(VLOOKUP($A125,#REF!,18,0),"")</f>
        <v/>
      </c>
      <c r="Y125" s="359" t="str">
        <f>IFERROR(VLOOKUP($A125,#REF!,19,0),"")</f>
        <v/>
      </c>
      <c r="Z125" s="400" t="str">
        <f>IFERROR(VLOOKUP($A125,#REF!,21,0),"")</f>
        <v/>
      </c>
      <c r="AA125" s="358"/>
      <c r="AB125" s="358"/>
      <c r="AC125" s="359" t="s">
        <v>1077</v>
      </c>
      <c r="AD125" s="358"/>
      <c r="AE125" s="358"/>
      <c r="AF125" s="141" t="s">
        <v>3237</v>
      </c>
      <c r="AG125" s="358"/>
      <c r="AH125" s="358"/>
      <c r="AI125" s="358"/>
      <c r="AJ125" s="358"/>
      <c r="AK125" s="358"/>
      <c r="AL125" s="358"/>
      <c r="AM125" s="358"/>
      <c r="AN125" s="358" t="s">
        <v>113</v>
      </c>
      <c r="AO125" s="327" t="s">
        <v>30</v>
      </c>
      <c r="AP125" s="380">
        <v>46082</v>
      </c>
      <c r="AQ125" s="384" t="s">
        <v>67</v>
      </c>
      <c r="AR125" s="358" t="s">
        <v>32</v>
      </c>
      <c r="AS125" s="358">
        <v>2</v>
      </c>
      <c r="AT125" s="384" t="s">
        <v>67</v>
      </c>
      <c r="AU125" s="380">
        <v>46082</v>
      </c>
      <c r="AV125" s="100" t="s">
        <v>113</v>
      </c>
      <c r="AW125" s="122"/>
      <c r="AX125" s="107"/>
      <c r="AY125" s="100"/>
      <c r="AZ125" s="95"/>
      <c r="BA125" s="100"/>
      <c r="BB125" s="100"/>
      <c r="BC125" s="100"/>
      <c r="BD125" s="100"/>
      <c r="BE125" s="100"/>
      <c r="BF125" s="100"/>
      <c r="BG125" s="114"/>
      <c r="BH125" s="122"/>
      <c r="BI125" s="122"/>
      <c r="BJ125" s="122"/>
      <c r="BK125" s="114"/>
      <c r="BL125" s="360"/>
      <c r="BN125"/>
      <c r="BO125"/>
      <c r="BP125"/>
      <c r="BQ125"/>
      <c r="BR125"/>
      <c r="BS125" s="72"/>
      <c r="BW125" s="109"/>
      <c r="BZ125">
        <f t="shared" si="3"/>
        <v>1</v>
      </c>
    </row>
    <row r="126" spans="1:78" ht="15.75" hidden="1" customHeight="1">
      <c r="A126" s="35" t="str">
        <f t="shared" si="2"/>
        <v>ELPTMED_025/2646034</v>
      </c>
      <c r="C126" s="358" t="s">
        <v>2342</v>
      </c>
      <c r="D126" s="358">
        <v>123</v>
      </c>
      <c r="E126" s="141" t="s">
        <v>3267</v>
      </c>
      <c r="F126" s="358" t="s">
        <v>1184</v>
      </c>
      <c r="G126" s="384">
        <v>46034</v>
      </c>
      <c r="H126" s="358" t="s">
        <v>140</v>
      </c>
      <c r="I126" s="358">
        <v>3</v>
      </c>
      <c r="J126" s="359" t="str">
        <f>IFERROR(VLOOKUP($A126,#REF!,3,0),"")</f>
        <v/>
      </c>
      <c r="K126" s="359" t="str">
        <f>IFERROR(VLOOKUP($A126,#REF!,4,0),AF126)</f>
        <v>NA</v>
      </c>
      <c r="L126" s="359" t="str">
        <f>IFERROR(VLOOKUP($A126,#REF!,5,0),"")</f>
        <v/>
      </c>
      <c r="M126" s="359" t="str">
        <f>IFERROR(VLOOKUP($A126,#REF!,7,0),"")</f>
        <v/>
      </c>
      <c r="N126" s="359"/>
      <c r="O126" s="359" t="str">
        <f>IFERROR(VLOOKUP($A126,#REF!,6,0),"")</f>
        <v/>
      </c>
      <c r="P126" s="359" t="str">
        <f>IFERROR(VLOOKUP($A126,#REF!,9,0),"")</f>
        <v/>
      </c>
      <c r="Q126" s="359" t="str">
        <f>IFERROR(VLOOKUP($A126,#REF!,10,0),"")</f>
        <v/>
      </c>
      <c r="R126" s="359" t="str">
        <f>IFERROR(VLOOKUP($A126,#REF!,11,0),"")</f>
        <v/>
      </c>
      <c r="S126" s="359" t="str">
        <f>IFERROR(VLOOKUP($A126,#REF!,13,0),"")</f>
        <v/>
      </c>
      <c r="T126" s="359" t="str">
        <f>IFERROR(VLOOKUP($A126,#REF!,14,0),"")</f>
        <v/>
      </c>
      <c r="U126" s="359" t="str">
        <f>IFERROR(VLOOKUP($A126,#REF!,15,0),"")</f>
        <v/>
      </c>
      <c r="V126" s="359" t="str">
        <f>IFERROR(VLOOKUP($A126,#REF!,16,0),"")</f>
        <v/>
      </c>
      <c r="W126" s="359" t="str">
        <f>IFERROR(VLOOKUP($A126,#REF!,17,0),"")</f>
        <v/>
      </c>
      <c r="X126" s="359" t="str">
        <f>IFERROR(VLOOKUP($A126,#REF!,18,0),"")</f>
        <v/>
      </c>
      <c r="Y126" s="359" t="str">
        <f>IFERROR(VLOOKUP($A126,#REF!,19,0),"")</f>
        <v/>
      </c>
      <c r="Z126" s="400" t="str">
        <f>IFERROR(VLOOKUP($A126,#REF!,21,0),"")</f>
        <v/>
      </c>
      <c r="AA126" s="358"/>
      <c r="AB126" s="358"/>
      <c r="AC126" s="359" t="s">
        <v>1790</v>
      </c>
      <c r="AD126" s="358"/>
      <c r="AE126" s="358"/>
      <c r="AF126" s="141" t="s">
        <v>3237</v>
      </c>
      <c r="AG126" s="358"/>
      <c r="AH126" s="358"/>
      <c r="AI126" s="358"/>
      <c r="AJ126" s="358"/>
      <c r="AK126" s="358"/>
      <c r="AL126" s="358"/>
      <c r="AM126" s="358"/>
      <c r="AN126" s="358" t="s">
        <v>113</v>
      </c>
      <c r="AO126" s="327" t="s">
        <v>30</v>
      </c>
      <c r="AP126" s="380">
        <v>46084</v>
      </c>
      <c r="AQ126" s="384" t="s">
        <v>67</v>
      </c>
      <c r="AR126" s="358" t="s">
        <v>32</v>
      </c>
      <c r="AS126" s="358">
        <v>3</v>
      </c>
      <c r="AT126" s="384" t="s">
        <v>67</v>
      </c>
      <c r="AU126" s="380">
        <v>46084</v>
      </c>
      <c r="AV126" s="100" t="s">
        <v>113</v>
      </c>
      <c r="AW126" s="95"/>
      <c r="AX126" s="107"/>
      <c r="AY126" s="107"/>
      <c r="AZ126" s="107"/>
      <c r="BA126" s="107"/>
      <c r="BB126" s="100"/>
      <c r="BC126" s="100"/>
      <c r="BD126" s="100"/>
      <c r="BE126" s="100"/>
      <c r="BF126" s="100"/>
      <c r="BG126" s="114"/>
      <c r="BH126" s="111"/>
      <c r="BI126" s="111"/>
      <c r="BJ126" s="111"/>
      <c r="BK126" s="114"/>
      <c r="BL126" s="360"/>
      <c r="BN126"/>
      <c r="BO126"/>
      <c r="BP126"/>
      <c r="BQ126"/>
      <c r="BR126"/>
      <c r="BS126" s="72"/>
      <c r="BW126" s="109"/>
      <c r="BZ126">
        <f t="shared" si="3"/>
        <v>1</v>
      </c>
    </row>
    <row r="127" spans="1:78" ht="15.75" hidden="1" customHeight="1">
      <c r="A127" s="35" t="str">
        <f t="shared" si="2"/>
        <v>ELPTMED_026/2646041,0416666667</v>
      </c>
      <c r="C127" s="358" t="s">
        <v>2342</v>
      </c>
      <c r="D127" s="358">
        <v>124</v>
      </c>
      <c r="E127" s="358" t="s">
        <v>3268</v>
      </c>
      <c r="F127" s="358" t="s">
        <v>1184</v>
      </c>
      <c r="G127" s="384">
        <v>46041.041666666664</v>
      </c>
      <c r="H127" s="358" t="s">
        <v>140</v>
      </c>
      <c r="I127" s="358">
        <v>13</v>
      </c>
      <c r="J127" s="359" t="str">
        <f>IFERROR(VLOOKUP($A127,#REF!,3,0),"")</f>
        <v/>
      </c>
      <c r="K127" s="359" t="str">
        <f>IFERROR(VLOOKUP($A127,#REF!,4,0),AF127)</f>
        <v>NA</v>
      </c>
      <c r="L127" s="359" t="str">
        <f>IFERROR(VLOOKUP($A127,#REF!,5,0),"")</f>
        <v/>
      </c>
      <c r="M127" s="359" t="str">
        <f>IFERROR(VLOOKUP($A127,#REF!,7,0),"")</f>
        <v/>
      </c>
      <c r="N127" s="359"/>
      <c r="O127" s="359" t="str">
        <f>IFERROR(VLOOKUP($A127,#REF!,6,0),"")</f>
        <v/>
      </c>
      <c r="P127" s="359" t="str">
        <f>IFERROR(VLOOKUP($A127,#REF!,9,0),"")</f>
        <v/>
      </c>
      <c r="Q127" s="359" t="str">
        <f>IFERROR(VLOOKUP($A127,#REF!,10,0),"")</f>
        <v/>
      </c>
      <c r="R127" s="359" t="str">
        <f>IFERROR(VLOOKUP($A127,#REF!,11,0),"")</f>
        <v/>
      </c>
      <c r="S127" s="359" t="str">
        <f>IFERROR(VLOOKUP($A127,#REF!,13,0),"")</f>
        <v/>
      </c>
      <c r="T127" s="359" t="str">
        <f>IFERROR(VLOOKUP($A127,#REF!,14,0),"")</f>
        <v/>
      </c>
      <c r="U127" s="359" t="str">
        <f>IFERROR(VLOOKUP($A127,#REF!,15,0),"")</f>
        <v/>
      </c>
      <c r="V127" s="359" t="str">
        <f>IFERROR(VLOOKUP($A127,#REF!,16,0),"")</f>
        <v/>
      </c>
      <c r="W127" s="359" t="str">
        <f>IFERROR(VLOOKUP($A127,#REF!,17,0),"")</f>
        <v/>
      </c>
      <c r="X127" s="359" t="str">
        <f>IFERROR(VLOOKUP($A127,#REF!,18,0),"")</f>
        <v/>
      </c>
      <c r="Y127" s="359" t="str">
        <f>IFERROR(VLOOKUP($A127,#REF!,19,0),"")</f>
        <v/>
      </c>
      <c r="Z127" s="400" t="str">
        <f>IFERROR(VLOOKUP($A127,#REF!,21,0),"")</f>
        <v/>
      </c>
      <c r="AA127" s="358"/>
      <c r="AB127" s="358"/>
      <c r="AC127" s="359" t="s">
        <v>3269</v>
      </c>
      <c r="AD127" s="358"/>
      <c r="AE127" s="102"/>
      <c r="AF127" s="141" t="s">
        <v>3237</v>
      </c>
      <c r="AG127" s="358"/>
      <c r="AH127" s="358"/>
      <c r="AI127" s="358"/>
      <c r="AJ127" s="358"/>
      <c r="AK127" s="358"/>
      <c r="AL127" s="358"/>
      <c r="AM127" s="358"/>
      <c r="AN127" s="358" t="s">
        <v>113</v>
      </c>
      <c r="AO127" s="380" t="s">
        <v>30</v>
      </c>
      <c r="AP127" s="380">
        <v>46082</v>
      </c>
      <c r="AQ127" s="384" t="s">
        <v>67</v>
      </c>
      <c r="AR127" s="358" t="s">
        <v>32</v>
      </c>
      <c r="AS127" s="358">
        <v>13</v>
      </c>
      <c r="AT127" s="384" t="s">
        <v>67</v>
      </c>
      <c r="AU127" s="380">
        <v>46082</v>
      </c>
      <c r="AV127" s="100" t="s">
        <v>113</v>
      </c>
      <c r="AW127" s="95"/>
      <c r="AX127" s="107"/>
      <c r="AY127" s="100"/>
      <c r="AZ127" s="100"/>
      <c r="BA127" s="100"/>
      <c r="BB127" s="100"/>
      <c r="BC127" s="100"/>
      <c r="BD127" s="100"/>
      <c r="BE127" s="100"/>
      <c r="BF127" s="100"/>
      <c r="BG127" s="114"/>
      <c r="BH127" s="114"/>
      <c r="BI127" s="114"/>
      <c r="BJ127" s="114"/>
      <c r="BK127" s="114"/>
      <c r="BL127" s="360"/>
      <c r="BM127" s="6"/>
      <c r="BN127" s="6"/>
      <c r="BO127" s="6"/>
      <c r="BP127" s="6"/>
      <c r="BQ127" s="6"/>
      <c r="BR127" s="6"/>
      <c r="BS127" s="108"/>
      <c r="BT127" s="109"/>
      <c r="BU127" s="109"/>
      <c r="BV127" s="109"/>
      <c r="BW127" s="109"/>
      <c r="BZ127">
        <f t="shared" si="3"/>
        <v>1</v>
      </c>
    </row>
    <row r="128" spans="1:78" ht="15.75" hidden="1" customHeight="1">
      <c r="A128" s="35" t="str">
        <f t="shared" si="2"/>
        <v>ELPTMED_027/2646041,0416666667</v>
      </c>
      <c r="C128" s="358" t="s">
        <v>2342</v>
      </c>
      <c r="D128" s="358">
        <v>125</v>
      </c>
      <c r="E128" s="358" t="s">
        <v>3270</v>
      </c>
      <c r="F128" s="358" t="s">
        <v>1250</v>
      </c>
      <c r="G128" s="384">
        <v>46041.041666666664</v>
      </c>
      <c r="H128" s="358" t="s">
        <v>140</v>
      </c>
      <c r="I128" s="358">
        <v>17</v>
      </c>
      <c r="J128" s="359" t="str">
        <f>IFERROR(VLOOKUP($A128,#REF!,3,0),"")</f>
        <v/>
      </c>
      <c r="K128" s="359" t="str">
        <f>IFERROR(VLOOKUP($A128,#REF!,4,0),AF128)</f>
        <v>NA</v>
      </c>
      <c r="L128" s="359" t="str">
        <f>IFERROR(VLOOKUP($A128,#REF!,5,0),"")</f>
        <v/>
      </c>
      <c r="M128" s="359" t="str">
        <f>IFERROR(VLOOKUP($A128,#REF!,7,0),"")</f>
        <v/>
      </c>
      <c r="N128" s="359"/>
      <c r="O128" s="359" t="str">
        <f>IFERROR(VLOOKUP($A128,#REF!,6,0),"")</f>
        <v/>
      </c>
      <c r="P128" s="359" t="str">
        <f>IFERROR(VLOOKUP($A128,#REF!,9,0),"")</f>
        <v/>
      </c>
      <c r="Q128" s="359" t="str">
        <f>IFERROR(VLOOKUP($A128,#REF!,10,0),"")</f>
        <v/>
      </c>
      <c r="R128" s="359" t="str">
        <f>IFERROR(VLOOKUP($A128,#REF!,11,0),"")</f>
        <v/>
      </c>
      <c r="S128" s="359" t="str">
        <f>IFERROR(VLOOKUP($A128,#REF!,13,0),"")</f>
        <v/>
      </c>
      <c r="T128" s="359" t="str">
        <f>IFERROR(VLOOKUP($A128,#REF!,14,0),"")</f>
        <v/>
      </c>
      <c r="U128" s="359" t="str">
        <f>IFERROR(VLOOKUP($A128,#REF!,15,0),"")</f>
        <v/>
      </c>
      <c r="V128" s="359" t="str">
        <f>IFERROR(VLOOKUP($A128,#REF!,16,0),"")</f>
        <v/>
      </c>
      <c r="W128" s="359" t="str">
        <f>IFERROR(VLOOKUP($A128,#REF!,17,0),"")</f>
        <v/>
      </c>
      <c r="X128" s="359" t="str">
        <f>IFERROR(VLOOKUP($A128,#REF!,18,0),"")</f>
        <v/>
      </c>
      <c r="Y128" s="359" t="str">
        <f>IFERROR(VLOOKUP($A128,#REF!,19,0),"")</f>
        <v/>
      </c>
      <c r="Z128" s="400" t="str">
        <f>IFERROR(VLOOKUP($A128,#REF!,21,0),"")</f>
        <v/>
      </c>
      <c r="AA128" s="358"/>
      <c r="AB128" s="358"/>
      <c r="AC128" s="359" t="s">
        <v>127</v>
      </c>
      <c r="AD128" s="358"/>
      <c r="AE128" s="358"/>
      <c r="AF128" s="141" t="s">
        <v>3237</v>
      </c>
      <c r="AG128" s="358"/>
      <c r="AH128" s="358"/>
      <c r="AI128" s="358"/>
      <c r="AJ128" s="358"/>
      <c r="AK128" s="358"/>
      <c r="AL128" s="358"/>
      <c r="AM128" s="358"/>
      <c r="AN128" s="358" t="s">
        <v>113</v>
      </c>
      <c r="AO128" s="380" t="s">
        <v>30</v>
      </c>
      <c r="AP128" s="380">
        <v>46078</v>
      </c>
      <c r="AQ128" s="384" t="s">
        <v>67</v>
      </c>
      <c r="AR128" s="358" t="s">
        <v>32</v>
      </c>
      <c r="AS128" s="358">
        <v>16</v>
      </c>
      <c r="AT128" s="384" t="s">
        <v>67</v>
      </c>
      <c r="AU128" s="380">
        <v>46078</v>
      </c>
      <c r="AV128" s="100" t="s">
        <v>113</v>
      </c>
      <c r="AW128" s="95"/>
      <c r="AX128" s="107"/>
      <c r="AY128" s="100"/>
      <c r="AZ128" s="100"/>
      <c r="BA128" s="100"/>
      <c r="BB128" s="100"/>
      <c r="BC128" s="100"/>
      <c r="BD128" s="100"/>
      <c r="BE128" s="100"/>
      <c r="BF128" s="100"/>
      <c r="BG128" s="114"/>
      <c r="BH128" s="100"/>
      <c r="BI128" s="100"/>
      <c r="BJ128" s="100"/>
      <c r="BK128" s="114"/>
      <c r="BL128" s="360"/>
      <c r="BN128"/>
      <c r="BO128"/>
      <c r="BP128"/>
      <c r="BQ128"/>
      <c r="BR128"/>
      <c r="BW128" s="109"/>
      <c r="BZ128">
        <f t="shared" si="3"/>
        <v>1</v>
      </c>
    </row>
    <row r="129" spans="1:78" ht="15.75" hidden="1" customHeight="1">
      <c r="A129" s="35" t="str">
        <f t="shared" si="2"/>
        <v>ELPTMED_028/2646041</v>
      </c>
      <c r="C129" s="358" t="s">
        <v>2342</v>
      </c>
      <c r="D129" s="358">
        <v>126</v>
      </c>
      <c r="E129" s="141" t="s">
        <v>3271</v>
      </c>
      <c r="F129" s="358" t="s">
        <v>1406</v>
      </c>
      <c r="G129" s="384">
        <v>46041</v>
      </c>
      <c r="H129" s="358" t="s">
        <v>140</v>
      </c>
      <c r="I129" s="358">
        <v>2</v>
      </c>
      <c r="J129" s="359" t="str">
        <f>IFERROR(VLOOKUP($A129,#REF!,3,0),"")</f>
        <v/>
      </c>
      <c r="K129" s="359" t="str">
        <f>IFERROR(VLOOKUP($A129,#REF!,4,0),AF129)</f>
        <v>NA</v>
      </c>
      <c r="L129" s="359" t="str">
        <f>IFERROR(VLOOKUP($A129,#REF!,5,0),"")</f>
        <v/>
      </c>
      <c r="M129" s="359" t="str">
        <f>IFERROR(VLOOKUP($A129,#REF!,7,0),"")</f>
        <v/>
      </c>
      <c r="N129" s="359"/>
      <c r="O129" s="359" t="str">
        <f>IFERROR(VLOOKUP($A129,#REF!,6,0),"")</f>
        <v/>
      </c>
      <c r="P129" s="359" t="str">
        <f>IFERROR(VLOOKUP($A129,#REF!,9,0),"")</f>
        <v/>
      </c>
      <c r="Q129" s="359" t="str">
        <f>IFERROR(VLOOKUP($A129,#REF!,10,0),"")</f>
        <v/>
      </c>
      <c r="R129" s="359" t="str">
        <f>IFERROR(VLOOKUP($A129,#REF!,11,0),"")</f>
        <v/>
      </c>
      <c r="S129" s="359" t="str">
        <f>IFERROR(VLOOKUP($A129,#REF!,13,0),"")</f>
        <v/>
      </c>
      <c r="T129" s="359" t="str">
        <f>IFERROR(VLOOKUP($A129,#REF!,14,0),"")</f>
        <v/>
      </c>
      <c r="U129" s="359" t="str">
        <f>IFERROR(VLOOKUP($A129,#REF!,15,0),"")</f>
        <v/>
      </c>
      <c r="V129" s="359" t="str">
        <f>IFERROR(VLOOKUP($A129,#REF!,16,0),"")</f>
        <v/>
      </c>
      <c r="W129" s="359" t="str">
        <f>IFERROR(VLOOKUP($A129,#REF!,17,0),"")</f>
        <v/>
      </c>
      <c r="X129" s="359" t="str">
        <f>IFERROR(VLOOKUP($A129,#REF!,18,0),"")</f>
        <v/>
      </c>
      <c r="Y129" s="359" t="str">
        <f>IFERROR(VLOOKUP($A129,#REF!,19,0),"")</f>
        <v/>
      </c>
      <c r="Z129" s="400" t="str">
        <f>IFERROR(VLOOKUP($A129,#REF!,21,0),"")</f>
        <v/>
      </c>
      <c r="AA129" s="358"/>
      <c r="AB129" s="358"/>
      <c r="AC129" s="359" t="s">
        <v>1077</v>
      </c>
      <c r="AD129" s="358"/>
      <c r="AE129" s="358"/>
      <c r="AF129" s="141" t="s">
        <v>3237</v>
      </c>
      <c r="AG129" s="358"/>
      <c r="AH129" s="358"/>
      <c r="AI129" s="358"/>
      <c r="AJ129" s="358"/>
      <c r="AK129" s="358"/>
      <c r="AL129" s="358"/>
      <c r="AM129" s="358"/>
      <c r="AN129" s="358" t="s">
        <v>113</v>
      </c>
      <c r="AO129" s="327" t="s">
        <v>30</v>
      </c>
      <c r="AP129" s="380">
        <v>46082</v>
      </c>
      <c r="AQ129" s="384" t="s">
        <v>67</v>
      </c>
      <c r="AR129" s="358" t="s">
        <v>32</v>
      </c>
      <c r="AS129" s="358">
        <v>2</v>
      </c>
      <c r="AT129" s="384" t="s">
        <v>67</v>
      </c>
      <c r="AU129" s="380">
        <v>46082</v>
      </c>
      <c r="AV129" s="100" t="s">
        <v>113</v>
      </c>
      <c r="AW129" s="95"/>
      <c r="AX129" s="107"/>
      <c r="AY129" s="100"/>
      <c r="AZ129" s="107"/>
      <c r="BA129" s="100"/>
      <c r="BB129" s="100"/>
      <c r="BC129" s="100"/>
      <c r="BD129" s="100"/>
      <c r="BE129" s="100"/>
      <c r="BF129" s="100"/>
      <c r="BG129" s="114"/>
      <c r="BH129" s="111"/>
      <c r="BI129" s="111"/>
      <c r="BJ129" s="111"/>
      <c r="BK129" s="114"/>
      <c r="BL129" s="360"/>
      <c r="BN129" s="89"/>
      <c r="BO129" s="89"/>
      <c r="BP129" s="89"/>
      <c r="BQ129" s="89"/>
      <c r="BR129" s="88"/>
      <c r="BW129" s="109"/>
      <c r="BZ129">
        <f t="shared" si="3"/>
        <v>1</v>
      </c>
    </row>
    <row r="130" spans="1:78" ht="15.75" hidden="1" customHeight="1">
      <c r="A130" s="35" t="str">
        <f t="shared" si="2"/>
        <v>ELPTMED_029/2646041</v>
      </c>
      <c r="C130" s="358" t="s">
        <v>2342</v>
      </c>
      <c r="D130" s="358">
        <v>127</v>
      </c>
      <c r="E130" s="141" t="s">
        <v>3272</v>
      </c>
      <c r="F130" s="358" t="s">
        <v>2415</v>
      </c>
      <c r="G130" s="384">
        <v>46041</v>
      </c>
      <c r="H130" s="358" t="s">
        <v>140</v>
      </c>
      <c r="I130" s="358">
        <v>3</v>
      </c>
      <c r="J130" s="359" t="str">
        <f>IFERROR(VLOOKUP($A130,#REF!,3,0),"")</f>
        <v/>
      </c>
      <c r="K130" s="359" t="str">
        <f>IFERROR(VLOOKUP($A130,#REF!,4,0),AF130)</f>
        <v>NA</v>
      </c>
      <c r="L130" s="359" t="str">
        <f>IFERROR(VLOOKUP($A130,#REF!,5,0),"")</f>
        <v/>
      </c>
      <c r="M130" s="359" t="str">
        <f>IFERROR(VLOOKUP($A130,#REF!,7,0),"")</f>
        <v/>
      </c>
      <c r="N130" s="359"/>
      <c r="O130" s="359" t="str">
        <f>IFERROR(VLOOKUP($A130,#REF!,6,0),"")</f>
        <v/>
      </c>
      <c r="P130" s="359" t="str">
        <f>IFERROR(VLOOKUP($A130,#REF!,9,0),"")</f>
        <v/>
      </c>
      <c r="Q130" s="359" t="str">
        <f>IFERROR(VLOOKUP($A130,#REF!,10,0),"")</f>
        <v/>
      </c>
      <c r="R130" s="359" t="str">
        <f>IFERROR(VLOOKUP($A130,#REF!,11,0),"")</f>
        <v/>
      </c>
      <c r="S130" s="359" t="str">
        <f>IFERROR(VLOOKUP($A130,#REF!,13,0),"")</f>
        <v/>
      </c>
      <c r="T130" s="359" t="str">
        <f>IFERROR(VLOOKUP($A130,#REF!,14,0),"")</f>
        <v/>
      </c>
      <c r="U130" s="359" t="str">
        <f>IFERROR(VLOOKUP($A130,#REF!,15,0),"")</f>
        <v/>
      </c>
      <c r="V130" s="359" t="str">
        <f>IFERROR(VLOOKUP($A130,#REF!,16,0),"")</f>
        <v/>
      </c>
      <c r="W130" s="359" t="str">
        <f>IFERROR(VLOOKUP($A130,#REF!,17,0),"")</f>
        <v/>
      </c>
      <c r="X130" s="359" t="str">
        <f>IFERROR(VLOOKUP($A130,#REF!,18,0),"")</f>
        <v/>
      </c>
      <c r="Y130" s="359" t="str">
        <f>IFERROR(VLOOKUP($A130,#REF!,19,0),"")</f>
        <v/>
      </c>
      <c r="Z130" s="400" t="str">
        <f>IFERROR(VLOOKUP($A130,#REF!,21,0),"")</f>
        <v/>
      </c>
      <c r="AA130" s="358"/>
      <c r="AB130" s="358"/>
      <c r="AC130" s="359" t="s">
        <v>1077</v>
      </c>
      <c r="AD130" s="358"/>
      <c r="AE130" s="358"/>
      <c r="AF130" s="141" t="s">
        <v>3237</v>
      </c>
      <c r="AG130" s="358"/>
      <c r="AH130" s="358"/>
      <c r="AI130" s="358"/>
      <c r="AJ130" s="358"/>
      <c r="AK130" s="358"/>
      <c r="AL130" s="358"/>
      <c r="AM130" s="358"/>
      <c r="AN130" s="358" t="s">
        <v>113</v>
      </c>
      <c r="AO130" s="327" t="s">
        <v>30</v>
      </c>
      <c r="AP130" s="380">
        <v>46082</v>
      </c>
      <c r="AQ130" s="384" t="s">
        <v>67</v>
      </c>
      <c r="AR130" s="358" t="s">
        <v>32</v>
      </c>
      <c r="AS130" s="358">
        <v>3</v>
      </c>
      <c r="AT130" s="384" t="s">
        <v>67</v>
      </c>
      <c r="AU130" s="380">
        <v>46082</v>
      </c>
      <c r="AV130" s="100" t="s">
        <v>113</v>
      </c>
      <c r="AW130" s="95"/>
      <c r="AX130" s="107"/>
      <c r="AY130" s="100"/>
      <c r="AZ130" s="100"/>
      <c r="BA130" s="100"/>
      <c r="BB130" s="100"/>
      <c r="BC130" s="100"/>
      <c r="BD130" s="100"/>
      <c r="BE130" s="100"/>
      <c r="BF130" s="100"/>
      <c r="BG130" s="114"/>
      <c r="BH130" s="114"/>
      <c r="BI130" s="114"/>
      <c r="BJ130" s="114"/>
      <c r="BK130" s="114"/>
      <c r="BL130" s="360"/>
      <c r="BM130" s="6"/>
      <c r="BN130" s="6"/>
      <c r="BO130" s="6"/>
      <c r="BP130" s="6"/>
      <c r="BQ130" s="6"/>
      <c r="BR130" s="6"/>
      <c r="BS130" s="108"/>
      <c r="BT130" s="109"/>
      <c r="BU130" s="109"/>
      <c r="BV130" s="109"/>
      <c r="BW130" s="109"/>
      <c r="BZ130">
        <f t="shared" si="3"/>
        <v>1</v>
      </c>
    </row>
    <row r="131" spans="1:78" ht="15.75" hidden="1" customHeight="1">
      <c r="A131" s="35" t="str">
        <f t="shared" si="2"/>
        <v>ELPTMED_030/2646041</v>
      </c>
      <c r="C131" s="358" t="s">
        <v>2342</v>
      </c>
      <c r="D131" s="358">
        <v>128</v>
      </c>
      <c r="E131" s="358" t="s">
        <v>3273</v>
      </c>
      <c r="F131" s="358" t="s">
        <v>937</v>
      </c>
      <c r="G131" s="384">
        <v>46041</v>
      </c>
      <c r="H131" s="358" t="s">
        <v>140</v>
      </c>
      <c r="I131" s="358">
        <v>27</v>
      </c>
      <c r="J131" s="359" t="str">
        <f>IFERROR(VLOOKUP($A131,#REF!,3,0),"")</f>
        <v/>
      </c>
      <c r="K131" s="359" t="str">
        <f>IFERROR(VLOOKUP($A131,#REF!,4,0),AF131)</f>
        <v>NA</v>
      </c>
      <c r="L131" s="359" t="str">
        <f>IFERROR(VLOOKUP($A131,#REF!,5,0),"")</f>
        <v/>
      </c>
      <c r="M131" s="359" t="str">
        <f>IFERROR(VLOOKUP($A131,#REF!,7,0),"")</f>
        <v/>
      </c>
      <c r="N131" s="359"/>
      <c r="O131" s="359" t="str">
        <f>IFERROR(VLOOKUP($A131,#REF!,6,0),"")</f>
        <v/>
      </c>
      <c r="P131" s="359" t="str">
        <f>IFERROR(VLOOKUP($A131,#REF!,9,0),"")</f>
        <v/>
      </c>
      <c r="Q131" s="359" t="str">
        <f>IFERROR(VLOOKUP($A131,#REF!,10,0),"")</f>
        <v/>
      </c>
      <c r="R131" s="359" t="str">
        <f>IFERROR(VLOOKUP($A131,#REF!,11,0),"")</f>
        <v/>
      </c>
      <c r="S131" s="359" t="str">
        <f>IFERROR(VLOOKUP($A131,#REF!,13,0),"")</f>
        <v/>
      </c>
      <c r="T131" s="359" t="str">
        <f>IFERROR(VLOOKUP($A131,#REF!,14,0),"")</f>
        <v/>
      </c>
      <c r="U131" s="359" t="str">
        <f>IFERROR(VLOOKUP($A131,#REF!,15,0),"")</f>
        <v/>
      </c>
      <c r="V131" s="359" t="str">
        <f>IFERROR(VLOOKUP($A131,#REF!,16,0),"")</f>
        <v/>
      </c>
      <c r="W131" s="359" t="str">
        <f>IFERROR(VLOOKUP($A131,#REF!,17,0),"")</f>
        <v/>
      </c>
      <c r="X131" s="359" t="str">
        <f>IFERROR(VLOOKUP($A131,#REF!,18,0),"")</f>
        <v/>
      </c>
      <c r="Y131" s="359" t="str">
        <f>IFERROR(VLOOKUP($A131,#REF!,19,0),"")</f>
        <v/>
      </c>
      <c r="Z131" s="400" t="str">
        <f>IFERROR(VLOOKUP($A131,#REF!,21,0),"")</f>
        <v/>
      </c>
      <c r="AA131" s="358"/>
      <c r="AB131" s="358"/>
      <c r="AC131" s="359" t="s">
        <v>2934</v>
      </c>
      <c r="AD131" s="358"/>
      <c r="AE131" s="102"/>
      <c r="AF131" s="141" t="s">
        <v>3237</v>
      </c>
      <c r="AG131" s="358"/>
      <c r="AH131" s="358"/>
      <c r="AI131" s="358"/>
      <c r="AJ131" s="358"/>
      <c r="AK131" s="358"/>
      <c r="AL131" s="358"/>
      <c r="AM131" s="358"/>
      <c r="AN131" s="358" t="s">
        <v>113</v>
      </c>
      <c r="AO131" s="327" t="s">
        <v>30</v>
      </c>
      <c r="AP131" s="380">
        <v>46078</v>
      </c>
      <c r="AQ131" s="384" t="s">
        <v>67</v>
      </c>
      <c r="AR131" s="358" t="s">
        <v>32</v>
      </c>
      <c r="AS131" s="358">
        <v>31</v>
      </c>
      <c r="AT131" s="384" t="s">
        <v>67</v>
      </c>
      <c r="AU131" s="380">
        <v>46078</v>
      </c>
      <c r="AV131" s="100" t="s">
        <v>113</v>
      </c>
      <c r="AW131" s="95"/>
      <c r="AX131" s="107"/>
      <c r="AY131" s="100"/>
      <c r="AZ131" s="100"/>
      <c r="BA131" s="100"/>
      <c r="BB131" s="100"/>
      <c r="BC131" s="100"/>
      <c r="BD131" s="100"/>
      <c r="BE131" s="100"/>
      <c r="BF131" s="100"/>
      <c r="BG131" s="114"/>
      <c r="BH131" s="114"/>
      <c r="BI131" s="114"/>
      <c r="BJ131" s="114"/>
      <c r="BK131" s="114"/>
      <c r="BL131" s="360"/>
      <c r="BN131" s="412"/>
      <c r="BO131" s="412"/>
      <c r="BP131" s="412"/>
      <c r="BQ131" s="412"/>
      <c r="BR131" s="412"/>
      <c r="BS131"/>
      <c r="BT131"/>
      <c r="BU131"/>
      <c r="BV131"/>
      <c r="BW131" s="109"/>
      <c r="BZ131">
        <f t="shared" si="3"/>
        <v>1</v>
      </c>
    </row>
    <row r="132" spans="1:78" ht="15.6" hidden="1" customHeight="1">
      <c r="A132" s="35" t="str">
        <f t="shared" si="2"/>
        <v>ELPTMED_031/2646041</v>
      </c>
      <c r="C132" s="358" t="s">
        <v>2342</v>
      </c>
      <c r="D132" s="358">
        <v>129</v>
      </c>
      <c r="E132" s="141" t="s">
        <v>3274</v>
      </c>
      <c r="F132" s="358" t="s">
        <v>3275</v>
      </c>
      <c r="G132" s="384">
        <v>46041</v>
      </c>
      <c r="H132" s="358" t="s">
        <v>140</v>
      </c>
      <c r="I132" s="358">
        <v>3</v>
      </c>
      <c r="J132" s="359" t="str">
        <f>IFERROR(VLOOKUP($A132,#REF!,3,0),"")</f>
        <v/>
      </c>
      <c r="K132" s="359" t="str">
        <f>IFERROR(VLOOKUP($A132,#REF!,4,0),AF132)</f>
        <v>NA</v>
      </c>
      <c r="L132" s="359" t="str">
        <f>IFERROR(VLOOKUP($A132,#REF!,5,0),"")</f>
        <v/>
      </c>
      <c r="M132" s="359" t="str">
        <f>IFERROR(VLOOKUP($A132,#REF!,7,0),"")</f>
        <v/>
      </c>
      <c r="N132" s="359"/>
      <c r="O132" s="359" t="str">
        <f>IFERROR(VLOOKUP($A132,#REF!,6,0),"")</f>
        <v/>
      </c>
      <c r="P132" s="359" t="str">
        <f>IFERROR(VLOOKUP($A132,#REF!,9,0),"")</f>
        <v/>
      </c>
      <c r="Q132" s="359" t="str">
        <f>IFERROR(VLOOKUP($A132,#REF!,10,0),"")</f>
        <v/>
      </c>
      <c r="R132" s="359" t="str">
        <f>IFERROR(VLOOKUP($A132,#REF!,11,0),"")</f>
        <v/>
      </c>
      <c r="S132" s="359" t="str">
        <f>IFERROR(VLOOKUP($A132,#REF!,13,0),"")</f>
        <v/>
      </c>
      <c r="T132" s="359" t="str">
        <f>IFERROR(VLOOKUP($A132,#REF!,14,0),"")</f>
        <v/>
      </c>
      <c r="U132" s="359" t="str">
        <f>IFERROR(VLOOKUP($A132,#REF!,15,0),"")</f>
        <v/>
      </c>
      <c r="V132" s="359" t="str">
        <f>IFERROR(VLOOKUP($A132,#REF!,16,0),"")</f>
        <v/>
      </c>
      <c r="W132" s="359" t="str">
        <f>IFERROR(VLOOKUP($A132,#REF!,17,0),"")</f>
        <v/>
      </c>
      <c r="X132" s="359" t="str">
        <f>IFERROR(VLOOKUP($A132,#REF!,18,0),"")</f>
        <v/>
      </c>
      <c r="Y132" s="359" t="str">
        <f>IFERROR(VLOOKUP($A132,#REF!,19,0),"")</f>
        <v/>
      </c>
      <c r="Z132" s="400" t="str">
        <f>IFERROR(VLOOKUP($A132,#REF!,21,0),"")</f>
        <v/>
      </c>
      <c r="AA132" s="358"/>
      <c r="AB132" s="358"/>
      <c r="AC132" s="359" t="s">
        <v>2966</v>
      </c>
      <c r="AD132" s="358"/>
      <c r="AE132" s="358"/>
      <c r="AF132" s="141" t="s">
        <v>3237</v>
      </c>
      <c r="AG132" s="358"/>
      <c r="AH132" s="358"/>
      <c r="AI132" s="358"/>
      <c r="AJ132" s="358"/>
      <c r="AK132" s="358"/>
      <c r="AL132" s="358"/>
      <c r="AM132" s="358"/>
      <c r="AN132" s="358" t="s">
        <v>113</v>
      </c>
      <c r="AO132" s="327" t="s">
        <v>30</v>
      </c>
      <c r="AP132" s="380">
        <v>46084</v>
      </c>
      <c r="AQ132" s="384" t="s">
        <v>67</v>
      </c>
      <c r="AR132" s="358" t="s">
        <v>32</v>
      </c>
      <c r="AS132" s="358">
        <v>3</v>
      </c>
      <c r="AT132" s="384" t="s">
        <v>67</v>
      </c>
      <c r="AU132" s="380">
        <v>46084</v>
      </c>
      <c r="AV132" s="100" t="s">
        <v>113</v>
      </c>
      <c r="AW132" s="100"/>
      <c r="AX132" s="107"/>
      <c r="AY132" s="100"/>
      <c r="AZ132" s="100"/>
      <c r="BA132" s="100"/>
      <c r="BB132" s="100"/>
      <c r="BC132" s="100"/>
      <c r="BD132" s="100"/>
      <c r="BE132" s="100"/>
      <c r="BF132" s="100"/>
      <c r="BG132" s="114"/>
      <c r="BH132" s="100"/>
      <c r="BI132" s="100"/>
      <c r="BJ132" s="100"/>
      <c r="BK132" s="114"/>
      <c r="BL132" s="360"/>
      <c r="BN132"/>
      <c r="BO132"/>
      <c r="BP132"/>
      <c r="BQ132"/>
      <c r="BR132"/>
      <c r="BS132" s="72"/>
      <c r="BW132" s="109"/>
      <c r="BZ132">
        <f t="shared" si="3"/>
        <v>1</v>
      </c>
    </row>
    <row r="133" spans="1:78" ht="15.6" hidden="1" customHeight="1">
      <c r="A133" s="35" t="str">
        <f t="shared" ref="A133:A196" si="4">E133&amp;G133</f>
        <v>ELPTMED_032/2646041,0833333333</v>
      </c>
      <c r="C133" s="358" t="s">
        <v>2342</v>
      </c>
      <c r="D133" s="358">
        <v>130</v>
      </c>
      <c r="E133" s="141" t="s">
        <v>3276</v>
      </c>
      <c r="F133" s="358" t="s">
        <v>865</v>
      </c>
      <c r="G133" s="384">
        <v>46041.083333333336</v>
      </c>
      <c r="H133" s="358" t="s">
        <v>140</v>
      </c>
      <c r="I133" s="358">
        <v>6</v>
      </c>
      <c r="J133" s="359" t="str">
        <f>IFERROR(VLOOKUP($A133,#REF!,3,0),"")</f>
        <v/>
      </c>
      <c r="K133" s="359" t="str">
        <f>IFERROR(VLOOKUP($A133,#REF!,4,0),AF133)</f>
        <v>NA</v>
      </c>
      <c r="L133" s="359" t="str">
        <f>IFERROR(VLOOKUP($A133,#REF!,5,0),"")</f>
        <v/>
      </c>
      <c r="M133" s="359" t="str">
        <f>IFERROR(VLOOKUP($A133,#REF!,7,0),"")</f>
        <v/>
      </c>
      <c r="N133" s="359"/>
      <c r="O133" s="359" t="str">
        <f>IFERROR(VLOOKUP($A133,#REF!,6,0),"")</f>
        <v/>
      </c>
      <c r="P133" s="359" t="str">
        <f>IFERROR(VLOOKUP($A133,#REF!,9,0),"")</f>
        <v/>
      </c>
      <c r="Q133" s="359" t="str">
        <f>IFERROR(VLOOKUP($A133,#REF!,10,0),"")</f>
        <v/>
      </c>
      <c r="R133" s="359" t="str">
        <f>IFERROR(VLOOKUP($A133,#REF!,11,0),"")</f>
        <v/>
      </c>
      <c r="S133" s="359" t="str">
        <f>IFERROR(VLOOKUP($A133,#REF!,13,0),"")</f>
        <v/>
      </c>
      <c r="T133" s="359" t="str">
        <f>IFERROR(VLOOKUP($A133,#REF!,14,0),"")</f>
        <v/>
      </c>
      <c r="U133" s="359" t="str">
        <f>IFERROR(VLOOKUP($A133,#REF!,15,0),"")</f>
        <v/>
      </c>
      <c r="V133" s="359" t="str">
        <f>IFERROR(VLOOKUP($A133,#REF!,16,0),"")</f>
        <v/>
      </c>
      <c r="W133" s="359" t="str">
        <f>IFERROR(VLOOKUP($A133,#REF!,17,0),"")</f>
        <v/>
      </c>
      <c r="X133" s="359" t="str">
        <f>IFERROR(VLOOKUP($A133,#REF!,18,0),"")</f>
        <v/>
      </c>
      <c r="Y133" s="359" t="str">
        <f>IFERROR(VLOOKUP($A133,#REF!,19,0),"")</f>
        <v/>
      </c>
      <c r="Z133" s="400" t="str">
        <f>IFERROR(VLOOKUP($A133,#REF!,21,0),"")</f>
        <v/>
      </c>
      <c r="AA133" s="358"/>
      <c r="AB133" s="358"/>
      <c r="AC133" s="358" t="s">
        <v>1077</v>
      </c>
      <c r="AD133" s="358"/>
      <c r="AE133" s="358"/>
      <c r="AF133" s="141" t="s">
        <v>3237</v>
      </c>
      <c r="AG133" s="358"/>
      <c r="AH133" s="358"/>
      <c r="AI133" s="358"/>
      <c r="AJ133" s="358"/>
      <c r="AK133" s="358"/>
      <c r="AL133" s="358"/>
      <c r="AM133" s="358"/>
      <c r="AN133" s="358" t="s">
        <v>113</v>
      </c>
      <c r="AO133" s="327" t="s">
        <v>30</v>
      </c>
      <c r="AP133" s="380">
        <v>46084</v>
      </c>
      <c r="AQ133" s="384" t="s">
        <v>67</v>
      </c>
      <c r="AR133" s="358" t="s">
        <v>32</v>
      </c>
      <c r="AS133" s="358">
        <v>6</v>
      </c>
      <c r="AT133" s="384" t="s">
        <v>67</v>
      </c>
      <c r="AU133" s="380">
        <v>46084</v>
      </c>
      <c r="AV133" s="100" t="s">
        <v>113</v>
      </c>
      <c r="AW133" s="122"/>
      <c r="AX133" s="107"/>
      <c r="AY133" s="107"/>
      <c r="AZ133" s="107"/>
      <c r="BA133" s="107"/>
      <c r="BB133" s="100"/>
      <c r="BC133" s="100"/>
      <c r="BD133" s="100"/>
      <c r="BE133" s="100"/>
      <c r="BF133" s="100"/>
      <c r="BG133" s="114"/>
      <c r="BH133" s="122"/>
      <c r="BI133" s="122"/>
      <c r="BJ133" s="122"/>
      <c r="BK133" s="114"/>
      <c r="BL133" s="360"/>
      <c r="BN133" s="412"/>
      <c r="BO133" s="412"/>
      <c r="BP133" s="412"/>
      <c r="BQ133" s="412"/>
      <c r="BR133" s="412"/>
      <c r="BS133"/>
      <c r="BT133"/>
      <c r="BU133"/>
      <c r="BV133"/>
      <c r="BW133" s="109"/>
      <c r="BZ133">
        <f t="shared" ref="BZ133:BZ196" si="5">IF(G133&gt;1,1,"")</f>
        <v>1</v>
      </c>
    </row>
    <row r="134" spans="1:78" ht="15.6" hidden="1" customHeight="1">
      <c r="A134" s="35" t="str">
        <f t="shared" si="4"/>
        <v>ELPTMED_033/2646041</v>
      </c>
      <c r="C134" s="358" t="s">
        <v>2342</v>
      </c>
      <c r="D134" s="358">
        <v>131</v>
      </c>
      <c r="E134" s="141" t="s">
        <v>3277</v>
      </c>
      <c r="F134" s="358" t="s">
        <v>1424</v>
      </c>
      <c r="G134" s="384">
        <v>46041</v>
      </c>
      <c r="H134" s="358" t="s">
        <v>140</v>
      </c>
      <c r="I134" s="358">
        <v>1</v>
      </c>
      <c r="J134" s="359" t="str">
        <f>IFERROR(VLOOKUP($A134,#REF!,3,0),"")</f>
        <v/>
      </c>
      <c r="K134" s="359" t="str">
        <f>IFERROR(VLOOKUP($A134,#REF!,4,0),AF134)</f>
        <v>NA</v>
      </c>
      <c r="L134" s="359" t="str">
        <f>IFERROR(VLOOKUP($A134,#REF!,5,0),"")</f>
        <v/>
      </c>
      <c r="M134" s="359" t="str">
        <f>IFERROR(VLOOKUP($A134,#REF!,7,0),"")</f>
        <v/>
      </c>
      <c r="N134" s="359"/>
      <c r="O134" s="359" t="str">
        <f>IFERROR(VLOOKUP($A134,#REF!,6,0),"")</f>
        <v/>
      </c>
      <c r="P134" s="359" t="str">
        <f>IFERROR(VLOOKUP($A134,#REF!,9,0),"")</f>
        <v/>
      </c>
      <c r="Q134" s="359" t="str">
        <f>IFERROR(VLOOKUP($A134,#REF!,10,0),"")</f>
        <v/>
      </c>
      <c r="R134" s="359" t="str">
        <f>IFERROR(VLOOKUP($A134,#REF!,11,0),"")</f>
        <v/>
      </c>
      <c r="S134" s="359" t="str">
        <f>IFERROR(VLOOKUP($A134,#REF!,13,0),"")</f>
        <v/>
      </c>
      <c r="T134" s="359" t="str">
        <f>IFERROR(VLOOKUP($A134,#REF!,14,0),"")</f>
        <v/>
      </c>
      <c r="U134" s="359" t="str">
        <f>IFERROR(VLOOKUP($A134,#REF!,15,0),"")</f>
        <v/>
      </c>
      <c r="V134" s="359" t="str">
        <f>IFERROR(VLOOKUP($A134,#REF!,16,0),"")</f>
        <v/>
      </c>
      <c r="W134" s="359" t="str">
        <f>IFERROR(VLOOKUP($A134,#REF!,17,0),"")</f>
        <v/>
      </c>
      <c r="X134" s="359" t="str">
        <f>IFERROR(VLOOKUP($A134,#REF!,18,0),"")</f>
        <v/>
      </c>
      <c r="Y134" s="359" t="str">
        <f>IFERROR(VLOOKUP($A134,#REF!,19,0),"")</f>
        <v/>
      </c>
      <c r="Z134" s="400" t="str">
        <f>IFERROR(VLOOKUP($A134,#REF!,21,0),"")</f>
        <v/>
      </c>
      <c r="AA134" s="358"/>
      <c r="AB134" s="358"/>
      <c r="AC134" s="358" t="s">
        <v>1077</v>
      </c>
      <c r="AD134" s="358"/>
      <c r="AE134" s="358"/>
      <c r="AF134" s="141" t="s">
        <v>3237</v>
      </c>
      <c r="AG134" s="358"/>
      <c r="AH134" s="358"/>
      <c r="AI134" s="358"/>
      <c r="AJ134" s="358"/>
      <c r="AK134" s="358"/>
      <c r="AL134" s="358"/>
      <c r="AM134" s="358"/>
      <c r="AN134" s="358" t="s">
        <v>113</v>
      </c>
      <c r="AO134" s="327" t="s">
        <v>30</v>
      </c>
      <c r="AP134" s="380">
        <v>46084</v>
      </c>
      <c r="AQ134" s="384" t="s">
        <v>67</v>
      </c>
      <c r="AR134" s="358" t="s">
        <v>32</v>
      </c>
      <c r="AS134" s="358">
        <v>1</v>
      </c>
      <c r="AT134" s="384" t="s">
        <v>67</v>
      </c>
      <c r="AU134" s="380">
        <v>46084</v>
      </c>
      <c r="AV134" s="100" t="s">
        <v>113</v>
      </c>
      <c r="AW134" s="95"/>
      <c r="AX134" s="107"/>
      <c r="AY134" s="100"/>
      <c r="AZ134" s="100"/>
      <c r="BA134" s="100"/>
      <c r="BB134" s="100"/>
      <c r="BC134" s="100"/>
      <c r="BD134" s="100"/>
      <c r="BE134" s="100"/>
      <c r="BF134" s="100"/>
      <c r="BG134" s="114"/>
      <c r="BH134" s="100"/>
      <c r="BI134" s="100"/>
      <c r="BJ134" s="100"/>
      <c r="BK134" s="114"/>
      <c r="BL134" s="360"/>
      <c r="BN134" s="412"/>
      <c r="BO134" s="412"/>
      <c r="BP134" s="412"/>
      <c r="BQ134" s="412"/>
      <c r="BR134" s="412"/>
      <c r="BS134"/>
      <c r="BT134"/>
      <c r="BU134"/>
      <c r="BV134"/>
      <c r="BW134" s="109"/>
      <c r="BZ134">
        <f t="shared" si="5"/>
        <v>1</v>
      </c>
    </row>
    <row r="135" spans="1:78" ht="15.6" hidden="1" customHeight="1">
      <c r="A135" s="35" t="str">
        <f t="shared" si="4"/>
        <v>ELPTMED_034/2646041</v>
      </c>
      <c r="C135" s="358" t="s">
        <v>2342</v>
      </c>
      <c r="D135" s="358">
        <v>132</v>
      </c>
      <c r="E135" s="141" t="s">
        <v>3278</v>
      </c>
      <c r="F135" s="358" t="s">
        <v>1366</v>
      </c>
      <c r="G135" s="384">
        <v>46041</v>
      </c>
      <c r="H135" s="358" t="s">
        <v>140</v>
      </c>
      <c r="I135" s="358">
        <v>1</v>
      </c>
      <c r="J135" s="359" t="str">
        <f>IFERROR(VLOOKUP($A135,#REF!,3,0),"")</f>
        <v/>
      </c>
      <c r="K135" s="359" t="str">
        <f>IFERROR(VLOOKUP($A135,#REF!,4,0),AF135)</f>
        <v>NA</v>
      </c>
      <c r="L135" s="359" t="str">
        <f>IFERROR(VLOOKUP($A135,#REF!,5,0),"")</f>
        <v/>
      </c>
      <c r="M135" s="359" t="str">
        <f>IFERROR(VLOOKUP($A135,#REF!,7,0),"")</f>
        <v/>
      </c>
      <c r="N135" s="359"/>
      <c r="O135" s="359" t="str">
        <f>IFERROR(VLOOKUP($A135,#REF!,6,0),"")</f>
        <v/>
      </c>
      <c r="P135" s="359" t="str">
        <f>IFERROR(VLOOKUP($A135,#REF!,9,0),"")</f>
        <v/>
      </c>
      <c r="Q135" s="359" t="str">
        <f>IFERROR(VLOOKUP($A135,#REF!,10,0),"")</f>
        <v/>
      </c>
      <c r="R135" s="359" t="str">
        <f>IFERROR(VLOOKUP($A135,#REF!,11,0),"")</f>
        <v/>
      </c>
      <c r="S135" s="359" t="str">
        <f>IFERROR(VLOOKUP($A135,#REF!,13,0),"")</f>
        <v/>
      </c>
      <c r="T135" s="359" t="str">
        <f>IFERROR(VLOOKUP($A135,#REF!,14,0),"")</f>
        <v/>
      </c>
      <c r="U135" s="359" t="str">
        <f>IFERROR(VLOOKUP($A135,#REF!,15,0),"")</f>
        <v/>
      </c>
      <c r="V135" s="359" t="str">
        <f>IFERROR(VLOOKUP($A135,#REF!,16,0),"")</f>
        <v/>
      </c>
      <c r="W135" s="359" t="str">
        <f>IFERROR(VLOOKUP($A135,#REF!,17,0),"")</f>
        <v/>
      </c>
      <c r="X135" s="359" t="str">
        <f>IFERROR(VLOOKUP($A135,#REF!,18,0),"")</f>
        <v/>
      </c>
      <c r="Y135" s="359" t="str">
        <f>IFERROR(VLOOKUP($A135,#REF!,19,0),"")</f>
        <v/>
      </c>
      <c r="Z135" s="400" t="str">
        <f>IFERROR(VLOOKUP($A135,#REF!,21,0),"")</f>
        <v/>
      </c>
      <c r="AA135" s="358"/>
      <c r="AB135" s="358"/>
      <c r="AC135" s="358" t="s">
        <v>1077</v>
      </c>
      <c r="AD135" s="358"/>
      <c r="AE135" s="358"/>
      <c r="AF135" s="141" t="s">
        <v>3237</v>
      </c>
      <c r="AG135" s="358"/>
      <c r="AH135" s="358"/>
      <c r="AI135" s="358"/>
      <c r="AJ135" s="358"/>
      <c r="AK135" s="358"/>
      <c r="AL135" s="358"/>
      <c r="AM135" s="358"/>
      <c r="AN135" s="358" t="s">
        <v>113</v>
      </c>
      <c r="AO135" s="327" t="s">
        <v>30</v>
      </c>
      <c r="AP135" s="380">
        <v>46084</v>
      </c>
      <c r="AQ135" s="384" t="s">
        <v>67</v>
      </c>
      <c r="AR135" s="358" t="s">
        <v>32</v>
      </c>
      <c r="AS135" s="358">
        <v>1</v>
      </c>
      <c r="AT135" s="384" t="s">
        <v>67</v>
      </c>
      <c r="AU135" s="380">
        <v>46084</v>
      </c>
      <c r="AV135" s="100" t="s">
        <v>113</v>
      </c>
      <c r="AW135" s="122"/>
      <c r="AX135" s="107"/>
      <c r="AY135" s="100"/>
      <c r="AZ135" s="100"/>
      <c r="BA135" s="100"/>
      <c r="BB135" s="100"/>
      <c r="BC135" s="100"/>
      <c r="BD135" s="100"/>
      <c r="BE135" s="100"/>
      <c r="BF135" s="100"/>
      <c r="BG135" s="114"/>
      <c r="BH135" s="114"/>
      <c r="BI135" s="114"/>
      <c r="BJ135" s="111"/>
      <c r="BK135" s="114"/>
      <c r="BL135" s="360"/>
      <c r="BN135"/>
      <c r="BO135"/>
      <c r="BP135"/>
      <c r="BQ135"/>
      <c r="BR135"/>
      <c r="BS135"/>
      <c r="BT135"/>
      <c r="BU135"/>
      <c r="BV135"/>
      <c r="BW135" s="109"/>
      <c r="BZ135">
        <f t="shared" si="5"/>
        <v>1</v>
      </c>
    </row>
    <row r="136" spans="1:78" ht="15.75" hidden="1" customHeight="1">
      <c r="A136" s="35" t="str">
        <f t="shared" si="4"/>
        <v>ELPTMED_035/2646041</v>
      </c>
      <c r="C136" s="358" t="s">
        <v>2342</v>
      </c>
      <c r="D136" s="358">
        <v>133</v>
      </c>
      <c r="E136" s="141" t="s">
        <v>3279</v>
      </c>
      <c r="F136" s="358" t="s">
        <v>3280</v>
      </c>
      <c r="G136" s="384">
        <v>46041</v>
      </c>
      <c r="H136" s="358" t="s">
        <v>140</v>
      </c>
      <c r="I136" s="358">
        <v>1</v>
      </c>
      <c r="J136" s="359" t="str">
        <f>IFERROR(VLOOKUP($A136,#REF!,3,0),"")</f>
        <v/>
      </c>
      <c r="K136" s="359" t="str">
        <f>IFERROR(VLOOKUP($A136,#REF!,4,0),AF136)</f>
        <v>NA</v>
      </c>
      <c r="L136" s="359" t="str">
        <f>IFERROR(VLOOKUP($A136,#REF!,5,0),"")</f>
        <v/>
      </c>
      <c r="M136" s="359" t="str">
        <f>IFERROR(VLOOKUP($A136,#REF!,7,0),"")</f>
        <v/>
      </c>
      <c r="N136" s="359"/>
      <c r="O136" s="359" t="str">
        <f>IFERROR(VLOOKUP($A136,#REF!,6,0),"")</f>
        <v/>
      </c>
      <c r="P136" s="359" t="str">
        <f>IFERROR(VLOOKUP($A136,#REF!,9,0),"")</f>
        <v/>
      </c>
      <c r="Q136" s="359" t="str">
        <f>IFERROR(VLOOKUP($A136,#REF!,10,0),"")</f>
        <v/>
      </c>
      <c r="R136" s="359" t="str">
        <f>IFERROR(VLOOKUP($A136,#REF!,11,0),"")</f>
        <v/>
      </c>
      <c r="S136" s="359" t="str">
        <f>IFERROR(VLOOKUP($A136,#REF!,13,0),"")</f>
        <v/>
      </c>
      <c r="T136" s="359" t="str">
        <f>IFERROR(VLOOKUP($A136,#REF!,14,0),"")</f>
        <v/>
      </c>
      <c r="U136" s="359" t="str">
        <f>IFERROR(VLOOKUP($A136,#REF!,15,0),"")</f>
        <v/>
      </c>
      <c r="V136" s="359" t="str">
        <f>IFERROR(VLOOKUP($A136,#REF!,16,0),"")</f>
        <v/>
      </c>
      <c r="W136" s="359" t="str">
        <f>IFERROR(VLOOKUP($A136,#REF!,17,0),"")</f>
        <v/>
      </c>
      <c r="X136" s="359" t="str">
        <f>IFERROR(VLOOKUP($A136,#REF!,18,0),"")</f>
        <v/>
      </c>
      <c r="Y136" s="359" t="str">
        <f>IFERROR(VLOOKUP($A136,#REF!,19,0),"")</f>
        <v/>
      </c>
      <c r="Z136" s="400" t="str">
        <f>IFERROR(VLOOKUP($A136,#REF!,21,0),"")</f>
        <v/>
      </c>
      <c r="AA136" s="358"/>
      <c r="AB136" s="358"/>
      <c r="AC136" s="358" t="s">
        <v>1077</v>
      </c>
      <c r="AD136" s="358"/>
      <c r="AE136" s="358"/>
      <c r="AF136" s="141" t="s">
        <v>3237</v>
      </c>
      <c r="AG136" s="358"/>
      <c r="AH136" s="358"/>
      <c r="AI136" s="358"/>
      <c r="AJ136" s="358"/>
      <c r="AK136" s="358"/>
      <c r="AL136" s="358"/>
      <c r="AM136" s="358"/>
      <c r="AN136" s="358" t="s">
        <v>113</v>
      </c>
      <c r="AO136" s="327" t="s">
        <v>30</v>
      </c>
      <c r="AP136" s="380">
        <v>46084</v>
      </c>
      <c r="AQ136" s="384" t="s">
        <v>67</v>
      </c>
      <c r="AR136" s="358" t="s">
        <v>32</v>
      </c>
      <c r="AS136" s="358">
        <v>1</v>
      </c>
      <c r="AT136" s="384" t="s">
        <v>67</v>
      </c>
      <c r="AU136" s="380">
        <v>46084</v>
      </c>
      <c r="AV136" s="100" t="s">
        <v>113</v>
      </c>
      <c r="AW136" s="122"/>
      <c r="AX136" s="107"/>
      <c r="AY136" s="95"/>
      <c r="AZ136" s="95"/>
      <c r="BA136" s="95"/>
      <c r="BB136" s="100"/>
      <c r="BC136" s="100"/>
      <c r="BD136" s="100"/>
      <c r="BE136" s="100"/>
      <c r="BF136" s="100"/>
      <c r="BG136" s="114"/>
      <c r="BH136" s="100"/>
      <c r="BI136" s="100"/>
      <c r="BJ136" s="100"/>
      <c r="BK136" s="114"/>
      <c r="BL136" s="360"/>
      <c r="BN136"/>
      <c r="BO136"/>
      <c r="BP136"/>
      <c r="BQ136"/>
      <c r="BR136"/>
      <c r="BS136"/>
      <c r="BT136"/>
      <c r="BU136"/>
      <c r="BV136"/>
      <c r="BW136" s="109"/>
      <c r="BZ136">
        <f t="shared" si="5"/>
        <v>1</v>
      </c>
    </row>
    <row r="137" spans="1:78" ht="15.75" hidden="1" customHeight="1">
      <c r="A137" s="35" t="str">
        <f t="shared" si="4"/>
        <v>ELPTMED_036/2646041,375</v>
      </c>
      <c r="C137" s="358" t="s">
        <v>2342</v>
      </c>
      <c r="D137" s="358">
        <v>134</v>
      </c>
      <c r="E137" s="141" t="s">
        <v>3281</v>
      </c>
      <c r="F137" s="358" t="s">
        <v>992</v>
      </c>
      <c r="G137" s="384">
        <v>46041.375</v>
      </c>
      <c r="H137" s="358" t="s">
        <v>140</v>
      </c>
      <c r="I137" s="358">
        <v>3</v>
      </c>
      <c r="J137" s="359" t="str">
        <f>IFERROR(VLOOKUP($A137,#REF!,3,0),"")</f>
        <v/>
      </c>
      <c r="K137" s="359" t="str">
        <f>IFERROR(VLOOKUP($A137,#REF!,4,0),AF137)</f>
        <v>NA</v>
      </c>
      <c r="L137" s="359" t="str">
        <f>IFERROR(VLOOKUP($A137,#REF!,5,0),"")</f>
        <v/>
      </c>
      <c r="M137" s="359" t="str">
        <f>IFERROR(VLOOKUP($A137,#REF!,7,0),"")</f>
        <v/>
      </c>
      <c r="N137" s="359"/>
      <c r="O137" s="359" t="str">
        <f>IFERROR(VLOOKUP($A137,#REF!,6,0),"")</f>
        <v/>
      </c>
      <c r="P137" s="359" t="str">
        <f>IFERROR(VLOOKUP($A137,#REF!,9,0),"")</f>
        <v/>
      </c>
      <c r="Q137" s="359" t="str">
        <f>IFERROR(VLOOKUP($A137,#REF!,10,0),"")</f>
        <v/>
      </c>
      <c r="R137" s="359" t="str">
        <f>IFERROR(VLOOKUP($A137,#REF!,11,0),"")</f>
        <v/>
      </c>
      <c r="S137" s="359" t="str">
        <f>IFERROR(VLOOKUP($A137,#REF!,13,0),"")</f>
        <v/>
      </c>
      <c r="T137" s="359" t="str">
        <f>IFERROR(VLOOKUP($A137,#REF!,14,0),"")</f>
        <v/>
      </c>
      <c r="U137" s="359" t="str">
        <f>IFERROR(VLOOKUP($A137,#REF!,15,0),"")</f>
        <v/>
      </c>
      <c r="V137" s="359" t="str">
        <f>IFERROR(VLOOKUP($A137,#REF!,16,0),"")</f>
        <v/>
      </c>
      <c r="W137" s="359" t="str">
        <f>IFERROR(VLOOKUP($A137,#REF!,17,0),"")</f>
        <v/>
      </c>
      <c r="X137" s="359" t="str">
        <f>IFERROR(VLOOKUP($A137,#REF!,18,0),"")</f>
        <v/>
      </c>
      <c r="Y137" s="359" t="str">
        <f>IFERROR(VLOOKUP($A137,#REF!,19,0),"")</f>
        <v/>
      </c>
      <c r="Z137" s="400" t="str">
        <f>IFERROR(VLOOKUP($A137,#REF!,21,0),"")</f>
        <v/>
      </c>
      <c r="AA137" s="358"/>
      <c r="AB137" s="358"/>
      <c r="AC137" s="358" t="s">
        <v>1077</v>
      </c>
      <c r="AD137" s="358"/>
      <c r="AE137" s="358"/>
      <c r="AF137" s="141" t="s">
        <v>3237</v>
      </c>
      <c r="AG137" s="358"/>
      <c r="AH137" s="358"/>
      <c r="AI137" s="358"/>
      <c r="AJ137" s="358"/>
      <c r="AK137" s="358"/>
      <c r="AL137" s="358"/>
      <c r="AM137" s="358"/>
      <c r="AN137" s="358" t="s">
        <v>113</v>
      </c>
      <c r="AO137" s="327" t="s">
        <v>30</v>
      </c>
      <c r="AP137" s="380">
        <v>46084</v>
      </c>
      <c r="AQ137" s="384" t="s">
        <v>67</v>
      </c>
      <c r="AR137" s="358" t="s">
        <v>32</v>
      </c>
      <c r="AS137" s="358">
        <v>3</v>
      </c>
      <c r="AT137" s="384" t="s">
        <v>67</v>
      </c>
      <c r="AU137" s="380">
        <v>46084</v>
      </c>
      <c r="AV137" s="100" t="s">
        <v>113</v>
      </c>
      <c r="AW137" s="100"/>
      <c r="AX137" s="107"/>
      <c r="AY137" s="100"/>
      <c r="AZ137" s="100"/>
      <c r="BA137" s="100"/>
      <c r="BB137" s="100"/>
      <c r="BC137" s="100"/>
      <c r="BD137" s="100"/>
      <c r="BE137" s="100"/>
      <c r="BF137" s="100"/>
      <c r="BG137" s="114"/>
      <c r="BH137" s="100"/>
      <c r="BI137" s="100"/>
      <c r="BJ137" s="100"/>
      <c r="BK137" s="114"/>
      <c r="BL137" s="360"/>
      <c r="BM137" s="343"/>
      <c r="BN137" s="343"/>
      <c r="BO137" s="343"/>
      <c r="BP137" s="343"/>
      <c r="BQ137" s="343"/>
      <c r="BR137" s="343"/>
      <c r="BS137" s="139"/>
      <c r="BT137" s="140"/>
      <c r="BU137" s="140"/>
      <c r="BV137" s="140"/>
      <c r="BW137" s="140"/>
      <c r="BZ137">
        <f t="shared" si="5"/>
        <v>1</v>
      </c>
    </row>
    <row r="138" spans="1:78" ht="15.75" hidden="1" customHeight="1">
      <c r="A138" s="35" t="str">
        <f t="shared" si="4"/>
        <v>ELPTMED_037/2646041,375</v>
      </c>
      <c r="C138" s="358" t="s">
        <v>2342</v>
      </c>
      <c r="D138" s="358">
        <v>135</v>
      </c>
      <c r="E138" s="141" t="s">
        <v>3282</v>
      </c>
      <c r="F138" s="358" t="s">
        <v>3283</v>
      </c>
      <c r="G138" s="384">
        <v>46041.375</v>
      </c>
      <c r="H138" s="358" t="s">
        <v>140</v>
      </c>
      <c r="I138" s="358">
        <v>28</v>
      </c>
      <c r="J138" s="359" t="str">
        <f>IFERROR(VLOOKUP($A138,#REF!,3,0),"")</f>
        <v/>
      </c>
      <c r="K138" s="359" t="str">
        <f>IFERROR(VLOOKUP($A138,#REF!,4,0),AF138)</f>
        <v>NA</v>
      </c>
      <c r="L138" s="359" t="str">
        <f>IFERROR(VLOOKUP($A138,#REF!,5,0),"")</f>
        <v/>
      </c>
      <c r="M138" s="359" t="str">
        <f>IFERROR(VLOOKUP($A138,#REF!,7,0),"")</f>
        <v/>
      </c>
      <c r="N138" s="359"/>
      <c r="O138" s="359" t="str">
        <f>IFERROR(VLOOKUP($A138,#REF!,6,0),"")</f>
        <v/>
      </c>
      <c r="P138" s="359" t="str">
        <f>IFERROR(VLOOKUP($A138,#REF!,9,0),"")</f>
        <v/>
      </c>
      <c r="Q138" s="359" t="str">
        <f>IFERROR(VLOOKUP($A138,#REF!,10,0),"")</f>
        <v/>
      </c>
      <c r="R138" s="359" t="str">
        <f>IFERROR(VLOOKUP($A138,#REF!,11,0),"")</f>
        <v/>
      </c>
      <c r="S138" s="359" t="str">
        <f>IFERROR(VLOOKUP($A138,#REF!,13,0),"")</f>
        <v/>
      </c>
      <c r="T138" s="359" t="str">
        <f>IFERROR(VLOOKUP($A138,#REF!,14,0),"")</f>
        <v/>
      </c>
      <c r="U138" s="359" t="str">
        <f>IFERROR(VLOOKUP($A138,#REF!,15,0),"")</f>
        <v/>
      </c>
      <c r="V138" s="359" t="str">
        <f>IFERROR(VLOOKUP($A138,#REF!,16,0),"")</f>
        <v/>
      </c>
      <c r="W138" s="359" t="str">
        <f>IFERROR(VLOOKUP($A138,#REF!,17,0),"")</f>
        <v/>
      </c>
      <c r="X138" s="359" t="str">
        <f>IFERROR(VLOOKUP($A138,#REF!,18,0),"")</f>
        <v/>
      </c>
      <c r="Y138" s="359" t="str">
        <f>IFERROR(VLOOKUP($A138,#REF!,19,0),"")</f>
        <v/>
      </c>
      <c r="Z138" s="400" t="str">
        <f>IFERROR(VLOOKUP($A138,#REF!,21,0),"")</f>
        <v/>
      </c>
      <c r="AA138" s="358"/>
      <c r="AB138" s="358"/>
      <c r="AC138" s="358" t="s">
        <v>1811</v>
      </c>
      <c r="AD138" s="358"/>
      <c r="AE138" s="102"/>
      <c r="AF138" s="141" t="s">
        <v>3237</v>
      </c>
      <c r="AG138" s="358"/>
      <c r="AH138" s="358"/>
      <c r="AI138" s="358"/>
      <c r="AJ138" s="358"/>
      <c r="AK138" s="358"/>
      <c r="AL138" s="358"/>
      <c r="AM138" s="358"/>
      <c r="AN138" s="358" t="s">
        <v>113</v>
      </c>
      <c r="AO138" s="327" t="s">
        <v>30</v>
      </c>
      <c r="AP138" s="380">
        <v>46078</v>
      </c>
      <c r="AQ138" s="384" t="s">
        <v>67</v>
      </c>
      <c r="AR138" s="358" t="s">
        <v>32</v>
      </c>
      <c r="AS138" s="358">
        <v>32</v>
      </c>
      <c r="AT138" s="384" t="s">
        <v>67</v>
      </c>
      <c r="AU138" s="380">
        <v>46078</v>
      </c>
      <c r="AV138" s="100" t="s">
        <v>113</v>
      </c>
      <c r="AW138" s="95"/>
      <c r="AX138" s="107"/>
      <c r="AY138" s="100"/>
      <c r="AZ138" s="100"/>
      <c r="BA138" s="100"/>
      <c r="BB138" s="100"/>
      <c r="BC138" s="100"/>
      <c r="BD138" s="100"/>
      <c r="BE138" s="100"/>
      <c r="BF138" s="100"/>
      <c r="BG138" s="114"/>
      <c r="BH138" s="100"/>
      <c r="BI138" s="100"/>
      <c r="BJ138" s="100"/>
      <c r="BK138" s="114"/>
      <c r="BL138" s="360"/>
      <c r="BM138" s="343"/>
      <c r="BN138" s="343"/>
      <c r="BO138" s="343"/>
      <c r="BP138" s="343"/>
      <c r="BQ138" s="343"/>
      <c r="BR138" s="343"/>
      <c r="BS138" s="139"/>
      <c r="BT138" s="140"/>
      <c r="BU138" s="140"/>
      <c r="BV138" s="140"/>
      <c r="BW138" s="140"/>
      <c r="BZ138">
        <f t="shared" si="5"/>
        <v>1</v>
      </c>
    </row>
    <row r="139" spans="1:78" ht="15.75" hidden="1" customHeight="1">
      <c r="A139" s="35" t="str">
        <f t="shared" si="4"/>
        <v>ELPTMED_038/2646041</v>
      </c>
      <c r="C139" s="358" t="s">
        <v>2342</v>
      </c>
      <c r="D139" s="358">
        <v>136</v>
      </c>
      <c r="E139" s="141" t="s">
        <v>3284</v>
      </c>
      <c r="F139" s="358" t="s">
        <v>1565</v>
      </c>
      <c r="G139" s="384">
        <v>46041</v>
      </c>
      <c r="H139" s="358" t="s">
        <v>140</v>
      </c>
      <c r="I139" s="358">
        <v>1</v>
      </c>
      <c r="J139" s="359" t="str">
        <f>IFERROR(VLOOKUP($A139,#REF!,3,0),"")</f>
        <v/>
      </c>
      <c r="K139" s="359" t="str">
        <f>IFERROR(VLOOKUP($A139,#REF!,4,0),AF139)</f>
        <v>NA</v>
      </c>
      <c r="L139" s="359" t="str">
        <f>IFERROR(VLOOKUP($A139,#REF!,5,0),"")</f>
        <v/>
      </c>
      <c r="M139" s="359" t="str">
        <f>IFERROR(VLOOKUP($A139,#REF!,7,0),"")</f>
        <v/>
      </c>
      <c r="N139" s="359"/>
      <c r="O139" s="359" t="str">
        <f>IFERROR(VLOOKUP($A139,#REF!,6,0),"")</f>
        <v/>
      </c>
      <c r="P139" s="359" t="str">
        <f>IFERROR(VLOOKUP($A139,#REF!,9,0),"")</f>
        <v/>
      </c>
      <c r="Q139" s="359" t="str">
        <f>IFERROR(VLOOKUP($A139,#REF!,10,0),"")</f>
        <v/>
      </c>
      <c r="R139" s="359" t="str">
        <f>IFERROR(VLOOKUP($A139,#REF!,11,0),"")</f>
        <v/>
      </c>
      <c r="S139" s="359" t="str">
        <f>IFERROR(VLOOKUP($A139,#REF!,13,0),"")</f>
        <v/>
      </c>
      <c r="T139" s="359" t="str">
        <f>IFERROR(VLOOKUP($A139,#REF!,14,0),"")</f>
        <v/>
      </c>
      <c r="U139" s="359" t="str">
        <f>IFERROR(VLOOKUP($A139,#REF!,15,0),"")</f>
        <v/>
      </c>
      <c r="V139" s="359" t="str">
        <f>IFERROR(VLOOKUP($A139,#REF!,16,0),"")</f>
        <v/>
      </c>
      <c r="W139" s="359" t="str">
        <f>IFERROR(VLOOKUP($A139,#REF!,17,0),"")</f>
        <v/>
      </c>
      <c r="X139" s="359" t="str">
        <f>IFERROR(VLOOKUP($A139,#REF!,18,0),"")</f>
        <v/>
      </c>
      <c r="Y139" s="359" t="str">
        <f>IFERROR(VLOOKUP($A139,#REF!,19,0),"")</f>
        <v/>
      </c>
      <c r="Z139" s="400" t="str">
        <f>IFERROR(VLOOKUP($A139,#REF!,21,0),"")</f>
        <v/>
      </c>
      <c r="AA139" s="358"/>
      <c r="AB139" s="358"/>
      <c r="AC139" s="359" t="s">
        <v>1077</v>
      </c>
      <c r="AD139" s="358"/>
      <c r="AE139" s="358"/>
      <c r="AF139" s="141" t="s">
        <v>3237</v>
      </c>
      <c r="AG139" s="358"/>
      <c r="AH139" s="358"/>
      <c r="AI139" s="358"/>
      <c r="AJ139" s="358"/>
      <c r="AK139" s="358"/>
      <c r="AL139" s="358"/>
      <c r="AM139" s="358"/>
      <c r="AN139" s="358" t="s">
        <v>113</v>
      </c>
      <c r="AO139" s="327" t="s">
        <v>30</v>
      </c>
      <c r="AP139" s="380">
        <v>46084</v>
      </c>
      <c r="AQ139" s="384" t="s">
        <v>67</v>
      </c>
      <c r="AR139" s="358" t="s">
        <v>32</v>
      </c>
      <c r="AS139" s="358">
        <v>1</v>
      </c>
      <c r="AT139" s="384" t="s">
        <v>67</v>
      </c>
      <c r="AU139" s="380">
        <v>46084</v>
      </c>
      <c r="AV139" s="100" t="s">
        <v>113</v>
      </c>
      <c r="AW139" s="100"/>
      <c r="AX139" s="107"/>
      <c r="AY139" s="100"/>
      <c r="AZ139" s="100"/>
      <c r="BA139" s="100"/>
      <c r="BB139" s="100"/>
      <c r="BC139" s="100"/>
      <c r="BD139" s="100"/>
      <c r="BE139" s="100"/>
      <c r="BF139" s="100"/>
      <c r="BG139" s="114"/>
      <c r="BH139" s="100"/>
      <c r="BI139" s="100"/>
      <c r="BJ139" s="100"/>
      <c r="BK139" s="114"/>
      <c r="BL139" s="360"/>
      <c r="BM139" s="343"/>
      <c r="BN139" s="343"/>
      <c r="BO139" s="343"/>
      <c r="BP139" s="343"/>
      <c r="BQ139" s="343"/>
      <c r="BR139" s="343"/>
      <c r="BS139" s="139"/>
      <c r="BT139" s="140"/>
      <c r="BU139" s="140"/>
      <c r="BV139" s="140"/>
      <c r="BW139" s="140"/>
      <c r="BZ139">
        <f t="shared" si="5"/>
        <v>1</v>
      </c>
    </row>
    <row r="140" spans="1:78" ht="15.75" hidden="1" customHeight="1">
      <c r="A140" s="35" t="str">
        <f t="shared" si="4"/>
        <v>ELPTMED_039/2646041</v>
      </c>
      <c r="C140" s="358" t="s">
        <v>2342</v>
      </c>
      <c r="D140" s="358">
        <v>137</v>
      </c>
      <c r="E140" s="358" t="s">
        <v>3285</v>
      </c>
      <c r="F140" s="358" t="s">
        <v>829</v>
      </c>
      <c r="G140" s="384">
        <v>46041</v>
      </c>
      <c r="H140" s="358" t="s">
        <v>140</v>
      </c>
      <c r="I140" s="358">
        <v>32</v>
      </c>
      <c r="J140" s="359" t="str">
        <f>IFERROR(VLOOKUP($A140,#REF!,3,0),"")</f>
        <v/>
      </c>
      <c r="K140" s="359" t="str">
        <f>IFERROR(VLOOKUP($A140,#REF!,4,0),AF140)</f>
        <v>NA</v>
      </c>
      <c r="L140" s="359" t="str">
        <f>IFERROR(VLOOKUP($A140,#REF!,5,0),"")</f>
        <v/>
      </c>
      <c r="M140" s="359" t="str">
        <f>IFERROR(VLOOKUP($A140,#REF!,7,0),"")</f>
        <v/>
      </c>
      <c r="N140" s="359"/>
      <c r="O140" s="359" t="str">
        <f>IFERROR(VLOOKUP($A140,#REF!,6,0),"")</f>
        <v/>
      </c>
      <c r="P140" s="359" t="str">
        <f>IFERROR(VLOOKUP($A140,#REF!,9,0),"")</f>
        <v/>
      </c>
      <c r="Q140" s="359" t="str">
        <f>IFERROR(VLOOKUP($A140,#REF!,10,0),"")</f>
        <v/>
      </c>
      <c r="R140" s="359" t="str">
        <f>IFERROR(VLOOKUP($A140,#REF!,11,0),"")</f>
        <v/>
      </c>
      <c r="S140" s="359" t="str">
        <f>IFERROR(VLOOKUP($A140,#REF!,13,0),"")</f>
        <v/>
      </c>
      <c r="T140" s="359" t="str">
        <f>IFERROR(VLOOKUP($A140,#REF!,14,0),"")</f>
        <v/>
      </c>
      <c r="U140" s="359" t="str">
        <f>IFERROR(VLOOKUP($A140,#REF!,15,0),"")</f>
        <v/>
      </c>
      <c r="V140" s="359" t="str">
        <f>IFERROR(VLOOKUP($A140,#REF!,16,0),"")</f>
        <v/>
      </c>
      <c r="W140" s="359" t="str">
        <f>IFERROR(VLOOKUP($A140,#REF!,17,0),"")</f>
        <v/>
      </c>
      <c r="X140" s="359" t="str">
        <f>IFERROR(VLOOKUP($A140,#REF!,18,0),"")</f>
        <v/>
      </c>
      <c r="Y140" s="359" t="str">
        <f>IFERROR(VLOOKUP($A140,#REF!,19,0),"")</f>
        <v/>
      </c>
      <c r="Z140" s="400" t="str">
        <f>IFERROR(VLOOKUP($A140,#REF!,21,0),"")</f>
        <v/>
      </c>
      <c r="AA140" s="358"/>
      <c r="AB140" s="358"/>
      <c r="AC140" s="359" t="s">
        <v>1790</v>
      </c>
      <c r="AD140" s="358"/>
      <c r="AE140" s="358"/>
      <c r="AF140" s="141" t="s">
        <v>3237</v>
      </c>
      <c r="AG140" s="358"/>
      <c r="AH140" s="358"/>
      <c r="AI140" s="358"/>
      <c r="AJ140" s="380"/>
      <c r="AK140" s="380"/>
      <c r="AL140" s="380"/>
      <c r="AM140" s="380"/>
      <c r="AN140" s="358" t="s">
        <v>113</v>
      </c>
      <c r="AO140" s="327" t="s">
        <v>30</v>
      </c>
      <c r="AP140" s="380">
        <v>46084</v>
      </c>
      <c r="AQ140" s="384" t="s">
        <v>67</v>
      </c>
      <c r="AR140" s="358" t="s">
        <v>32</v>
      </c>
      <c r="AS140" s="358">
        <v>1</v>
      </c>
      <c r="AT140" s="384" t="s">
        <v>67</v>
      </c>
      <c r="AU140" s="380">
        <v>46084</v>
      </c>
      <c r="AV140" s="100" t="s">
        <v>113</v>
      </c>
      <c r="AW140" s="95"/>
      <c r="AX140" s="107"/>
      <c r="AY140" s="100"/>
      <c r="AZ140" s="100"/>
      <c r="BA140" s="100"/>
      <c r="BB140" s="100"/>
      <c r="BC140" s="100"/>
      <c r="BD140" s="100"/>
      <c r="BE140" s="100"/>
      <c r="BF140" s="100"/>
      <c r="BG140" s="114"/>
      <c r="BH140" s="100"/>
      <c r="BI140" s="100"/>
      <c r="BJ140" s="100"/>
      <c r="BK140" s="114"/>
      <c r="BL140" s="360"/>
      <c r="BN140"/>
      <c r="BO140"/>
      <c r="BP140"/>
      <c r="BQ140"/>
      <c r="BR140"/>
      <c r="BS140" s="72"/>
      <c r="BW140" s="109"/>
      <c r="BZ140">
        <f t="shared" si="5"/>
        <v>1</v>
      </c>
    </row>
    <row r="141" spans="1:78" ht="15.75" hidden="1" customHeight="1">
      <c r="A141" s="35" t="str">
        <f t="shared" si="4"/>
        <v>ELPTMED_040/2646041,0416666667</v>
      </c>
      <c r="C141" s="358" t="s">
        <v>2342</v>
      </c>
      <c r="D141" s="358">
        <v>138</v>
      </c>
      <c r="E141" s="358" t="s">
        <v>3286</v>
      </c>
      <c r="F141" s="358" t="s">
        <v>2462</v>
      </c>
      <c r="G141" s="384">
        <v>46041.041666666664</v>
      </c>
      <c r="H141" s="358" t="s">
        <v>140</v>
      </c>
      <c r="I141" s="358">
        <v>1</v>
      </c>
      <c r="J141" s="359" t="str">
        <f>IFERROR(VLOOKUP($A141,#REF!,3,0),"")</f>
        <v/>
      </c>
      <c r="K141" s="359" t="str">
        <f>IFERROR(VLOOKUP($A141,#REF!,4,0),AF141)</f>
        <v>NA</v>
      </c>
      <c r="L141" s="359" t="str">
        <f>IFERROR(VLOOKUP($A141,#REF!,5,0),"")</f>
        <v/>
      </c>
      <c r="M141" s="359" t="str">
        <f>IFERROR(VLOOKUP($A141,#REF!,7,0),"")</f>
        <v/>
      </c>
      <c r="N141" s="359"/>
      <c r="O141" s="359" t="str">
        <f>IFERROR(VLOOKUP($A141,#REF!,6,0),"")</f>
        <v/>
      </c>
      <c r="P141" s="359" t="str">
        <f>IFERROR(VLOOKUP($A141,#REF!,9,0),"")</f>
        <v/>
      </c>
      <c r="Q141" s="359" t="str">
        <f>IFERROR(VLOOKUP($A141,#REF!,10,0),"")</f>
        <v/>
      </c>
      <c r="R141" s="359" t="str">
        <f>IFERROR(VLOOKUP($A141,#REF!,11,0),"")</f>
        <v/>
      </c>
      <c r="S141" s="359" t="str">
        <f>IFERROR(VLOOKUP($A141,#REF!,13,0),"")</f>
        <v/>
      </c>
      <c r="T141" s="359" t="str">
        <f>IFERROR(VLOOKUP($A141,#REF!,14,0),"")</f>
        <v/>
      </c>
      <c r="U141" s="359" t="str">
        <f>IFERROR(VLOOKUP($A141,#REF!,15,0),"")</f>
        <v/>
      </c>
      <c r="V141" s="359" t="str">
        <f>IFERROR(VLOOKUP($A141,#REF!,16,0),"")</f>
        <v/>
      </c>
      <c r="W141" s="359" t="str">
        <f>IFERROR(VLOOKUP($A141,#REF!,17,0),"")</f>
        <v/>
      </c>
      <c r="X141" s="359" t="str">
        <f>IFERROR(VLOOKUP($A141,#REF!,18,0),"")</f>
        <v/>
      </c>
      <c r="Y141" s="359" t="str">
        <f>IFERROR(VLOOKUP($A141,#REF!,19,0),"")</f>
        <v/>
      </c>
      <c r="Z141" s="400" t="str">
        <f>IFERROR(VLOOKUP($A141,#REF!,21,0),"")</f>
        <v/>
      </c>
      <c r="AA141" s="358"/>
      <c r="AB141" s="358"/>
      <c r="AC141" s="359" t="s">
        <v>127</v>
      </c>
      <c r="AD141" s="358"/>
      <c r="AE141" s="358"/>
      <c r="AF141" s="141" t="s">
        <v>3237</v>
      </c>
      <c r="AG141" s="358"/>
      <c r="AH141" s="358"/>
      <c r="AI141" s="358"/>
      <c r="AJ141" s="380"/>
      <c r="AK141" s="380"/>
      <c r="AL141" s="380"/>
      <c r="AM141" s="380"/>
      <c r="AN141" s="358" t="s">
        <v>113</v>
      </c>
      <c r="AO141" s="327" t="s">
        <v>30</v>
      </c>
      <c r="AP141" s="380">
        <v>46078</v>
      </c>
      <c r="AQ141" s="384" t="s">
        <v>67</v>
      </c>
      <c r="AR141" s="358" t="s">
        <v>32</v>
      </c>
      <c r="AS141" s="365">
        <v>1</v>
      </c>
      <c r="AT141" s="384" t="s">
        <v>67</v>
      </c>
      <c r="AU141" s="380">
        <v>46078</v>
      </c>
      <c r="AV141" s="100" t="s">
        <v>113</v>
      </c>
      <c r="AW141" s="95"/>
      <c r="AX141" s="107"/>
      <c r="AY141" s="100"/>
      <c r="AZ141" s="100"/>
      <c r="BA141" s="100"/>
      <c r="BB141" s="100"/>
      <c r="BC141" s="100"/>
      <c r="BD141" s="100"/>
      <c r="BE141" s="100"/>
      <c r="BF141" s="100"/>
      <c r="BG141" s="114"/>
      <c r="BH141" s="100"/>
      <c r="BI141" s="100"/>
      <c r="BJ141" s="100"/>
      <c r="BK141" s="114"/>
      <c r="BL141" s="360"/>
      <c r="BM141" s="91"/>
      <c r="BN141" s="91"/>
      <c r="BO141"/>
      <c r="BP141"/>
      <c r="BQ141"/>
      <c r="BR141"/>
      <c r="BS141" s="72"/>
      <c r="BW141" s="109"/>
      <c r="BZ141">
        <f t="shared" si="5"/>
        <v>1</v>
      </c>
    </row>
    <row r="142" spans="1:78" ht="15.75" hidden="1" customHeight="1">
      <c r="A142" s="35" t="str">
        <f t="shared" si="4"/>
        <v>ELPTMED_041/2646041,0416666667</v>
      </c>
      <c r="C142" s="358" t="s">
        <v>2342</v>
      </c>
      <c r="D142" s="358">
        <v>139</v>
      </c>
      <c r="E142" s="358" t="s">
        <v>3287</v>
      </c>
      <c r="F142" s="358" t="s">
        <v>1567</v>
      </c>
      <c r="G142" s="384">
        <v>46041.041666666664</v>
      </c>
      <c r="H142" s="358" t="s">
        <v>140</v>
      </c>
      <c r="I142" s="358">
        <v>1</v>
      </c>
      <c r="J142" s="359" t="str">
        <f>IFERROR(VLOOKUP($A142,#REF!,3,0),"")</f>
        <v/>
      </c>
      <c r="K142" s="359" t="str">
        <f>IFERROR(VLOOKUP($A142,#REF!,4,0),AF142)</f>
        <v>NA</v>
      </c>
      <c r="L142" s="359" t="str">
        <f>IFERROR(VLOOKUP($A142,#REF!,5,0),"")</f>
        <v/>
      </c>
      <c r="M142" s="359" t="str">
        <f>IFERROR(VLOOKUP($A142,#REF!,7,0),"")</f>
        <v/>
      </c>
      <c r="N142" s="359"/>
      <c r="O142" s="359" t="str">
        <f>IFERROR(VLOOKUP($A142,#REF!,6,0),"")</f>
        <v/>
      </c>
      <c r="P142" s="359" t="str">
        <f>IFERROR(VLOOKUP($A142,#REF!,9,0),"")</f>
        <v/>
      </c>
      <c r="Q142" s="359" t="str">
        <f>IFERROR(VLOOKUP($A142,#REF!,10,0),"")</f>
        <v/>
      </c>
      <c r="R142" s="359" t="str">
        <f>IFERROR(VLOOKUP($A142,#REF!,11,0),"")</f>
        <v/>
      </c>
      <c r="S142" s="359" t="str">
        <f>IFERROR(VLOOKUP($A142,#REF!,13,0),"")</f>
        <v/>
      </c>
      <c r="T142" s="359" t="str">
        <f>IFERROR(VLOOKUP($A142,#REF!,14,0),"")</f>
        <v/>
      </c>
      <c r="U142" s="359" t="str">
        <f>IFERROR(VLOOKUP($A142,#REF!,15,0),"")</f>
        <v/>
      </c>
      <c r="V142" s="359" t="str">
        <f>IFERROR(VLOOKUP($A142,#REF!,16,0),"")</f>
        <v/>
      </c>
      <c r="W142" s="359" t="str">
        <f>IFERROR(VLOOKUP($A142,#REF!,17,0),"")</f>
        <v/>
      </c>
      <c r="X142" s="359" t="str">
        <f>IFERROR(VLOOKUP($A142,#REF!,18,0),"")</f>
        <v/>
      </c>
      <c r="Y142" s="359" t="str">
        <f>IFERROR(VLOOKUP($A142,#REF!,19,0),"")</f>
        <v/>
      </c>
      <c r="Z142" s="400" t="str">
        <f>IFERROR(VLOOKUP($A142,#REF!,21,0),"")</f>
        <v/>
      </c>
      <c r="AA142" s="358"/>
      <c r="AB142" s="358"/>
      <c r="AC142" s="359" t="s">
        <v>127</v>
      </c>
      <c r="AD142" s="358"/>
      <c r="AE142" s="358"/>
      <c r="AF142" s="141" t="s">
        <v>3237</v>
      </c>
      <c r="AG142" s="358"/>
      <c r="AH142" s="358"/>
      <c r="AI142" s="358"/>
      <c r="AJ142" s="358"/>
      <c r="AK142" s="358"/>
      <c r="AL142" s="358"/>
      <c r="AM142" s="358"/>
      <c r="AN142" s="358" t="s">
        <v>113</v>
      </c>
      <c r="AO142" s="327" t="s">
        <v>30</v>
      </c>
      <c r="AP142" s="380">
        <v>46078</v>
      </c>
      <c r="AQ142" s="384" t="s">
        <v>67</v>
      </c>
      <c r="AR142" s="358" t="s">
        <v>32</v>
      </c>
      <c r="AS142" s="358">
        <v>1</v>
      </c>
      <c r="AT142" s="384" t="s">
        <v>67</v>
      </c>
      <c r="AU142" s="380">
        <v>46078</v>
      </c>
      <c r="AV142" s="100" t="s">
        <v>113</v>
      </c>
      <c r="AW142" s="100"/>
      <c r="AX142" s="107"/>
      <c r="AY142" s="100"/>
      <c r="AZ142" s="100"/>
      <c r="BA142" s="100"/>
      <c r="BB142" s="100"/>
      <c r="BC142" s="100"/>
      <c r="BD142" s="100"/>
      <c r="BE142" s="100"/>
      <c r="BF142" s="100"/>
      <c r="BG142" s="114"/>
      <c r="BH142" s="100"/>
      <c r="BI142" s="100"/>
      <c r="BJ142" s="100"/>
      <c r="BK142" s="114"/>
      <c r="BL142" s="360"/>
      <c r="BN142"/>
      <c r="BO142"/>
      <c r="BP142"/>
      <c r="BQ142"/>
      <c r="BR142"/>
      <c r="BS142" s="72"/>
      <c r="BW142" s="109"/>
      <c r="BZ142">
        <f t="shared" si="5"/>
        <v>1</v>
      </c>
    </row>
    <row r="143" spans="1:78" ht="15.75" hidden="1" customHeight="1">
      <c r="A143" s="35" t="str">
        <f t="shared" si="4"/>
        <v>ELPTMED_042/2646041,0416666667</v>
      </c>
      <c r="C143" s="358" t="s">
        <v>2342</v>
      </c>
      <c r="D143" s="358">
        <v>140</v>
      </c>
      <c r="E143" s="358" t="s">
        <v>3288</v>
      </c>
      <c r="F143" s="358" t="s">
        <v>1208</v>
      </c>
      <c r="G143" s="384">
        <v>46041.041666666664</v>
      </c>
      <c r="H143" s="358" t="s">
        <v>140</v>
      </c>
      <c r="I143" s="358">
        <v>7</v>
      </c>
      <c r="J143" s="359" t="str">
        <f>IFERROR(VLOOKUP($A143,#REF!,3,0),"")</f>
        <v/>
      </c>
      <c r="K143" s="359" t="str">
        <f>IFERROR(VLOOKUP($A143,#REF!,4,0),AF143)</f>
        <v>NA</v>
      </c>
      <c r="L143" s="359" t="str">
        <f>IFERROR(VLOOKUP($A143,#REF!,5,0),"")</f>
        <v/>
      </c>
      <c r="M143" s="359" t="str">
        <f>IFERROR(VLOOKUP($A143,#REF!,7,0),"")</f>
        <v/>
      </c>
      <c r="N143" s="359"/>
      <c r="O143" s="359" t="str">
        <f>IFERROR(VLOOKUP($A143,#REF!,6,0),"")</f>
        <v/>
      </c>
      <c r="P143" s="359" t="str">
        <f>IFERROR(VLOOKUP($A143,#REF!,9,0),"")</f>
        <v/>
      </c>
      <c r="Q143" s="359" t="str">
        <f>IFERROR(VLOOKUP($A143,#REF!,10,0),"")</f>
        <v/>
      </c>
      <c r="R143" s="359" t="str">
        <f>IFERROR(VLOOKUP($A143,#REF!,11,0),"")</f>
        <v/>
      </c>
      <c r="S143" s="359" t="str">
        <f>IFERROR(VLOOKUP($A143,#REF!,13,0),"")</f>
        <v/>
      </c>
      <c r="T143" s="359" t="str">
        <f>IFERROR(VLOOKUP($A143,#REF!,14,0),"")</f>
        <v/>
      </c>
      <c r="U143" s="359" t="str">
        <f>IFERROR(VLOOKUP($A143,#REF!,15,0),"")</f>
        <v/>
      </c>
      <c r="V143" s="359" t="str">
        <f>IFERROR(VLOOKUP($A143,#REF!,16,0),"")</f>
        <v/>
      </c>
      <c r="W143" s="359" t="str">
        <f>IFERROR(VLOOKUP($A143,#REF!,17,0),"")</f>
        <v/>
      </c>
      <c r="X143" s="359" t="str">
        <f>IFERROR(VLOOKUP($A143,#REF!,18,0),"")</f>
        <v/>
      </c>
      <c r="Y143" s="359" t="str">
        <f>IFERROR(VLOOKUP($A143,#REF!,19,0),"")</f>
        <v/>
      </c>
      <c r="Z143" s="400" t="str">
        <f>IFERROR(VLOOKUP($A143,#REF!,21,0),"")</f>
        <v/>
      </c>
      <c r="AA143" s="358"/>
      <c r="AB143" s="358"/>
      <c r="AC143" s="359" t="s">
        <v>127</v>
      </c>
      <c r="AD143" s="358"/>
      <c r="AE143" s="102" t="s">
        <v>3289</v>
      </c>
      <c r="AF143" s="141" t="s">
        <v>3237</v>
      </c>
      <c r="AG143" s="358"/>
      <c r="AH143" s="358"/>
      <c r="AI143" s="358"/>
      <c r="AJ143" s="358"/>
      <c r="AK143" s="358"/>
      <c r="AL143" s="358"/>
      <c r="AM143" s="358"/>
      <c r="AN143" s="358" t="s">
        <v>113</v>
      </c>
      <c r="AO143" s="327" t="s">
        <v>30</v>
      </c>
      <c r="AP143" s="380">
        <v>46079</v>
      </c>
      <c r="AQ143" s="384" t="s">
        <v>67</v>
      </c>
      <c r="AR143" s="358" t="s">
        <v>32</v>
      </c>
      <c r="AS143" s="358">
        <v>7</v>
      </c>
      <c r="AT143" s="384" t="s">
        <v>67</v>
      </c>
      <c r="AU143" s="380">
        <v>46079</v>
      </c>
      <c r="AV143" s="100" t="s">
        <v>113</v>
      </c>
      <c r="AW143" s="95"/>
      <c r="AX143" s="107"/>
      <c r="AY143" s="100"/>
      <c r="AZ143" s="100"/>
      <c r="BA143" s="100"/>
      <c r="BB143" s="100"/>
      <c r="BC143" s="100"/>
      <c r="BD143" s="100"/>
      <c r="BE143" s="100"/>
      <c r="BF143" s="100"/>
      <c r="BG143" s="114"/>
      <c r="BH143" s="100"/>
      <c r="BI143" s="100"/>
      <c r="BJ143" s="100"/>
      <c r="BK143" s="114"/>
      <c r="BL143" s="360"/>
      <c r="BN143"/>
      <c r="BO143"/>
      <c r="BP143"/>
      <c r="BQ143"/>
      <c r="BR143"/>
      <c r="BS143"/>
      <c r="BT143"/>
      <c r="BU143"/>
      <c r="BV143"/>
      <c r="BW143" s="109"/>
      <c r="BZ143">
        <f t="shared" si="5"/>
        <v>1</v>
      </c>
    </row>
    <row r="144" spans="1:78" ht="15.75" hidden="1" customHeight="1">
      <c r="A144" s="35" t="str">
        <f t="shared" si="4"/>
        <v>ELPTMED_043/2646041,0416666667</v>
      </c>
      <c r="C144" s="358" t="s">
        <v>2342</v>
      </c>
      <c r="D144" s="358">
        <v>141</v>
      </c>
      <c r="E144" s="358" t="s">
        <v>3290</v>
      </c>
      <c r="F144" s="358" t="s">
        <v>989</v>
      </c>
      <c r="G144" s="384">
        <v>46041.041666666664</v>
      </c>
      <c r="H144" s="358" t="s">
        <v>140</v>
      </c>
      <c r="I144" s="358">
        <v>1</v>
      </c>
      <c r="J144" s="359" t="str">
        <f>IFERROR(VLOOKUP($A144,#REF!,3,0),"")</f>
        <v/>
      </c>
      <c r="K144" s="359" t="str">
        <f>IFERROR(VLOOKUP($A144,#REF!,4,0),AF144)</f>
        <v>NA</v>
      </c>
      <c r="L144" s="359" t="str">
        <f>IFERROR(VLOOKUP($A144,#REF!,5,0),"")</f>
        <v/>
      </c>
      <c r="M144" s="359" t="str">
        <f>IFERROR(VLOOKUP($A144,#REF!,7,0),"")</f>
        <v/>
      </c>
      <c r="N144" s="359"/>
      <c r="O144" s="359" t="str">
        <f>IFERROR(VLOOKUP($A144,#REF!,6,0),"")</f>
        <v/>
      </c>
      <c r="P144" s="359" t="str">
        <f>IFERROR(VLOOKUP($A144,#REF!,9,0),"")</f>
        <v/>
      </c>
      <c r="Q144" s="359" t="str">
        <f>IFERROR(VLOOKUP($A144,#REF!,10,0),"")</f>
        <v/>
      </c>
      <c r="R144" s="359" t="str">
        <f>IFERROR(VLOOKUP($A144,#REF!,11,0),"")</f>
        <v/>
      </c>
      <c r="S144" s="359" t="str">
        <f>IFERROR(VLOOKUP($A144,#REF!,13,0),"")</f>
        <v/>
      </c>
      <c r="T144" s="359" t="str">
        <f>IFERROR(VLOOKUP($A144,#REF!,14,0),"")</f>
        <v/>
      </c>
      <c r="U144" s="359" t="str">
        <f>IFERROR(VLOOKUP($A144,#REF!,15,0),"")</f>
        <v/>
      </c>
      <c r="V144" s="359" t="str">
        <f>IFERROR(VLOOKUP($A144,#REF!,16,0),"")</f>
        <v/>
      </c>
      <c r="W144" s="359" t="str">
        <f>IFERROR(VLOOKUP($A144,#REF!,17,0),"")</f>
        <v/>
      </c>
      <c r="X144" s="359" t="str">
        <f>IFERROR(VLOOKUP($A144,#REF!,18,0),"")</f>
        <v/>
      </c>
      <c r="Y144" s="359" t="str">
        <f>IFERROR(VLOOKUP($A144,#REF!,19,0),"")</f>
        <v/>
      </c>
      <c r="Z144" s="400" t="str">
        <f>IFERROR(VLOOKUP($A144,#REF!,21,0),"")</f>
        <v/>
      </c>
      <c r="AA144" s="358"/>
      <c r="AB144" s="358"/>
      <c r="AC144" s="359" t="s">
        <v>127</v>
      </c>
      <c r="AD144" s="358"/>
      <c r="AE144" s="358"/>
      <c r="AF144" s="141" t="s">
        <v>3237</v>
      </c>
      <c r="AG144" s="358"/>
      <c r="AH144" s="358"/>
      <c r="AI144" s="358"/>
      <c r="AJ144" s="358"/>
      <c r="AK144" s="358"/>
      <c r="AL144" s="358"/>
      <c r="AM144" s="358"/>
      <c r="AN144" s="358" t="s">
        <v>113</v>
      </c>
      <c r="AO144" s="327" t="s">
        <v>30</v>
      </c>
      <c r="AP144" s="380">
        <v>46078</v>
      </c>
      <c r="AQ144" s="384" t="s">
        <v>67</v>
      </c>
      <c r="AR144" s="358" t="s">
        <v>32</v>
      </c>
      <c r="AS144" s="358">
        <v>1</v>
      </c>
      <c r="AT144" s="384" t="s">
        <v>67</v>
      </c>
      <c r="AU144" s="380">
        <v>46078</v>
      </c>
      <c r="AV144" s="100" t="s">
        <v>113</v>
      </c>
      <c r="AW144" s="122"/>
      <c r="AX144" s="107"/>
      <c r="AY144" s="95"/>
      <c r="AZ144" s="95"/>
      <c r="BA144" s="100"/>
      <c r="BB144" s="100"/>
      <c r="BC144" s="100"/>
      <c r="BD144" s="100"/>
      <c r="BE144" s="100"/>
      <c r="BF144" s="100"/>
      <c r="BG144" s="114"/>
      <c r="BH144" s="114"/>
      <c r="BI144" s="114"/>
      <c r="BJ144" s="114"/>
      <c r="BK144" s="114"/>
      <c r="BL144" s="360"/>
      <c r="BN144"/>
      <c r="BO144"/>
      <c r="BP144"/>
      <c r="BQ144"/>
      <c r="BR144"/>
      <c r="BS144" s="72"/>
      <c r="BW144" s="109"/>
      <c r="BZ144">
        <f t="shared" si="5"/>
        <v>1</v>
      </c>
    </row>
    <row r="145" spans="1:78" ht="15.75" hidden="1" customHeight="1">
      <c r="A145" s="35" t="str">
        <f t="shared" si="4"/>
        <v>ELPTMED_044/2646041,0416666667</v>
      </c>
      <c r="C145" s="358" t="s">
        <v>2342</v>
      </c>
      <c r="D145" s="358">
        <v>142</v>
      </c>
      <c r="E145" s="358" t="s">
        <v>3291</v>
      </c>
      <c r="F145" s="358" t="s">
        <v>1212</v>
      </c>
      <c r="G145" s="384">
        <v>46041.041666666664</v>
      </c>
      <c r="H145" s="358" t="s">
        <v>140</v>
      </c>
      <c r="I145" s="358">
        <v>8</v>
      </c>
      <c r="J145" s="359" t="str">
        <f>IFERROR(VLOOKUP($A145,#REF!,3,0),"")</f>
        <v/>
      </c>
      <c r="K145" s="359" t="str">
        <f>IFERROR(VLOOKUP($A145,#REF!,4,0),AF145)</f>
        <v>NA</v>
      </c>
      <c r="L145" s="359" t="str">
        <f>IFERROR(VLOOKUP($A145,#REF!,5,0),"")</f>
        <v/>
      </c>
      <c r="M145" s="359" t="str">
        <f>IFERROR(VLOOKUP($A145,#REF!,7,0),"")</f>
        <v/>
      </c>
      <c r="N145" s="359"/>
      <c r="O145" s="359" t="str">
        <f>IFERROR(VLOOKUP($A145,#REF!,6,0),"")</f>
        <v/>
      </c>
      <c r="P145" s="359" t="str">
        <f>IFERROR(VLOOKUP($A145,#REF!,9,0),"")</f>
        <v/>
      </c>
      <c r="Q145" s="359" t="str">
        <f>IFERROR(VLOOKUP($A145,#REF!,10,0),"")</f>
        <v/>
      </c>
      <c r="R145" s="359" t="str">
        <f>IFERROR(VLOOKUP($A145,#REF!,11,0),"")</f>
        <v/>
      </c>
      <c r="S145" s="359" t="str">
        <f>IFERROR(VLOOKUP($A145,#REF!,13,0),"")</f>
        <v/>
      </c>
      <c r="T145" s="359" t="str">
        <f>IFERROR(VLOOKUP($A145,#REF!,14,0),"")</f>
        <v/>
      </c>
      <c r="U145" s="359" t="str">
        <f>IFERROR(VLOOKUP($A145,#REF!,15,0),"")</f>
        <v/>
      </c>
      <c r="V145" s="359" t="str">
        <f>IFERROR(VLOOKUP($A145,#REF!,16,0),"")</f>
        <v/>
      </c>
      <c r="W145" s="359" t="str">
        <f>IFERROR(VLOOKUP($A145,#REF!,17,0),"")</f>
        <v/>
      </c>
      <c r="X145" s="359" t="str">
        <f>IFERROR(VLOOKUP($A145,#REF!,18,0),"")</f>
        <v/>
      </c>
      <c r="Y145" s="359" t="str">
        <f>IFERROR(VLOOKUP($A145,#REF!,19,0),"")</f>
        <v/>
      </c>
      <c r="Z145" s="400" t="str">
        <f>IFERROR(VLOOKUP($A145,#REF!,21,0),"")</f>
        <v/>
      </c>
      <c r="AA145" s="358"/>
      <c r="AB145" s="358"/>
      <c r="AC145" s="358" t="s">
        <v>127</v>
      </c>
      <c r="AD145" s="358"/>
      <c r="AE145" s="358"/>
      <c r="AF145" s="141" t="s">
        <v>3237</v>
      </c>
      <c r="AG145" s="358"/>
      <c r="AH145" s="358"/>
      <c r="AI145" s="358"/>
      <c r="AJ145" s="358"/>
      <c r="AK145" s="358"/>
      <c r="AL145" s="358"/>
      <c r="AM145" s="358"/>
      <c r="AN145" s="358" t="s">
        <v>113</v>
      </c>
      <c r="AO145" s="327" t="s">
        <v>30</v>
      </c>
      <c r="AP145" s="380">
        <v>46079</v>
      </c>
      <c r="AQ145" s="384" t="s">
        <v>67</v>
      </c>
      <c r="AR145" s="358" t="s">
        <v>32</v>
      </c>
      <c r="AS145" s="358">
        <v>9</v>
      </c>
      <c r="AT145" s="384" t="s">
        <v>67</v>
      </c>
      <c r="AU145" s="380">
        <v>46079</v>
      </c>
      <c r="AV145" s="100" t="s">
        <v>113</v>
      </c>
      <c r="AW145" s="100"/>
      <c r="AX145" s="107"/>
      <c r="AY145" s="95"/>
      <c r="AZ145" s="95"/>
      <c r="BA145" s="95"/>
      <c r="BB145" s="100"/>
      <c r="BC145" s="100"/>
      <c r="BD145" s="100"/>
      <c r="BE145" s="100"/>
      <c r="BF145" s="100"/>
      <c r="BG145" s="114"/>
      <c r="BH145" s="100"/>
      <c r="BI145" s="100"/>
      <c r="BJ145" s="100"/>
      <c r="BK145" s="114"/>
      <c r="BL145" s="360"/>
      <c r="BN145"/>
      <c r="BO145"/>
      <c r="BP145"/>
      <c r="BQ145"/>
      <c r="BR145"/>
      <c r="BS145" s="72"/>
      <c r="BW145" s="109"/>
      <c r="BZ145">
        <f t="shared" si="5"/>
        <v>1</v>
      </c>
    </row>
    <row r="146" spans="1:78" ht="15.75" hidden="1" customHeight="1">
      <c r="A146" s="35" t="str">
        <f t="shared" si="4"/>
        <v>ELPTMED_045/2646041,0416666667</v>
      </c>
      <c r="C146" s="358" t="s">
        <v>2342</v>
      </c>
      <c r="D146" s="358">
        <v>143</v>
      </c>
      <c r="E146" s="358" t="s">
        <v>3292</v>
      </c>
      <c r="F146" s="358" t="s">
        <v>2397</v>
      </c>
      <c r="G146" s="384">
        <v>46041.041666666664</v>
      </c>
      <c r="H146" s="358" t="s">
        <v>140</v>
      </c>
      <c r="I146" s="358">
        <v>1</v>
      </c>
      <c r="J146" s="359" t="str">
        <f>IFERROR(VLOOKUP($A146,#REF!,3,0),"")</f>
        <v/>
      </c>
      <c r="K146" s="359" t="str">
        <f>IFERROR(VLOOKUP($A146,#REF!,4,0),AF146)</f>
        <v>NA</v>
      </c>
      <c r="L146" s="359" t="str">
        <f>IFERROR(VLOOKUP($A146,#REF!,5,0),"")</f>
        <v/>
      </c>
      <c r="M146" s="359" t="str">
        <f>IFERROR(VLOOKUP($A146,#REF!,7,0),"")</f>
        <v/>
      </c>
      <c r="N146" s="359"/>
      <c r="O146" s="359" t="str">
        <f>IFERROR(VLOOKUP($A146,#REF!,6,0),"")</f>
        <v/>
      </c>
      <c r="P146" s="359" t="str">
        <f>IFERROR(VLOOKUP($A146,#REF!,9,0),"")</f>
        <v/>
      </c>
      <c r="Q146" s="359" t="str">
        <f>IFERROR(VLOOKUP($A146,#REF!,10,0),"")</f>
        <v/>
      </c>
      <c r="R146" s="359" t="str">
        <f>IFERROR(VLOOKUP($A146,#REF!,11,0),"")</f>
        <v/>
      </c>
      <c r="S146" s="359" t="str">
        <f>IFERROR(VLOOKUP($A146,#REF!,13,0),"")</f>
        <v/>
      </c>
      <c r="T146" s="359" t="str">
        <f>IFERROR(VLOOKUP($A146,#REF!,14,0),"")</f>
        <v/>
      </c>
      <c r="U146" s="359" t="str">
        <f>IFERROR(VLOOKUP($A146,#REF!,15,0),"")</f>
        <v/>
      </c>
      <c r="V146" s="359" t="str">
        <f>IFERROR(VLOOKUP($A146,#REF!,16,0),"")</f>
        <v/>
      </c>
      <c r="W146" s="359" t="str">
        <f>IFERROR(VLOOKUP($A146,#REF!,17,0),"")</f>
        <v/>
      </c>
      <c r="X146" s="359" t="str">
        <f>IFERROR(VLOOKUP($A146,#REF!,18,0),"")</f>
        <v/>
      </c>
      <c r="Y146" s="359" t="str">
        <f>IFERROR(VLOOKUP($A146,#REF!,19,0),"")</f>
        <v/>
      </c>
      <c r="Z146" s="400" t="str">
        <f>IFERROR(VLOOKUP($A146,#REF!,21,0),"")</f>
        <v/>
      </c>
      <c r="AA146" s="358"/>
      <c r="AB146" s="358"/>
      <c r="AC146" s="358" t="s">
        <v>127</v>
      </c>
      <c r="AD146" s="358"/>
      <c r="AE146" s="358"/>
      <c r="AF146" s="141" t="s">
        <v>3237</v>
      </c>
      <c r="AG146" s="358"/>
      <c r="AH146" s="358"/>
      <c r="AI146" s="358"/>
      <c r="AJ146" s="358"/>
      <c r="AK146" s="358"/>
      <c r="AL146" s="358"/>
      <c r="AM146" s="358"/>
      <c r="AN146" s="358" t="s">
        <v>113</v>
      </c>
      <c r="AO146" s="327" t="s">
        <v>30</v>
      </c>
      <c r="AP146" s="380">
        <v>46078</v>
      </c>
      <c r="AQ146" s="384" t="s">
        <v>67</v>
      </c>
      <c r="AR146" s="358" t="s">
        <v>32</v>
      </c>
      <c r="AS146" s="358">
        <v>1</v>
      </c>
      <c r="AT146" s="384" t="s">
        <v>67</v>
      </c>
      <c r="AU146" s="380">
        <v>46078</v>
      </c>
      <c r="AV146" s="100" t="s">
        <v>113</v>
      </c>
      <c r="AW146" s="95"/>
      <c r="AX146" s="107"/>
      <c r="AY146" s="100"/>
      <c r="AZ146" s="100"/>
      <c r="BA146" s="100"/>
      <c r="BB146" s="100"/>
      <c r="BC146" s="100"/>
      <c r="BD146" s="100"/>
      <c r="BE146" s="100"/>
      <c r="BF146" s="100"/>
      <c r="BG146" s="114"/>
      <c r="BH146" s="114"/>
      <c r="BI146" s="114"/>
      <c r="BJ146" s="114"/>
      <c r="BK146" s="114"/>
      <c r="BL146" s="360"/>
      <c r="BN146"/>
      <c r="BO146"/>
      <c r="BP146"/>
      <c r="BQ146"/>
      <c r="BR146"/>
      <c r="BS146" s="72"/>
      <c r="BW146" s="109"/>
      <c r="BZ146">
        <f t="shared" si="5"/>
        <v>1</v>
      </c>
    </row>
    <row r="147" spans="1:78" ht="15.75" hidden="1" customHeight="1">
      <c r="A147" s="35" t="str">
        <f t="shared" si="4"/>
        <v>ELPTMED_046/2646041,0416666667</v>
      </c>
      <c r="C147" s="358" t="s">
        <v>2342</v>
      </c>
      <c r="D147" s="358">
        <v>144</v>
      </c>
      <c r="E147" s="141" t="s">
        <v>3293</v>
      </c>
      <c r="F147" s="358" t="s">
        <v>1426</v>
      </c>
      <c r="G147" s="384">
        <v>46041.041666666664</v>
      </c>
      <c r="H147" s="358" t="s">
        <v>140</v>
      </c>
      <c r="I147" s="358">
        <v>3</v>
      </c>
      <c r="J147" s="359" t="str">
        <f>IFERROR(VLOOKUP($A147,#REF!,3,0),"")</f>
        <v/>
      </c>
      <c r="K147" s="359" t="str">
        <f>IFERROR(VLOOKUP($A147,#REF!,4,0),AF147)</f>
        <v>NA</v>
      </c>
      <c r="L147" s="359" t="str">
        <f>IFERROR(VLOOKUP($A147,#REF!,5,0),"")</f>
        <v/>
      </c>
      <c r="M147" s="359" t="str">
        <f>IFERROR(VLOOKUP($A147,#REF!,7,0),"")</f>
        <v/>
      </c>
      <c r="N147" s="359"/>
      <c r="O147" s="359" t="str">
        <f>IFERROR(VLOOKUP($A147,#REF!,6,0),"")</f>
        <v/>
      </c>
      <c r="P147" s="359" t="str">
        <f>IFERROR(VLOOKUP($A147,#REF!,9,0),"")</f>
        <v/>
      </c>
      <c r="Q147" s="359" t="str">
        <f>IFERROR(VLOOKUP($A147,#REF!,10,0),"")</f>
        <v/>
      </c>
      <c r="R147" s="359" t="str">
        <f>IFERROR(VLOOKUP($A147,#REF!,11,0),"")</f>
        <v/>
      </c>
      <c r="S147" s="359" t="str">
        <f>IFERROR(VLOOKUP($A147,#REF!,13,0),"")</f>
        <v/>
      </c>
      <c r="T147" s="359" t="str">
        <f>IFERROR(VLOOKUP($A147,#REF!,14,0),"")</f>
        <v/>
      </c>
      <c r="U147" s="359" t="str">
        <f>IFERROR(VLOOKUP($A147,#REF!,15,0),"")</f>
        <v/>
      </c>
      <c r="V147" s="359" t="str">
        <f>IFERROR(VLOOKUP($A147,#REF!,16,0),"")</f>
        <v/>
      </c>
      <c r="W147" s="359" t="str">
        <f>IFERROR(VLOOKUP($A147,#REF!,17,0),"")</f>
        <v/>
      </c>
      <c r="X147" s="359" t="str">
        <f>IFERROR(VLOOKUP($A147,#REF!,18,0),"")</f>
        <v/>
      </c>
      <c r="Y147" s="359" t="str">
        <f>IFERROR(VLOOKUP($A147,#REF!,19,0),"")</f>
        <v/>
      </c>
      <c r="Z147" s="400" t="str">
        <f>IFERROR(VLOOKUP($A147,#REF!,21,0),"")</f>
        <v/>
      </c>
      <c r="AA147" s="358"/>
      <c r="AB147" s="358"/>
      <c r="AC147" s="358" t="s">
        <v>127</v>
      </c>
      <c r="AD147" s="358"/>
      <c r="AE147" s="358"/>
      <c r="AF147" s="141" t="s">
        <v>3237</v>
      </c>
      <c r="AG147" s="358"/>
      <c r="AH147" s="358"/>
      <c r="AI147" s="358"/>
      <c r="AJ147" s="358"/>
      <c r="AK147" s="358"/>
      <c r="AL147" s="358"/>
      <c r="AM147" s="358"/>
      <c r="AN147" s="358" t="s">
        <v>113</v>
      </c>
      <c r="AO147" s="327" t="s">
        <v>30</v>
      </c>
      <c r="AP147" s="380">
        <v>46084</v>
      </c>
      <c r="AQ147" s="384" t="s">
        <v>67</v>
      </c>
      <c r="AR147" s="358" t="s">
        <v>32</v>
      </c>
      <c r="AS147" s="358">
        <v>3</v>
      </c>
      <c r="AT147" s="384" t="s">
        <v>67</v>
      </c>
      <c r="AU147" s="380">
        <v>46084</v>
      </c>
      <c r="AV147" s="100" t="s">
        <v>113</v>
      </c>
      <c r="AW147" s="100"/>
      <c r="AX147" s="107"/>
      <c r="AY147" s="100"/>
      <c r="AZ147" s="100"/>
      <c r="BA147" s="100"/>
      <c r="BB147" s="100"/>
      <c r="BC147" s="100"/>
      <c r="BD147" s="100"/>
      <c r="BE147" s="100"/>
      <c r="BF147" s="100"/>
      <c r="BG147" s="114"/>
      <c r="BH147" s="100"/>
      <c r="BI147" s="100"/>
      <c r="BJ147" s="100"/>
      <c r="BK147" s="114"/>
      <c r="BL147" s="360"/>
      <c r="BN147"/>
      <c r="BO147"/>
      <c r="BP147"/>
      <c r="BQ147"/>
      <c r="BR147"/>
      <c r="BW147" s="109"/>
      <c r="BZ147">
        <f t="shared" si="5"/>
        <v>1</v>
      </c>
    </row>
    <row r="148" spans="1:78" ht="15.75" hidden="1" customHeight="1">
      <c r="A148" s="35" t="str">
        <f t="shared" si="4"/>
        <v>ELPTMED_047/2646041,0416666667</v>
      </c>
      <c r="C148" s="358" t="s">
        <v>2342</v>
      </c>
      <c r="D148" s="358">
        <v>145</v>
      </c>
      <c r="E148" s="358" t="s">
        <v>3294</v>
      </c>
      <c r="F148" s="358" t="s">
        <v>818</v>
      </c>
      <c r="G148" s="384">
        <v>46041.041666666664</v>
      </c>
      <c r="H148" s="358" t="s">
        <v>140</v>
      </c>
      <c r="I148" s="358">
        <v>6</v>
      </c>
      <c r="J148" s="359" t="str">
        <f>IFERROR(VLOOKUP($A148,#REF!,3,0),"")</f>
        <v/>
      </c>
      <c r="K148" s="359" t="str">
        <f>IFERROR(VLOOKUP($A148,#REF!,4,0),AF148)</f>
        <v>NA</v>
      </c>
      <c r="L148" s="359" t="str">
        <f>IFERROR(VLOOKUP($A148,#REF!,5,0),"")</f>
        <v/>
      </c>
      <c r="M148" s="359" t="str">
        <f>IFERROR(VLOOKUP($A148,#REF!,7,0),"")</f>
        <v/>
      </c>
      <c r="N148" s="359"/>
      <c r="O148" s="359" t="str">
        <f>IFERROR(VLOOKUP($A148,#REF!,6,0),"")</f>
        <v/>
      </c>
      <c r="P148" s="359" t="str">
        <f>IFERROR(VLOOKUP($A148,#REF!,9,0),"")</f>
        <v/>
      </c>
      <c r="Q148" s="359" t="str">
        <f>IFERROR(VLOOKUP($A148,#REF!,10,0),"")</f>
        <v/>
      </c>
      <c r="R148" s="359" t="str">
        <f>IFERROR(VLOOKUP($A148,#REF!,11,0),"")</f>
        <v/>
      </c>
      <c r="S148" s="359" t="str">
        <f>IFERROR(VLOOKUP($A148,#REF!,13,0),"")</f>
        <v/>
      </c>
      <c r="T148" s="359" t="str">
        <f>IFERROR(VLOOKUP($A148,#REF!,14,0),"")</f>
        <v/>
      </c>
      <c r="U148" s="359" t="str">
        <f>IFERROR(VLOOKUP($A148,#REF!,15,0),"")</f>
        <v/>
      </c>
      <c r="V148" s="359" t="str">
        <f>IFERROR(VLOOKUP($A148,#REF!,16,0),"")</f>
        <v/>
      </c>
      <c r="W148" s="359" t="str">
        <f>IFERROR(VLOOKUP($A148,#REF!,17,0),"")</f>
        <v/>
      </c>
      <c r="X148" s="359" t="str">
        <f>IFERROR(VLOOKUP($A148,#REF!,18,0),"")</f>
        <v/>
      </c>
      <c r="Y148" s="359" t="str">
        <f>IFERROR(VLOOKUP($A148,#REF!,19,0),"")</f>
        <v/>
      </c>
      <c r="Z148" s="400" t="str">
        <f>IFERROR(VLOOKUP($A148,#REF!,21,0),"")</f>
        <v/>
      </c>
      <c r="AA148" s="358"/>
      <c r="AB148" s="358"/>
      <c r="AC148" s="358" t="s">
        <v>127</v>
      </c>
      <c r="AD148" s="358"/>
      <c r="AE148" s="358"/>
      <c r="AF148" s="141" t="s">
        <v>3237</v>
      </c>
      <c r="AG148" s="358"/>
      <c r="AH148" s="358"/>
      <c r="AI148" s="358"/>
      <c r="AJ148" s="358"/>
      <c r="AK148" s="358"/>
      <c r="AL148" s="358"/>
      <c r="AM148" s="358"/>
      <c r="AN148" s="358" t="s">
        <v>113</v>
      </c>
      <c r="AO148" s="327" t="s">
        <v>30</v>
      </c>
      <c r="AP148" s="380">
        <v>46079</v>
      </c>
      <c r="AQ148" s="384" t="s">
        <v>67</v>
      </c>
      <c r="AR148" s="358" t="s">
        <v>32</v>
      </c>
      <c r="AS148" s="358">
        <v>6</v>
      </c>
      <c r="AT148" s="384" t="s">
        <v>67</v>
      </c>
      <c r="AU148" s="380">
        <v>46079</v>
      </c>
      <c r="AV148" s="100" t="s">
        <v>113</v>
      </c>
      <c r="AW148" s="100"/>
      <c r="AX148" s="107"/>
      <c r="AY148" s="100"/>
      <c r="AZ148" s="100"/>
      <c r="BA148" s="100"/>
      <c r="BB148" s="100"/>
      <c r="BC148" s="100"/>
      <c r="BD148" s="100"/>
      <c r="BE148" s="100"/>
      <c r="BF148" s="100"/>
      <c r="BG148" s="114"/>
      <c r="BH148" s="114"/>
      <c r="BI148" s="114"/>
      <c r="BJ148" s="111"/>
      <c r="BK148" s="114"/>
      <c r="BL148" s="360"/>
      <c r="BN148"/>
      <c r="BO148"/>
      <c r="BP148"/>
      <c r="BQ148"/>
      <c r="BR148"/>
      <c r="BW148" s="109"/>
      <c r="BZ148">
        <f t="shared" si="5"/>
        <v>1</v>
      </c>
    </row>
    <row r="149" spans="1:78" ht="15.75" hidden="1" customHeight="1">
      <c r="A149" s="35" t="str">
        <f t="shared" si="4"/>
        <v>ELPTMED_048/2646041,0416666667</v>
      </c>
      <c r="C149" s="358" t="s">
        <v>2342</v>
      </c>
      <c r="D149" s="358">
        <v>146</v>
      </c>
      <c r="E149" s="358" t="s">
        <v>3295</v>
      </c>
      <c r="F149" s="358" t="s">
        <v>779</v>
      </c>
      <c r="G149" s="384">
        <v>46041.041666666664</v>
      </c>
      <c r="H149" s="358" t="s">
        <v>140</v>
      </c>
      <c r="I149" s="358">
        <v>7</v>
      </c>
      <c r="J149" s="359" t="str">
        <f>IFERROR(VLOOKUP($A149,#REF!,3,0),"")</f>
        <v/>
      </c>
      <c r="K149" s="359" t="str">
        <f>IFERROR(VLOOKUP($A149,#REF!,4,0),AF149)</f>
        <v>NA</v>
      </c>
      <c r="L149" s="359" t="str">
        <f>IFERROR(VLOOKUP($A149,#REF!,5,0),"")</f>
        <v/>
      </c>
      <c r="M149" s="359" t="str">
        <f>IFERROR(VLOOKUP($A149,#REF!,7,0),"")</f>
        <v/>
      </c>
      <c r="N149" s="359"/>
      <c r="O149" s="359" t="str">
        <f>IFERROR(VLOOKUP($A149,#REF!,6,0),"")</f>
        <v/>
      </c>
      <c r="P149" s="359" t="str">
        <f>IFERROR(VLOOKUP($A149,#REF!,9,0),"")</f>
        <v/>
      </c>
      <c r="Q149" s="359" t="str">
        <f>IFERROR(VLOOKUP($A149,#REF!,10,0),"")</f>
        <v/>
      </c>
      <c r="R149" s="359" t="str">
        <f>IFERROR(VLOOKUP($A149,#REF!,11,0),"")</f>
        <v/>
      </c>
      <c r="S149" s="359" t="str">
        <f>IFERROR(VLOOKUP($A149,#REF!,13,0),"")</f>
        <v/>
      </c>
      <c r="T149" s="359" t="str">
        <f>IFERROR(VLOOKUP($A149,#REF!,14,0),"")</f>
        <v/>
      </c>
      <c r="U149" s="359" t="str">
        <f>IFERROR(VLOOKUP($A149,#REF!,15,0),"")</f>
        <v/>
      </c>
      <c r="V149" s="359" t="str">
        <f>IFERROR(VLOOKUP($A149,#REF!,16,0),"")</f>
        <v/>
      </c>
      <c r="W149" s="359" t="str">
        <f>IFERROR(VLOOKUP($A149,#REF!,17,0),"")</f>
        <v/>
      </c>
      <c r="X149" s="359" t="str">
        <f>IFERROR(VLOOKUP($A149,#REF!,18,0),"")</f>
        <v/>
      </c>
      <c r="Y149" s="359" t="str">
        <f>IFERROR(VLOOKUP($A149,#REF!,19,0),"")</f>
        <v/>
      </c>
      <c r="Z149" s="400" t="str">
        <f>IFERROR(VLOOKUP($A149,#REF!,21,0),"")</f>
        <v/>
      </c>
      <c r="AA149" s="358"/>
      <c r="AB149" s="358"/>
      <c r="AC149" s="358" t="s">
        <v>1799</v>
      </c>
      <c r="AD149" s="358"/>
      <c r="AE149" s="358"/>
      <c r="AF149" s="141" t="s">
        <v>3237</v>
      </c>
      <c r="AG149" s="358"/>
      <c r="AH149" s="358"/>
      <c r="AI149" s="358"/>
      <c r="AJ149" s="358"/>
      <c r="AK149" s="358"/>
      <c r="AL149" s="358"/>
      <c r="AM149" s="358"/>
      <c r="AN149" s="358" t="s">
        <v>113</v>
      </c>
      <c r="AO149" s="327" t="s">
        <v>30</v>
      </c>
      <c r="AP149" s="380">
        <v>46079</v>
      </c>
      <c r="AQ149" s="384" t="s">
        <v>67</v>
      </c>
      <c r="AR149" s="358" t="s">
        <v>32</v>
      </c>
      <c r="AS149" s="358">
        <v>7</v>
      </c>
      <c r="AT149" s="384" t="s">
        <v>67</v>
      </c>
      <c r="AU149" s="380">
        <v>46079</v>
      </c>
      <c r="AV149" s="100" t="s">
        <v>113</v>
      </c>
      <c r="AW149" s="100"/>
      <c r="AX149" s="107"/>
      <c r="AY149" s="100"/>
      <c r="AZ149" s="100"/>
      <c r="BA149" s="100"/>
      <c r="BB149" s="100"/>
      <c r="BC149" s="100"/>
      <c r="BD149" s="100"/>
      <c r="BE149" s="100"/>
      <c r="BF149" s="100"/>
      <c r="BG149" s="114"/>
      <c r="BH149" s="100"/>
      <c r="BI149" s="100"/>
      <c r="BJ149" s="100"/>
      <c r="BK149" s="114"/>
      <c r="BL149" s="360"/>
      <c r="BM149" s="6"/>
      <c r="BN149" s="6"/>
      <c r="BO149" s="6"/>
      <c r="BP149" s="6"/>
      <c r="BQ149" s="6"/>
      <c r="BR149" s="6"/>
      <c r="BS149" s="108"/>
      <c r="BT149" s="109"/>
      <c r="BU149" s="109"/>
      <c r="BV149" s="109"/>
      <c r="BW149" s="109"/>
      <c r="BZ149">
        <f t="shared" si="5"/>
        <v>1</v>
      </c>
    </row>
    <row r="150" spans="1:78" ht="15.75" hidden="1" customHeight="1">
      <c r="A150" s="35" t="str">
        <f t="shared" si="4"/>
        <v>ELPTMED_049/2646041</v>
      </c>
      <c r="C150" s="358" t="s">
        <v>2342</v>
      </c>
      <c r="D150" s="358">
        <v>147</v>
      </c>
      <c r="E150" s="113" t="s">
        <v>3296</v>
      </c>
      <c r="F150" s="359" t="s">
        <v>1245</v>
      </c>
      <c r="G150" s="400">
        <v>46041</v>
      </c>
      <c r="H150" s="358" t="s">
        <v>140</v>
      </c>
      <c r="I150" s="359">
        <v>1</v>
      </c>
      <c r="J150" s="359" t="str">
        <f>IFERROR(VLOOKUP($A150,#REF!,3,0),"")</f>
        <v/>
      </c>
      <c r="K150" s="359" t="str">
        <f>IFERROR(VLOOKUP($A150,#REF!,4,0),AF150)</f>
        <v>NA</v>
      </c>
      <c r="L150" s="359" t="str">
        <f>IFERROR(VLOOKUP($A150,#REF!,5,0),"")</f>
        <v/>
      </c>
      <c r="M150" s="359" t="str">
        <f>IFERROR(VLOOKUP($A150,#REF!,7,0),"")</f>
        <v/>
      </c>
      <c r="N150" s="359"/>
      <c r="O150" s="359" t="str">
        <f>IFERROR(VLOOKUP($A150,#REF!,6,0),"")</f>
        <v/>
      </c>
      <c r="P150" s="359" t="str">
        <f>IFERROR(VLOOKUP($A150,#REF!,9,0),"")</f>
        <v/>
      </c>
      <c r="Q150" s="359" t="str">
        <f>IFERROR(VLOOKUP($A150,#REF!,10,0),"")</f>
        <v/>
      </c>
      <c r="R150" s="359" t="str">
        <f>IFERROR(VLOOKUP($A150,#REF!,11,0),"")</f>
        <v/>
      </c>
      <c r="S150" s="359" t="str">
        <f>IFERROR(VLOOKUP($A150,#REF!,13,0),"")</f>
        <v/>
      </c>
      <c r="T150" s="359" t="str">
        <f>IFERROR(VLOOKUP($A150,#REF!,14,0),"")</f>
        <v/>
      </c>
      <c r="U150" s="359" t="str">
        <f>IFERROR(VLOOKUP($A150,#REF!,15,0),"")</f>
        <v/>
      </c>
      <c r="V150" s="359" t="str">
        <f>IFERROR(VLOOKUP($A150,#REF!,16,0),"")</f>
        <v/>
      </c>
      <c r="W150" s="359" t="str">
        <f>IFERROR(VLOOKUP($A150,#REF!,17,0),"")</f>
        <v/>
      </c>
      <c r="X150" s="359" t="str">
        <f>IFERROR(VLOOKUP($A150,#REF!,18,0),"")</f>
        <v/>
      </c>
      <c r="Y150" s="359" t="str">
        <f>IFERROR(VLOOKUP($A150,#REF!,19,0),"")</f>
        <v/>
      </c>
      <c r="Z150" s="400" t="str">
        <f>IFERROR(VLOOKUP($A150,#REF!,21,0),"")</f>
        <v/>
      </c>
      <c r="AA150" s="359"/>
      <c r="AB150" s="359"/>
      <c r="AC150" s="359" t="s">
        <v>1077</v>
      </c>
      <c r="AD150" s="359"/>
      <c r="AE150" s="358"/>
      <c r="AF150" s="141" t="s">
        <v>3237</v>
      </c>
      <c r="AG150" s="358"/>
      <c r="AH150" s="359"/>
      <c r="AI150" s="359"/>
      <c r="AJ150" s="359"/>
      <c r="AK150" s="359"/>
      <c r="AL150" s="359"/>
      <c r="AM150" s="359"/>
      <c r="AN150" s="358" t="s">
        <v>113</v>
      </c>
      <c r="AO150" s="327" t="s">
        <v>30</v>
      </c>
      <c r="AP150" s="380">
        <v>46084</v>
      </c>
      <c r="AQ150" s="384" t="s">
        <v>67</v>
      </c>
      <c r="AR150" s="358" t="s">
        <v>32</v>
      </c>
      <c r="AS150" s="358">
        <v>1</v>
      </c>
      <c r="AT150" s="384" t="s">
        <v>67</v>
      </c>
      <c r="AU150" s="380">
        <v>46084</v>
      </c>
      <c r="AV150" s="100" t="s">
        <v>113</v>
      </c>
      <c r="AW150" s="100"/>
      <c r="AX150" s="95"/>
      <c r="AY150" s="100"/>
      <c r="AZ150" s="100"/>
      <c r="BA150" s="100"/>
      <c r="BB150" s="100"/>
      <c r="BC150" s="100"/>
      <c r="BD150" s="100"/>
      <c r="BE150" s="100"/>
      <c r="BF150" s="100"/>
      <c r="BG150" s="114"/>
      <c r="BH150" s="100"/>
      <c r="BI150" s="100"/>
      <c r="BJ150" s="100"/>
      <c r="BK150" s="95"/>
      <c r="BL150" s="360"/>
      <c r="BN150" s="412"/>
      <c r="BO150" s="412"/>
      <c r="BP150" s="412"/>
      <c r="BQ150" s="412"/>
      <c r="BR150" s="412"/>
      <c r="BS150"/>
      <c r="BT150"/>
      <c r="BU150"/>
      <c r="BV150"/>
      <c r="BZ150">
        <f t="shared" si="5"/>
        <v>1</v>
      </c>
    </row>
    <row r="151" spans="1:78" ht="15.75" hidden="1" customHeight="1">
      <c r="A151" s="35" t="str">
        <f t="shared" si="4"/>
        <v>ELPTMED_050/2646041,0416666667</v>
      </c>
      <c r="C151" s="358" t="s">
        <v>2342</v>
      </c>
      <c r="D151" s="358">
        <v>148</v>
      </c>
      <c r="E151" s="113" t="s">
        <v>3297</v>
      </c>
      <c r="F151" s="359" t="s">
        <v>1887</v>
      </c>
      <c r="G151" s="400">
        <v>46041.041666666664</v>
      </c>
      <c r="H151" s="358" t="s">
        <v>140</v>
      </c>
      <c r="I151" s="359">
        <v>3</v>
      </c>
      <c r="J151" s="359" t="str">
        <f>IFERROR(VLOOKUP($A151,#REF!,3,0),"")</f>
        <v/>
      </c>
      <c r="K151" s="359" t="str">
        <f>IFERROR(VLOOKUP($A151,#REF!,4,0),AF151)</f>
        <v>NA</v>
      </c>
      <c r="L151" s="359" t="str">
        <f>IFERROR(VLOOKUP($A151,#REF!,5,0),"")</f>
        <v/>
      </c>
      <c r="M151" s="359" t="str">
        <f>IFERROR(VLOOKUP($A151,#REF!,7,0),"")</f>
        <v/>
      </c>
      <c r="N151" s="359"/>
      <c r="O151" s="359" t="str">
        <f>IFERROR(VLOOKUP($A151,#REF!,6,0),"")</f>
        <v/>
      </c>
      <c r="P151" s="359" t="str">
        <f>IFERROR(VLOOKUP($A151,#REF!,9,0),"")</f>
        <v/>
      </c>
      <c r="Q151" s="359" t="str">
        <f>IFERROR(VLOOKUP($A151,#REF!,10,0),"")</f>
        <v/>
      </c>
      <c r="R151" s="359" t="str">
        <f>IFERROR(VLOOKUP($A151,#REF!,11,0),"")</f>
        <v/>
      </c>
      <c r="S151" s="359" t="str">
        <f>IFERROR(VLOOKUP($A151,#REF!,13,0),"")</f>
        <v/>
      </c>
      <c r="T151" s="359" t="str">
        <f>IFERROR(VLOOKUP($A151,#REF!,14,0),"")</f>
        <v/>
      </c>
      <c r="U151" s="359" t="str">
        <f>IFERROR(VLOOKUP($A151,#REF!,15,0),"")</f>
        <v/>
      </c>
      <c r="V151" s="359" t="str">
        <f>IFERROR(VLOOKUP($A151,#REF!,16,0),"")</f>
        <v/>
      </c>
      <c r="W151" s="359" t="str">
        <f>IFERROR(VLOOKUP($A151,#REF!,17,0),"")</f>
        <v/>
      </c>
      <c r="X151" s="359" t="str">
        <f>IFERROR(VLOOKUP($A151,#REF!,18,0),"")</f>
        <v/>
      </c>
      <c r="Y151" s="359" t="str">
        <f>IFERROR(VLOOKUP($A151,#REF!,19,0),"")</f>
        <v/>
      </c>
      <c r="Z151" s="400" t="str">
        <f>IFERROR(VLOOKUP($A151,#REF!,21,0),"")</f>
        <v/>
      </c>
      <c r="AA151" s="359"/>
      <c r="AB151" s="359"/>
      <c r="AC151" s="359" t="s">
        <v>127</v>
      </c>
      <c r="AD151" s="359"/>
      <c r="AE151" s="358"/>
      <c r="AF151" s="141" t="s">
        <v>3237</v>
      </c>
      <c r="AG151" s="358"/>
      <c r="AH151" s="359"/>
      <c r="AI151" s="359"/>
      <c r="AJ151" s="359"/>
      <c r="AK151" s="359"/>
      <c r="AL151" s="359"/>
      <c r="AM151" s="359"/>
      <c r="AN151" s="358" t="s">
        <v>113</v>
      </c>
      <c r="AO151" s="327" t="s">
        <v>30</v>
      </c>
      <c r="AP151" s="380">
        <v>46084</v>
      </c>
      <c r="AQ151" s="384" t="s">
        <v>67</v>
      </c>
      <c r="AR151" s="358" t="s">
        <v>32</v>
      </c>
      <c r="AS151" s="358">
        <v>3</v>
      </c>
      <c r="AT151" s="384" t="s">
        <v>67</v>
      </c>
      <c r="AU151" s="380">
        <v>46084</v>
      </c>
      <c r="AV151" s="100" t="s">
        <v>113</v>
      </c>
      <c r="AW151" s="100"/>
      <c r="AX151" s="95"/>
      <c r="AY151" s="100"/>
      <c r="AZ151" s="100"/>
      <c r="BA151" s="100"/>
      <c r="BB151" s="95"/>
      <c r="BC151" s="100"/>
      <c r="BD151" s="100"/>
      <c r="BE151" s="100"/>
      <c r="BF151" s="100"/>
      <c r="BG151" s="114"/>
      <c r="BH151" s="111"/>
      <c r="BI151" s="111"/>
      <c r="BJ151" s="111"/>
      <c r="BK151" s="95"/>
      <c r="BL151" s="360"/>
      <c r="BN151" s="412"/>
      <c r="BO151" s="412"/>
      <c r="BP151" s="412"/>
      <c r="BQ151" s="412"/>
      <c r="BR151" s="412"/>
      <c r="BS151"/>
      <c r="BT151"/>
      <c r="BU151"/>
      <c r="BV151"/>
      <c r="BZ151">
        <f t="shared" si="5"/>
        <v>1</v>
      </c>
    </row>
    <row r="152" spans="1:78" ht="15.75" hidden="1" customHeight="1">
      <c r="A152" s="35" t="str">
        <f t="shared" si="4"/>
        <v>ELPTMED_051/2646041,0416666667</v>
      </c>
      <c r="C152" s="358" t="s">
        <v>2342</v>
      </c>
      <c r="D152" s="358">
        <v>149</v>
      </c>
      <c r="E152" s="359" t="s">
        <v>3298</v>
      </c>
      <c r="F152" s="359" t="s">
        <v>1008</v>
      </c>
      <c r="G152" s="400">
        <v>46041.041666666664</v>
      </c>
      <c r="H152" s="358" t="s">
        <v>140</v>
      </c>
      <c r="I152" s="359">
        <v>3</v>
      </c>
      <c r="J152" s="359" t="str">
        <f>IFERROR(VLOOKUP($A152,#REF!,3,0),"")</f>
        <v/>
      </c>
      <c r="K152" s="359" t="str">
        <f>IFERROR(VLOOKUP($A152,#REF!,4,0),AF152)</f>
        <v>NA</v>
      </c>
      <c r="L152" s="359" t="str">
        <f>IFERROR(VLOOKUP($A152,#REF!,5,0),"")</f>
        <v/>
      </c>
      <c r="M152" s="359" t="str">
        <f>IFERROR(VLOOKUP($A152,#REF!,7,0),"")</f>
        <v/>
      </c>
      <c r="N152" s="359"/>
      <c r="O152" s="359" t="str">
        <f>IFERROR(VLOOKUP($A152,#REF!,6,0),"")</f>
        <v/>
      </c>
      <c r="P152" s="359" t="str">
        <f>IFERROR(VLOOKUP($A152,#REF!,9,0),"")</f>
        <v/>
      </c>
      <c r="Q152" s="359" t="str">
        <f>IFERROR(VLOOKUP($A152,#REF!,10,0),"")</f>
        <v/>
      </c>
      <c r="R152" s="359" t="str">
        <f>IFERROR(VLOOKUP($A152,#REF!,11,0),"")</f>
        <v/>
      </c>
      <c r="S152" s="359" t="str">
        <f>IFERROR(VLOOKUP($A152,#REF!,13,0),"")</f>
        <v/>
      </c>
      <c r="T152" s="359" t="str">
        <f>IFERROR(VLOOKUP($A152,#REF!,14,0),"")</f>
        <v/>
      </c>
      <c r="U152" s="359" t="str">
        <f>IFERROR(VLOOKUP($A152,#REF!,15,0),"")</f>
        <v/>
      </c>
      <c r="V152" s="359" t="str">
        <f>IFERROR(VLOOKUP($A152,#REF!,16,0),"")</f>
        <v/>
      </c>
      <c r="W152" s="359" t="str">
        <f>IFERROR(VLOOKUP($A152,#REF!,17,0),"")</f>
        <v/>
      </c>
      <c r="X152" s="359" t="str">
        <f>IFERROR(VLOOKUP($A152,#REF!,18,0),"")</f>
        <v/>
      </c>
      <c r="Y152" s="359" t="str">
        <f>IFERROR(VLOOKUP($A152,#REF!,19,0),"")</f>
        <v/>
      </c>
      <c r="Z152" s="400" t="str">
        <f>IFERROR(VLOOKUP($A152,#REF!,21,0),"")</f>
        <v/>
      </c>
      <c r="AA152" s="359"/>
      <c r="AB152" s="359"/>
      <c r="AC152" s="359" t="s">
        <v>127</v>
      </c>
      <c r="AD152" s="359"/>
      <c r="AE152" s="358"/>
      <c r="AF152" s="141" t="s">
        <v>3237</v>
      </c>
      <c r="AG152" s="358"/>
      <c r="AH152" s="359"/>
      <c r="AI152" s="359"/>
      <c r="AJ152" s="359"/>
      <c r="AK152" s="359"/>
      <c r="AL152" s="359"/>
      <c r="AM152" s="359"/>
      <c r="AN152" s="358" t="s">
        <v>113</v>
      </c>
      <c r="AO152" s="327" t="s">
        <v>30</v>
      </c>
      <c r="AP152" s="380">
        <v>46079</v>
      </c>
      <c r="AQ152" s="384" t="s">
        <v>67</v>
      </c>
      <c r="AR152" s="358" t="s">
        <v>32</v>
      </c>
      <c r="AS152" s="358">
        <v>3</v>
      </c>
      <c r="AT152" s="384" t="s">
        <v>67</v>
      </c>
      <c r="AU152" s="380">
        <v>46079</v>
      </c>
      <c r="AV152" s="100" t="s">
        <v>113</v>
      </c>
      <c r="AW152" s="100"/>
      <c r="AX152" s="95"/>
      <c r="AY152" s="100"/>
      <c r="AZ152" s="100"/>
      <c r="BA152" s="100"/>
      <c r="BB152" s="100"/>
      <c r="BC152" s="100"/>
      <c r="BD152" s="100"/>
      <c r="BE152" s="100"/>
      <c r="BF152" s="100"/>
      <c r="BG152" s="114"/>
      <c r="BH152" s="114"/>
      <c r="BI152" s="114"/>
      <c r="BJ152" s="100"/>
      <c r="BK152" s="95"/>
      <c r="BL152" s="360"/>
      <c r="BM152" s="6"/>
      <c r="BN152" s="6"/>
      <c r="BO152" s="6"/>
      <c r="BP152" s="6"/>
      <c r="BQ152" s="6"/>
      <c r="BR152" s="6"/>
      <c r="BS152" s="108"/>
      <c r="BT152" s="109"/>
      <c r="BU152" s="109"/>
      <c r="BV152" s="109"/>
      <c r="BW152" s="109"/>
      <c r="BZ152">
        <f t="shared" si="5"/>
        <v>1</v>
      </c>
    </row>
    <row r="153" spans="1:78" ht="15.6" hidden="1" customHeight="1">
      <c r="A153" s="35" t="str">
        <f t="shared" si="4"/>
        <v>ELPTMED_052/2646048,0416666667</v>
      </c>
      <c r="C153" s="358" t="s">
        <v>2342</v>
      </c>
      <c r="D153" s="358">
        <v>150</v>
      </c>
      <c r="E153" s="113" t="s">
        <v>3299</v>
      </c>
      <c r="F153" s="359" t="s">
        <v>1565</v>
      </c>
      <c r="G153" s="400">
        <v>46048.041666666664</v>
      </c>
      <c r="H153" s="358" t="s">
        <v>140</v>
      </c>
      <c r="I153" s="359">
        <v>16</v>
      </c>
      <c r="J153" s="359" t="str">
        <f>IFERROR(VLOOKUP($A153,#REF!,3,0),"")</f>
        <v/>
      </c>
      <c r="K153" s="359" t="str">
        <f>IFERROR(VLOOKUP($A153,#REF!,4,0),AF153)</f>
        <v>NA</v>
      </c>
      <c r="L153" s="359" t="str">
        <f>IFERROR(VLOOKUP($A153,#REF!,5,0),"")</f>
        <v/>
      </c>
      <c r="M153" s="359" t="str">
        <f>IFERROR(VLOOKUP($A153,#REF!,7,0),"")</f>
        <v/>
      </c>
      <c r="N153" s="359"/>
      <c r="O153" s="359" t="str">
        <f>IFERROR(VLOOKUP($A153,#REF!,6,0),"")</f>
        <v/>
      </c>
      <c r="P153" s="359" t="str">
        <f>IFERROR(VLOOKUP($A153,#REF!,9,0),"")</f>
        <v/>
      </c>
      <c r="Q153" s="359" t="str">
        <f>IFERROR(VLOOKUP($A153,#REF!,10,0),"")</f>
        <v/>
      </c>
      <c r="R153" s="359" t="str">
        <f>IFERROR(VLOOKUP($A153,#REF!,11,0),"")</f>
        <v/>
      </c>
      <c r="S153" s="359" t="str">
        <f>IFERROR(VLOOKUP($A153,#REF!,13,0),"")</f>
        <v/>
      </c>
      <c r="T153" s="359" t="str">
        <f>IFERROR(VLOOKUP($A153,#REF!,14,0),"")</f>
        <v/>
      </c>
      <c r="U153" s="359" t="str">
        <f>IFERROR(VLOOKUP($A153,#REF!,15,0),"")</f>
        <v/>
      </c>
      <c r="V153" s="359" t="str">
        <f>IFERROR(VLOOKUP($A153,#REF!,16,0),"")</f>
        <v/>
      </c>
      <c r="W153" s="359" t="str">
        <f>IFERROR(VLOOKUP($A153,#REF!,17,0),"")</f>
        <v/>
      </c>
      <c r="X153" s="359" t="str">
        <f>IFERROR(VLOOKUP($A153,#REF!,18,0),"")</f>
        <v/>
      </c>
      <c r="Y153" s="359" t="str">
        <f>IFERROR(VLOOKUP($A153,#REF!,19,0),"")</f>
        <v/>
      </c>
      <c r="Z153" s="400" t="str">
        <f>IFERROR(VLOOKUP($A153,#REF!,21,0),"")</f>
        <v/>
      </c>
      <c r="AA153" s="359"/>
      <c r="AB153" s="359"/>
      <c r="AC153" s="359" t="s">
        <v>1799</v>
      </c>
      <c r="AD153" s="359"/>
      <c r="AE153" s="102"/>
      <c r="AF153" s="141" t="s">
        <v>3237</v>
      </c>
      <c r="AG153" s="358"/>
      <c r="AH153" s="359"/>
      <c r="AI153" s="359"/>
      <c r="AJ153" s="359"/>
      <c r="AK153" s="359"/>
      <c r="AL153" s="359"/>
      <c r="AM153" s="359"/>
      <c r="AN153" s="358" t="s">
        <v>113</v>
      </c>
      <c r="AO153" s="327" t="s">
        <v>30</v>
      </c>
      <c r="AP153" s="380">
        <v>46084</v>
      </c>
      <c r="AQ153" s="384" t="s">
        <v>67</v>
      </c>
      <c r="AR153" s="358" t="s">
        <v>32</v>
      </c>
      <c r="AS153" s="358">
        <v>19</v>
      </c>
      <c r="AT153" s="384" t="s">
        <v>67</v>
      </c>
      <c r="AU153" s="380">
        <v>46084</v>
      </c>
      <c r="AV153" s="100" t="s">
        <v>113</v>
      </c>
      <c r="AW153" s="94"/>
      <c r="AX153" s="95"/>
      <c r="AY153" s="100"/>
      <c r="AZ153" s="100"/>
      <c r="BA153" s="100"/>
      <c r="BB153" s="100"/>
      <c r="BC153" s="100"/>
      <c r="BD153" s="100"/>
      <c r="BE153" s="100"/>
      <c r="BF153" s="100"/>
      <c r="BG153" s="114"/>
      <c r="BH153" s="94"/>
      <c r="BI153" s="94"/>
      <c r="BJ153" s="94"/>
      <c r="BK153" s="95"/>
      <c r="BL153" s="360"/>
      <c r="BM153" s="6"/>
      <c r="BN153" s="6"/>
      <c r="BO153" s="6"/>
      <c r="BP153" s="6"/>
      <c r="BQ153" s="6"/>
      <c r="BR153" s="6"/>
      <c r="BS153" s="108"/>
      <c r="BT153" s="109"/>
      <c r="BU153" s="109"/>
      <c r="BV153" s="109"/>
      <c r="BW153" s="109"/>
      <c r="BZ153">
        <f t="shared" si="5"/>
        <v>1</v>
      </c>
    </row>
    <row r="154" spans="1:78" ht="15.75" hidden="1" customHeight="1">
      <c r="A154" s="35" t="str">
        <f t="shared" si="4"/>
        <v>ELPTMED_054/2646048,0416666667</v>
      </c>
      <c r="C154" s="358" t="s">
        <v>2342</v>
      </c>
      <c r="D154" s="358">
        <v>151</v>
      </c>
      <c r="E154" s="134" t="s">
        <v>3300</v>
      </c>
      <c r="F154" s="359" t="s">
        <v>960</v>
      </c>
      <c r="G154" s="400">
        <v>46048.041666666664</v>
      </c>
      <c r="H154" s="358" t="s">
        <v>140</v>
      </c>
      <c r="I154" s="359">
        <v>12</v>
      </c>
      <c r="J154" s="359" t="str">
        <f>IFERROR(VLOOKUP($A154,#REF!,3,0),"")</f>
        <v/>
      </c>
      <c r="K154" s="359" t="str">
        <f>IFERROR(VLOOKUP($A154,#REF!,4,0),AF154)</f>
        <v>NA</v>
      </c>
      <c r="L154" s="359" t="str">
        <f>IFERROR(VLOOKUP($A154,#REF!,5,0),"")</f>
        <v/>
      </c>
      <c r="M154" s="359" t="str">
        <f>IFERROR(VLOOKUP($A154,#REF!,7,0),"")</f>
        <v/>
      </c>
      <c r="N154" s="359"/>
      <c r="O154" s="359" t="str">
        <f>IFERROR(VLOOKUP($A154,#REF!,6,0),"")</f>
        <v/>
      </c>
      <c r="P154" s="359" t="str">
        <f>IFERROR(VLOOKUP($A154,#REF!,9,0),"")</f>
        <v/>
      </c>
      <c r="Q154" s="359" t="str">
        <f>IFERROR(VLOOKUP($A154,#REF!,10,0),"")</f>
        <v/>
      </c>
      <c r="R154" s="359" t="str">
        <f>IFERROR(VLOOKUP($A154,#REF!,11,0),"")</f>
        <v/>
      </c>
      <c r="S154" s="359" t="str">
        <f>IFERROR(VLOOKUP($A154,#REF!,13,0),"")</f>
        <v/>
      </c>
      <c r="T154" s="359" t="str">
        <f>IFERROR(VLOOKUP($A154,#REF!,14,0),"")</f>
        <v/>
      </c>
      <c r="U154" s="359" t="str">
        <f>IFERROR(VLOOKUP($A154,#REF!,15,0),"")</f>
        <v/>
      </c>
      <c r="V154" s="359" t="str">
        <f>IFERROR(VLOOKUP($A154,#REF!,16,0),"")</f>
        <v/>
      </c>
      <c r="W154" s="359" t="str">
        <f>IFERROR(VLOOKUP($A154,#REF!,17,0),"")</f>
        <v/>
      </c>
      <c r="X154" s="359" t="str">
        <f>IFERROR(VLOOKUP($A154,#REF!,18,0),"")</f>
        <v/>
      </c>
      <c r="Y154" s="359" t="str">
        <f>IFERROR(VLOOKUP($A154,#REF!,19,0),"")</f>
        <v/>
      </c>
      <c r="Z154" s="400" t="str">
        <f>IFERROR(VLOOKUP($A154,#REF!,21,0),"")</f>
        <v/>
      </c>
      <c r="AA154" s="359"/>
      <c r="AB154" s="359"/>
      <c r="AC154" s="359" t="s">
        <v>127</v>
      </c>
      <c r="AD154" s="359"/>
      <c r="AE154" s="358"/>
      <c r="AF154" s="141" t="s">
        <v>3237</v>
      </c>
      <c r="AG154" s="358"/>
      <c r="AH154" s="359"/>
      <c r="AI154" s="359"/>
      <c r="AJ154" s="359"/>
      <c r="AK154" s="359"/>
      <c r="AL154" s="359"/>
      <c r="AM154" s="359"/>
      <c r="AN154" s="358" t="s">
        <v>113</v>
      </c>
      <c r="AO154" s="380"/>
      <c r="AP154" s="380"/>
      <c r="AQ154" s="384" t="s">
        <v>67</v>
      </c>
      <c r="AR154" s="358"/>
      <c r="AS154" s="358">
        <v>15</v>
      </c>
      <c r="AT154" s="384" t="s">
        <v>67</v>
      </c>
      <c r="AU154" s="380"/>
      <c r="AV154" s="100" t="s">
        <v>113</v>
      </c>
      <c r="AW154" s="94"/>
      <c r="AX154" s="95"/>
      <c r="AY154" s="100"/>
      <c r="AZ154" s="100"/>
      <c r="BA154" s="100"/>
      <c r="BB154" s="100"/>
      <c r="BC154" s="100"/>
      <c r="BD154" s="100"/>
      <c r="BE154" s="100"/>
      <c r="BF154" s="100"/>
      <c r="BG154" s="114"/>
      <c r="BH154" s="94"/>
      <c r="BI154" s="94"/>
      <c r="BJ154" s="94"/>
      <c r="BK154" s="95"/>
      <c r="BL154" s="360"/>
      <c r="BM154" s="6"/>
      <c r="BN154" s="6"/>
      <c r="BO154" s="6"/>
      <c r="BP154" s="6"/>
      <c r="BQ154" s="6"/>
      <c r="BR154" s="6"/>
      <c r="BS154" s="108"/>
      <c r="BT154" s="109"/>
      <c r="BU154" s="109"/>
      <c r="BV154" s="109"/>
      <c r="BW154" s="109"/>
      <c r="BZ154">
        <f t="shared" si="5"/>
        <v>1</v>
      </c>
    </row>
    <row r="155" spans="1:78" ht="15.6" hidden="1" customHeight="1">
      <c r="A155" s="35" t="str">
        <f t="shared" si="4"/>
        <v>ELPTMED_055/2646048,0416666667</v>
      </c>
      <c r="C155" s="358" t="s">
        <v>2342</v>
      </c>
      <c r="D155" s="358">
        <v>152</v>
      </c>
      <c r="E155" s="359" t="s">
        <v>3301</v>
      </c>
      <c r="F155" s="359" t="s">
        <v>937</v>
      </c>
      <c r="G155" s="400">
        <v>46048.041666666664</v>
      </c>
      <c r="H155" s="358" t="s">
        <v>140</v>
      </c>
      <c r="I155" s="359">
        <v>28</v>
      </c>
      <c r="J155" s="359" t="str">
        <f>IFERROR(VLOOKUP($A155,#REF!,3,0),"")</f>
        <v/>
      </c>
      <c r="K155" s="359" t="str">
        <f>IFERROR(VLOOKUP($A155,#REF!,4,0),AF155)</f>
        <v>NA</v>
      </c>
      <c r="L155" s="359" t="str">
        <f>IFERROR(VLOOKUP($A155,#REF!,5,0),"")</f>
        <v/>
      </c>
      <c r="M155" s="359" t="str">
        <f>IFERROR(VLOOKUP($A155,#REF!,7,0),"")</f>
        <v/>
      </c>
      <c r="N155" s="359"/>
      <c r="O155" s="359" t="str">
        <f>IFERROR(VLOOKUP($A155,#REF!,6,0),"")</f>
        <v/>
      </c>
      <c r="P155" s="359" t="str">
        <f>IFERROR(VLOOKUP($A155,#REF!,9,0),"")</f>
        <v/>
      </c>
      <c r="Q155" s="359" t="str">
        <f>IFERROR(VLOOKUP($A155,#REF!,10,0),"")</f>
        <v/>
      </c>
      <c r="R155" s="359" t="str">
        <f>IFERROR(VLOOKUP($A155,#REF!,11,0),"")</f>
        <v/>
      </c>
      <c r="S155" s="359" t="str">
        <f>IFERROR(VLOOKUP($A155,#REF!,13,0),"")</f>
        <v/>
      </c>
      <c r="T155" s="359" t="str">
        <f>IFERROR(VLOOKUP($A155,#REF!,14,0),"")</f>
        <v/>
      </c>
      <c r="U155" s="359" t="str">
        <f>IFERROR(VLOOKUP($A155,#REF!,15,0),"")</f>
        <v/>
      </c>
      <c r="V155" s="359" t="str">
        <f>IFERROR(VLOOKUP($A155,#REF!,16,0),"")</f>
        <v/>
      </c>
      <c r="W155" s="359" t="str">
        <f>IFERROR(VLOOKUP($A155,#REF!,17,0),"")</f>
        <v/>
      </c>
      <c r="X155" s="359" t="str">
        <f>IFERROR(VLOOKUP($A155,#REF!,18,0),"")</f>
        <v/>
      </c>
      <c r="Y155" s="359" t="str">
        <f>IFERROR(VLOOKUP($A155,#REF!,19,0),"")</f>
        <v/>
      </c>
      <c r="Z155" s="400" t="str">
        <f>IFERROR(VLOOKUP($A155,#REF!,21,0),"")</f>
        <v/>
      </c>
      <c r="AA155" s="359"/>
      <c r="AB155" s="359"/>
      <c r="AC155" s="359" t="s">
        <v>1799</v>
      </c>
      <c r="AD155" s="359"/>
      <c r="AE155" s="102" t="s">
        <v>3302</v>
      </c>
      <c r="AF155" s="141" t="s">
        <v>3237</v>
      </c>
      <c r="AG155" s="358"/>
      <c r="AH155" s="359"/>
      <c r="AI155" s="359"/>
      <c r="AJ155" s="359"/>
      <c r="AK155" s="359"/>
      <c r="AL155" s="359"/>
      <c r="AM155" s="359"/>
      <c r="AN155" s="358" t="s">
        <v>113</v>
      </c>
      <c r="AO155" s="327" t="s">
        <v>30</v>
      </c>
      <c r="AP155" s="380">
        <v>46079</v>
      </c>
      <c r="AQ155" s="384" t="s">
        <v>67</v>
      </c>
      <c r="AR155" s="358" t="s">
        <v>32</v>
      </c>
      <c r="AS155" s="358">
        <v>27</v>
      </c>
      <c r="AT155" s="384" t="s">
        <v>67</v>
      </c>
      <c r="AU155" s="380">
        <v>46079</v>
      </c>
      <c r="AV155" s="100" t="s">
        <v>113</v>
      </c>
      <c r="AW155" s="95"/>
      <c r="AX155" s="95"/>
      <c r="AY155" s="100"/>
      <c r="AZ155" s="95"/>
      <c r="BA155" s="100"/>
      <c r="BB155" s="100"/>
      <c r="BC155" s="100"/>
      <c r="BD155" s="100"/>
      <c r="BE155" s="100"/>
      <c r="BF155" s="100"/>
      <c r="BG155" s="114"/>
      <c r="BH155" s="114"/>
      <c r="BI155" s="114"/>
      <c r="BJ155" s="111"/>
      <c r="BK155" s="95"/>
      <c r="BL155" s="360"/>
      <c r="BN155" s="412"/>
      <c r="BO155" s="412"/>
      <c r="BP155" s="412"/>
      <c r="BQ155" s="412"/>
      <c r="BR155" s="412"/>
      <c r="BS155"/>
      <c r="BT155"/>
      <c r="BU155"/>
      <c r="BV155"/>
      <c r="BZ155">
        <f t="shared" si="5"/>
        <v>1</v>
      </c>
    </row>
    <row r="156" spans="1:78" ht="15.75" hidden="1" customHeight="1">
      <c r="A156" s="35" t="str">
        <f t="shared" si="4"/>
        <v>ELPTMED_056/2646048</v>
      </c>
      <c r="C156" s="358" t="s">
        <v>2342</v>
      </c>
      <c r="D156" s="358">
        <v>153</v>
      </c>
      <c r="E156" s="134" t="s">
        <v>3303</v>
      </c>
      <c r="F156" s="359" t="s">
        <v>1401</v>
      </c>
      <c r="G156" s="400">
        <v>46048</v>
      </c>
      <c r="H156" s="358" t="s">
        <v>140</v>
      </c>
      <c r="I156" s="359">
        <v>9</v>
      </c>
      <c r="J156" s="359" t="str">
        <f>IFERROR(VLOOKUP($A156,#REF!,3,0),"")</f>
        <v/>
      </c>
      <c r="K156" s="359" t="str">
        <f>IFERROR(VLOOKUP($A156,#REF!,4,0),AF156)</f>
        <v>NA</v>
      </c>
      <c r="L156" s="359" t="str">
        <f>IFERROR(VLOOKUP($A156,#REF!,5,0),"")</f>
        <v/>
      </c>
      <c r="M156" s="359" t="str">
        <f>IFERROR(VLOOKUP($A156,#REF!,7,0),"")</f>
        <v/>
      </c>
      <c r="N156" s="359"/>
      <c r="O156" s="359" t="str">
        <f>IFERROR(VLOOKUP($A156,#REF!,6,0),"")</f>
        <v/>
      </c>
      <c r="P156" s="359" t="str">
        <f>IFERROR(VLOOKUP($A156,#REF!,9,0),"")</f>
        <v/>
      </c>
      <c r="Q156" s="359" t="str">
        <f>IFERROR(VLOOKUP($A156,#REF!,10,0),"")</f>
        <v/>
      </c>
      <c r="R156" s="359" t="str">
        <f>IFERROR(VLOOKUP($A156,#REF!,11,0),"")</f>
        <v/>
      </c>
      <c r="S156" s="359" t="str">
        <f>IFERROR(VLOOKUP($A156,#REF!,13,0),"")</f>
        <v/>
      </c>
      <c r="T156" s="359" t="str">
        <f>IFERROR(VLOOKUP($A156,#REF!,14,0),"")</f>
        <v/>
      </c>
      <c r="U156" s="359" t="str">
        <f>IFERROR(VLOOKUP($A156,#REF!,15,0),"")</f>
        <v/>
      </c>
      <c r="V156" s="359" t="str">
        <f>IFERROR(VLOOKUP($A156,#REF!,16,0),"")</f>
        <v/>
      </c>
      <c r="W156" s="359" t="str">
        <f>IFERROR(VLOOKUP($A156,#REF!,17,0),"")</f>
        <v/>
      </c>
      <c r="X156" s="359" t="str">
        <f>IFERROR(VLOOKUP($A156,#REF!,18,0),"")</f>
        <v/>
      </c>
      <c r="Y156" s="359" t="str">
        <f>IFERROR(VLOOKUP($A156,#REF!,19,0),"")</f>
        <v/>
      </c>
      <c r="Z156" s="400" t="str">
        <f>IFERROR(VLOOKUP($A156,#REF!,21,0),"")</f>
        <v/>
      </c>
      <c r="AA156" s="359"/>
      <c r="AB156" s="359"/>
      <c r="AC156" s="359" t="s">
        <v>67</v>
      </c>
      <c r="AD156" s="359"/>
      <c r="AE156" s="358"/>
      <c r="AF156" s="141" t="s">
        <v>3237</v>
      </c>
      <c r="AG156" s="358"/>
      <c r="AH156" s="359"/>
      <c r="AI156" s="359"/>
      <c r="AJ156" s="359"/>
      <c r="AK156" s="359"/>
      <c r="AL156" s="359"/>
      <c r="AM156" s="359"/>
      <c r="AN156" s="358" t="s">
        <v>113</v>
      </c>
      <c r="AO156" s="380"/>
      <c r="AP156" s="380"/>
      <c r="AQ156" s="384" t="s">
        <v>67</v>
      </c>
      <c r="AR156" s="358"/>
      <c r="AS156" s="358">
        <v>9</v>
      </c>
      <c r="AT156" s="384" t="s">
        <v>67</v>
      </c>
      <c r="AU156" s="380"/>
      <c r="AV156" s="100" t="s">
        <v>113</v>
      </c>
      <c r="AW156" s="100"/>
      <c r="AX156" s="95"/>
      <c r="AY156" s="100"/>
      <c r="AZ156" s="100"/>
      <c r="BA156" s="100"/>
      <c r="BB156" s="100"/>
      <c r="BC156" s="100"/>
      <c r="BD156" s="100"/>
      <c r="BE156" s="100"/>
      <c r="BF156" s="100"/>
      <c r="BG156" s="114"/>
      <c r="BH156" s="114"/>
      <c r="BI156" s="100"/>
      <c r="BJ156" s="100"/>
      <c r="BK156" s="95"/>
      <c r="BL156" s="360"/>
      <c r="BN156" s="412"/>
      <c r="BO156" s="412"/>
      <c r="BP156" s="412"/>
      <c r="BQ156" s="412"/>
      <c r="BR156" s="412"/>
      <c r="BS156"/>
      <c r="BT156"/>
      <c r="BU156"/>
      <c r="BV156"/>
      <c r="BZ156">
        <f t="shared" si="5"/>
        <v>1</v>
      </c>
    </row>
    <row r="157" spans="1:78" ht="15.75" hidden="1" customHeight="1">
      <c r="A157" s="35" t="str">
        <f t="shared" si="4"/>
        <v>ELPTMED_057/2646048</v>
      </c>
      <c r="C157" s="358" t="s">
        <v>2342</v>
      </c>
      <c r="D157" s="358">
        <v>154</v>
      </c>
      <c r="E157" s="134" t="s">
        <v>3304</v>
      </c>
      <c r="F157" s="359" t="s">
        <v>1567</v>
      </c>
      <c r="G157" s="400">
        <v>46048</v>
      </c>
      <c r="H157" s="358" t="s">
        <v>140</v>
      </c>
      <c r="I157" s="359">
        <v>1</v>
      </c>
      <c r="J157" s="359" t="str">
        <f>IFERROR(VLOOKUP($A157,#REF!,3,0),"")</f>
        <v/>
      </c>
      <c r="K157" s="359" t="str">
        <f>IFERROR(VLOOKUP($A157,#REF!,4,0),AF157)</f>
        <v>NA</v>
      </c>
      <c r="L157" s="359" t="str">
        <f>IFERROR(VLOOKUP($A157,#REF!,5,0),"")</f>
        <v/>
      </c>
      <c r="M157" s="359" t="str">
        <f>IFERROR(VLOOKUP($A157,#REF!,7,0),"")</f>
        <v/>
      </c>
      <c r="N157" s="359"/>
      <c r="O157" s="359" t="str">
        <f>IFERROR(VLOOKUP($A157,#REF!,6,0),"")</f>
        <v/>
      </c>
      <c r="P157" s="359" t="str">
        <f>IFERROR(VLOOKUP($A157,#REF!,9,0),"")</f>
        <v/>
      </c>
      <c r="Q157" s="359" t="str">
        <f>IFERROR(VLOOKUP($A157,#REF!,10,0),"")</f>
        <v/>
      </c>
      <c r="R157" s="359" t="str">
        <f>IFERROR(VLOOKUP($A157,#REF!,11,0),"")</f>
        <v/>
      </c>
      <c r="S157" s="359" t="str">
        <f>IFERROR(VLOOKUP($A157,#REF!,13,0),"")</f>
        <v/>
      </c>
      <c r="T157" s="359" t="str">
        <f>IFERROR(VLOOKUP($A157,#REF!,14,0),"")</f>
        <v/>
      </c>
      <c r="U157" s="359" t="str">
        <f>IFERROR(VLOOKUP($A157,#REF!,15,0),"")</f>
        <v/>
      </c>
      <c r="V157" s="359" t="str">
        <f>IFERROR(VLOOKUP($A157,#REF!,16,0),"")</f>
        <v/>
      </c>
      <c r="W157" s="359" t="str">
        <f>IFERROR(VLOOKUP($A157,#REF!,17,0),"")</f>
        <v/>
      </c>
      <c r="X157" s="359" t="str">
        <f>IFERROR(VLOOKUP($A157,#REF!,18,0),"")</f>
        <v/>
      </c>
      <c r="Y157" s="359" t="str">
        <f>IFERROR(VLOOKUP($A157,#REF!,19,0),"")</f>
        <v/>
      </c>
      <c r="Z157" s="400" t="str">
        <f>IFERROR(VLOOKUP($A157,#REF!,21,0),"")</f>
        <v/>
      </c>
      <c r="AA157" s="359"/>
      <c r="AB157" s="359"/>
      <c r="AC157" s="359" t="s">
        <v>1077</v>
      </c>
      <c r="AD157" s="359"/>
      <c r="AE157" s="358"/>
      <c r="AF157" s="141" t="s">
        <v>3237</v>
      </c>
      <c r="AG157" s="358"/>
      <c r="AH157" s="359"/>
      <c r="AI157" s="359"/>
      <c r="AJ157" s="359"/>
      <c r="AK157" s="359"/>
      <c r="AL157" s="359"/>
      <c r="AM157" s="359"/>
      <c r="AN157" s="358" t="s">
        <v>113</v>
      </c>
      <c r="AO157" s="380"/>
      <c r="AP157" s="380"/>
      <c r="AQ157" s="384" t="s">
        <v>67</v>
      </c>
      <c r="AR157" s="358"/>
      <c r="AS157" s="358">
        <v>1</v>
      </c>
      <c r="AT157" s="384" t="s">
        <v>67</v>
      </c>
      <c r="AU157" s="380"/>
      <c r="AV157" s="100" t="s">
        <v>113</v>
      </c>
      <c r="AW157" s="100"/>
      <c r="AX157" s="95"/>
      <c r="AY157" s="100"/>
      <c r="AZ157" s="100"/>
      <c r="BA157" s="100"/>
      <c r="BB157" s="100"/>
      <c r="BC157" s="100"/>
      <c r="BD157" s="100"/>
      <c r="BE157" s="100"/>
      <c r="BF157" s="100"/>
      <c r="BG157" s="114"/>
      <c r="BH157" s="111"/>
      <c r="BI157" s="111"/>
      <c r="BJ157" s="111"/>
      <c r="BK157" s="95"/>
      <c r="BL157" s="360"/>
      <c r="BN157" s="412"/>
      <c r="BO157" s="412"/>
      <c r="BP157" s="412"/>
      <c r="BQ157" s="412"/>
      <c r="BR157" s="412"/>
      <c r="BS157"/>
      <c r="BT157"/>
      <c r="BU157"/>
      <c r="BV157"/>
      <c r="BZ157">
        <f t="shared" si="5"/>
        <v>1</v>
      </c>
    </row>
    <row r="158" spans="1:78" ht="15.75" hidden="1" customHeight="1">
      <c r="A158" s="35" t="str">
        <f t="shared" si="4"/>
        <v>ELPTMED_058/2646048,0416666667</v>
      </c>
      <c r="C158" s="358" t="s">
        <v>2342</v>
      </c>
      <c r="D158" s="358">
        <v>155</v>
      </c>
      <c r="E158" s="359" t="s">
        <v>3305</v>
      </c>
      <c r="F158" s="359" t="s">
        <v>1250</v>
      </c>
      <c r="G158" s="400">
        <v>46048.041666666664</v>
      </c>
      <c r="H158" s="358" t="s">
        <v>140</v>
      </c>
      <c r="I158" s="359">
        <v>4</v>
      </c>
      <c r="J158" s="359" t="str">
        <f>IFERROR(VLOOKUP($A158,#REF!,3,0),"")</f>
        <v/>
      </c>
      <c r="K158" s="359" t="str">
        <f>IFERROR(VLOOKUP($A158,#REF!,4,0),AF158)</f>
        <v>NA</v>
      </c>
      <c r="L158" s="359" t="str">
        <f>IFERROR(VLOOKUP($A158,#REF!,5,0),"")</f>
        <v/>
      </c>
      <c r="M158" s="359" t="str">
        <f>IFERROR(VLOOKUP($A158,#REF!,7,0),"")</f>
        <v/>
      </c>
      <c r="N158" s="359"/>
      <c r="O158" s="359" t="str">
        <f>IFERROR(VLOOKUP($A158,#REF!,6,0),"")</f>
        <v/>
      </c>
      <c r="P158" s="359" t="str">
        <f>IFERROR(VLOOKUP($A158,#REF!,9,0),"")</f>
        <v/>
      </c>
      <c r="Q158" s="359" t="str">
        <f>IFERROR(VLOOKUP($A158,#REF!,10,0),"")</f>
        <v/>
      </c>
      <c r="R158" s="359" t="str">
        <f>IFERROR(VLOOKUP($A158,#REF!,11,0),"")</f>
        <v/>
      </c>
      <c r="S158" s="359" t="str">
        <f>IFERROR(VLOOKUP($A158,#REF!,13,0),"")</f>
        <v/>
      </c>
      <c r="T158" s="359" t="str">
        <f>IFERROR(VLOOKUP($A158,#REF!,14,0),"")</f>
        <v/>
      </c>
      <c r="U158" s="359" t="str">
        <f>IFERROR(VLOOKUP($A158,#REF!,15,0),"")</f>
        <v/>
      </c>
      <c r="V158" s="359" t="str">
        <f>IFERROR(VLOOKUP($A158,#REF!,16,0),"")</f>
        <v/>
      </c>
      <c r="W158" s="359" t="str">
        <f>IFERROR(VLOOKUP($A158,#REF!,17,0),"")</f>
        <v/>
      </c>
      <c r="X158" s="359" t="str">
        <f>IFERROR(VLOOKUP($A158,#REF!,18,0),"")</f>
        <v/>
      </c>
      <c r="Y158" s="359" t="str">
        <f>IFERROR(VLOOKUP($A158,#REF!,19,0),"")</f>
        <v/>
      </c>
      <c r="Z158" s="400" t="str">
        <f>IFERROR(VLOOKUP($A158,#REF!,21,0),"")</f>
        <v/>
      </c>
      <c r="AA158" s="359"/>
      <c r="AB158" s="359"/>
      <c r="AC158" s="359" t="s">
        <v>127</v>
      </c>
      <c r="AD158" s="359"/>
      <c r="AE158" s="358"/>
      <c r="AF158" s="141" t="s">
        <v>3237</v>
      </c>
      <c r="AG158" s="358"/>
      <c r="AH158" s="359"/>
      <c r="AI158" s="359"/>
      <c r="AJ158" s="359"/>
      <c r="AK158" s="359"/>
      <c r="AL158" s="359"/>
      <c r="AM158" s="359"/>
      <c r="AN158" s="358" t="s">
        <v>113</v>
      </c>
      <c r="AO158" s="327" t="s">
        <v>30</v>
      </c>
      <c r="AP158" s="380">
        <v>46079</v>
      </c>
      <c r="AQ158" s="384" t="s">
        <v>67</v>
      </c>
      <c r="AR158" s="358" t="s">
        <v>32</v>
      </c>
      <c r="AS158" s="358">
        <v>4</v>
      </c>
      <c r="AT158" s="384" t="s">
        <v>67</v>
      </c>
      <c r="AU158" s="380">
        <v>46079</v>
      </c>
      <c r="AV158" s="100" t="s">
        <v>113</v>
      </c>
      <c r="AW158" s="100"/>
      <c r="AX158" s="95"/>
      <c r="AY158" s="100"/>
      <c r="AZ158" s="100"/>
      <c r="BA158" s="100"/>
      <c r="BB158" s="100"/>
      <c r="BC158" s="100"/>
      <c r="BD158" s="100"/>
      <c r="BE158" s="100"/>
      <c r="BF158" s="100"/>
      <c r="BG158" s="114"/>
      <c r="BH158" s="100"/>
      <c r="BI158" s="100"/>
      <c r="BJ158" s="100"/>
      <c r="BK158" s="95"/>
      <c r="BL158" s="360"/>
      <c r="BN158" s="412"/>
      <c r="BO158" s="412"/>
      <c r="BP158" s="412"/>
      <c r="BQ158" s="412"/>
      <c r="BR158" s="412"/>
      <c r="BS158"/>
      <c r="BT158"/>
      <c r="BU158"/>
      <c r="BV158"/>
      <c r="BZ158">
        <f t="shared" si="5"/>
        <v>1</v>
      </c>
    </row>
    <row r="159" spans="1:78" ht="15.75" hidden="1" customHeight="1">
      <c r="A159" s="35" t="str">
        <f t="shared" si="4"/>
        <v>ELPTMED_059/2646048,375</v>
      </c>
      <c r="C159" s="358" t="s">
        <v>2342</v>
      </c>
      <c r="D159" s="358">
        <v>156</v>
      </c>
      <c r="E159" s="359" t="s">
        <v>3306</v>
      </c>
      <c r="F159" s="359" t="s">
        <v>1403</v>
      </c>
      <c r="G159" s="400">
        <v>46048.375</v>
      </c>
      <c r="H159" s="358" t="s">
        <v>140</v>
      </c>
      <c r="I159" s="359">
        <v>55</v>
      </c>
      <c r="J159" s="359" t="str">
        <f>IFERROR(VLOOKUP($A159,#REF!,3,0),"")</f>
        <v/>
      </c>
      <c r="K159" s="359" t="str">
        <f>IFERROR(VLOOKUP($A159,#REF!,4,0),AF159)</f>
        <v>NA</v>
      </c>
      <c r="L159" s="359" t="str">
        <f>IFERROR(VLOOKUP($A159,#REF!,5,0),"")</f>
        <v/>
      </c>
      <c r="M159" s="359" t="str">
        <f>IFERROR(VLOOKUP($A159,#REF!,7,0),"")</f>
        <v/>
      </c>
      <c r="N159" s="359"/>
      <c r="O159" s="359" t="str">
        <f>IFERROR(VLOOKUP($A159,#REF!,6,0),"")</f>
        <v/>
      </c>
      <c r="P159" s="359" t="str">
        <f>IFERROR(VLOOKUP($A159,#REF!,9,0),"")</f>
        <v/>
      </c>
      <c r="Q159" s="359" t="str">
        <f>IFERROR(VLOOKUP($A159,#REF!,10,0),"")</f>
        <v/>
      </c>
      <c r="R159" s="359" t="str">
        <f>IFERROR(VLOOKUP($A159,#REF!,11,0),"")</f>
        <v/>
      </c>
      <c r="S159" s="359" t="str">
        <f>IFERROR(VLOOKUP($A159,#REF!,13,0),"")</f>
        <v/>
      </c>
      <c r="T159" s="359" t="str">
        <f>IFERROR(VLOOKUP($A159,#REF!,14,0),"")</f>
        <v/>
      </c>
      <c r="U159" s="359" t="str">
        <f>IFERROR(VLOOKUP($A159,#REF!,15,0),"")</f>
        <v/>
      </c>
      <c r="V159" s="359" t="str">
        <f>IFERROR(VLOOKUP($A159,#REF!,16,0),"")</f>
        <v/>
      </c>
      <c r="W159" s="359" t="str">
        <f>IFERROR(VLOOKUP($A159,#REF!,17,0),"")</f>
        <v/>
      </c>
      <c r="X159" s="359" t="str">
        <f>IFERROR(VLOOKUP($A159,#REF!,18,0),"")</f>
        <v/>
      </c>
      <c r="Y159" s="359" t="str">
        <f>IFERROR(VLOOKUP($A159,#REF!,19,0),"")</f>
        <v/>
      </c>
      <c r="Z159" s="400" t="str">
        <f>IFERROR(VLOOKUP($A159,#REF!,21,0),"")</f>
        <v/>
      </c>
      <c r="AA159" s="359"/>
      <c r="AB159" s="359"/>
      <c r="AC159" s="359" t="s">
        <v>3307</v>
      </c>
      <c r="AD159" s="359"/>
      <c r="AE159" s="102" t="s">
        <v>3308</v>
      </c>
      <c r="AF159" s="141" t="s">
        <v>3237</v>
      </c>
      <c r="AG159" s="358"/>
      <c r="AH159" s="359"/>
      <c r="AI159" s="359"/>
      <c r="AJ159" s="359"/>
      <c r="AK159" s="359"/>
      <c r="AL159" s="359"/>
      <c r="AM159" s="359"/>
      <c r="AN159" s="358" t="s">
        <v>113</v>
      </c>
      <c r="AO159" s="327" t="s">
        <v>30</v>
      </c>
      <c r="AP159" s="380">
        <v>46079</v>
      </c>
      <c r="AQ159" s="384" t="s">
        <v>67</v>
      </c>
      <c r="AR159" s="358" t="s">
        <v>32</v>
      </c>
      <c r="AS159" s="358">
        <v>27</v>
      </c>
      <c r="AT159" s="384" t="s">
        <v>67</v>
      </c>
      <c r="AU159" s="380">
        <v>46079</v>
      </c>
      <c r="AV159" s="100" t="s">
        <v>113</v>
      </c>
      <c r="AW159" s="100"/>
      <c r="AX159" s="95"/>
      <c r="AY159" s="100"/>
      <c r="AZ159" s="95"/>
      <c r="BA159" s="100"/>
      <c r="BB159" s="100"/>
      <c r="BC159" s="100"/>
      <c r="BD159" s="100"/>
      <c r="BE159" s="100"/>
      <c r="BF159" s="100"/>
      <c r="BG159" s="114"/>
      <c r="BH159" s="114"/>
      <c r="BI159" s="114"/>
      <c r="BJ159" s="114"/>
      <c r="BK159" s="95"/>
      <c r="BL159" s="360"/>
      <c r="BN159" s="412"/>
      <c r="BO159" s="412"/>
      <c r="BP159" s="412"/>
      <c r="BQ159" s="412"/>
      <c r="BR159" s="412"/>
      <c r="BS159"/>
      <c r="BT159"/>
      <c r="BU159"/>
      <c r="BV159"/>
      <c r="BZ159">
        <f t="shared" si="5"/>
        <v>1</v>
      </c>
    </row>
    <row r="160" spans="1:78" ht="15.75" hidden="1" customHeight="1">
      <c r="A160" s="35" t="str">
        <f t="shared" si="4"/>
        <v>ELPTMED_060/2646048,0416666667</v>
      </c>
      <c r="C160" s="358" t="s">
        <v>2342</v>
      </c>
      <c r="D160" s="358">
        <v>157</v>
      </c>
      <c r="E160" s="359" t="s">
        <v>3309</v>
      </c>
      <c r="F160" s="359" t="s">
        <v>779</v>
      </c>
      <c r="G160" s="400">
        <v>46048.041666666664</v>
      </c>
      <c r="H160" s="358" t="s">
        <v>140</v>
      </c>
      <c r="I160" s="359">
        <v>1</v>
      </c>
      <c r="J160" s="359" t="str">
        <f>IFERROR(VLOOKUP($A160,#REF!,3,0),"")</f>
        <v/>
      </c>
      <c r="K160" s="359" t="str">
        <f>IFERROR(VLOOKUP($A160,#REF!,4,0),AF160)</f>
        <v>NA</v>
      </c>
      <c r="L160" s="359" t="str">
        <f>IFERROR(VLOOKUP($A160,#REF!,5,0),"")</f>
        <v/>
      </c>
      <c r="M160" s="359" t="str">
        <f>IFERROR(VLOOKUP($A160,#REF!,7,0),"")</f>
        <v/>
      </c>
      <c r="N160" s="359"/>
      <c r="O160" s="359" t="str">
        <f>IFERROR(VLOOKUP($A160,#REF!,6,0),"")</f>
        <v/>
      </c>
      <c r="P160" s="359" t="str">
        <f>IFERROR(VLOOKUP($A160,#REF!,9,0),"")</f>
        <v/>
      </c>
      <c r="Q160" s="359" t="str">
        <f>IFERROR(VLOOKUP($A160,#REF!,10,0),"")</f>
        <v/>
      </c>
      <c r="R160" s="359" t="str">
        <f>IFERROR(VLOOKUP($A160,#REF!,11,0),"")</f>
        <v/>
      </c>
      <c r="S160" s="359" t="str">
        <f>IFERROR(VLOOKUP($A160,#REF!,13,0),"")</f>
        <v/>
      </c>
      <c r="T160" s="359" t="str">
        <f>IFERROR(VLOOKUP($A160,#REF!,14,0),"")</f>
        <v/>
      </c>
      <c r="U160" s="359" t="str">
        <f>IFERROR(VLOOKUP($A160,#REF!,15,0),"")</f>
        <v/>
      </c>
      <c r="V160" s="359" t="str">
        <f>IFERROR(VLOOKUP($A160,#REF!,16,0),"")</f>
        <v/>
      </c>
      <c r="W160" s="359" t="str">
        <f>IFERROR(VLOOKUP($A160,#REF!,17,0),"")</f>
        <v/>
      </c>
      <c r="X160" s="359" t="str">
        <f>IFERROR(VLOOKUP($A160,#REF!,18,0),"")</f>
        <v/>
      </c>
      <c r="Y160" s="359" t="str">
        <f>IFERROR(VLOOKUP($A160,#REF!,19,0),"")</f>
        <v/>
      </c>
      <c r="Z160" s="400" t="str">
        <f>IFERROR(VLOOKUP($A160,#REF!,21,0),"")</f>
        <v/>
      </c>
      <c r="AA160" s="359"/>
      <c r="AB160" s="359"/>
      <c r="AC160" s="359" t="s">
        <v>127</v>
      </c>
      <c r="AD160" s="359"/>
      <c r="AE160" s="358"/>
      <c r="AF160" s="141" t="s">
        <v>3237</v>
      </c>
      <c r="AG160" s="358"/>
      <c r="AH160" s="359"/>
      <c r="AI160" s="359"/>
      <c r="AJ160" s="359"/>
      <c r="AK160" s="359"/>
      <c r="AL160" s="359"/>
      <c r="AM160" s="359"/>
      <c r="AN160" s="358" t="s">
        <v>113</v>
      </c>
      <c r="AO160" s="327" t="s">
        <v>30</v>
      </c>
      <c r="AP160" s="380">
        <v>46078</v>
      </c>
      <c r="AQ160" s="384" t="s">
        <v>67</v>
      </c>
      <c r="AR160" s="358" t="s">
        <v>32</v>
      </c>
      <c r="AS160" s="358">
        <v>1</v>
      </c>
      <c r="AT160" s="384" t="s">
        <v>67</v>
      </c>
      <c r="AU160" s="380">
        <v>46078</v>
      </c>
      <c r="AV160" s="100" t="s">
        <v>113</v>
      </c>
      <c r="AW160" s="100"/>
      <c r="AX160" s="95"/>
      <c r="AY160" s="100"/>
      <c r="AZ160" s="95"/>
      <c r="BA160" s="100"/>
      <c r="BB160" s="95"/>
      <c r="BC160" s="100"/>
      <c r="BD160" s="100"/>
      <c r="BE160" s="100"/>
      <c r="BF160" s="100"/>
      <c r="BG160" s="114"/>
      <c r="BH160" s="111"/>
      <c r="BI160" s="111"/>
      <c r="BJ160" s="111"/>
      <c r="BK160" s="95"/>
      <c r="BL160" s="360"/>
      <c r="BN160" s="412"/>
      <c r="BO160" s="412"/>
      <c r="BP160" s="412"/>
      <c r="BQ160" s="412"/>
      <c r="BR160" s="412"/>
      <c r="BS160"/>
      <c r="BT160"/>
      <c r="BU160"/>
      <c r="BV160"/>
      <c r="BZ160">
        <f t="shared" si="5"/>
        <v>1</v>
      </c>
    </row>
    <row r="161" spans="1:78" ht="15.75" hidden="1" customHeight="1">
      <c r="A161" s="35" t="str">
        <f t="shared" si="4"/>
        <v>ELPTMED_061/2646048,0416666667</v>
      </c>
      <c r="C161" s="358" t="s">
        <v>2342</v>
      </c>
      <c r="D161" s="358">
        <v>158</v>
      </c>
      <c r="E161" s="359" t="s">
        <v>3310</v>
      </c>
      <c r="F161" s="359" t="s">
        <v>798</v>
      </c>
      <c r="G161" s="400">
        <v>46048.041666666664</v>
      </c>
      <c r="H161" s="358" t="s">
        <v>140</v>
      </c>
      <c r="I161" s="359">
        <v>7</v>
      </c>
      <c r="J161" s="359" t="str">
        <f>IFERROR(VLOOKUP($A161,#REF!,3,0),"")</f>
        <v/>
      </c>
      <c r="K161" s="359" t="str">
        <f>IFERROR(VLOOKUP($A161,#REF!,4,0),AF161)</f>
        <v>NA</v>
      </c>
      <c r="L161" s="359" t="str">
        <f>IFERROR(VLOOKUP($A161,#REF!,5,0),"")</f>
        <v/>
      </c>
      <c r="M161" s="359" t="str">
        <f>IFERROR(VLOOKUP($A161,#REF!,7,0),"")</f>
        <v/>
      </c>
      <c r="N161" s="359"/>
      <c r="O161" s="359" t="str">
        <f>IFERROR(VLOOKUP($A161,#REF!,6,0),"")</f>
        <v/>
      </c>
      <c r="P161" s="359" t="str">
        <f>IFERROR(VLOOKUP($A161,#REF!,9,0),"")</f>
        <v/>
      </c>
      <c r="Q161" s="359" t="str">
        <f>IFERROR(VLOOKUP($A161,#REF!,10,0),"")</f>
        <v/>
      </c>
      <c r="R161" s="359" t="str">
        <f>IFERROR(VLOOKUP($A161,#REF!,11,0),"")</f>
        <v/>
      </c>
      <c r="S161" s="359" t="str">
        <f>IFERROR(VLOOKUP($A161,#REF!,13,0),"")</f>
        <v/>
      </c>
      <c r="T161" s="359" t="str">
        <f>IFERROR(VLOOKUP($A161,#REF!,14,0),"")</f>
        <v/>
      </c>
      <c r="U161" s="359" t="str">
        <f>IFERROR(VLOOKUP($A161,#REF!,15,0),"")</f>
        <v/>
      </c>
      <c r="V161" s="359" t="str">
        <f>IFERROR(VLOOKUP($A161,#REF!,16,0),"")</f>
        <v/>
      </c>
      <c r="W161" s="359" t="str">
        <f>IFERROR(VLOOKUP($A161,#REF!,17,0),"")</f>
        <v/>
      </c>
      <c r="X161" s="359" t="str">
        <f>IFERROR(VLOOKUP($A161,#REF!,18,0),"")</f>
        <v/>
      </c>
      <c r="Y161" s="359" t="str">
        <f>IFERROR(VLOOKUP($A161,#REF!,19,0),"")</f>
        <v/>
      </c>
      <c r="Z161" s="400" t="str">
        <f>IFERROR(VLOOKUP($A161,#REF!,21,0),"")</f>
        <v/>
      </c>
      <c r="AA161" s="359"/>
      <c r="AB161" s="359"/>
      <c r="AC161" s="359" t="s">
        <v>127</v>
      </c>
      <c r="AD161" s="359"/>
      <c r="AE161" s="358"/>
      <c r="AF161" s="141" t="s">
        <v>3237</v>
      </c>
      <c r="AG161" s="358"/>
      <c r="AH161" s="359"/>
      <c r="AI161" s="359"/>
      <c r="AJ161" s="359"/>
      <c r="AK161" s="359"/>
      <c r="AL161" s="359"/>
      <c r="AM161" s="359"/>
      <c r="AN161" s="358" t="s">
        <v>113</v>
      </c>
      <c r="AO161" s="327" t="s">
        <v>30</v>
      </c>
      <c r="AP161" s="380">
        <v>46079</v>
      </c>
      <c r="AQ161" s="384" t="s">
        <v>67</v>
      </c>
      <c r="AR161" s="358" t="s">
        <v>32</v>
      </c>
      <c r="AS161" s="358">
        <v>7</v>
      </c>
      <c r="AT161" s="384" t="s">
        <v>67</v>
      </c>
      <c r="AU161" s="380">
        <v>46079</v>
      </c>
      <c r="AV161" s="100" t="s">
        <v>113</v>
      </c>
      <c r="AW161" s="100"/>
      <c r="AX161" s="95"/>
      <c r="AY161" s="100"/>
      <c r="AZ161" s="100"/>
      <c r="BA161" s="100"/>
      <c r="BB161" s="100"/>
      <c r="BC161" s="100"/>
      <c r="BD161" s="100"/>
      <c r="BE161" s="95"/>
      <c r="BF161" s="95"/>
      <c r="BG161" s="114"/>
      <c r="BH161" s="114"/>
      <c r="BI161" s="114"/>
      <c r="BJ161" s="111"/>
      <c r="BK161" s="95"/>
      <c r="BL161" s="360"/>
      <c r="BM161" s="6"/>
      <c r="BN161" s="6"/>
      <c r="BO161" s="6"/>
      <c r="BP161" s="6"/>
      <c r="BQ161" s="6"/>
      <c r="BR161" s="6"/>
      <c r="BS161" s="108"/>
      <c r="BT161" s="109"/>
      <c r="BU161" s="109"/>
      <c r="BV161" s="109"/>
      <c r="BW161" s="109"/>
      <c r="BZ161">
        <f t="shared" si="5"/>
        <v>1</v>
      </c>
    </row>
    <row r="162" spans="1:78" ht="15.75" hidden="1" customHeight="1">
      <c r="A162" s="35" t="str">
        <f t="shared" si="4"/>
        <v>ELPTMED_062/2646048</v>
      </c>
      <c r="C162" s="358" t="s">
        <v>2342</v>
      </c>
      <c r="D162" s="358">
        <v>159</v>
      </c>
      <c r="E162" s="359" t="s">
        <v>3311</v>
      </c>
      <c r="F162" s="359" t="s">
        <v>1184</v>
      </c>
      <c r="G162" s="400">
        <v>46048</v>
      </c>
      <c r="H162" s="358" t="s">
        <v>140</v>
      </c>
      <c r="I162" s="359">
        <v>7</v>
      </c>
      <c r="J162" s="359" t="str">
        <f>IFERROR(VLOOKUP($A162,#REF!,3,0),"")</f>
        <v/>
      </c>
      <c r="K162" s="359" t="str">
        <f>IFERROR(VLOOKUP($A162,#REF!,4,0),AF162)</f>
        <v>NA</v>
      </c>
      <c r="L162" s="359" t="str">
        <f>IFERROR(VLOOKUP($A162,#REF!,5,0),"")</f>
        <v/>
      </c>
      <c r="M162" s="359" t="str">
        <f>IFERROR(VLOOKUP($A162,#REF!,7,0),"")</f>
        <v/>
      </c>
      <c r="N162" s="359"/>
      <c r="O162" s="359" t="str">
        <f>IFERROR(VLOOKUP($A162,#REF!,6,0),"")</f>
        <v/>
      </c>
      <c r="P162" s="359" t="str">
        <f>IFERROR(VLOOKUP($A162,#REF!,9,0),"")</f>
        <v/>
      </c>
      <c r="Q162" s="359" t="str">
        <f>IFERROR(VLOOKUP($A162,#REF!,10,0),"")</f>
        <v/>
      </c>
      <c r="R162" s="359" t="str">
        <f>IFERROR(VLOOKUP($A162,#REF!,11,0),"")</f>
        <v/>
      </c>
      <c r="S162" s="359" t="str">
        <f>IFERROR(VLOOKUP($A162,#REF!,13,0),"")</f>
        <v/>
      </c>
      <c r="T162" s="359" t="str">
        <f>IFERROR(VLOOKUP($A162,#REF!,14,0),"")</f>
        <v/>
      </c>
      <c r="U162" s="359" t="str">
        <f>IFERROR(VLOOKUP($A162,#REF!,15,0),"")</f>
        <v/>
      </c>
      <c r="V162" s="359" t="str">
        <f>IFERROR(VLOOKUP($A162,#REF!,16,0),"")</f>
        <v/>
      </c>
      <c r="W162" s="359" t="str">
        <f>IFERROR(VLOOKUP($A162,#REF!,17,0),"")</f>
        <v/>
      </c>
      <c r="X162" s="359" t="str">
        <f>IFERROR(VLOOKUP($A162,#REF!,18,0),"")</f>
        <v/>
      </c>
      <c r="Y162" s="359" t="str">
        <f>IFERROR(VLOOKUP($A162,#REF!,19,0),"")</f>
        <v/>
      </c>
      <c r="Z162" s="400" t="str">
        <f>IFERROR(VLOOKUP($A162,#REF!,21,0),"")</f>
        <v/>
      </c>
      <c r="AA162" s="359"/>
      <c r="AB162" s="359"/>
      <c r="AC162" s="359" t="s">
        <v>2894</v>
      </c>
      <c r="AD162" s="359"/>
      <c r="AE162" s="358"/>
      <c r="AF162" s="141" t="s">
        <v>3237</v>
      </c>
      <c r="AG162" s="358"/>
      <c r="AH162" s="359"/>
      <c r="AI162" s="359"/>
      <c r="AJ162" s="359"/>
      <c r="AK162" s="359"/>
      <c r="AL162" s="359"/>
      <c r="AM162" s="359"/>
      <c r="AN162" s="358" t="s">
        <v>113</v>
      </c>
      <c r="AO162" s="327" t="s">
        <v>30</v>
      </c>
      <c r="AP162" s="380">
        <v>46078</v>
      </c>
      <c r="AQ162" s="384" t="s">
        <v>67</v>
      </c>
      <c r="AR162" s="358" t="s">
        <v>32</v>
      </c>
      <c r="AS162" s="358">
        <v>7</v>
      </c>
      <c r="AT162" s="384" t="s">
        <v>67</v>
      </c>
      <c r="AU162" s="380">
        <v>46078</v>
      </c>
      <c r="AV162" s="100" t="s">
        <v>113</v>
      </c>
      <c r="AW162" s="95"/>
      <c r="AX162" s="95"/>
      <c r="AY162" s="100"/>
      <c r="AZ162" s="100"/>
      <c r="BA162" s="100"/>
      <c r="BB162" s="100"/>
      <c r="BC162" s="100"/>
      <c r="BD162" s="100"/>
      <c r="BE162" s="100"/>
      <c r="BF162" s="100"/>
      <c r="BG162" s="114"/>
      <c r="BH162" s="100"/>
      <c r="BI162" s="100"/>
      <c r="BJ162" s="100"/>
      <c r="BK162" s="95"/>
      <c r="BL162" s="360"/>
      <c r="BN162" s="90"/>
      <c r="BO162" s="90"/>
      <c r="BP162" s="90"/>
      <c r="BQ162" s="90"/>
      <c r="BR162" s="412"/>
      <c r="BS162" s="97"/>
      <c r="BT162" s="97"/>
      <c r="BU162" s="97"/>
      <c r="BV162" s="97"/>
      <c r="BW162" s="7"/>
      <c r="BZ162">
        <f t="shared" si="5"/>
        <v>1</v>
      </c>
    </row>
    <row r="163" spans="1:78" ht="15.75" hidden="1" customHeight="1">
      <c r="A163" s="35" t="str">
        <f t="shared" si="4"/>
        <v>ELPTMED_063/2646048</v>
      </c>
      <c r="C163" s="358" t="s">
        <v>2342</v>
      </c>
      <c r="D163" s="358">
        <v>160</v>
      </c>
      <c r="E163" s="359" t="s">
        <v>3312</v>
      </c>
      <c r="F163" s="359" t="s">
        <v>1198</v>
      </c>
      <c r="G163" s="400">
        <v>46048</v>
      </c>
      <c r="H163" s="358" t="s">
        <v>140</v>
      </c>
      <c r="I163" s="359">
        <v>9</v>
      </c>
      <c r="J163" s="359" t="str">
        <f>IFERROR(VLOOKUP($A163,#REF!,3,0),"")</f>
        <v/>
      </c>
      <c r="K163" s="359" t="str">
        <f>IFERROR(VLOOKUP($A163,#REF!,4,0),AF163)</f>
        <v>NA</v>
      </c>
      <c r="L163" s="359" t="str">
        <f>IFERROR(VLOOKUP($A163,#REF!,5,0),"")</f>
        <v/>
      </c>
      <c r="M163" s="359" t="str">
        <f>IFERROR(VLOOKUP($A163,#REF!,7,0),"")</f>
        <v/>
      </c>
      <c r="N163" s="359"/>
      <c r="O163" s="359" t="str">
        <f>IFERROR(VLOOKUP($A163,#REF!,6,0),"")</f>
        <v/>
      </c>
      <c r="P163" s="359" t="str">
        <f>IFERROR(VLOOKUP($A163,#REF!,9,0),"")</f>
        <v/>
      </c>
      <c r="Q163" s="359" t="str">
        <f>IFERROR(VLOOKUP($A163,#REF!,10,0),"")</f>
        <v/>
      </c>
      <c r="R163" s="359" t="str">
        <f>IFERROR(VLOOKUP($A163,#REF!,11,0),"")</f>
        <v/>
      </c>
      <c r="S163" s="359" t="str">
        <f>IFERROR(VLOOKUP($A163,#REF!,13,0),"")</f>
        <v/>
      </c>
      <c r="T163" s="359" t="str">
        <f>IFERROR(VLOOKUP($A163,#REF!,14,0),"")</f>
        <v/>
      </c>
      <c r="U163" s="359" t="str">
        <f>IFERROR(VLOOKUP($A163,#REF!,15,0),"")</f>
        <v/>
      </c>
      <c r="V163" s="359" t="str">
        <f>IFERROR(VLOOKUP($A163,#REF!,16,0),"")</f>
        <v/>
      </c>
      <c r="W163" s="359" t="str">
        <f>IFERROR(VLOOKUP($A163,#REF!,17,0),"")</f>
        <v/>
      </c>
      <c r="X163" s="359" t="str">
        <f>IFERROR(VLOOKUP($A163,#REF!,18,0),"")</f>
        <v/>
      </c>
      <c r="Y163" s="359" t="str">
        <f>IFERROR(VLOOKUP($A163,#REF!,19,0),"")</f>
        <v/>
      </c>
      <c r="Z163" s="400" t="str">
        <f>IFERROR(VLOOKUP($A163,#REF!,21,0),"")</f>
        <v/>
      </c>
      <c r="AA163" s="359"/>
      <c r="AB163" s="359"/>
      <c r="AC163" s="359" t="s">
        <v>2977</v>
      </c>
      <c r="AD163" s="359"/>
      <c r="AE163" s="102" t="s">
        <v>3313</v>
      </c>
      <c r="AF163" s="141" t="s">
        <v>3237</v>
      </c>
      <c r="AG163" s="358"/>
      <c r="AH163" s="359"/>
      <c r="AI163" s="359"/>
      <c r="AJ163" s="359"/>
      <c r="AK163" s="359"/>
      <c r="AL163" s="359"/>
      <c r="AM163" s="359"/>
      <c r="AN163" s="358" t="s">
        <v>113</v>
      </c>
      <c r="AO163" s="327" t="s">
        <v>30</v>
      </c>
      <c r="AP163" s="380">
        <v>46079</v>
      </c>
      <c r="AQ163" s="384" t="s">
        <v>67</v>
      </c>
      <c r="AR163" s="358" t="s">
        <v>32</v>
      </c>
      <c r="AS163" s="358">
        <v>9</v>
      </c>
      <c r="AT163" s="384" t="s">
        <v>67</v>
      </c>
      <c r="AU163" s="380">
        <v>46079</v>
      </c>
      <c r="AV163" s="100" t="s">
        <v>113</v>
      </c>
      <c r="AW163" s="95"/>
      <c r="AX163" s="95"/>
      <c r="AY163" s="95"/>
      <c r="AZ163" s="95"/>
      <c r="BA163" s="95"/>
      <c r="BB163" s="100"/>
      <c r="BC163" s="100"/>
      <c r="BD163" s="100"/>
      <c r="BE163" s="100"/>
      <c r="BF163" s="100"/>
      <c r="BG163" s="114"/>
      <c r="BH163" s="100"/>
      <c r="BI163" s="100"/>
      <c r="BJ163" s="100"/>
      <c r="BK163" s="95"/>
      <c r="BL163" s="360"/>
      <c r="BN163" s="412"/>
      <c r="BO163" s="412"/>
      <c r="BP163" s="412"/>
      <c r="BQ163" s="412"/>
      <c r="BR163" s="412"/>
      <c r="BS163" s="98"/>
      <c r="BT163" s="98"/>
      <c r="BU163" s="98"/>
      <c r="BV163" s="98"/>
      <c r="BW163" s="78"/>
      <c r="BZ163">
        <f t="shared" si="5"/>
        <v>1</v>
      </c>
    </row>
    <row r="164" spans="1:78" ht="15.75" hidden="1" customHeight="1">
      <c r="A164" s="35" t="str">
        <f t="shared" si="4"/>
        <v>ELPTMED_064/2646048,375</v>
      </c>
      <c r="C164" s="358" t="s">
        <v>2342</v>
      </c>
      <c r="D164" s="358">
        <v>161</v>
      </c>
      <c r="E164" s="134" t="s">
        <v>3314</v>
      </c>
      <c r="F164" s="359" t="s">
        <v>992</v>
      </c>
      <c r="G164" s="400">
        <v>46048.375</v>
      </c>
      <c r="H164" s="358" t="s">
        <v>140</v>
      </c>
      <c r="I164" s="359">
        <v>2</v>
      </c>
      <c r="J164" s="359" t="str">
        <f>IFERROR(VLOOKUP($A164,#REF!,3,0),"")</f>
        <v/>
      </c>
      <c r="K164" s="359" t="str">
        <f>IFERROR(VLOOKUP($A164,#REF!,4,0),AF164)</f>
        <v>NA</v>
      </c>
      <c r="L164" s="359" t="str">
        <f>IFERROR(VLOOKUP($A164,#REF!,5,0),"")</f>
        <v/>
      </c>
      <c r="M164" s="359" t="str">
        <f>IFERROR(VLOOKUP($A164,#REF!,7,0),"")</f>
        <v/>
      </c>
      <c r="N164" s="359"/>
      <c r="O164" s="359" t="str">
        <f>IFERROR(VLOOKUP($A164,#REF!,6,0),"")</f>
        <v/>
      </c>
      <c r="P164" s="359" t="str">
        <f>IFERROR(VLOOKUP($A164,#REF!,9,0),"")</f>
        <v/>
      </c>
      <c r="Q164" s="359" t="str">
        <f>IFERROR(VLOOKUP($A164,#REF!,10,0),"")</f>
        <v/>
      </c>
      <c r="R164" s="359" t="str">
        <f>IFERROR(VLOOKUP($A164,#REF!,11,0),"")</f>
        <v/>
      </c>
      <c r="S164" s="359" t="str">
        <f>IFERROR(VLOOKUP($A164,#REF!,13,0),"")</f>
        <v/>
      </c>
      <c r="T164" s="359" t="str">
        <f>IFERROR(VLOOKUP($A164,#REF!,14,0),"")</f>
        <v/>
      </c>
      <c r="U164" s="359" t="str">
        <f>IFERROR(VLOOKUP($A164,#REF!,15,0),"")</f>
        <v/>
      </c>
      <c r="V164" s="359" t="str">
        <f>IFERROR(VLOOKUP($A164,#REF!,16,0),"")</f>
        <v/>
      </c>
      <c r="W164" s="359" t="str">
        <f>IFERROR(VLOOKUP($A164,#REF!,17,0),"")</f>
        <v/>
      </c>
      <c r="X164" s="359" t="str">
        <f>IFERROR(VLOOKUP($A164,#REF!,18,0),"")</f>
        <v/>
      </c>
      <c r="Y164" s="359" t="str">
        <f>IFERROR(VLOOKUP($A164,#REF!,19,0),"")</f>
        <v/>
      </c>
      <c r="Z164" s="400" t="str">
        <f>IFERROR(VLOOKUP($A164,#REF!,21,0),"")</f>
        <v/>
      </c>
      <c r="AA164" s="359"/>
      <c r="AB164" s="359"/>
      <c r="AC164" s="359" t="s">
        <v>1721</v>
      </c>
      <c r="AD164" s="359"/>
      <c r="AE164" s="358"/>
      <c r="AF164" s="141" t="s">
        <v>3237</v>
      </c>
      <c r="AG164" s="358"/>
      <c r="AH164" s="359"/>
      <c r="AI164" s="359"/>
      <c r="AJ164" s="359"/>
      <c r="AK164" s="359"/>
      <c r="AL164" s="359"/>
      <c r="AM164" s="359"/>
      <c r="AN164" s="358" t="s">
        <v>113</v>
      </c>
      <c r="AO164" s="380"/>
      <c r="AP164" s="380"/>
      <c r="AQ164" s="384" t="s">
        <v>67</v>
      </c>
      <c r="AR164" s="358"/>
      <c r="AS164" s="358">
        <v>2</v>
      </c>
      <c r="AT164" s="384" t="s">
        <v>67</v>
      </c>
      <c r="AU164" s="380"/>
      <c r="AV164" s="100" t="s">
        <v>113</v>
      </c>
      <c r="AW164" s="95"/>
      <c r="AX164" s="95"/>
      <c r="AY164" s="95"/>
      <c r="AZ164" s="95"/>
      <c r="BA164" s="95"/>
      <c r="BB164" s="100"/>
      <c r="BC164" s="100"/>
      <c r="BD164" s="100"/>
      <c r="BE164" s="100"/>
      <c r="BF164" s="100"/>
      <c r="BG164" s="114"/>
      <c r="BH164" s="100"/>
      <c r="BI164" s="100"/>
      <c r="BJ164" s="100"/>
      <c r="BK164" s="95"/>
      <c r="BL164" s="360"/>
      <c r="BM164" s="347"/>
      <c r="BN164" s="412"/>
      <c r="BO164" s="412"/>
      <c r="BP164" s="412"/>
      <c r="BQ164" s="412"/>
      <c r="BR164" s="412"/>
      <c r="BS164" s="98"/>
      <c r="BT164" s="98"/>
      <c r="BU164" s="98"/>
      <c r="BV164" s="98"/>
      <c r="BW164" s="78"/>
      <c r="BZ164">
        <f t="shared" si="5"/>
        <v>1</v>
      </c>
    </row>
    <row r="165" spans="1:78" ht="15" hidden="1" customHeight="1">
      <c r="A165" s="35" t="str">
        <f t="shared" si="4"/>
        <v>ELPTMED_065/2646048,125</v>
      </c>
      <c r="C165" s="358" t="s">
        <v>2342</v>
      </c>
      <c r="D165" s="358">
        <v>162</v>
      </c>
      <c r="E165" s="134" t="s">
        <v>3315</v>
      </c>
      <c r="F165" s="359" t="s">
        <v>1008</v>
      </c>
      <c r="G165" s="400">
        <v>46048.125</v>
      </c>
      <c r="H165" s="358" t="s">
        <v>140</v>
      </c>
      <c r="I165" s="359">
        <v>10</v>
      </c>
      <c r="J165" s="359" t="str">
        <f>IFERROR(VLOOKUP($A165,#REF!,3,0),"")</f>
        <v/>
      </c>
      <c r="K165" s="359" t="str">
        <f>IFERROR(VLOOKUP($A165,#REF!,4,0),AF165)</f>
        <v>NA</v>
      </c>
      <c r="L165" s="359" t="str">
        <f>IFERROR(VLOOKUP($A165,#REF!,5,0),"")</f>
        <v/>
      </c>
      <c r="M165" s="359" t="str">
        <f>IFERROR(VLOOKUP($A165,#REF!,7,0),"")</f>
        <v/>
      </c>
      <c r="N165" s="359"/>
      <c r="O165" s="359" t="str">
        <f>IFERROR(VLOOKUP($A165,#REF!,6,0),"")</f>
        <v/>
      </c>
      <c r="P165" s="359" t="str">
        <f>IFERROR(VLOOKUP($A165,#REF!,9,0),"")</f>
        <v/>
      </c>
      <c r="Q165" s="359" t="str">
        <f>IFERROR(VLOOKUP($A165,#REF!,10,0),"")</f>
        <v/>
      </c>
      <c r="R165" s="359" t="str">
        <f>IFERROR(VLOOKUP($A165,#REF!,11,0),"")</f>
        <v/>
      </c>
      <c r="S165" s="359" t="str">
        <f>IFERROR(VLOOKUP($A165,#REF!,13,0),"")</f>
        <v/>
      </c>
      <c r="T165" s="359" t="str">
        <f>IFERROR(VLOOKUP($A165,#REF!,14,0),"")</f>
        <v/>
      </c>
      <c r="U165" s="359" t="str">
        <f>IFERROR(VLOOKUP($A165,#REF!,15,0),"")</f>
        <v/>
      </c>
      <c r="V165" s="359" t="str">
        <f>IFERROR(VLOOKUP($A165,#REF!,16,0),"")</f>
        <v/>
      </c>
      <c r="W165" s="359" t="str">
        <f>IFERROR(VLOOKUP($A165,#REF!,17,0),"")</f>
        <v/>
      </c>
      <c r="X165" s="359" t="str">
        <f>IFERROR(VLOOKUP($A165,#REF!,18,0),"")</f>
        <v/>
      </c>
      <c r="Y165" s="359" t="str">
        <f>IFERROR(VLOOKUP($A165,#REF!,19,0),"")</f>
        <v/>
      </c>
      <c r="Z165" s="400" t="str">
        <f>IFERROR(VLOOKUP($A165,#REF!,21,0),"")</f>
        <v/>
      </c>
      <c r="AA165" s="359"/>
      <c r="AB165" s="359"/>
      <c r="AC165" s="359" t="s">
        <v>1077</v>
      </c>
      <c r="AD165" s="359"/>
      <c r="AE165" s="358"/>
      <c r="AF165" s="141" t="s">
        <v>3237</v>
      </c>
      <c r="AG165" s="358"/>
      <c r="AH165" s="359"/>
      <c r="AI165" s="359"/>
      <c r="AJ165" s="359"/>
      <c r="AK165" s="359"/>
      <c r="AL165" s="359"/>
      <c r="AM165" s="359"/>
      <c r="AN165" s="358" t="s">
        <v>113</v>
      </c>
      <c r="AO165" s="380"/>
      <c r="AP165" s="380"/>
      <c r="AQ165" s="384" t="s">
        <v>67</v>
      </c>
      <c r="AR165" s="358"/>
      <c r="AS165" s="358">
        <v>10</v>
      </c>
      <c r="AT165" s="384" t="s">
        <v>67</v>
      </c>
      <c r="AU165" s="380"/>
      <c r="AV165" s="100" t="s">
        <v>113</v>
      </c>
      <c r="AW165" s="95"/>
      <c r="AX165" s="95"/>
      <c r="AY165" s="95"/>
      <c r="AZ165" s="95"/>
      <c r="BA165" s="95"/>
      <c r="BB165" s="100"/>
      <c r="BC165" s="100"/>
      <c r="BD165" s="100"/>
      <c r="BE165" s="100"/>
      <c r="BF165" s="100"/>
      <c r="BG165" s="114"/>
      <c r="BH165" s="111"/>
      <c r="BI165" s="111"/>
      <c r="BJ165" s="111"/>
      <c r="BK165" s="95"/>
      <c r="BL165" s="360"/>
      <c r="BN165" s="412"/>
      <c r="BO165" s="412"/>
      <c r="BP165" s="412"/>
      <c r="BQ165" s="412"/>
      <c r="BR165" s="412"/>
      <c r="BS165" s="97"/>
      <c r="BT165" s="97"/>
      <c r="BU165" s="97"/>
      <c r="BV165" s="97"/>
      <c r="BW165" s="7"/>
      <c r="BZ165">
        <f t="shared" si="5"/>
        <v>1</v>
      </c>
    </row>
    <row r="166" spans="1:78" ht="15.75" hidden="1" customHeight="1">
      <c r="A166" s="35" t="str">
        <f t="shared" si="4"/>
        <v>ELPTMED_066/2646048,0416666667</v>
      </c>
      <c r="C166" s="358" t="s">
        <v>2342</v>
      </c>
      <c r="D166" s="358">
        <v>163</v>
      </c>
      <c r="E166" s="359" t="s">
        <v>3316</v>
      </c>
      <c r="F166" s="359" t="s">
        <v>969</v>
      </c>
      <c r="G166" s="400">
        <v>46048.041666666664</v>
      </c>
      <c r="H166" s="358" t="s">
        <v>140</v>
      </c>
      <c r="I166" s="359">
        <v>7</v>
      </c>
      <c r="J166" s="359" t="str">
        <f>IFERROR(VLOOKUP($A166,#REF!,3,0),"")</f>
        <v/>
      </c>
      <c r="K166" s="359" t="str">
        <f>IFERROR(VLOOKUP($A166,#REF!,4,0),AF166)</f>
        <v>NA</v>
      </c>
      <c r="L166" s="359" t="str">
        <f>IFERROR(VLOOKUP($A166,#REF!,5,0),"")</f>
        <v/>
      </c>
      <c r="M166" s="359" t="str">
        <f>IFERROR(VLOOKUP($A166,#REF!,7,0),"")</f>
        <v/>
      </c>
      <c r="N166" s="359"/>
      <c r="O166" s="359" t="str">
        <f>IFERROR(VLOOKUP($A166,#REF!,6,0),"")</f>
        <v/>
      </c>
      <c r="P166" s="359" t="str">
        <f>IFERROR(VLOOKUP($A166,#REF!,9,0),"")</f>
        <v/>
      </c>
      <c r="Q166" s="359" t="str">
        <f>IFERROR(VLOOKUP($A166,#REF!,10,0),"")</f>
        <v/>
      </c>
      <c r="R166" s="359" t="str">
        <f>IFERROR(VLOOKUP($A166,#REF!,11,0),"")</f>
        <v/>
      </c>
      <c r="S166" s="359" t="str">
        <f>IFERROR(VLOOKUP($A166,#REF!,13,0),"")</f>
        <v/>
      </c>
      <c r="T166" s="359" t="str">
        <f>IFERROR(VLOOKUP($A166,#REF!,14,0),"")</f>
        <v/>
      </c>
      <c r="U166" s="359" t="str">
        <f>IFERROR(VLOOKUP($A166,#REF!,15,0),"")</f>
        <v/>
      </c>
      <c r="V166" s="359" t="str">
        <f>IFERROR(VLOOKUP($A166,#REF!,16,0),"")</f>
        <v/>
      </c>
      <c r="W166" s="359" t="str">
        <f>IFERROR(VLOOKUP($A166,#REF!,17,0),"")</f>
        <v/>
      </c>
      <c r="X166" s="359" t="str">
        <f>IFERROR(VLOOKUP($A166,#REF!,18,0),"")</f>
        <v/>
      </c>
      <c r="Y166" s="359" t="str">
        <f>IFERROR(VLOOKUP($A166,#REF!,19,0),"")</f>
        <v/>
      </c>
      <c r="Z166" s="400" t="str">
        <f>IFERROR(VLOOKUP($A166,#REF!,21,0),"")</f>
        <v/>
      </c>
      <c r="AA166" s="359"/>
      <c r="AB166" s="359"/>
      <c r="AC166" s="359" t="s">
        <v>127</v>
      </c>
      <c r="AD166" s="359"/>
      <c r="AE166" s="358"/>
      <c r="AF166" s="141" t="s">
        <v>3237</v>
      </c>
      <c r="AG166" s="358"/>
      <c r="AH166" s="359"/>
      <c r="AI166" s="359"/>
      <c r="AJ166" s="359"/>
      <c r="AK166" s="359"/>
      <c r="AL166" s="359"/>
      <c r="AM166" s="359"/>
      <c r="AN166" s="358" t="s">
        <v>113</v>
      </c>
      <c r="AO166" s="327" t="s">
        <v>30</v>
      </c>
      <c r="AP166" s="380">
        <v>46079</v>
      </c>
      <c r="AQ166" s="384" t="s">
        <v>67</v>
      </c>
      <c r="AR166" s="358" t="s">
        <v>32</v>
      </c>
      <c r="AS166" s="358">
        <v>7</v>
      </c>
      <c r="AT166" s="384" t="s">
        <v>67</v>
      </c>
      <c r="AU166" s="380">
        <v>46079</v>
      </c>
      <c r="AV166" s="100" t="s">
        <v>113</v>
      </c>
      <c r="AW166" s="100"/>
      <c r="AX166" s="95"/>
      <c r="AY166" s="95"/>
      <c r="AZ166" s="95"/>
      <c r="BA166" s="95"/>
      <c r="BB166" s="100"/>
      <c r="BC166" s="100"/>
      <c r="BD166" s="100"/>
      <c r="BE166" s="100"/>
      <c r="BF166" s="100"/>
      <c r="BG166" s="114"/>
      <c r="BH166" s="100"/>
      <c r="BI166" s="100"/>
      <c r="BJ166" s="100"/>
      <c r="BK166" s="95"/>
      <c r="BL166" s="360"/>
      <c r="BN166" s="412"/>
      <c r="BO166" s="412"/>
      <c r="BP166" s="412"/>
      <c r="BQ166" s="412"/>
      <c r="BR166" s="412"/>
      <c r="BS166" s="97"/>
      <c r="BT166" s="97"/>
      <c r="BU166" s="97"/>
      <c r="BV166" s="97"/>
      <c r="BW166" s="7"/>
      <c r="BZ166">
        <f t="shared" si="5"/>
        <v>1</v>
      </c>
    </row>
    <row r="167" spans="1:78" ht="15.75" hidden="1" customHeight="1">
      <c r="A167" s="35" t="str">
        <f t="shared" si="4"/>
        <v>ELPTMED_067/2646048</v>
      </c>
      <c r="C167" s="358" t="s">
        <v>2342</v>
      </c>
      <c r="D167" s="358">
        <v>164</v>
      </c>
      <c r="E167" s="134" t="s">
        <v>3317</v>
      </c>
      <c r="F167" s="359" t="s">
        <v>846</v>
      </c>
      <c r="G167" s="400">
        <v>46048</v>
      </c>
      <c r="H167" s="358" t="s">
        <v>140</v>
      </c>
      <c r="I167" s="359">
        <v>1</v>
      </c>
      <c r="J167" s="359" t="str">
        <f>IFERROR(VLOOKUP($A167,#REF!,3,0),"")</f>
        <v/>
      </c>
      <c r="K167" s="359" t="str">
        <f>IFERROR(VLOOKUP($A167,#REF!,4,0),AF167)</f>
        <v>NA</v>
      </c>
      <c r="L167" s="359" t="str">
        <f>IFERROR(VLOOKUP($A167,#REF!,5,0),"")</f>
        <v/>
      </c>
      <c r="M167" s="359" t="str">
        <f>IFERROR(VLOOKUP($A167,#REF!,7,0),"")</f>
        <v/>
      </c>
      <c r="N167" s="359"/>
      <c r="O167" s="359" t="str">
        <f>IFERROR(VLOOKUP($A167,#REF!,6,0),"")</f>
        <v/>
      </c>
      <c r="P167" s="359" t="str">
        <f>IFERROR(VLOOKUP($A167,#REF!,9,0),"")</f>
        <v/>
      </c>
      <c r="Q167" s="359" t="str">
        <f>IFERROR(VLOOKUP($A167,#REF!,10,0),"")</f>
        <v/>
      </c>
      <c r="R167" s="359" t="str">
        <f>IFERROR(VLOOKUP($A167,#REF!,11,0),"")</f>
        <v/>
      </c>
      <c r="S167" s="359" t="str">
        <f>IFERROR(VLOOKUP($A167,#REF!,13,0),"")</f>
        <v/>
      </c>
      <c r="T167" s="359" t="str">
        <f>IFERROR(VLOOKUP($A167,#REF!,14,0),"")</f>
        <v/>
      </c>
      <c r="U167" s="359" t="str">
        <f>IFERROR(VLOOKUP($A167,#REF!,15,0),"")</f>
        <v/>
      </c>
      <c r="V167" s="359" t="str">
        <f>IFERROR(VLOOKUP($A167,#REF!,16,0),"")</f>
        <v/>
      </c>
      <c r="W167" s="359" t="str">
        <f>IFERROR(VLOOKUP($A167,#REF!,17,0),"")</f>
        <v/>
      </c>
      <c r="X167" s="359" t="str">
        <f>IFERROR(VLOOKUP($A167,#REF!,18,0),"")</f>
        <v/>
      </c>
      <c r="Y167" s="359" t="str">
        <f>IFERROR(VLOOKUP($A167,#REF!,19,0),"")</f>
        <v/>
      </c>
      <c r="Z167" s="400" t="str">
        <f>IFERROR(VLOOKUP($A167,#REF!,21,0),"")</f>
        <v/>
      </c>
      <c r="AA167" s="359"/>
      <c r="AB167" s="359"/>
      <c r="AC167" s="359" t="s">
        <v>67</v>
      </c>
      <c r="AD167" s="359"/>
      <c r="AE167" s="358"/>
      <c r="AF167" s="141" t="s">
        <v>3237</v>
      </c>
      <c r="AG167" s="358"/>
      <c r="AH167" s="359"/>
      <c r="AI167" s="359"/>
      <c r="AJ167" s="359"/>
      <c r="AK167" s="359"/>
      <c r="AL167" s="359"/>
      <c r="AM167" s="359"/>
      <c r="AN167" s="358" t="s">
        <v>113</v>
      </c>
      <c r="AO167" s="380"/>
      <c r="AP167" s="380"/>
      <c r="AQ167" s="384" t="s">
        <v>67</v>
      </c>
      <c r="AR167" s="358"/>
      <c r="AS167" s="358">
        <v>1</v>
      </c>
      <c r="AT167" s="384" t="s">
        <v>67</v>
      </c>
      <c r="AU167" s="380"/>
      <c r="AV167" s="100" t="s">
        <v>113</v>
      </c>
      <c r="AW167" s="100"/>
      <c r="AX167" s="95"/>
      <c r="AY167" s="100"/>
      <c r="AZ167" s="100"/>
      <c r="BA167" s="100"/>
      <c r="BB167" s="100"/>
      <c r="BC167" s="100"/>
      <c r="BD167" s="100"/>
      <c r="BE167" s="82"/>
      <c r="BF167" s="100"/>
      <c r="BG167" s="114"/>
      <c r="BH167" s="100"/>
      <c r="BI167" s="100"/>
      <c r="BJ167" s="100"/>
      <c r="BK167" s="95"/>
      <c r="BL167" s="360"/>
      <c r="BN167" s="412"/>
      <c r="BO167" s="412"/>
      <c r="BP167" s="412"/>
      <c r="BQ167" s="412"/>
      <c r="BR167" s="412"/>
      <c r="BS167" s="97"/>
      <c r="BT167" s="97"/>
      <c r="BU167" s="97"/>
      <c r="BV167" s="97"/>
      <c r="BW167" s="7"/>
      <c r="BZ167">
        <f t="shared" si="5"/>
        <v>1</v>
      </c>
    </row>
    <row r="168" spans="1:78" ht="15.75" hidden="1" customHeight="1">
      <c r="A168" s="35" t="str">
        <f t="shared" si="4"/>
        <v>ELPTMED_068/2646048</v>
      </c>
      <c r="C168" s="358" t="s">
        <v>2342</v>
      </c>
      <c r="D168" s="358">
        <v>165</v>
      </c>
      <c r="E168" s="134" t="s">
        <v>3318</v>
      </c>
      <c r="F168" s="359" t="s">
        <v>1042</v>
      </c>
      <c r="G168" s="400">
        <v>46048</v>
      </c>
      <c r="H168" s="358" t="s">
        <v>140</v>
      </c>
      <c r="I168" s="359">
        <v>4</v>
      </c>
      <c r="J168" s="359" t="str">
        <f>IFERROR(VLOOKUP($A168,#REF!,3,0),"")</f>
        <v/>
      </c>
      <c r="K168" s="359" t="str">
        <f>IFERROR(VLOOKUP($A168,#REF!,4,0),AF168)</f>
        <v>NA</v>
      </c>
      <c r="L168" s="359" t="str">
        <f>IFERROR(VLOOKUP($A168,#REF!,5,0),"")</f>
        <v/>
      </c>
      <c r="M168" s="359" t="str">
        <f>IFERROR(VLOOKUP($A168,#REF!,7,0),"")</f>
        <v/>
      </c>
      <c r="N168" s="359"/>
      <c r="O168" s="359" t="str">
        <f>IFERROR(VLOOKUP($A168,#REF!,6,0),"")</f>
        <v/>
      </c>
      <c r="P168" s="359" t="str">
        <f>IFERROR(VLOOKUP($A168,#REF!,9,0),"")</f>
        <v/>
      </c>
      <c r="Q168" s="359" t="str">
        <f>IFERROR(VLOOKUP($A168,#REF!,10,0),"")</f>
        <v/>
      </c>
      <c r="R168" s="359" t="str">
        <f>IFERROR(VLOOKUP($A168,#REF!,11,0),"")</f>
        <v/>
      </c>
      <c r="S168" s="359" t="str">
        <f>IFERROR(VLOOKUP($A168,#REF!,13,0),"")</f>
        <v/>
      </c>
      <c r="T168" s="359" t="str">
        <f>IFERROR(VLOOKUP($A168,#REF!,14,0),"")</f>
        <v/>
      </c>
      <c r="U168" s="359" t="str">
        <f>IFERROR(VLOOKUP($A168,#REF!,15,0),"")</f>
        <v/>
      </c>
      <c r="V168" s="359" t="str">
        <f>IFERROR(VLOOKUP($A168,#REF!,16,0),"")</f>
        <v/>
      </c>
      <c r="W168" s="359" t="str">
        <f>IFERROR(VLOOKUP($A168,#REF!,17,0),"")</f>
        <v/>
      </c>
      <c r="X168" s="359" t="str">
        <f>IFERROR(VLOOKUP($A168,#REF!,18,0),"")</f>
        <v/>
      </c>
      <c r="Y168" s="359" t="str">
        <f>IFERROR(VLOOKUP($A168,#REF!,19,0),"")</f>
        <v/>
      </c>
      <c r="Z168" s="400" t="str">
        <f>IFERROR(VLOOKUP($A168,#REF!,21,0),"")</f>
        <v/>
      </c>
      <c r="AA168" s="359"/>
      <c r="AB168" s="359"/>
      <c r="AC168" s="359" t="s">
        <v>2840</v>
      </c>
      <c r="AD168" s="359"/>
      <c r="AE168" s="358"/>
      <c r="AF168" s="141" t="s">
        <v>3237</v>
      </c>
      <c r="AG168" s="358"/>
      <c r="AH168" s="359"/>
      <c r="AI168" s="359"/>
      <c r="AJ168" s="359"/>
      <c r="AK168" s="359"/>
      <c r="AL168" s="359"/>
      <c r="AM168" s="359"/>
      <c r="AN168" s="358" t="s">
        <v>113</v>
      </c>
      <c r="AO168" s="380"/>
      <c r="AP168" s="380"/>
      <c r="AQ168" s="384" t="s">
        <v>67</v>
      </c>
      <c r="AR168" s="358"/>
      <c r="AS168" s="358">
        <v>3</v>
      </c>
      <c r="AT168" s="384" t="s">
        <v>67</v>
      </c>
      <c r="AU168" s="380"/>
      <c r="AV168" s="100" t="s">
        <v>113</v>
      </c>
      <c r="AW168" s="100"/>
      <c r="AX168" s="95"/>
      <c r="AY168" s="100"/>
      <c r="AZ168" s="100"/>
      <c r="BA168" s="100"/>
      <c r="BB168" s="100"/>
      <c r="BC168" s="100"/>
      <c r="BD168" s="100"/>
      <c r="BE168" s="95"/>
      <c r="BF168" s="100"/>
      <c r="BG168" s="114"/>
      <c r="BH168" s="100"/>
      <c r="BI168" s="100"/>
      <c r="BJ168" s="100"/>
      <c r="BK168" s="95"/>
      <c r="BL168" s="360"/>
      <c r="BN168" s="412"/>
      <c r="BO168" s="412"/>
      <c r="BP168" s="412"/>
      <c r="BQ168" s="412"/>
      <c r="BR168" s="412"/>
      <c r="BS168" s="97"/>
      <c r="BT168" s="97"/>
      <c r="BU168" s="97"/>
      <c r="BV168" s="97"/>
      <c r="BW168" s="7"/>
      <c r="BZ168">
        <f t="shared" si="5"/>
        <v>1</v>
      </c>
    </row>
    <row r="169" spans="1:78" ht="15.75" hidden="1" customHeight="1">
      <c r="A169" s="35" t="str">
        <f t="shared" si="4"/>
        <v>ELPTMED_069/2646048</v>
      </c>
      <c r="C169" s="358" t="s">
        <v>2342</v>
      </c>
      <c r="D169" s="358">
        <v>166</v>
      </c>
      <c r="E169" s="359" t="s">
        <v>3319</v>
      </c>
      <c r="F169" s="359" t="s">
        <v>1257</v>
      </c>
      <c r="G169" s="400">
        <v>46048</v>
      </c>
      <c r="H169" s="358" t="s">
        <v>140</v>
      </c>
      <c r="I169" s="358">
        <v>1</v>
      </c>
      <c r="J169" s="359" t="str">
        <f>IFERROR(VLOOKUP($A169,#REF!,3,0),"")</f>
        <v/>
      </c>
      <c r="K169" s="359" t="str">
        <f>IFERROR(VLOOKUP($A169,#REF!,4,0),AF169)</f>
        <v>NA</v>
      </c>
      <c r="L169" s="359" t="str">
        <f>IFERROR(VLOOKUP($A169,#REF!,5,0),"")</f>
        <v/>
      </c>
      <c r="M169" s="359" t="str">
        <f>IFERROR(VLOOKUP($A169,#REF!,7,0),"")</f>
        <v/>
      </c>
      <c r="N169" s="359"/>
      <c r="O169" s="359" t="str">
        <f>IFERROR(VLOOKUP($A169,#REF!,6,0),"")</f>
        <v/>
      </c>
      <c r="P169" s="359" t="str">
        <f>IFERROR(VLOOKUP($A169,#REF!,9,0),"")</f>
        <v/>
      </c>
      <c r="Q169" s="359" t="str">
        <f>IFERROR(VLOOKUP($A169,#REF!,10,0),"")</f>
        <v/>
      </c>
      <c r="R169" s="359" t="str">
        <f>IFERROR(VLOOKUP($A169,#REF!,11,0),"")</f>
        <v/>
      </c>
      <c r="S169" s="359" t="str">
        <f>IFERROR(VLOOKUP($A169,#REF!,13,0),"")</f>
        <v/>
      </c>
      <c r="T169" s="359" t="str">
        <f>IFERROR(VLOOKUP($A169,#REF!,14,0),"")</f>
        <v/>
      </c>
      <c r="U169" s="359" t="str">
        <f>IFERROR(VLOOKUP($A169,#REF!,15,0),"")</f>
        <v/>
      </c>
      <c r="V169" s="359" t="str">
        <f>IFERROR(VLOOKUP($A169,#REF!,16,0),"")</f>
        <v/>
      </c>
      <c r="W169" s="359" t="str">
        <f>IFERROR(VLOOKUP($A169,#REF!,17,0),"")</f>
        <v/>
      </c>
      <c r="X169" s="359" t="str">
        <f>IFERROR(VLOOKUP($A169,#REF!,18,0),"")</f>
        <v/>
      </c>
      <c r="Y169" s="359" t="str">
        <f>IFERROR(VLOOKUP($A169,#REF!,19,0),"")</f>
        <v/>
      </c>
      <c r="Z169" s="400" t="str">
        <f>IFERROR(VLOOKUP($A169,#REF!,21,0),"")</f>
        <v/>
      </c>
      <c r="AA169" s="358"/>
      <c r="AB169" s="358"/>
      <c r="AC169" s="359" t="s">
        <v>1077</v>
      </c>
      <c r="AD169" s="359"/>
      <c r="AE169" s="358"/>
      <c r="AF169" s="141" t="s">
        <v>3237</v>
      </c>
      <c r="AG169" s="358"/>
      <c r="AH169" s="359"/>
      <c r="AI169" s="359"/>
      <c r="AJ169" s="359"/>
      <c r="AK169" s="359"/>
      <c r="AL169" s="359"/>
      <c r="AM169" s="359"/>
      <c r="AN169" s="358" t="s">
        <v>113</v>
      </c>
      <c r="AO169" s="327" t="s">
        <v>30</v>
      </c>
      <c r="AP169" s="380">
        <v>46078</v>
      </c>
      <c r="AQ169" s="384" t="s">
        <v>67</v>
      </c>
      <c r="AR169" s="358" t="s">
        <v>32</v>
      </c>
      <c r="AS169" s="358">
        <v>1</v>
      </c>
      <c r="AT169" s="384" t="s">
        <v>67</v>
      </c>
      <c r="AU169" s="380">
        <v>46078</v>
      </c>
      <c r="AV169" s="100" t="s">
        <v>113</v>
      </c>
      <c r="AW169" s="95"/>
      <c r="AX169" s="95"/>
      <c r="AY169" s="100"/>
      <c r="AZ169" s="100"/>
      <c r="BA169" s="100"/>
      <c r="BB169" s="100"/>
      <c r="BC169" s="100"/>
      <c r="BD169" s="100"/>
      <c r="BE169" s="100"/>
      <c r="BF169" s="100"/>
      <c r="BG169" s="114"/>
      <c r="BH169" s="114"/>
      <c r="BI169" s="114"/>
      <c r="BJ169" s="114"/>
      <c r="BK169" s="95"/>
      <c r="BL169" s="360"/>
      <c r="BN169" s="412"/>
      <c r="BO169" s="412"/>
      <c r="BP169" s="412"/>
      <c r="BQ169" s="412"/>
      <c r="BR169" s="412"/>
      <c r="BS169" s="97"/>
      <c r="BT169" s="97"/>
      <c r="BU169" s="97"/>
      <c r="BV169" s="97"/>
      <c r="BW169" s="7"/>
      <c r="BZ169">
        <f t="shared" si="5"/>
        <v>1</v>
      </c>
    </row>
    <row r="170" spans="1:78" ht="15.75" hidden="1" customHeight="1">
      <c r="A170" s="35" t="str">
        <f t="shared" si="4"/>
        <v>ELPTMED_070/2646048,0416666667</v>
      </c>
      <c r="C170" s="358" t="s">
        <v>2342</v>
      </c>
      <c r="D170" s="358">
        <v>167</v>
      </c>
      <c r="E170" s="134" t="s">
        <v>3320</v>
      </c>
      <c r="F170" s="359" t="s">
        <v>3321</v>
      </c>
      <c r="G170" s="400">
        <v>46048.041666666664</v>
      </c>
      <c r="H170" s="358" t="s">
        <v>140</v>
      </c>
      <c r="I170" s="358">
        <v>1</v>
      </c>
      <c r="J170" s="359" t="str">
        <f>IFERROR(VLOOKUP($A170,#REF!,3,0),"")</f>
        <v/>
      </c>
      <c r="K170" s="359" t="str">
        <f>IFERROR(VLOOKUP($A170,#REF!,4,0),AF170)</f>
        <v>NA</v>
      </c>
      <c r="L170" s="359" t="str">
        <f>IFERROR(VLOOKUP($A170,#REF!,5,0),"")</f>
        <v/>
      </c>
      <c r="M170" s="359" t="str">
        <f>IFERROR(VLOOKUP($A170,#REF!,7,0),"")</f>
        <v/>
      </c>
      <c r="N170" s="359"/>
      <c r="O170" s="359" t="str">
        <f>IFERROR(VLOOKUP($A170,#REF!,6,0),"")</f>
        <v/>
      </c>
      <c r="P170" s="359" t="str">
        <f>IFERROR(VLOOKUP($A170,#REF!,9,0),"")</f>
        <v/>
      </c>
      <c r="Q170" s="359" t="str">
        <f>IFERROR(VLOOKUP($A170,#REF!,10,0),"")</f>
        <v/>
      </c>
      <c r="R170" s="359" t="str">
        <f>IFERROR(VLOOKUP($A170,#REF!,11,0),"")</f>
        <v/>
      </c>
      <c r="S170" s="359" t="str">
        <f>IFERROR(VLOOKUP($A170,#REF!,13,0),"")</f>
        <v/>
      </c>
      <c r="T170" s="359" t="str">
        <f>IFERROR(VLOOKUP($A170,#REF!,14,0),"")</f>
        <v/>
      </c>
      <c r="U170" s="359" t="str">
        <f>IFERROR(VLOOKUP($A170,#REF!,15,0),"")</f>
        <v/>
      </c>
      <c r="V170" s="359" t="str">
        <f>IFERROR(VLOOKUP($A170,#REF!,16,0),"")</f>
        <v/>
      </c>
      <c r="W170" s="359" t="str">
        <f>IFERROR(VLOOKUP($A170,#REF!,17,0),"")</f>
        <v/>
      </c>
      <c r="X170" s="359" t="str">
        <f>IFERROR(VLOOKUP($A170,#REF!,18,0),"")</f>
        <v/>
      </c>
      <c r="Y170" s="359" t="str">
        <f>IFERROR(VLOOKUP($A170,#REF!,19,0),"")</f>
        <v/>
      </c>
      <c r="Z170" s="400" t="str">
        <f>IFERROR(VLOOKUP($A170,#REF!,21,0),"")</f>
        <v/>
      </c>
      <c r="AA170" s="358"/>
      <c r="AB170" s="358"/>
      <c r="AC170" s="359" t="s">
        <v>127</v>
      </c>
      <c r="AD170" s="359"/>
      <c r="AE170" s="358"/>
      <c r="AF170" s="141" t="s">
        <v>3237</v>
      </c>
      <c r="AG170" s="358"/>
      <c r="AH170" s="359"/>
      <c r="AI170" s="359"/>
      <c r="AJ170" s="359"/>
      <c r="AK170" s="359"/>
      <c r="AL170" s="359"/>
      <c r="AM170" s="359"/>
      <c r="AN170" s="358" t="s">
        <v>113</v>
      </c>
      <c r="AO170" s="380"/>
      <c r="AP170" s="380"/>
      <c r="AQ170" s="384" t="s">
        <v>67</v>
      </c>
      <c r="AR170" s="358"/>
      <c r="AS170" s="358"/>
      <c r="AT170" s="384" t="s">
        <v>67</v>
      </c>
      <c r="AU170" s="380"/>
      <c r="AV170" s="100" t="s">
        <v>113</v>
      </c>
      <c r="AW170" s="100"/>
      <c r="AX170" s="95"/>
      <c r="AY170" s="100"/>
      <c r="AZ170" s="100"/>
      <c r="BA170" s="100"/>
      <c r="BB170" s="100"/>
      <c r="BC170" s="100"/>
      <c r="BD170" s="100"/>
      <c r="BE170" s="100"/>
      <c r="BF170" s="100"/>
      <c r="BG170" s="114"/>
      <c r="BH170" s="100"/>
      <c r="BI170" s="100"/>
      <c r="BJ170" s="100"/>
      <c r="BK170" s="95"/>
      <c r="BL170" s="360"/>
      <c r="BN170" s="412"/>
      <c r="BO170" s="412"/>
      <c r="BP170" s="412"/>
      <c r="BQ170" s="412"/>
      <c r="BR170" s="412"/>
      <c r="BS170" s="97"/>
      <c r="BT170" s="97"/>
      <c r="BU170" s="97"/>
      <c r="BV170" s="97"/>
      <c r="BW170" s="7"/>
      <c r="BZ170">
        <f t="shared" si="5"/>
        <v>1</v>
      </c>
    </row>
    <row r="171" spans="1:78" ht="15.75" hidden="1" customHeight="1">
      <c r="A171" s="35" t="str">
        <f t="shared" si="4"/>
        <v>ELPTMED_071/2646048</v>
      </c>
      <c r="C171" s="358" t="s">
        <v>2342</v>
      </c>
      <c r="D171" s="358">
        <v>168</v>
      </c>
      <c r="E171" s="359" t="s">
        <v>3322</v>
      </c>
      <c r="F171" s="359" t="s">
        <v>798</v>
      </c>
      <c r="G171" s="400">
        <v>46048</v>
      </c>
      <c r="H171" s="358" t="s">
        <v>140</v>
      </c>
      <c r="I171" s="358">
        <v>2</v>
      </c>
      <c r="J171" s="359" t="str">
        <f>IFERROR(VLOOKUP($A171,#REF!,3,0),"")</f>
        <v/>
      </c>
      <c r="K171" s="359" t="str">
        <f>IFERROR(VLOOKUP($A171,#REF!,4,0),AF171)</f>
        <v>NA</v>
      </c>
      <c r="L171" s="359" t="str">
        <f>IFERROR(VLOOKUP($A171,#REF!,5,0),"")</f>
        <v/>
      </c>
      <c r="M171" s="359" t="str">
        <f>IFERROR(VLOOKUP($A171,#REF!,7,0),"")</f>
        <v/>
      </c>
      <c r="N171" s="359"/>
      <c r="O171" s="359" t="str">
        <f>IFERROR(VLOOKUP($A171,#REF!,6,0),"")</f>
        <v/>
      </c>
      <c r="P171" s="359" t="str">
        <f>IFERROR(VLOOKUP($A171,#REF!,9,0),"")</f>
        <v/>
      </c>
      <c r="Q171" s="359" t="str">
        <f>IFERROR(VLOOKUP($A171,#REF!,10,0),"")</f>
        <v/>
      </c>
      <c r="R171" s="359" t="str">
        <f>IFERROR(VLOOKUP($A171,#REF!,11,0),"")</f>
        <v/>
      </c>
      <c r="S171" s="359" t="str">
        <f>IFERROR(VLOOKUP($A171,#REF!,13,0),"")</f>
        <v/>
      </c>
      <c r="T171" s="359" t="str">
        <f>IFERROR(VLOOKUP($A171,#REF!,14,0),"")</f>
        <v/>
      </c>
      <c r="U171" s="359" t="str">
        <f>IFERROR(VLOOKUP($A171,#REF!,15,0),"")</f>
        <v/>
      </c>
      <c r="V171" s="359" t="str">
        <f>IFERROR(VLOOKUP($A171,#REF!,16,0),"")</f>
        <v/>
      </c>
      <c r="W171" s="359" t="str">
        <f>IFERROR(VLOOKUP($A171,#REF!,17,0),"")</f>
        <v/>
      </c>
      <c r="X171" s="359" t="str">
        <f>IFERROR(VLOOKUP($A171,#REF!,18,0),"")</f>
        <v/>
      </c>
      <c r="Y171" s="359" t="str">
        <f>IFERROR(VLOOKUP($A171,#REF!,19,0),"")</f>
        <v/>
      </c>
      <c r="Z171" s="400" t="str">
        <f>IFERROR(VLOOKUP($A171,#REF!,21,0),"")</f>
        <v/>
      </c>
      <c r="AA171" s="358"/>
      <c r="AB171" s="358"/>
      <c r="AC171" s="359" t="s">
        <v>127</v>
      </c>
      <c r="AD171" s="359"/>
      <c r="AE171" s="358"/>
      <c r="AF171" s="141" t="s">
        <v>3237</v>
      </c>
      <c r="AG171" s="358"/>
      <c r="AH171" s="359"/>
      <c r="AI171" s="359"/>
      <c r="AJ171" s="359"/>
      <c r="AK171" s="359"/>
      <c r="AL171" s="359"/>
      <c r="AM171" s="359"/>
      <c r="AN171" s="358" t="s">
        <v>113</v>
      </c>
      <c r="AO171" s="327" t="s">
        <v>30</v>
      </c>
      <c r="AP171" s="380">
        <v>46052</v>
      </c>
      <c r="AQ171" s="384" t="s">
        <v>67</v>
      </c>
      <c r="AR171" s="358" t="s">
        <v>32</v>
      </c>
      <c r="AS171" s="358">
        <v>2</v>
      </c>
      <c r="AT171" s="384" t="s">
        <v>67</v>
      </c>
      <c r="AU171" s="380">
        <v>46052</v>
      </c>
      <c r="AV171" s="100" t="s">
        <v>113</v>
      </c>
      <c r="AW171" s="95"/>
      <c r="AX171" s="95"/>
      <c r="AY171" s="100"/>
      <c r="AZ171" s="100"/>
      <c r="BA171" s="100"/>
      <c r="BB171" s="100"/>
      <c r="BC171" s="100"/>
      <c r="BD171" s="100"/>
      <c r="BE171" s="100"/>
      <c r="BF171" s="100"/>
      <c r="BG171" s="114"/>
      <c r="BH171" s="114"/>
      <c r="BI171" s="114"/>
      <c r="BJ171" s="111"/>
      <c r="BK171" s="95"/>
      <c r="BL171" s="360"/>
      <c r="BN171" s="412"/>
      <c r="BO171" s="412"/>
      <c r="BP171" s="412"/>
      <c r="BQ171" s="412"/>
      <c r="BR171" s="412"/>
      <c r="BS171" s="97"/>
      <c r="BT171" s="97"/>
      <c r="BU171" s="97"/>
      <c r="BV171" s="97"/>
      <c r="BW171" s="7"/>
      <c r="BZ171">
        <f t="shared" si="5"/>
        <v>1</v>
      </c>
    </row>
    <row r="172" spans="1:78" ht="15.75" hidden="1" customHeight="1">
      <c r="A172" s="35" t="str">
        <f t="shared" si="4"/>
        <v>ELPTMED_084/2646048,1666666667</v>
      </c>
      <c r="C172" s="358" t="s">
        <v>2342</v>
      </c>
      <c r="D172" s="358">
        <v>169</v>
      </c>
      <c r="E172" s="359" t="s">
        <v>3323</v>
      </c>
      <c r="F172" s="359" t="s">
        <v>818</v>
      </c>
      <c r="G172" s="400">
        <v>46048.166666666664</v>
      </c>
      <c r="H172" s="358" t="s">
        <v>140</v>
      </c>
      <c r="I172" s="359">
        <v>5</v>
      </c>
      <c r="J172" s="359" t="str">
        <f>IFERROR(VLOOKUP($A172,#REF!,3,0),"")</f>
        <v/>
      </c>
      <c r="K172" s="359" t="str">
        <f>IFERROR(VLOOKUP($A172,#REF!,4,0),AF172)</f>
        <v>NA</v>
      </c>
      <c r="L172" s="359" t="str">
        <f>IFERROR(VLOOKUP($A172,#REF!,5,0),"")</f>
        <v/>
      </c>
      <c r="M172" s="359" t="str">
        <f>IFERROR(VLOOKUP($A172,#REF!,7,0),"")</f>
        <v/>
      </c>
      <c r="N172" s="359"/>
      <c r="O172" s="359" t="str">
        <f>IFERROR(VLOOKUP($A172,#REF!,6,0),"")</f>
        <v/>
      </c>
      <c r="P172" s="359" t="str">
        <f>IFERROR(VLOOKUP($A172,#REF!,9,0),"")</f>
        <v/>
      </c>
      <c r="Q172" s="359" t="str">
        <f>IFERROR(VLOOKUP($A172,#REF!,10,0),"")</f>
        <v/>
      </c>
      <c r="R172" s="359" t="str">
        <f>IFERROR(VLOOKUP($A172,#REF!,11,0),"")</f>
        <v/>
      </c>
      <c r="S172" s="359" t="str">
        <f>IFERROR(VLOOKUP($A172,#REF!,13,0),"")</f>
        <v/>
      </c>
      <c r="T172" s="359" t="str">
        <f>IFERROR(VLOOKUP($A172,#REF!,14,0),"")</f>
        <v/>
      </c>
      <c r="U172" s="359" t="str">
        <f>IFERROR(VLOOKUP($A172,#REF!,15,0),"")</f>
        <v/>
      </c>
      <c r="V172" s="359" t="str">
        <f>IFERROR(VLOOKUP($A172,#REF!,16,0),"")</f>
        <v/>
      </c>
      <c r="W172" s="359" t="str">
        <f>IFERROR(VLOOKUP($A172,#REF!,17,0),"")</f>
        <v/>
      </c>
      <c r="X172" s="359" t="str">
        <f>IFERROR(VLOOKUP($A172,#REF!,18,0),"")</f>
        <v/>
      </c>
      <c r="Y172" s="359" t="str">
        <f>IFERROR(VLOOKUP($A172,#REF!,19,0),"")</f>
        <v/>
      </c>
      <c r="Z172" s="400" t="str">
        <f>IFERROR(VLOOKUP($A172,#REF!,21,0),"")</f>
        <v/>
      </c>
      <c r="AA172" s="359"/>
      <c r="AB172" s="359"/>
      <c r="AC172" s="359" t="s">
        <v>2840</v>
      </c>
      <c r="AD172" s="359"/>
      <c r="AE172" s="102"/>
      <c r="AF172" s="141" t="s">
        <v>3237</v>
      </c>
      <c r="AG172" s="358"/>
      <c r="AH172" s="359"/>
      <c r="AI172" s="359"/>
      <c r="AJ172" s="359"/>
      <c r="AK172" s="359"/>
      <c r="AL172" s="359"/>
      <c r="AM172" s="359"/>
      <c r="AN172" s="358" t="s">
        <v>113</v>
      </c>
      <c r="AO172" s="327" t="s">
        <v>30</v>
      </c>
      <c r="AP172" s="380">
        <v>46079</v>
      </c>
      <c r="AQ172" s="384" t="s">
        <v>67</v>
      </c>
      <c r="AR172" s="358" t="s">
        <v>32</v>
      </c>
      <c r="AS172" s="358">
        <v>5</v>
      </c>
      <c r="AT172" s="384" t="s">
        <v>67</v>
      </c>
      <c r="AU172" s="380">
        <v>46079</v>
      </c>
      <c r="AV172" s="100" t="s">
        <v>113</v>
      </c>
      <c r="AW172" s="100"/>
      <c r="AX172" s="95"/>
      <c r="AY172" s="100"/>
      <c r="AZ172" s="100"/>
      <c r="BA172" s="100"/>
      <c r="BB172" s="100"/>
      <c r="BC172" s="100"/>
      <c r="BD172" s="100"/>
      <c r="BE172" s="100"/>
      <c r="BF172" s="100"/>
      <c r="BG172" s="114"/>
      <c r="BH172" s="100"/>
      <c r="BI172" s="100"/>
      <c r="BJ172" s="100"/>
      <c r="BK172" s="95"/>
      <c r="BL172" s="360"/>
      <c r="BN172" s="412"/>
      <c r="BO172" s="412"/>
      <c r="BP172" s="412"/>
      <c r="BQ172" s="412"/>
      <c r="BR172" s="412"/>
      <c r="BS172" s="7"/>
      <c r="BT172" s="7"/>
      <c r="BU172" s="7"/>
      <c r="BV172" s="7"/>
      <c r="BW172" s="7"/>
      <c r="BZ172">
        <f t="shared" si="5"/>
        <v>1</v>
      </c>
    </row>
    <row r="173" spans="1:78" ht="15.75" hidden="1" customHeight="1">
      <c r="A173" s="35" t="str">
        <f t="shared" si="4"/>
        <v>ELPTTCV_001/2646027</v>
      </c>
      <c r="C173" s="358" t="s">
        <v>2342</v>
      </c>
      <c r="D173" s="358">
        <v>170</v>
      </c>
      <c r="E173" s="359" t="s">
        <v>3324</v>
      </c>
      <c r="F173" s="359" t="s">
        <v>1042</v>
      </c>
      <c r="G173" s="400">
        <v>46027</v>
      </c>
      <c r="H173" s="358" t="s">
        <v>140</v>
      </c>
      <c r="I173" s="359">
        <v>5</v>
      </c>
      <c r="J173" s="359" t="str">
        <f>IFERROR(VLOOKUP($A173,#REF!,3,0),"")</f>
        <v/>
      </c>
      <c r="K173" s="359" t="str">
        <f>IFERROR(VLOOKUP($A173,#REF!,4,0),AF173)</f>
        <v>NA</v>
      </c>
      <c r="L173" s="359" t="str">
        <f>IFERROR(VLOOKUP($A173,#REF!,5,0),"")</f>
        <v/>
      </c>
      <c r="M173" s="359" t="str">
        <f>IFERROR(VLOOKUP($A173,#REF!,7,0),"")</f>
        <v/>
      </c>
      <c r="N173" s="359"/>
      <c r="O173" s="359" t="str">
        <f>IFERROR(VLOOKUP($A173,#REF!,6,0),"")</f>
        <v/>
      </c>
      <c r="P173" s="359" t="str">
        <f>IFERROR(VLOOKUP($A173,#REF!,9,0),"")</f>
        <v/>
      </c>
      <c r="Q173" s="359" t="str">
        <f>IFERROR(VLOOKUP($A173,#REF!,10,0),"")</f>
        <v/>
      </c>
      <c r="R173" s="359" t="str">
        <f>IFERROR(VLOOKUP($A173,#REF!,11,0),"")</f>
        <v/>
      </c>
      <c r="S173" s="359" t="str">
        <f>IFERROR(VLOOKUP($A173,#REF!,13,0),"")</f>
        <v/>
      </c>
      <c r="T173" s="359" t="str">
        <f>IFERROR(VLOOKUP($A173,#REF!,14,0),"")</f>
        <v/>
      </c>
      <c r="U173" s="359" t="str">
        <f>IFERROR(VLOOKUP($A173,#REF!,15,0),"")</f>
        <v/>
      </c>
      <c r="V173" s="359" t="str">
        <f>IFERROR(VLOOKUP($A173,#REF!,16,0),"")</f>
        <v/>
      </c>
      <c r="W173" s="359" t="str">
        <f>IFERROR(VLOOKUP($A173,#REF!,17,0),"")</f>
        <v/>
      </c>
      <c r="X173" s="359" t="str">
        <f>IFERROR(VLOOKUP($A173,#REF!,18,0),"")</f>
        <v/>
      </c>
      <c r="Y173" s="359" t="str">
        <f>IFERROR(VLOOKUP($A173,#REF!,19,0),"")</f>
        <v/>
      </c>
      <c r="Z173" s="400" t="str">
        <f>IFERROR(VLOOKUP($A173,#REF!,21,0),"")</f>
        <v/>
      </c>
      <c r="AA173" s="359"/>
      <c r="AB173" s="359"/>
      <c r="AC173" s="359" t="s">
        <v>67</v>
      </c>
      <c r="AD173" s="359"/>
      <c r="AE173" s="358"/>
      <c r="AF173" s="141" t="s">
        <v>3237</v>
      </c>
      <c r="AG173" s="358"/>
      <c r="AH173" s="359"/>
      <c r="AI173" s="359"/>
      <c r="AJ173" s="359"/>
      <c r="AK173" s="359"/>
      <c r="AL173" s="359"/>
      <c r="AM173" s="359"/>
      <c r="AN173" s="358" t="s">
        <v>113</v>
      </c>
      <c r="AO173" s="380"/>
      <c r="AP173" s="380"/>
      <c r="AQ173" s="384" t="s">
        <v>67</v>
      </c>
      <c r="AR173" s="358"/>
      <c r="AS173" s="358"/>
      <c r="AT173" s="384" t="s">
        <v>67</v>
      </c>
      <c r="AU173" s="380"/>
      <c r="AV173" s="100" t="s">
        <v>113</v>
      </c>
      <c r="AW173" s="100"/>
      <c r="AX173" s="95"/>
      <c r="AY173" s="100"/>
      <c r="AZ173" s="95"/>
      <c r="BA173" s="100"/>
      <c r="BB173" s="100"/>
      <c r="BC173" s="100"/>
      <c r="BD173" s="100"/>
      <c r="BE173" s="100"/>
      <c r="BF173" s="100"/>
      <c r="BG173" s="114"/>
      <c r="BH173" s="111"/>
      <c r="BI173" s="111"/>
      <c r="BJ173" s="111"/>
      <c r="BK173" s="95"/>
      <c r="BL173" s="360"/>
      <c r="BN173" s="412"/>
      <c r="BO173" s="412"/>
      <c r="BP173" s="412"/>
      <c r="BQ173" s="412"/>
      <c r="BR173" s="412"/>
      <c r="BS173" s="97"/>
      <c r="BT173" s="97"/>
      <c r="BU173" s="97"/>
      <c r="BV173" s="97"/>
      <c r="BW173" s="7"/>
      <c r="BZ173">
        <f t="shared" si="5"/>
        <v>1</v>
      </c>
    </row>
    <row r="174" spans="1:78" ht="15.75" hidden="1" customHeight="1">
      <c r="A174" s="35" t="str">
        <f t="shared" si="4"/>
        <v>ELPTTCV_002/2646027</v>
      </c>
      <c r="C174" s="358" t="s">
        <v>2342</v>
      </c>
      <c r="D174" s="358">
        <v>171</v>
      </c>
      <c r="E174" s="359" t="s">
        <v>3325</v>
      </c>
      <c r="F174" s="359" t="s">
        <v>1184</v>
      </c>
      <c r="G174" s="400">
        <v>46027</v>
      </c>
      <c r="H174" s="358" t="s">
        <v>140</v>
      </c>
      <c r="I174" s="359">
        <v>3</v>
      </c>
      <c r="J174" s="359" t="str">
        <f>IFERROR(VLOOKUP($A174,#REF!,3,0),"")</f>
        <v/>
      </c>
      <c r="K174" s="359" t="str">
        <f>IFERROR(VLOOKUP($A174,#REF!,4,0),AF174)</f>
        <v>NA</v>
      </c>
      <c r="L174" s="359" t="str">
        <f>IFERROR(VLOOKUP($A174,#REF!,5,0),"")</f>
        <v/>
      </c>
      <c r="M174" s="359" t="str">
        <f>IFERROR(VLOOKUP($A174,#REF!,7,0),"")</f>
        <v/>
      </c>
      <c r="N174" s="359"/>
      <c r="O174" s="359" t="str">
        <f>IFERROR(VLOOKUP($A174,#REF!,6,0),"")</f>
        <v/>
      </c>
      <c r="P174" s="359" t="str">
        <f>IFERROR(VLOOKUP($A174,#REF!,9,0),"")</f>
        <v/>
      </c>
      <c r="Q174" s="359" t="str">
        <f>IFERROR(VLOOKUP($A174,#REF!,10,0),"")</f>
        <v/>
      </c>
      <c r="R174" s="359" t="str">
        <f>IFERROR(VLOOKUP($A174,#REF!,11,0),"")</f>
        <v/>
      </c>
      <c r="S174" s="359" t="str">
        <f>IFERROR(VLOOKUP($A174,#REF!,13,0),"")</f>
        <v/>
      </c>
      <c r="T174" s="359" t="str">
        <f>IFERROR(VLOOKUP($A174,#REF!,14,0),"")</f>
        <v/>
      </c>
      <c r="U174" s="359" t="str">
        <f>IFERROR(VLOOKUP($A174,#REF!,15,0),"")</f>
        <v/>
      </c>
      <c r="V174" s="359" t="str">
        <f>IFERROR(VLOOKUP($A174,#REF!,16,0),"")</f>
        <v/>
      </c>
      <c r="W174" s="359" t="str">
        <f>IFERROR(VLOOKUP($A174,#REF!,17,0),"")</f>
        <v/>
      </c>
      <c r="X174" s="359" t="str">
        <f>IFERROR(VLOOKUP($A174,#REF!,18,0),"")</f>
        <v/>
      </c>
      <c r="Y174" s="359" t="str">
        <f>IFERROR(VLOOKUP($A174,#REF!,19,0),"")</f>
        <v/>
      </c>
      <c r="Z174" s="400" t="str">
        <f>IFERROR(VLOOKUP($A174,#REF!,21,0),"")</f>
        <v/>
      </c>
      <c r="AA174" s="359"/>
      <c r="AB174" s="359"/>
      <c r="AC174" s="359" t="s">
        <v>1721</v>
      </c>
      <c r="AD174" s="359"/>
      <c r="AE174" s="358"/>
      <c r="AF174" s="141" t="s">
        <v>3237</v>
      </c>
      <c r="AG174" s="358"/>
      <c r="AH174" s="358"/>
      <c r="AI174" s="359"/>
      <c r="AJ174" s="359"/>
      <c r="AK174" s="359"/>
      <c r="AL174" s="359"/>
      <c r="AM174" s="359"/>
      <c r="AN174" s="358" t="s">
        <v>113</v>
      </c>
      <c r="AO174" s="358" t="s">
        <v>30</v>
      </c>
      <c r="AP174" s="380">
        <v>46082</v>
      </c>
      <c r="AQ174" s="384" t="s">
        <v>67</v>
      </c>
      <c r="AR174" s="358" t="s">
        <v>32</v>
      </c>
      <c r="AS174" s="358">
        <v>5</v>
      </c>
      <c r="AT174" s="384" t="s">
        <v>67</v>
      </c>
      <c r="AU174" s="380">
        <v>46082</v>
      </c>
      <c r="AV174" s="100" t="s">
        <v>113</v>
      </c>
      <c r="AW174" s="95"/>
      <c r="AX174" s="95"/>
      <c r="AY174" s="95"/>
      <c r="AZ174" s="95"/>
      <c r="BA174" s="95"/>
      <c r="BB174" s="100"/>
      <c r="BC174" s="100"/>
      <c r="BD174" s="100"/>
      <c r="BE174" s="100"/>
      <c r="BF174" s="100"/>
      <c r="BG174" s="114"/>
      <c r="BH174" s="111"/>
      <c r="BI174" s="111"/>
      <c r="BJ174" s="111"/>
      <c r="BK174" s="95"/>
      <c r="BL174" s="360"/>
      <c r="BN174" s="412"/>
      <c r="BO174" s="412"/>
      <c r="BP174" s="412"/>
      <c r="BQ174" s="412"/>
      <c r="BR174" s="412"/>
      <c r="BS174" s="97"/>
      <c r="BT174" s="97"/>
      <c r="BU174" s="97"/>
      <c r="BV174" s="97"/>
      <c r="BW174" s="7"/>
      <c r="BZ174">
        <f t="shared" si="5"/>
        <v>1</v>
      </c>
    </row>
    <row r="175" spans="1:78" ht="15.75" hidden="1" customHeight="1">
      <c r="A175" s="35" t="str">
        <f t="shared" si="4"/>
        <v>ELPTTCV_003/2646027,375</v>
      </c>
      <c r="C175" s="358" t="s">
        <v>2342</v>
      </c>
      <c r="D175" s="358">
        <v>172</v>
      </c>
      <c r="E175" s="359" t="s">
        <v>3326</v>
      </c>
      <c r="F175" s="359" t="s">
        <v>2874</v>
      </c>
      <c r="G175" s="400">
        <v>46027.375</v>
      </c>
      <c r="H175" s="358" t="s">
        <v>140</v>
      </c>
      <c r="I175" s="359">
        <v>1</v>
      </c>
      <c r="J175" s="359" t="str">
        <f>IFERROR(VLOOKUP($A175,#REF!,3,0),"")</f>
        <v/>
      </c>
      <c r="K175" s="359" t="str">
        <f>IFERROR(VLOOKUP($A175,#REF!,4,0),AF175)</f>
        <v>NA</v>
      </c>
      <c r="L175" s="359" t="str">
        <f>IFERROR(VLOOKUP($A175,#REF!,5,0),"")</f>
        <v/>
      </c>
      <c r="M175" s="359" t="str">
        <f>IFERROR(VLOOKUP($A175,#REF!,7,0),"")</f>
        <v/>
      </c>
      <c r="N175" s="359"/>
      <c r="O175" s="359" t="str">
        <f>IFERROR(VLOOKUP($A175,#REF!,6,0),"")</f>
        <v/>
      </c>
      <c r="P175" s="359" t="str">
        <f>IFERROR(VLOOKUP($A175,#REF!,9,0),"")</f>
        <v/>
      </c>
      <c r="Q175" s="359" t="str">
        <f>IFERROR(VLOOKUP($A175,#REF!,10,0),"")</f>
        <v/>
      </c>
      <c r="R175" s="359" t="str">
        <f>IFERROR(VLOOKUP($A175,#REF!,11,0),"")</f>
        <v/>
      </c>
      <c r="S175" s="359" t="str">
        <f>IFERROR(VLOOKUP($A175,#REF!,13,0),"")</f>
        <v/>
      </c>
      <c r="T175" s="359" t="str">
        <f>IFERROR(VLOOKUP($A175,#REF!,14,0),"")</f>
        <v/>
      </c>
      <c r="U175" s="359" t="str">
        <f>IFERROR(VLOOKUP($A175,#REF!,15,0),"")</f>
        <v/>
      </c>
      <c r="V175" s="359" t="str">
        <f>IFERROR(VLOOKUP($A175,#REF!,16,0),"")</f>
        <v/>
      </c>
      <c r="W175" s="359" t="str">
        <f>IFERROR(VLOOKUP($A175,#REF!,17,0),"")</f>
        <v/>
      </c>
      <c r="X175" s="359" t="str">
        <f>IFERROR(VLOOKUP($A175,#REF!,18,0),"")</f>
        <v/>
      </c>
      <c r="Y175" s="359" t="str">
        <f>IFERROR(VLOOKUP($A175,#REF!,19,0),"")</f>
        <v/>
      </c>
      <c r="Z175" s="400" t="str">
        <f>IFERROR(VLOOKUP($A175,#REF!,21,0),"")</f>
        <v/>
      </c>
      <c r="AA175" s="359"/>
      <c r="AB175" s="359"/>
      <c r="AC175" s="359" t="s">
        <v>1077</v>
      </c>
      <c r="AD175" s="359"/>
      <c r="AE175" s="358"/>
      <c r="AF175" s="141" t="s">
        <v>3237</v>
      </c>
      <c r="AG175" s="358"/>
      <c r="AH175" s="358"/>
      <c r="AI175" s="359"/>
      <c r="AJ175" s="359"/>
      <c r="AK175" s="359"/>
      <c r="AL175" s="359"/>
      <c r="AM175" s="359"/>
      <c r="AN175" s="358" t="s">
        <v>113</v>
      </c>
      <c r="AO175" s="358" t="s">
        <v>30</v>
      </c>
      <c r="AP175" s="380">
        <v>46080</v>
      </c>
      <c r="AQ175" s="384" t="s">
        <v>67</v>
      </c>
      <c r="AR175" s="358" t="s">
        <v>32</v>
      </c>
      <c r="AS175" s="358">
        <v>3</v>
      </c>
      <c r="AT175" s="384" t="s">
        <v>67</v>
      </c>
      <c r="AU175" s="380">
        <v>46080</v>
      </c>
      <c r="AV175" s="100" t="s">
        <v>113</v>
      </c>
      <c r="AW175" s="100"/>
      <c r="AX175" s="95"/>
      <c r="AY175" s="95"/>
      <c r="AZ175" s="95"/>
      <c r="BA175" s="95"/>
      <c r="BB175" s="100"/>
      <c r="BC175" s="100"/>
      <c r="BD175" s="100"/>
      <c r="BE175" s="100"/>
      <c r="BF175" s="100"/>
      <c r="BG175" s="114"/>
      <c r="BH175" s="100"/>
      <c r="BI175" s="100"/>
      <c r="BJ175" s="100"/>
      <c r="BK175" s="95"/>
      <c r="BL175" s="360"/>
      <c r="BN175" s="412"/>
      <c r="BO175" s="412"/>
      <c r="BP175" s="412"/>
      <c r="BQ175" s="412"/>
      <c r="BR175" s="412"/>
      <c r="BS175" s="97"/>
      <c r="BT175" s="97"/>
      <c r="BU175" s="97"/>
      <c r="BV175" s="97"/>
      <c r="BW175" s="7"/>
      <c r="BZ175">
        <f t="shared" si="5"/>
        <v>1</v>
      </c>
    </row>
    <row r="176" spans="1:78" ht="15.75" hidden="1" customHeight="1">
      <c r="A176" s="35" t="str">
        <f t="shared" si="4"/>
        <v>ELPTTCV_004/2646027,375</v>
      </c>
      <c r="C176" s="358" t="s">
        <v>2342</v>
      </c>
      <c r="D176" s="358">
        <v>173</v>
      </c>
      <c r="E176" s="359" t="s">
        <v>3327</v>
      </c>
      <c r="F176" s="359" t="s">
        <v>1839</v>
      </c>
      <c r="G176" s="400">
        <v>46027.375</v>
      </c>
      <c r="H176" s="358" t="s">
        <v>140</v>
      </c>
      <c r="I176" s="359">
        <v>1</v>
      </c>
      <c r="J176" s="359" t="str">
        <f>IFERROR(VLOOKUP($A176,#REF!,3,0),"")</f>
        <v/>
      </c>
      <c r="K176" s="359" t="str">
        <f>IFERROR(VLOOKUP($A176,#REF!,4,0),AF176)</f>
        <v>NA</v>
      </c>
      <c r="L176" s="359" t="str">
        <f>IFERROR(VLOOKUP($A176,#REF!,5,0),"")</f>
        <v/>
      </c>
      <c r="M176" s="359" t="str">
        <f>IFERROR(VLOOKUP($A176,#REF!,7,0),"")</f>
        <v/>
      </c>
      <c r="N176" s="359"/>
      <c r="O176" s="359" t="str">
        <f>IFERROR(VLOOKUP($A176,#REF!,6,0),"")</f>
        <v/>
      </c>
      <c r="P176" s="359" t="str">
        <f>IFERROR(VLOOKUP($A176,#REF!,9,0),"")</f>
        <v/>
      </c>
      <c r="Q176" s="359" t="str">
        <f>IFERROR(VLOOKUP($A176,#REF!,10,0),"")</f>
        <v/>
      </c>
      <c r="R176" s="359" t="str">
        <f>IFERROR(VLOOKUP($A176,#REF!,11,0),"")</f>
        <v/>
      </c>
      <c r="S176" s="359" t="str">
        <f>IFERROR(VLOOKUP($A176,#REF!,13,0),"")</f>
        <v/>
      </c>
      <c r="T176" s="359" t="str">
        <f>IFERROR(VLOOKUP($A176,#REF!,14,0),"")</f>
        <v/>
      </c>
      <c r="U176" s="359" t="str">
        <f>IFERROR(VLOOKUP($A176,#REF!,15,0),"")</f>
        <v/>
      </c>
      <c r="V176" s="359" t="str">
        <f>IFERROR(VLOOKUP($A176,#REF!,16,0),"")</f>
        <v/>
      </c>
      <c r="W176" s="359" t="str">
        <f>IFERROR(VLOOKUP($A176,#REF!,17,0),"")</f>
        <v/>
      </c>
      <c r="X176" s="359" t="str">
        <f>IFERROR(VLOOKUP($A176,#REF!,18,0),"")</f>
        <v/>
      </c>
      <c r="Y176" s="359" t="str">
        <f>IFERROR(VLOOKUP($A176,#REF!,19,0),"")</f>
        <v/>
      </c>
      <c r="Z176" s="400" t="str">
        <f>IFERROR(VLOOKUP($A176,#REF!,21,0),"")</f>
        <v/>
      </c>
      <c r="AA176" s="359"/>
      <c r="AB176" s="359"/>
      <c r="AC176" s="359" t="s">
        <v>1077</v>
      </c>
      <c r="AD176" s="359"/>
      <c r="AE176" s="358"/>
      <c r="AF176" s="141" t="s">
        <v>3237</v>
      </c>
      <c r="AG176" s="358"/>
      <c r="AH176" s="358"/>
      <c r="AI176" s="359"/>
      <c r="AJ176" s="359"/>
      <c r="AK176" s="359"/>
      <c r="AL176" s="359"/>
      <c r="AM176" s="359"/>
      <c r="AN176" s="358" t="s">
        <v>113</v>
      </c>
      <c r="AO176" s="358" t="s">
        <v>30</v>
      </c>
      <c r="AP176" s="380">
        <v>46082</v>
      </c>
      <c r="AQ176" s="384" t="s">
        <v>67</v>
      </c>
      <c r="AR176" s="358" t="s">
        <v>32</v>
      </c>
      <c r="AS176" s="358">
        <v>1</v>
      </c>
      <c r="AT176" s="384" t="s">
        <v>67</v>
      </c>
      <c r="AU176" s="380">
        <v>46082</v>
      </c>
      <c r="AV176" s="100" t="s">
        <v>113</v>
      </c>
      <c r="AW176" s="100"/>
      <c r="AX176" s="95"/>
      <c r="AY176" s="95"/>
      <c r="AZ176" s="95"/>
      <c r="BA176" s="95"/>
      <c r="BB176" s="100"/>
      <c r="BC176" s="100"/>
      <c r="BD176" s="100"/>
      <c r="BE176" s="100"/>
      <c r="BF176" s="100"/>
      <c r="BG176" s="114"/>
      <c r="BH176" s="100"/>
      <c r="BI176" s="100"/>
      <c r="BJ176" s="100"/>
      <c r="BK176" s="95"/>
      <c r="BL176" s="360"/>
      <c r="BN176" s="412"/>
      <c r="BO176" s="412"/>
      <c r="BP176" s="412"/>
      <c r="BQ176" s="412"/>
      <c r="BR176" s="412"/>
      <c r="BS176" s="97"/>
      <c r="BT176" s="97"/>
      <c r="BU176" s="97"/>
      <c r="BV176" s="97"/>
      <c r="BW176" s="7"/>
      <c r="BZ176">
        <f t="shared" si="5"/>
        <v>1</v>
      </c>
    </row>
    <row r="177" spans="1:78" ht="15.75" hidden="1" customHeight="1">
      <c r="A177" s="35" t="str">
        <f t="shared" si="4"/>
        <v>ELPTTCV_005/2646027</v>
      </c>
      <c r="C177" s="358" t="s">
        <v>2342</v>
      </c>
      <c r="D177" s="358">
        <v>174</v>
      </c>
      <c r="E177" s="359" t="s">
        <v>3328</v>
      </c>
      <c r="F177" s="359" t="s">
        <v>989</v>
      </c>
      <c r="G177" s="400">
        <v>46027</v>
      </c>
      <c r="H177" s="358" t="s">
        <v>140</v>
      </c>
      <c r="I177" s="359">
        <v>1</v>
      </c>
      <c r="J177" s="359" t="str">
        <f>IFERROR(VLOOKUP($A177,#REF!,3,0),"")</f>
        <v/>
      </c>
      <c r="K177" s="359" t="str">
        <f>IFERROR(VLOOKUP($A177,#REF!,4,0),AF177)</f>
        <v>NA</v>
      </c>
      <c r="L177" s="359" t="str">
        <f>IFERROR(VLOOKUP($A177,#REF!,5,0),"")</f>
        <v/>
      </c>
      <c r="M177" s="359" t="str">
        <f>IFERROR(VLOOKUP($A177,#REF!,7,0),"")</f>
        <v/>
      </c>
      <c r="N177" s="359"/>
      <c r="O177" s="359" t="str">
        <f>IFERROR(VLOOKUP($A177,#REF!,6,0),"")</f>
        <v/>
      </c>
      <c r="P177" s="359" t="str">
        <f>IFERROR(VLOOKUP($A177,#REF!,9,0),"")</f>
        <v/>
      </c>
      <c r="Q177" s="359" t="str">
        <f>IFERROR(VLOOKUP($A177,#REF!,10,0),"")</f>
        <v/>
      </c>
      <c r="R177" s="359" t="str">
        <f>IFERROR(VLOOKUP($A177,#REF!,11,0),"")</f>
        <v/>
      </c>
      <c r="S177" s="359" t="str">
        <f>IFERROR(VLOOKUP($A177,#REF!,13,0),"")</f>
        <v/>
      </c>
      <c r="T177" s="359" t="str">
        <f>IFERROR(VLOOKUP($A177,#REF!,14,0),"")</f>
        <v/>
      </c>
      <c r="U177" s="359" t="str">
        <f>IFERROR(VLOOKUP($A177,#REF!,15,0),"")</f>
        <v/>
      </c>
      <c r="V177" s="359" t="str">
        <f>IFERROR(VLOOKUP($A177,#REF!,16,0),"")</f>
        <v/>
      </c>
      <c r="W177" s="359" t="str">
        <f>IFERROR(VLOOKUP($A177,#REF!,17,0),"")</f>
        <v/>
      </c>
      <c r="X177" s="359" t="str">
        <f>IFERROR(VLOOKUP($A177,#REF!,18,0),"")</f>
        <v/>
      </c>
      <c r="Y177" s="359" t="str">
        <f>IFERROR(VLOOKUP($A177,#REF!,19,0),"")</f>
        <v/>
      </c>
      <c r="Z177" s="400" t="str">
        <f>IFERROR(VLOOKUP($A177,#REF!,21,0),"")</f>
        <v/>
      </c>
      <c r="AA177" s="359"/>
      <c r="AB177" s="359"/>
      <c r="AC177" s="359" t="s">
        <v>67</v>
      </c>
      <c r="AD177" s="359"/>
      <c r="AE177" s="358"/>
      <c r="AF177" s="141" t="s">
        <v>3237</v>
      </c>
      <c r="AG177" s="358"/>
      <c r="AH177" s="358"/>
      <c r="AI177" s="359"/>
      <c r="AJ177" s="359"/>
      <c r="AK177" s="359"/>
      <c r="AL177" s="359"/>
      <c r="AM177" s="359"/>
      <c r="AN177" s="358" t="s">
        <v>113</v>
      </c>
      <c r="AO177" s="358" t="s">
        <v>30</v>
      </c>
      <c r="AP177" s="380">
        <v>46082</v>
      </c>
      <c r="AQ177" s="384" t="s">
        <v>67</v>
      </c>
      <c r="AR177" s="358" t="s">
        <v>32</v>
      </c>
      <c r="AS177" s="358">
        <v>1</v>
      </c>
      <c r="AT177" s="384" t="s">
        <v>67</v>
      </c>
      <c r="AU177" s="380">
        <v>46082</v>
      </c>
      <c r="AV177" s="100" t="s">
        <v>113</v>
      </c>
      <c r="AW177" s="100"/>
      <c r="AX177" s="95"/>
      <c r="AY177" s="100"/>
      <c r="AZ177" s="100"/>
      <c r="BA177" s="100"/>
      <c r="BB177" s="100"/>
      <c r="BC177" s="100"/>
      <c r="BD177" s="100"/>
      <c r="BE177" s="100"/>
      <c r="BF177" s="100"/>
      <c r="BG177" s="114"/>
      <c r="BH177" s="100"/>
      <c r="BI177" s="100"/>
      <c r="BJ177" s="100"/>
      <c r="BK177" s="95"/>
      <c r="BL177" s="360"/>
      <c r="BN177" s="412"/>
      <c r="BO177" s="412"/>
      <c r="BP177" s="412"/>
      <c r="BQ177" s="412"/>
      <c r="BR177" s="412"/>
      <c r="BS177" s="404"/>
      <c r="BT177" s="404"/>
      <c r="BU177" s="404"/>
      <c r="BV177" s="404"/>
      <c r="BW177" s="367"/>
      <c r="BZ177">
        <f t="shared" si="5"/>
        <v>1</v>
      </c>
    </row>
    <row r="178" spans="1:78" ht="15.75" hidden="1" customHeight="1">
      <c r="A178" s="35" t="str">
        <f t="shared" si="4"/>
        <v>ELPTTCV_006/2646034</v>
      </c>
      <c r="C178" s="358" t="s">
        <v>2342</v>
      </c>
      <c r="D178" s="358">
        <v>175</v>
      </c>
      <c r="E178" s="359" t="s">
        <v>3329</v>
      </c>
      <c r="F178" s="359" t="s">
        <v>1184</v>
      </c>
      <c r="G178" s="400">
        <v>46034</v>
      </c>
      <c r="H178" s="358" t="s">
        <v>140</v>
      </c>
      <c r="I178" s="359">
        <v>14</v>
      </c>
      <c r="J178" s="359" t="str">
        <f>IFERROR(VLOOKUP($A178,#REF!,3,0),"")</f>
        <v/>
      </c>
      <c r="K178" s="359" t="str">
        <f>IFERROR(VLOOKUP($A178,#REF!,4,0),AF178)</f>
        <v>NA</v>
      </c>
      <c r="L178" s="359" t="str">
        <f>IFERROR(VLOOKUP($A178,#REF!,5,0),"")</f>
        <v/>
      </c>
      <c r="M178" s="359" t="str">
        <f>IFERROR(VLOOKUP($A178,#REF!,7,0),"")</f>
        <v/>
      </c>
      <c r="N178" s="359"/>
      <c r="O178" s="359" t="str">
        <f>IFERROR(VLOOKUP($A178,#REF!,6,0),"")</f>
        <v/>
      </c>
      <c r="P178" s="359" t="str">
        <f>IFERROR(VLOOKUP($A178,#REF!,9,0),"")</f>
        <v/>
      </c>
      <c r="Q178" s="359" t="str">
        <f>IFERROR(VLOOKUP($A178,#REF!,10,0),"")</f>
        <v/>
      </c>
      <c r="R178" s="359" t="str">
        <f>IFERROR(VLOOKUP($A178,#REF!,11,0),"")</f>
        <v/>
      </c>
      <c r="S178" s="359" t="str">
        <f>IFERROR(VLOOKUP($A178,#REF!,13,0),"")</f>
        <v/>
      </c>
      <c r="T178" s="359" t="str">
        <f>IFERROR(VLOOKUP($A178,#REF!,14,0),"")</f>
        <v/>
      </c>
      <c r="U178" s="359" t="str">
        <f>IFERROR(VLOOKUP($A178,#REF!,15,0),"")</f>
        <v/>
      </c>
      <c r="V178" s="359" t="str">
        <f>IFERROR(VLOOKUP($A178,#REF!,16,0),"")</f>
        <v/>
      </c>
      <c r="W178" s="359" t="str">
        <f>IFERROR(VLOOKUP($A178,#REF!,17,0),"")</f>
        <v/>
      </c>
      <c r="X178" s="359" t="str">
        <f>IFERROR(VLOOKUP($A178,#REF!,18,0),"")</f>
        <v/>
      </c>
      <c r="Y178" s="359" t="str">
        <f>IFERROR(VLOOKUP($A178,#REF!,19,0),"")</f>
        <v/>
      </c>
      <c r="Z178" s="400" t="str">
        <f>IFERROR(VLOOKUP($A178,#REF!,21,0),"")</f>
        <v/>
      </c>
      <c r="AA178" s="359"/>
      <c r="AB178" s="359"/>
      <c r="AC178" s="359" t="s">
        <v>67</v>
      </c>
      <c r="AD178" s="359"/>
      <c r="AE178" s="358"/>
      <c r="AF178" s="141" t="s">
        <v>3237</v>
      </c>
      <c r="AG178" s="358"/>
      <c r="AH178" s="358"/>
      <c r="AI178" s="359"/>
      <c r="AJ178" s="359"/>
      <c r="AK178" s="359"/>
      <c r="AL178" s="359"/>
      <c r="AM178" s="359"/>
      <c r="AN178" s="358" t="s">
        <v>113</v>
      </c>
      <c r="AO178" s="358" t="s">
        <v>30</v>
      </c>
      <c r="AP178" s="380">
        <v>46082</v>
      </c>
      <c r="AQ178" s="384" t="s">
        <v>67</v>
      </c>
      <c r="AR178" s="358" t="s">
        <v>32</v>
      </c>
      <c r="AS178" s="358">
        <v>14</v>
      </c>
      <c r="AT178" s="384" t="s">
        <v>67</v>
      </c>
      <c r="AU178" s="380">
        <v>46082</v>
      </c>
      <c r="AV178" s="100" t="s">
        <v>113</v>
      </c>
      <c r="AW178" s="100"/>
      <c r="AX178" s="95"/>
      <c r="AY178" s="94"/>
      <c r="AZ178" s="94"/>
      <c r="BA178" s="100"/>
      <c r="BB178" s="100"/>
      <c r="BC178" s="100"/>
      <c r="BD178" s="100"/>
      <c r="BE178" s="100"/>
      <c r="BF178" s="100"/>
      <c r="BG178" s="114"/>
      <c r="BH178" s="100"/>
      <c r="BI178" s="100"/>
      <c r="BJ178" s="100"/>
      <c r="BK178" s="95"/>
      <c r="BL178" s="360"/>
      <c r="BN178" s="412"/>
      <c r="BO178" s="412"/>
      <c r="BP178" s="412"/>
      <c r="BQ178" s="412"/>
      <c r="BR178" s="412"/>
      <c r="BS178" s="97"/>
      <c r="BT178" s="97"/>
      <c r="BU178" s="97"/>
      <c r="BV178" s="97"/>
      <c r="BW178" s="7"/>
      <c r="BZ178">
        <f t="shared" si="5"/>
        <v>1</v>
      </c>
    </row>
    <row r="179" spans="1:78" ht="15.75" hidden="1" customHeight="1">
      <c r="A179" s="35" t="str">
        <f t="shared" si="4"/>
        <v>ELPTTCV_007/2646034</v>
      </c>
      <c r="C179" s="358" t="s">
        <v>2342</v>
      </c>
      <c r="D179" s="358">
        <v>176</v>
      </c>
      <c r="E179" s="359" t="s">
        <v>3330</v>
      </c>
      <c r="F179" s="359" t="s">
        <v>3331</v>
      </c>
      <c r="G179" s="400">
        <v>46034</v>
      </c>
      <c r="H179" s="358" t="s">
        <v>140</v>
      </c>
      <c r="I179" s="359">
        <v>3</v>
      </c>
      <c r="J179" s="359" t="str">
        <f>IFERROR(VLOOKUP($A179,#REF!,3,0),"")</f>
        <v/>
      </c>
      <c r="K179" s="359" t="str">
        <f>IFERROR(VLOOKUP($A179,#REF!,4,0),AF179)</f>
        <v>NA</v>
      </c>
      <c r="L179" s="359" t="str">
        <f>IFERROR(VLOOKUP($A179,#REF!,5,0),"")</f>
        <v/>
      </c>
      <c r="M179" s="359" t="str">
        <f>IFERROR(VLOOKUP($A179,#REF!,7,0),"")</f>
        <v/>
      </c>
      <c r="N179" s="359"/>
      <c r="O179" s="359" t="str">
        <f>IFERROR(VLOOKUP($A179,#REF!,6,0),"")</f>
        <v/>
      </c>
      <c r="P179" s="359" t="str">
        <f>IFERROR(VLOOKUP($A179,#REF!,9,0),"")</f>
        <v/>
      </c>
      <c r="Q179" s="359" t="str">
        <f>IFERROR(VLOOKUP($A179,#REF!,10,0),"")</f>
        <v/>
      </c>
      <c r="R179" s="359" t="str">
        <f>IFERROR(VLOOKUP($A179,#REF!,11,0),"")</f>
        <v/>
      </c>
      <c r="S179" s="359" t="str">
        <f>IFERROR(VLOOKUP($A179,#REF!,13,0),"")</f>
        <v/>
      </c>
      <c r="T179" s="359" t="str">
        <f>IFERROR(VLOOKUP($A179,#REF!,14,0),"")</f>
        <v/>
      </c>
      <c r="U179" s="359" t="str">
        <f>IFERROR(VLOOKUP($A179,#REF!,15,0),"")</f>
        <v/>
      </c>
      <c r="V179" s="359" t="str">
        <f>IFERROR(VLOOKUP($A179,#REF!,16,0),"")</f>
        <v/>
      </c>
      <c r="W179" s="359" t="str">
        <f>IFERROR(VLOOKUP($A179,#REF!,17,0),"")</f>
        <v/>
      </c>
      <c r="X179" s="359" t="str">
        <f>IFERROR(VLOOKUP($A179,#REF!,18,0),"")</f>
        <v/>
      </c>
      <c r="Y179" s="359" t="str">
        <f>IFERROR(VLOOKUP($A179,#REF!,19,0),"")</f>
        <v/>
      </c>
      <c r="Z179" s="400" t="str">
        <f>IFERROR(VLOOKUP($A179,#REF!,21,0),"")</f>
        <v/>
      </c>
      <c r="AA179" s="359"/>
      <c r="AB179" s="359"/>
      <c r="AC179" s="359" t="s">
        <v>1721</v>
      </c>
      <c r="AD179" s="359"/>
      <c r="AE179" s="358"/>
      <c r="AF179" s="141" t="s">
        <v>3237</v>
      </c>
      <c r="AG179" s="358"/>
      <c r="AH179" s="358"/>
      <c r="AI179" s="359"/>
      <c r="AJ179" s="359"/>
      <c r="AK179" s="359"/>
      <c r="AL179" s="359"/>
      <c r="AM179" s="359"/>
      <c r="AN179" s="358" t="s">
        <v>113</v>
      </c>
      <c r="AO179" s="358" t="s">
        <v>30</v>
      </c>
      <c r="AP179" s="380">
        <v>46082</v>
      </c>
      <c r="AQ179" s="384" t="s">
        <v>67</v>
      </c>
      <c r="AR179" s="358" t="s">
        <v>32</v>
      </c>
      <c r="AS179" s="358">
        <v>3</v>
      </c>
      <c r="AT179" s="384" t="s">
        <v>67</v>
      </c>
      <c r="AU179" s="380">
        <v>46082</v>
      </c>
      <c r="AV179" s="100" t="s">
        <v>113</v>
      </c>
      <c r="AW179" s="100"/>
      <c r="AX179" s="95"/>
      <c r="AY179" s="94"/>
      <c r="AZ179" s="94"/>
      <c r="BA179" s="100"/>
      <c r="BB179" s="100"/>
      <c r="BC179" s="100"/>
      <c r="BD179" s="100"/>
      <c r="BE179" s="100"/>
      <c r="BF179" s="100"/>
      <c r="BG179" s="114"/>
      <c r="BH179" s="111"/>
      <c r="BI179" s="111"/>
      <c r="BJ179" s="111"/>
      <c r="BK179" s="95"/>
      <c r="BL179" s="360"/>
      <c r="BN179" s="412"/>
      <c r="BO179" s="412"/>
      <c r="BP179" s="412"/>
      <c r="BQ179" s="412"/>
      <c r="BR179" s="412"/>
      <c r="BS179" s="97"/>
      <c r="BT179" s="97"/>
      <c r="BU179" s="97"/>
      <c r="BV179" s="97"/>
      <c r="BW179" s="7"/>
      <c r="BZ179">
        <f t="shared" si="5"/>
        <v>1</v>
      </c>
    </row>
    <row r="180" spans="1:78" ht="15.75" hidden="1" customHeight="1">
      <c r="A180" s="35" t="str">
        <f t="shared" si="4"/>
        <v>ELPTTCV_008/2646034</v>
      </c>
      <c r="C180" s="358" t="s">
        <v>2342</v>
      </c>
      <c r="D180" s="358">
        <v>177</v>
      </c>
      <c r="E180" s="359" t="s">
        <v>3332</v>
      </c>
      <c r="F180" s="359" t="s">
        <v>829</v>
      </c>
      <c r="G180" s="400">
        <v>46034</v>
      </c>
      <c r="H180" s="358" t="s">
        <v>140</v>
      </c>
      <c r="I180" s="359">
        <v>2</v>
      </c>
      <c r="J180" s="359" t="str">
        <f>IFERROR(VLOOKUP($A180,#REF!,3,0),"")</f>
        <v/>
      </c>
      <c r="K180" s="359" t="str">
        <f>IFERROR(VLOOKUP($A180,#REF!,4,0),AF180)</f>
        <v>NA</v>
      </c>
      <c r="L180" s="359" t="str">
        <f>IFERROR(VLOOKUP($A180,#REF!,5,0),"")</f>
        <v/>
      </c>
      <c r="M180" s="359" t="str">
        <f>IFERROR(VLOOKUP($A180,#REF!,7,0),"")</f>
        <v/>
      </c>
      <c r="N180" s="359"/>
      <c r="O180" s="359" t="str">
        <f>IFERROR(VLOOKUP($A180,#REF!,6,0),"")</f>
        <v/>
      </c>
      <c r="P180" s="359" t="str">
        <f>IFERROR(VLOOKUP($A180,#REF!,9,0),"")</f>
        <v/>
      </c>
      <c r="Q180" s="359" t="str">
        <f>IFERROR(VLOOKUP($A180,#REF!,10,0),"")</f>
        <v/>
      </c>
      <c r="R180" s="359" t="str">
        <f>IFERROR(VLOOKUP($A180,#REF!,11,0),"")</f>
        <v/>
      </c>
      <c r="S180" s="359" t="str">
        <f>IFERROR(VLOOKUP($A180,#REF!,13,0),"")</f>
        <v/>
      </c>
      <c r="T180" s="359" t="str">
        <f>IFERROR(VLOOKUP($A180,#REF!,14,0),"")</f>
        <v/>
      </c>
      <c r="U180" s="359" t="str">
        <f>IFERROR(VLOOKUP($A180,#REF!,15,0),"")</f>
        <v/>
      </c>
      <c r="V180" s="359" t="str">
        <f>IFERROR(VLOOKUP($A180,#REF!,16,0),"")</f>
        <v/>
      </c>
      <c r="W180" s="359" t="str">
        <f>IFERROR(VLOOKUP($A180,#REF!,17,0),"")</f>
        <v/>
      </c>
      <c r="X180" s="359" t="str">
        <f>IFERROR(VLOOKUP($A180,#REF!,18,0),"")</f>
        <v/>
      </c>
      <c r="Y180" s="359" t="str">
        <f>IFERROR(VLOOKUP($A180,#REF!,19,0),"")</f>
        <v/>
      </c>
      <c r="Z180" s="400" t="str">
        <f>IFERROR(VLOOKUP($A180,#REF!,21,0),"")</f>
        <v/>
      </c>
      <c r="AA180" s="359"/>
      <c r="AB180" s="359"/>
      <c r="AC180" s="359" t="s">
        <v>67</v>
      </c>
      <c r="AD180" s="359"/>
      <c r="AE180" s="358"/>
      <c r="AF180" s="141" t="s">
        <v>3237</v>
      </c>
      <c r="AG180" s="358"/>
      <c r="AH180" s="358"/>
      <c r="AI180" s="359"/>
      <c r="AJ180" s="359"/>
      <c r="AK180" s="359"/>
      <c r="AL180" s="359"/>
      <c r="AM180" s="359"/>
      <c r="AN180" s="358" t="s">
        <v>113</v>
      </c>
      <c r="AO180" s="358" t="s">
        <v>30</v>
      </c>
      <c r="AP180" s="380">
        <v>46065</v>
      </c>
      <c r="AQ180" s="384" t="s">
        <v>67</v>
      </c>
      <c r="AR180" s="358" t="s">
        <v>32</v>
      </c>
      <c r="AS180" s="358">
        <v>2</v>
      </c>
      <c r="AT180" s="384" t="s">
        <v>67</v>
      </c>
      <c r="AU180" s="380">
        <v>46065</v>
      </c>
      <c r="AV180" s="100" t="s">
        <v>113</v>
      </c>
      <c r="AW180" s="94"/>
      <c r="AX180" s="95"/>
      <c r="AY180" s="95"/>
      <c r="AZ180" s="95"/>
      <c r="BA180" s="100"/>
      <c r="BB180" s="100"/>
      <c r="BC180" s="100"/>
      <c r="BD180" s="100"/>
      <c r="BE180" s="100"/>
      <c r="BF180" s="100"/>
      <c r="BG180" s="114"/>
      <c r="BH180" s="94"/>
      <c r="BI180" s="94"/>
      <c r="BJ180" s="94"/>
      <c r="BK180" s="95"/>
      <c r="BL180" s="360"/>
      <c r="BN180" s="412"/>
      <c r="BO180" s="412"/>
      <c r="BP180" s="412"/>
      <c r="BQ180" s="412"/>
      <c r="BR180" s="412"/>
      <c r="BS180" s="97"/>
      <c r="BT180" s="97"/>
      <c r="BU180" s="97"/>
      <c r="BV180" s="97"/>
      <c r="BW180" s="7"/>
      <c r="BZ180">
        <f t="shared" si="5"/>
        <v>1</v>
      </c>
    </row>
    <row r="181" spans="1:78" ht="15.75" hidden="1" customHeight="1">
      <c r="A181" s="35" t="str">
        <f t="shared" si="4"/>
        <v>ELPTTCV_009/2646041</v>
      </c>
      <c r="C181" s="358" t="s">
        <v>2342</v>
      </c>
      <c r="D181" s="358">
        <v>178</v>
      </c>
      <c r="E181" s="359" t="s">
        <v>3333</v>
      </c>
      <c r="F181" s="359" t="s">
        <v>829</v>
      </c>
      <c r="G181" s="400">
        <v>46041</v>
      </c>
      <c r="H181" s="358" t="s">
        <v>140</v>
      </c>
      <c r="I181" s="359">
        <v>9</v>
      </c>
      <c r="J181" s="359" t="str">
        <f>IFERROR(VLOOKUP($A181,#REF!,3,0),"")</f>
        <v/>
      </c>
      <c r="K181" s="359" t="str">
        <f>IFERROR(VLOOKUP($A181,#REF!,4,0),AF181)</f>
        <v>NA</v>
      </c>
      <c r="L181" s="359" t="str">
        <f>IFERROR(VLOOKUP($A181,#REF!,5,0),"")</f>
        <v/>
      </c>
      <c r="M181" s="359" t="str">
        <f>IFERROR(VLOOKUP($A181,#REF!,7,0),"")</f>
        <v/>
      </c>
      <c r="N181" s="359"/>
      <c r="O181" s="359" t="str">
        <f>IFERROR(VLOOKUP($A181,#REF!,6,0),"")</f>
        <v/>
      </c>
      <c r="P181" s="359" t="str">
        <f>IFERROR(VLOOKUP($A181,#REF!,9,0),"")</f>
        <v/>
      </c>
      <c r="Q181" s="359" t="str">
        <f>IFERROR(VLOOKUP($A181,#REF!,10,0),"")</f>
        <v/>
      </c>
      <c r="R181" s="359" t="str">
        <f>IFERROR(VLOOKUP($A181,#REF!,11,0),"")</f>
        <v/>
      </c>
      <c r="S181" s="359" t="str">
        <f>IFERROR(VLOOKUP($A181,#REF!,13,0),"")</f>
        <v/>
      </c>
      <c r="T181" s="359" t="str">
        <f>IFERROR(VLOOKUP($A181,#REF!,14,0),"")</f>
        <v/>
      </c>
      <c r="U181" s="359" t="str">
        <f>IFERROR(VLOOKUP($A181,#REF!,15,0),"")</f>
        <v/>
      </c>
      <c r="V181" s="359" t="str">
        <f>IFERROR(VLOOKUP($A181,#REF!,16,0),"")</f>
        <v/>
      </c>
      <c r="W181" s="359" t="str">
        <f>IFERROR(VLOOKUP($A181,#REF!,17,0),"")</f>
        <v/>
      </c>
      <c r="X181" s="359" t="str">
        <f>IFERROR(VLOOKUP($A181,#REF!,18,0),"")</f>
        <v/>
      </c>
      <c r="Y181" s="359" t="str">
        <f>IFERROR(VLOOKUP($A181,#REF!,19,0),"")</f>
        <v/>
      </c>
      <c r="Z181" s="400" t="str">
        <f>IFERROR(VLOOKUP($A181,#REF!,21,0),"")</f>
        <v/>
      </c>
      <c r="AA181" s="359"/>
      <c r="AB181" s="359"/>
      <c r="AC181" s="359" t="s">
        <v>67</v>
      </c>
      <c r="AD181" s="359"/>
      <c r="AE181" s="358"/>
      <c r="AF181" s="141" t="s">
        <v>3237</v>
      </c>
      <c r="AG181" s="358"/>
      <c r="AH181" s="358"/>
      <c r="AI181" s="359"/>
      <c r="AJ181" s="359"/>
      <c r="AK181" s="359"/>
      <c r="AL181" s="359"/>
      <c r="AM181" s="359"/>
      <c r="AN181" s="358" t="s">
        <v>113</v>
      </c>
      <c r="AO181" s="358" t="s">
        <v>30</v>
      </c>
      <c r="AP181" s="380">
        <v>46082</v>
      </c>
      <c r="AQ181" s="384" t="s">
        <v>67</v>
      </c>
      <c r="AR181" s="358" t="s">
        <v>32</v>
      </c>
      <c r="AS181" s="358">
        <v>9</v>
      </c>
      <c r="AT181" s="384" t="s">
        <v>67</v>
      </c>
      <c r="AU181" s="380">
        <v>46082</v>
      </c>
      <c r="AV181" s="100" t="s">
        <v>113</v>
      </c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14"/>
      <c r="BH181" s="114"/>
      <c r="BI181" s="114"/>
      <c r="BJ181" s="114"/>
      <c r="BK181" s="95"/>
      <c r="BL181" s="360"/>
      <c r="BN181" s="412"/>
      <c r="BO181" s="412"/>
      <c r="BP181" s="412"/>
      <c r="BQ181" s="412"/>
      <c r="BR181" s="412"/>
      <c r="BZ181">
        <f t="shared" si="5"/>
        <v>1</v>
      </c>
    </row>
    <row r="182" spans="1:78" ht="15.75" hidden="1" customHeight="1">
      <c r="A182" s="35" t="str">
        <f t="shared" si="4"/>
        <v>ELPTTCV_010/2646041</v>
      </c>
      <c r="C182" s="358" t="s">
        <v>2342</v>
      </c>
      <c r="D182" s="358">
        <v>179</v>
      </c>
      <c r="E182" s="359" t="s">
        <v>3334</v>
      </c>
      <c r="F182" s="359" t="s">
        <v>937</v>
      </c>
      <c r="G182" s="400">
        <v>46041</v>
      </c>
      <c r="H182" s="358" t="s">
        <v>140</v>
      </c>
      <c r="I182" s="359">
        <v>2</v>
      </c>
      <c r="J182" s="359" t="str">
        <f>IFERROR(VLOOKUP($A182,#REF!,3,0),"")</f>
        <v/>
      </c>
      <c r="K182" s="359" t="str">
        <f>IFERROR(VLOOKUP($A182,#REF!,4,0),AF182)</f>
        <v>NA</v>
      </c>
      <c r="L182" s="359" t="str">
        <f>IFERROR(VLOOKUP($A182,#REF!,5,0),"")</f>
        <v/>
      </c>
      <c r="M182" s="359" t="str">
        <f>IFERROR(VLOOKUP($A182,#REF!,7,0),"")</f>
        <v/>
      </c>
      <c r="N182" s="359"/>
      <c r="O182" s="359" t="str">
        <f>IFERROR(VLOOKUP($A182,#REF!,6,0),"")</f>
        <v/>
      </c>
      <c r="P182" s="359" t="str">
        <f>IFERROR(VLOOKUP($A182,#REF!,9,0),"")</f>
        <v/>
      </c>
      <c r="Q182" s="359" t="str">
        <f>IFERROR(VLOOKUP($A182,#REF!,10,0),"")</f>
        <v/>
      </c>
      <c r="R182" s="359" t="str">
        <f>IFERROR(VLOOKUP($A182,#REF!,11,0),"")</f>
        <v/>
      </c>
      <c r="S182" s="359" t="str">
        <f>IFERROR(VLOOKUP($A182,#REF!,13,0),"")</f>
        <v/>
      </c>
      <c r="T182" s="359" t="str">
        <f>IFERROR(VLOOKUP($A182,#REF!,14,0),"")</f>
        <v/>
      </c>
      <c r="U182" s="359" t="str">
        <f>IFERROR(VLOOKUP($A182,#REF!,15,0),"")</f>
        <v/>
      </c>
      <c r="V182" s="359" t="str">
        <f>IFERROR(VLOOKUP($A182,#REF!,16,0),"")</f>
        <v/>
      </c>
      <c r="W182" s="359" t="str">
        <f>IFERROR(VLOOKUP($A182,#REF!,17,0),"")</f>
        <v/>
      </c>
      <c r="X182" s="359" t="str">
        <f>IFERROR(VLOOKUP($A182,#REF!,18,0),"")</f>
        <v/>
      </c>
      <c r="Y182" s="359" t="str">
        <f>IFERROR(VLOOKUP($A182,#REF!,19,0),"")</f>
        <v/>
      </c>
      <c r="Z182" s="400" t="str">
        <f>IFERROR(VLOOKUP($A182,#REF!,21,0),"")</f>
        <v/>
      </c>
      <c r="AA182" s="359"/>
      <c r="AB182" s="359"/>
      <c r="AC182" s="359" t="s">
        <v>67</v>
      </c>
      <c r="AD182" s="359"/>
      <c r="AE182" s="358"/>
      <c r="AF182" s="141" t="s">
        <v>3237</v>
      </c>
      <c r="AG182" s="358"/>
      <c r="AH182" s="358"/>
      <c r="AI182" s="359"/>
      <c r="AJ182" s="359"/>
      <c r="AK182" s="359"/>
      <c r="AL182" s="359"/>
      <c r="AM182" s="359"/>
      <c r="AN182" s="358" t="s">
        <v>113</v>
      </c>
      <c r="AO182" s="358" t="s">
        <v>30</v>
      </c>
      <c r="AP182" s="380">
        <v>46065</v>
      </c>
      <c r="AQ182" s="384" t="s">
        <v>67</v>
      </c>
      <c r="AR182" s="358" t="s">
        <v>32</v>
      </c>
      <c r="AS182" s="358">
        <v>2</v>
      </c>
      <c r="AT182" s="384" t="s">
        <v>67</v>
      </c>
      <c r="AU182" s="380">
        <v>46065</v>
      </c>
      <c r="AV182" s="100" t="s">
        <v>113</v>
      </c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14"/>
      <c r="BH182" s="114"/>
      <c r="BI182" s="111"/>
      <c r="BJ182" s="111"/>
      <c r="BK182" s="95"/>
      <c r="BL182" s="360"/>
      <c r="BN182" s="412"/>
      <c r="BO182" s="412"/>
      <c r="BP182" s="412"/>
      <c r="BQ182" s="412"/>
      <c r="BR182" s="412"/>
      <c r="BZ182">
        <f t="shared" si="5"/>
        <v>1</v>
      </c>
    </row>
    <row r="183" spans="1:78" ht="15.75" hidden="1" customHeight="1">
      <c r="A183" s="35" t="str">
        <f t="shared" si="4"/>
        <v>ELPTTCV_011/2646041</v>
      </c>
      <c r="C183" s="358" t="s">
        <v>2342</v>
      </c>
      <c r="D183" s="358">
        <v>180</v>
      </c>
      <c r="E183" s="359" t="s">
        <v>3335</v>
      </c>
      <c r="F183" s="359" t="s">
        <v>969</v>
      </c>
      <c r="G183" s="400">
        <v>46041</v>
      </c>
      <c r="H183" s="358" t="s">
        <v>140</v>
      </c>
      <c r="I183" s="359">
        <v>12</v>
      </c>
      <c r="J183" s="359" t="str">
        <f>IFERROR(VLOOKUP($A183,#REF!,3,0),"")</f>
        <v/>
      </c>
      <c r="K183" s="359" t="str">
        <f>IFERROR(VLOOKUP($A183,#REF!,4,0),AF183)</f>
        <v>NA</v>
      </c>
      <c r="L183" s="359" t="str">
        <f>IFERROR(VLOOKUP($A183,#REF!,5,0),"")</f>
        <v/>
      </c>
      <c r="M183" s="359" t="str">
        <f>IFERROR(VLOOKUP($A183,#REF!,7,0),"")</f>
        <v/>
      </c>
      <c r="N183" s="359"/>
      <c r="O183" s="359" t="str">
        <f>IFERROR(VLOOKUP($A183,#REF!,6,0),"")</f>
        <v/>
      </c>
      <c r="P183" s="359" t="str">
        <f>IFERROR(VLOOKUP($A183,#REF!,9,0),"")</f>
        <v/>
      </c>
      <c r="Q183" s="359" t="str">
        <f>IFERROR(VLOOKUP($A183,#REF!,10,0),"")</f>
        <v/>
      </c>
      <c r="R183" s="359" t="str">
        <f>IFERROR(VLOOKUP($A183,#REF!,11,0),"")</f>
        <v/>
      </c>
      <c r="S183" s="359" t="str">
        <f>IFERROR(VLOOKUP($A183,#REF!,13,0),"")</f>
        <v/>
      </c>
      <c r="T183" s="359" t="str">
        <f>IFERROR(VLOOKUP($A183,#REF!,14,0),"")</f>
        <v/>
      </c>
      <c r="U183" s="359" t="str">
        <f>IFERROR(VLOOKUP($A183,#REF!,15,0),"")</f>
        <v/>
      </c>
      <c r="V183" s="359" t="str">
        <f>IFERROR(VLOOKUP($A183,#REF!,16,0),"")</f>
        <v/>
      </c>
      <c r="W183" s="359" t="str">
        <f>IFERROR(VLOOKUP($A183,#REF!,17,0),"")</f>
        <v/>
      </c>
      <c r="X183" s="359" t="str">
        <f>IFERROR(VLOOKUP($A183,#REF!,18,0),"")</f>
        <v/>
      </c>
      <c r="Y183" s="359" t="str">
        <f>IFERROR(VLOOKUP($A183,#REF!,19,0),"")</f>
        <v/>
      </c>
      <c r="Z183" s="400" t="str">
        <f>IFERROR(VLOOKUP($A183,#REF!,21,0),"")</f>
        <v/>
      </c>
      <c r="AA183" s="359"/>
      <c r="AB183" s="359"/>
      <c r="AC183" s="359" t="s">
        <v>67</v>
      </c>
      <c r="AD183" s="359"/>
      <c r="AE183" s="358"/>
      <c r="AF183" s="141" t="s">
        <v>3237</v>
      </c>
      <c r="AG183" s="358"/>
      <c r="AH183" s="358"/>
      <c r="AI183" s="359"/>
      <c r="AJ183" s="359"/>
      <c r="AK183" s="359"/>
      <c r="AL183" s="359"/>
      <c r="AM183" s="359"/>
      <c r="AN183" s="358" t="s">
        <v>113</v>
      </c>
      <c r="AO183" s="358" t="s">
        <v>30</v>
      </c>
      <c r="AP183" s="380">
        <v>46082</v>
      </c>
      <c r="AQ183" s="384" t="s">
        <v>67</v>
      </c>
      <c r="AR183" s="358" t="s">
        <v>32</v>
      </c>
      <c r="AS183" s="358">
        <v>12</v>
      </c>
      <c r="AT183" s="384" t="s">
        <v>67</v>
      </c>
      <c r="AU183" s="380">
        <v>46082</v>
      </c>
      <c r="AV183" s="100" t="s">
        <v>113</v>
      </c>
      <c r="AW183" s="95"/>
      <c r="AX183" s="95"/>
      <c r="AY183" s="95"/>
      <c r="AZ183" s="95"/>
      <c r="BA183" s="95"/>
      <c r="BB183" s="100"/>
      <c r="BC183" s="100"/>
      <c r="BD183" s="100"/>
      <c r="BE183" s="100"/>
      <c r="BF183" s="100"/>
      <c r="BG183" s="114"/>
      <c r="BH183" s="114"/>
      <c r="BI183" s="114"/>
      <c r="BJ183" s="114"/>
      <c r="BK183" s="95"/>
      <c r="BL183" s="360"/>
      <c r="BN183" s="412"/>
      <c r="BO183" s="412"/>
      <c r="BP183" s="412"/>
      <c r="BQ183" s="412"/>
      <c r="BR183" s="412"/>
      <c r="BZ183">
        <f t="shared" si="5"/>
        <v>1</v>
      </c>
    </row>
    <row r="184" spans="1:78" ht="15.6" hidden="1" customHeight="1">
      <c r="A184" s="35" t="str">
        <f t="shared" si="4"/>
        <v>ELPTTCV_013/2646048,0833333333</v>
      </c>
      <c r="C184" s="358" t="s">
        <v>2342</v>
      </c>
      <c r="D184" s="358">
        <v>181</v>
      </c>
      <c r="E184" s="359" t="s">
        <v>3336</v>
      </c>
      <c r="F184" s="359" t="s">
        <v>3337</v>
      </c>
      <c r="G184" s="400">
        <v>46048.083333333336</v>
      </c>
      <c r="H184" s="358" t="s">
        <v>140</v>
      </c>
      <c r="I184" s="359">
        <v>1</v>
      </c>
      <c r="J184" s="359" t="str">
        <f>IFERROR(VLOOKUP($A184,#REF!,3,0),"")</f>
        <v/>
      </c>
      <c r="K184" s="359" t="str">
        <f>IFERROR(VLOOKUP($A184,#REF!,4,0),AF184)</f>
        <v>NA</v>
      </c>
      <c r="L184" s="359" t="str">
        <f>IFERROR(VLOOKUP($A184,#REF!,5,0),"")</f>
        <v/>
      </c>
      <c r="M184" s="359" t="str">
        <f>IFERROR(VLOOKUP($A184,#REF!,7,0),"")</f>
        <v/>
      </c>
      <c r="N184" s="359"/>
      <c r="O184" s="359" t="str">
        <f>IFERROR(VLOOKUP($A184,#REF!,6,0),"")</f>
        <v/>
      </c>
      <c r="P184" s="359" t="str">
        <f>IFERROR(VLOOKUP($A184,#REF!,9,0),"")</f>
        <v/>
      </c>
      <c r="Q184" s="359" t="str">
        <f>IFERROR(VLOOKUP($A184,#REF!,10,0),"")</f>
        <v/>
      </c>
      <c r="R184" s="359" t="str">
        <f>IFERROR(VLOOKUP($A184,#REF!,11,0),"")</f>
        <v/>
      </c>
      <c r="S184" s="359" t="str">
        <f>IFERROR(VLOOKUP($A184,#REF!,13,0),"")</f>
        <v/>
      </c>
      <c r="T184" s="359" t="str">
        <f>IFERROR(VLOOKUP($A184,#REF!,14,0),"")</f>
        <v/>
      </c>
      <c r="U184" s="359" t="str">
        <f>IFERROR(VLOOKUP($A184,#REF!,15,0),"")</f>
        <v/>
      </c>
      <c r="V184" s="359" t="str">
        <f>IFERROR(VLOOKUP($A184,#REF!,16,0),"")</f>
        <v/>
      </c>
      <c r="W184" s="359" t="str">
        <f>IFERROR(VLOOKUP($A184,#REF!,17,0),"")</f>
        <v/>
      </c>
      <c r="X184" s="359" t="str">
        <f>IFERROR(VLOOKUP($A184,#REF!,18,0),"")</f>
        <v/>
      </c>
      <c r="Y184" s="359" t="str">
        <f>IFERROR(VLOOKUP($A184,#REF!,19,0),"")</f>
        <v/>
      </c>
      <c r="Z184" s="400" t="str">
        <f>IFERROR(VLOOKUP($A184,#REF!,21,0),"")</f>
        <v/>
      </c>
      <c r="AA184" s="359"/>
      <c r="AB184" s="359"/>
      <c r="AC184" s="359" t="s">
        <v>1721</v>
      </c>
      <c r="AD184" s="359"/>
      <c r="AE184" s="358"/>
      <c r="AF184" s="141" t="s">
        <v>3237</v>
      </c>
      <c r="AG184" s="358"/>
      <c r="AH184" s="358"/>
      <c r="AI184" s="359"/>
      <c r="AJ184" s="359"/>
      <c r="AK184" s="359"/>
      <c r="AL184" s="359"/>
      <c r="AM184" s="359"/>
      <c r="AN184" s="358" t="s">
        <v>113</v>
      </c>
      <c r="AO184" s="358" t="s">
        <v>30</v>
      </c>
      <c r="AP184" s="380">
        <v>46082</v>
      </c>
      <c r="AQ184" s="384" t="s">
        <v>67</v>
      </c>
      <c r="AR184" s="358" t="s">
        <v>32</v>
      </c>
      <c r="AS184" s="358">
        <v>1</v>
      </c>
      <c r="AT184" s="384" t="s">
        <v>67</v>
      </c>
      <c r="AU184" s="380">
        <v>46082</v>
      </c>
      <c r="AV184" s="100" t="s">
        <v>113</v>
      </c>
      <c r="AW184" s="100"/>
      <c r="AX184" s="95"/>
      <c r="AY184" s="100"/>
      <c r="AZ184" s="100"/>
      <c r="BA184" s="100"/>
      <c r="BB184" s="95"/>
      <c r="BC184" s="100"/>
      <c r="BD184" s="100"/>
      <c r="BE184" s="100"/>
      <c r="BF184" s="100"/>
      <c r="BG184" s="114"/>
      <c r="BH184" s="111"/>
      <c r="BI184" s="111"/>
      <c r="BJ184" s="111"/>
      <c r="BK184" s="95"/>
      <c r="BL184" s="360"/>
      <c r="BN184" s="412"/>
      <c r="BO184" s="412"/>
      <c r="BP184" s="412"/>
      <c r="BQ184" s="412"/>
      <c r="BR184" s="412"/>
      <c r="BS184" s="404"/>
      <c r="BT184" s="404"/>
      <c r="BU184" s="404"/>
      <c r="BV184" s="404"/>
      <c r="BW184" s="367"/>
      <c r="BZ184">
        <f t="shared" si="5"/>
        <v>1</v>
      </c>
    </row>
    <row r="185" spans="1:78" ht="15.6" hidden="1" customHeight="1">
      <c r="A185" s="35" t="str">
        <f t="shared" si="4"/>
        <v>ELPTTCV_014/2646048</v>
      </c>
      <c r="C185" s="358" t="s">
        <v>2342</v>
      </c>
      <c r="D185" s="358">
        <v>182</v>
      </c>
      <c r="E185" s="359" t="s">
        <v>3338</v>
      </c>
      <c r="F185" s="359" t="s">
        <v>1184</v>
      </c>
      <c r="G185" s="400">
        <v>46048</v>
      </c>
      <c r="H185" s="358" t="s">
        <v>140</v>
      </c>
      <c r="I185" s="359">
        <v>1</v>
      </c>
      <c r="J185" s="359" t="str">
        <f>IFERROR(VLOOKUP($A185,#REF!,3,0),"")</f>
        <v/>
      </c>
      <c r="K185" s="359" t="str">
        <f>IFERROR(VLOOKUP($A185,#REF!,4,0),AF185)</f>
        <v>NA</v>
      </c>
      <c r="L185" s="359" t="str">
        <f>IFERROR(VLOOKUP($A185,#REF!,5,0),"")</f>
        <v/>
      </c>
      <c r="M185" s="359" t="str">
        <f>IFERROR(VLOOKUP($A185,#REF!,7,0),"")</f>
        <v/>
      </c>
      <c r="N185" s="359"/>
      <c r="O185" s="359" t="str">
        <f>IFERROR(VLOOKUP($A185,#REF!,6,0),"")</f>
        <v/>
      </c>
      <c r="P185" s="359" t="str">
        <f>IFERROR(VLOOKUP($A185,#REF!,9,0),"")</f>
        <v/>
      </c>
      <c r="Q185" s="359" t="str">
        <f>IFERROR(VLOOKUP($A185,#REF!,10,0),"")</f>
        <v/>
      </c>
      <c r="R185" s="359" t="str">
        <f>IFERROR(VLOOKUP($A185,#REF!,11,0),"")</f>
        <v/>
      </c>
      <c r="S185" s="359" t="str">
        <f>IFERROR(VLOOKUP($A185,#REF!,13,0),"")</f>
        <v/>
      </c>
      <c r="T185" s="359" t="str">
        <f>IFERROR(VLOOKUP($A185,#REF!,14,0),"")</f>
        <v/>
      </c>
      <c r="U185" s="359" t="str">
        <f>IFERROR(VLOOKUP($A185,#REF!,15,0),"")</f>
        <v/>
      </c>
      <c r="V185" s="359" t="str">
        <f>IFERROR(VLOOKUP($A185,#REF!,16,0),"")</f>
        <v/>
      </c>
      <c r="W185" s="359" t="str">
        <f>IFERROR(VLOOKUP($A185,#REF!,17,0),"")</f>
        <v/>
      </c>
      <c r="X185" s="359" t="str">
        <f>IFERROR(VLOOKUP($A185,#REF!,18,0),"")</f>
        <v/>
      </c>
      <c r="Y185" s="359" t="str">
        <f>IFERROR(VLOOKUP($A185,#REF!,19,0),"")</f>
        <v/>
      </c>
      <c r="Z185" s="400" t="str">
        <f>IFERROR(VLOOKUP($A185,#REF!,21,0),"")</f>
        <v/>
      </c>
      <c r="AA185" s="359"/>
      <c r="AB185" s="359"/>
      <c r="AC185" s="359" t="s">
        <v>67</v>
      </c>
      <c r="AD185" s="359"/>
      <c r="AE185" s="358"/>
      <c r="AF185" s="141" t="s">
        <v>3237</v>
      </c>
      <c r="AG185" s="358"/>
      <c r="AH185" s="358"/>
      <c r="AI185" s="359"/>
      <c r="AJ185" s="359"/>
      <c r="AK185" s="359"/>
      <c r="AL185" s="359"/>
      <c r="AM185" s="359"/>
      <c r="AN185" s="358" t="s">
        <v>113</v>
      </c>
      <c r="AO185" s="358" t="s">
        <v>30</v>
      </c>
      <c r="AP185" s="380">
        <v>46082</v>
      </c>
      <c r="AQ185" s="384" t="s">
        <v>67</v>
      </c>
      <c r="AR185" s="358" t="s">
        <v>32</v>
      </c>
      <c r="AS185" s="358">
        <v>1</v>
      </c>
      <c r="AT185" s="384" t="s">
        <v>67</v>
      </c>
      <c r="AU185" s="380">
        <v>46082</v>
      </c>
      <c r="AV185" s="100" t="s">
        <v>113</v>
      </c>
      <c r="AW185" s="95"/>
      <c r="AX185" s="95"/>
      <c r="AY185" s="100"/>
      <c r="AZ185" s="100"/>
      <c r="BA185" s="100"/>
      <c r="BB185" s="100"/>
      <c r="BC185" s="100"/>
      <c r="BD185" s="100"/>
      <c r="BE185" s="100"/>
      <c r="BF185" s="100"/>
      <c r="BG185" s="114"/>
      <c r="BH185" s="114"/>
      <c r="BI185" s="114"/>
      <c r="BJ185" s="114"/>
      <c r="BK185" s="95"/>
      <c r="BL185" s="360"/>
      <c r="BN185" s="412"/>
      <c r="BO185" s="412"/>
      <c r="BP185" s="412"/>
      <c r="BQ185" s="412"/>
      <c r="BR185" s="412"/>
      <c r="BZ185">
        <f t="shared" si="5"/>
        <v>1</v>
      </c>
    </row>
    <row r="186" spans="1:78" ht="15.6" hidden="1" customHeight="1">
      <c r="A186" s="35" t="str">
        <f t="shared" si="4"/>
        <v>ELPTTCV_015/2646048,375</v>
      </c>
      <c r="C186" s="358" t="s">
        <v>2342</v>
      </c>
      <c r="D186" s="358">
        <v>183</v>
      </c>
      <c r="E186" s="359" t="s">
        <v>3339</v>
      </c>
      <c r="F186" s="359" t="s">
        <v>3340</v>
      </c>
      <c r="G186" s="400">
        <v>46048.375</v>
      </c>
      <c r="H186" s="358" t="s">
        <v>140</v>
      </c>
      <c r="I186" s="359">
        <v>2</v>
      </c>
      <c r="J186" s="359" t="str">
        <f>IFERROR(VLOOKUP($A186,#REF!,3,0),"")</f>
        <v/>
      </c>
      <c r="K186" s="359" t="str">
        <f>IFERROR(VLOOKUP($A186,#REF!,4,0),AF186)</f>
        <v>NA</v>
      </c>
      <c r="L186" s="359" t="str">
        <f>IFERROR(VLOOKUP($A186,#REF!,5,0),"")</f>
        <v/>
      </c>
      <c r="M186" s="359" t="str">
        <f>IFERROR(VLOOKUP($A186,#REF!,7,0),"")</f>
        <v/>
      </c>
      <c r="N186" s="359"/>
      <c r="O186" s="359" t="str">
        <f>IFERROR(VLOOKUP($A186,#REF!,6,0),"")</f>
        <v/>
      </c>
      <c r="P186" s="359" t="str">
        <f>IFERROR(VLOOKUP($A186,#REF!,9,0),"")</f>
        <v/>
      </c>
      <c r="Q186" s="359" t="str">
        <f>IFERROR(VLOOKUP($A186,#REF!,10,0),"")</f>
        <v/>
      </c>
      <c r="R186" s="359" t="str">
        <f>IFERROR(VLOOKUP($A186,#REF!,11,0),"")</f>
        <v/>
      </c>
      <c r="S186" s="359" t="str">
        <f>IFERROR(VLOOKUP($A186,#REF!,13,0),"")</f>
        <v/>
      </c>
      <c r="T186" s="359" t="str">
        <f>IFERROR(VLOOKUP($A186,#REF!,14,0),"")</f>
        <v/>
      </c>
      <c r="U186" s="359" t="str">
        <f>IFERROR(VLOOKUP($A186,#REF!,15,0),"")</f>
        <v/>
      </c>
      <c r="V186" s="359" t="str">
        <f>IFERROR(VLOOKUP($A186,#REF!,16,0),"")</f>
        <v/>
      </c>
      <c r="W186" s="359" t="str">
        <f>IFERROR(VLOOKUP($A186,#REF!,17,0),"")</f>
        <v/>
      </c>
      <c r="X186" s="359" t="str">
        <f>IFERROR(VLOOKUP($A186,#REF!,18,0),"")</f>
        <v/>
      </c>
      <c r="Y186" s="359" t="str">
        <f>IFERROR(VLOOKUP($A186,#REF!,19,0),"")</f>
        <v/>
      </c>
      <c r="Z186" s="400" t="str">
        <f>IFERROR(VLOOKUP($A186,#REF!,21,0),"")</f>
        <v/>
      </c>
      <c r="AA186" s="359"/>
      <c r="AB186" s="359"/>
      <c r="AC186" s="359" t="s">
        <v>67</v>
      </c>
      <c r="AD186" s="359"/>
      <c r="AE186" s="358"/>
      <c r="AF186" s="141" t="s">
        <v>3237</v>
      </c>
      <c r="AG186" s="358"/>
      <c r="AH186" s="358"/>
      <c r="AI186" s="359"/>
      <c r="AJ186" s="359"/>
      <c r="AK186" s="359"/>
      <c r="AL186" s="359"/>
      <c r="AM186" s="359"/>
      <c r="AN186" s="358" t="s">
        <v>113</v>
      </c>
      <c r="AO186" s="358" t="s">
        <v>30</v>
      </c>
      <c r="AP186" s="380">
        <v>46080</v>
      </c>
      <c r="AQ186" s="384" t="s">
        <v>67</v>
      </c>
      <c r="AR186" s="358" t="s">
        <v>32</v>
      </c>
      <c r="AS186" s="358">
        <v>2</v>
      </c>
      <c r="AT186" s="384" t="s">
        <v>67</v>
      </c>
      <c r="AU186" s="380">
        <v>46080</v>
      </c>
      <c r="AV186" s="100" t="s">
        <v>113</v>
      </c>
      <c r="AW186" s="95"/>
      <c r="AX186" s="95"/>
      <c r="AY186" s="100"/>
      <c r="AZ186" s="100"/>
      <c r="BA186" s="100"/>
      <c r="BB186" s="100"/>
      <c r="BC186" s="100"/>
      <c r="BD186" s="100"/>
      <c r="BE186" s="100"/>
      <c r="BF186" s="100"/>
      <c r="BG186" s="114"/>
      <c r="BH186" s="100"/>
      <c r="BI186" s="100"/>
      <c r="BJ186" s="100"/>
      <c r="BK186" s="95"/>
      <c r="BL186" s="360"/>
      <c r="BN186" s="412"/>
      <c r="BO186" s="412"/>
      <c r="BP186" s="412"/>
      <c r="BQ186" s="412"/>
      <c r="BR186" s="412"/>
      <c r="BZ186">
        <f t="shared" si="5"/>
        <v>1</v>
      </c>
    </row>
    <row r="187" spans="1:78" ht="15.6" hidden="1" customHeight="1">
      <c r="A187" s="35" t="str">
        <f t="shared" si="4"/>
        <v>ELPTTCV_016/2646048</v>
      </c>
      <c r="C187" s="358" t="s">
        <v>2342</v>
      </c>
      <c r="D187" s="358">
        <v>184</v>
      </c>
      <c r="E187" s="359" t="s">
        <v>3341</v>
      </c>
      <c r="F187" s="359" t="s">
        <v>969</v>
      </c>
      <c r="G187" s="400">
        <v>46048</v>
      </c>
      <c r="H187" s="358" t="s">
        <v>140</v>
      </c>
      <c r="I187" s="358">
        <v>2</v>
      </c>
      <c r="J187" s="359" t="str">
        <f>IFERROR(VLOOKUP($A187,#REF!,3,0),"")</f>
        <v/>
      </c>
      <c r="K187" s="359" t="str">
        <f>IFERROR(VLOOKUP($A187,#REF!,4,0),AF187)</f>
        <v>NA</v>
      </c>
      <c r="L187" s="359" t="str">
        <f>IFERROR(VLOOKUP($A187,#REF!,5,0),"")</f>
        <v/>
      </c>
      <c r="M187" s="359" t="str">
        <f>IFERROR(VLOOKUP($A187,#REF!,7,0),"")</f>
        <v/>
      </c>
      <c r="N187" s="359"/>
      <c r="O187" s="359" t="str">
        <f>IFERROR(VLOOKUP($A187,#REF!,6,0),"")</f>
        <v/>
      </c>
      <c r="P187" s="359" t="str">
        <f>IFERROR(VLOOKUP($A187,#REF!,9,0),"")</f>
        <v/>
      </c>
      <c r="Q187" s="359" t="str">
        <f>IFERROR(VLOOKUP($A187,#REF!,10,0),"")</f>
        <v/>
      </c>
      <c r="R187" s="359" t="str">
        <f>IFERROR(VLOOKUP($A187,#REF!,11,0),"")</f>
        <v/>
      </c>
      <c r="S187" s="359" t="str">
        <f>IFERROR(VLOOKUP($A187,#REF!,13,0),"")</f>
        <v/>
      </c>
      <c r="T187" s="359" t="str">
        <f>IFERROR(VLOOKUP($A187,#REF!,14,0),"")</f>
        <v/>
      </c>
      <c r="U187" s="359" t="str">
        <f>IFERROR(VLOOKUP($A187,#REF!,15,0),"")</f>
        <v/>
      </c>
      <c r="V187" s="359" t="str">
        <f>IFERROR(VLOOKUP($A187,#REF!,16,0),"")</f>
        <v/>
      </c>
      <c r="W187" s="359" t="str">
        <f>IFERROR(VLOOKUP($A187,#REF!,17,0),"")</f>
        <v/>
      </c>
      <c r="X187" s="359" t="str">
        <f>IFERROR(VLOOKUP($A187,#REF!,18,0),"")</f>
        <v/>
      </c>
      <c r="Y187" s="359" t="str">
        <f>IFERROR(VLOOKUP($A187,#REF!,19,0),"")</f>
        <v/>
      </c>
      <c r="Z187" s="400" t="str">
        <f>IFERROR(VLOOKUP($A187,#REF!,21,0),"")</f>
        <v/>
      </c>
      <c r="AA187" s="358"/>
      <c r="AB187" s="358"/>
      <c r="AC187" s="359" t="s">
        <v>67</v>
      </c>
      <c r="AD187" s="359"/>
      <c r="AE187" s="358"/>
      <c r="AF187" s="141" t="s">
        <v>3237</v>
      </c>
      <c r="AG187" s="358"/>
      <c r="AH187" s="358"/>
      <c r="AI187" s="359"/>
      <c r="AJ187" s="359"/>
      <c r="AK187" s="359"/>
      <c r="AL187" s="359"/>
      <c r="AM187" s="359"/>
      <c r="AN187" s="358" t="s">
        <v>113</v>
      </c>
      <c r="AO187" s="358" t="s">
        <v>30</v>
      </c>
      <c r="AP187" s="380">
        <v>46080</v>
      </c>
      <c r="AQ187" s="384" t="s">
        <v>67</v>
      </c>
      <c r="AR187" s="358" t="s">
        <v>32</v>
      </c>
      <c r="AS187" s="358">
        <v>2</v>
      </c>
      <c r="AT187" s="24" t="s">
        <v>67</v>
      </c>
      <c r="AU187" s="380">
        <v>46080</v>
      </c>
      <c r="AV187" s="100" t="s">
        <v>113</v>
      </c>
      <c r="AW187" s="95"/>
      <c r="AX187" s="95"/>
      <c r="AY187" s="100"/>
      <c r="AZ187" s="100"/>
      <c r="BA187" s="100"/>
      <c r="BB187" s="100"/>
      <c r="BC187" s="100"/>
      <c r="BD187" s="100"/>
      <c r="BE187" s="100"/>
      <c r="BF187" s="100"/>
      <c r="BG187" s="114"/>
      <c r="BH187" s="114"/>
      <c r="BI187" s="114"/>
      <c r="BJ187" s="114"/>
      <c r="BK187" s="95"/>
      <c r="BL187" s="360"/>
      <c r="BN187" s="412"/>
      <c r="BO187" s="412"/>
      <c r="BP187" s="412"/>
      <c r="BQ187" s="412"/>
      <c r="BR187" s="412"/>
      <c r="BZ187">
        <f t="shared" si="5"/>
        <v>1</v>
      </c>
    </row>
    <row r="188" spans="1:78" hidden="1">
      <c r="A188" s="35" t="str">
        <f t="shared" si="4"/>
        <v>M037/2646055</v>
      </c>
      <c r="C188" s="358" t="s">
        <v>24</v>
      </c>
      <c r="D188" s="358">
        <v>185</v>
      </c>
      <c r="E188" s="359" t="s">
        <v>3342</v>
      </c>
      <c r="F188" s="359" t="s">
        <v>50</v>
      </c>
      <c r="G188" s="400">
        <v>46055</v>
      </c>
      <c r="H188" s="359" t="s">
        <v>737</v>
      </c>
      <c r="I188" s="359">
        <v>13</v>
      </c>
      <c r="J188" s="359" t="str">
        <f>IFERROR(VLOOKUP($A188,#REF!,3,0),"")</f>
        <v/>
      </c>
      <c r="K188" s="359" t="str">
        <f>IFERROR(VLOOKUP($A188,#REF!,4,0),AF188)</f>
        <v>EXT</v>
      </c>
      <c r="L188" s="359" t="str">
        <f>IFERROR(VLOOKUP($A188,#REF!,5,0),"")</f>
        <v/>
      </c>
      <c r="M188" s="359" t="str">
        <f>IFERROR(VLOOKUP($A188,#REF!,7,0),"")</f>
        <v/>
      </c>
      <c r="N188" s="359"/>
      <c r="O188" s="359" t="str">
        <f>IFERROR(VLOOKUP($A188,#REF!,6,0),"")</f>
        <v/>
      </c>
      <c r="P188" s="359" t="str">
        <f>IFERROR(VLOOKUP($A188,#REF!,9,0),"")</f>
        <v/>
      </c>
      <c r="Q188" s="359" t="str">
        <f>IFERROR(VLOOKUP($A188,#REF!,10,0),"")</f>
        <v/>
      </c>
      <c r="R188" s="359" t="str">
        <f>IFERROR(VLOOKUP($A188,#REF!,11,0),"")</f>
        <v/>
      </c>
      <c r="S188" s="359" t="str">
        <f>IFERROR(VLOOKUP($A188,#REF!,13,0),"")</f>
        <v/>
      </c>
      <c r="T188" s="359" t="str">
        <f>IFERROR(VLOOKUP($A188,#REF!,14,0),"")</f>
        <v/>
      </c>
      <c r="U188" s="359" t="str">
        <f>IFERROR(VLOOKUP($A188,#REF!,15,0),"")</f>
        <v/>
      </c>
      <c r="V188" s="359" t="str">
        <f>IFERROR(VLOOKUP($A188,#REF!,16,0),"")</f>
        <v/>
      </c>
      <c r="W188" s="359" t="str">
        <f>IFERROR(VLOOKUP($A188,#REF!,17,0),"")</f>
        <v/>
      </c>
      <c r="X188" s="359" t="str">
        <f>IFERROR(VLOOKUP($A188,#REF!,18,0),"")</f>
        <v/>
      </c>
      <c r="Y188" s="359" t="str">
        <f>IFERROR(VLOOKUP($A188,#REF!,19,0),"")</f>
        <v/>
      </c>
      <c r="Z188" s="400" t="str">
        <f>IFERROR(VLOOKUP($A188,#REF!,21,0),"")</f>
        <v/>
      </c>
      <c r="AA188" s="359"/>
      <c r="AB188" s="359"/>
      <c r="AC188" s="359" t="s">
        <v>127</v>
      </c>
      <c r="AD188" s="359" t="s">
        <v>28</v>
      </c>
      <c r="AE188" s="102"/>
      <c r="AF188" s="141" t="s">
        <v>3082</v>
      </c>
      <c r="AG188" s="358" t="s">
        <v>2578</v>
      </c>
      <c r="AH188" s="358" t="s">
        <v>3217</v>
      </c>
      <c r="AI188" s="359" t="s">
        <v>3222</v>
      </c>
      <c r="AJ188" s="359" t="s">
        <v>2050</v>
      </c>
      <c r="AK188" s="359"/>
      <c r="AL188" s="359"/>
      <c r="AM188" s="359"/>
      <c r="AN188" s="359" t="s">
        <v>32</v>
      </c>
      <c r="AO188" s="380" t="s">
        <v>30</v>
      </c>
      <c r="AP188" s="380">
        <v>46085</v>
      </c>
      <c r="AQ188" s="384" t="s">
        <v>28</v>
      </c>
      <c r="AR188" s="358" t="s">
        <v>32</v>
      </c>
      <c r="AS188" s="358">
        <v>12</v>
      </c>
      <c r="AT188" s="384" t="s">
        <v>28</v>
      </c>
      <c r="AU188" s="380">
        <v>46085</v>
      </c>
      <c r="AV188" s="100" t="s">
        <v>30</v>
      </c>
      <c r="AW188" s="100" t="s">
        <v>30</v>
      </c>
      <c r="AX188" s="95" t="s">
        <v>32</v>
      </c>
      <c r="AY188" s="100" t="s">
        <v>30</v>
      </c>
      <c r="AZ188" s="100" t="s">
        <v>30</v>
      </c>
      <c r="BA188" s="100" t="s">
        <v>30</v>
      </c>
      <c r="BB188" s="100" t="s">
        <v>30</v>
      </c>
      <c r="BC188" s="100" t="s">
        <v>30</v>
      </c>
      <c r="BD188" s="100" t="s">
        <v>30</v>
      </c>
      <c r="BE188" s="100" t="s">
        <v>30</v>
      </c>
      <c r="BF188" s="100" t="s">
        <v>30</v>
      </c>
      <c r="BG188" s="100" t="s">
        <v>30</v>
      </c>
      <c r="BH188" s="100" t="s">
        <v>30</v>
      </c>
      <c r="BI188" s="100" t="s">
        <v>30</v>
      </c>
      <c r="BJ188" s="100" t="s">
        <v>30</v>
      </c>
      <c r="BK188" s="100" t="s">
        <v>30</v>
      </c>
      <c r="BL188" s="360"/>
      <c r="BN188" s="412"/>
      <c r="BO188" s="412"/>
      <c r="BP188" s="412"/>
      <c r="BQ188" s="412"/>
      <c r="BR188" s="412"/>
      <c r="BZ188">
        <f t="shared" si="5"/>
        <v>1</v>
      </c>
    </row>
    <row r="189" spans="1:78" hidden="1">
      <c r="A189" s="35" t="str">
        <f t="shared" si="4"/>
        <v>M082/2646055</v>
      </c>
      <c r="C189" s="358" t="s">
        <v>24</v>
      </c>
      <c r="D189" s="358">
        <v>186</v>
      </c>
      <c r="E189" s="359" t="s">
        <v>3343</v>
      </c>
      <c r="F189" s="359" t="s">
        <v>43</v>
      </c>
      <c r="G189" s="400">
        <v>46055</v>
      </c>
      <c r="H189" s="359" t="s">
        <v>1618</v>
      </c>
      <c r="I189" s="359">
        <v>16</v>
      </c>
      <c r="J189" s="359" t="str">
        <f>IFERROR(VLOOKUP($A189,#REF!,3,0),"")</f>
        <v/>
      </c>
      <c r="K189" s="359" t="str">
        <f>IFERROR(VLOOKUP($A189,#REF!,4,0),AF189)</f>
        <v>EXT</v>
      </c>
      <c r="L189" s="359" t="str">
        <f>IFERROR(VLOOKUP($A189,#REF!,5,0),"")</f>
        <v/>
      </c>
      <c r="M189" s="359" t="str">
        <f>IFERROR(VLOOKUP($A189,#REF!,7,0),"")</f>
        <v/>
      </c>
      <c r="N189" s="359"/>
      <c r="O189" s="359" t="str">
        <f>IFERROR(VLOOKUP($A189,#REF!,6,0),"")</f>
        <v/>
      </c>
      <c r="P189" s="359" t="str">
        <f>IFERROR(VLOOKUP($A189,#REF!,9,0),"")</f>
        <v/>
      </c>
      <c r="Q189" s="359" t="str">
        <f>IFERROR(VLOOKUP($A189,#REF!,10,0),"")</f>
        <v/>
      </c>
      <c r="R189" s="359" t="str">
        <f>IFERROR(VLOOKUP($A189,#REF!,11,0),"")</f>
        <v/>
      </c>
      <c r="S189" s="359" t="str">
        <f>IFERROR(VLOOKUP($A189,#REF!,13,0),"")</f>
        <v/>
      </c>
      <c r="T189" s="359" t="str">
        <f>IFERROR(VLOOKUP($A189,#REF!,14,0),"")</f>
        <v/>
      </c>
      <c r="U189" s="359" t="str">
        <f>IFERROR(VLOOKUP($A189,#REF!,15,0),"")</f>
        <v/>
      </c>
      <c r="V189" s="359" t="str">
        <f>IFERROR(VLOOKUP($A189,#REF!,16,0),"")</f>
        <v/>
      </c>
      <c r="W189" s="359" t="str">
        <f>IFERROR(VLOOKUP($A189,#REF!,17,0),"")</f>
        <v/>
      </c>
      <c r="X189" s="359" t="str">
        <f>IFERROR(VLOOKUP($A189,#REF!,18,0),"")</f>
        <v/>
      </c>
      <c r="Y189" s="359" t="str">
        <f>IFERROR(VLOOKUP($A189,#REF!,19,0),"")</f>
        <v/>
      </c>
      <c r="Z189" s="400" t="str">
        <f>IFERROR(VLOOKUP($A189,#REF!,21,0),"")</f>
        <v/>
      </c>
      <c r="AA189" s="359"/>
      <c r="AB189" s="359"/>
      <c r="AC189" s="359" t="s">
        <v>1077</v>
      </c>
      <c r="AD189" s="359" t="s">
        <v>1138</v>
      </c>
      <c r="AE189" s="102"/>
      <c r="AF189" s="141" t="s">
        <v>3082</v>
      </c>
      <c r="AG189" s="358" t="s">
        <v>2203</v>
      </c>
      <c r="AH189" s="358" t="s">
        <v>3217</v>
      </c>
      <c r="AI189" s="359" t="s">
        <v>3344</v>
      </c>
      <c r="AJ189" s="359" t="s">
        <v>2050</v>
      </c>
      <c r="AK189" s="359"/>
      <c r="AL189" s="359"/>
      <c r="AM189" s="359"/>
      <c r="AN189" s="130" t="s">
        <v>2863</v>
      </c>
      <c r="AO189" s="380" t="s">
        <v>30</v>
      </c>
      <c r="AP189" s="380">
        <v>46091</v>
      </c>
      <c r="AQ189" s="384" t="s">
        <v>1138</v>
      </c>
      <c r="AR189" s="358" t="s">
        <v>32</v>
      </c>
      <c r="AS189" s="358">
        <v>16</v>
      </c>
      <c r="AT189" s="384" t="s">
        <v>1138</v>
      </c>
      <c r="AU189" s="380">
        <v>46091</v>
      </c>
      <c r="AV189" s="100" t="s">
        <v>30</v>
      </c>
      <c r="AW189" s="100" t="s">
        <v>30</v>
      </c>
      <c r="AX189" s="82" t="s">
        <v>30</v>
      </c>
      <c r="AY189" s="100" t="s">
        <v>30</v>
      </c>
      <c r="AZ189" s="100" t="s">
        <v>30</v>
      </c>
      <c r="BA189" s="100" t="s">
        <v>30</v>
      </c>
      <c r="BB189" s="100" t="s">
        <v>30</v>
      </c>
      <c r="BC189" s="100" t="s">
        <v>30</v>
      </c>
      <c r="BD189" s="100" t="s">
        <v>30</v>
      </c>
      <c r="BE189" s="100" t="s">
        <v>30</v>
      </c>
      <c r="BF189" s="100" t="s">
        <v>30</v>
      </c>
      <c r="BG189" s="100" t="s">
        <v>30</v>
      </c>
      <c r="BH189" s="100" t="s">
        <v>30</v>
      </c>
      <c r="BI189" s="100" t="s">
        <v>30</v>
      </c>
      <c r="BJ189" s="100" t="s">
        <v>30</v>
      </c>
      <c r="BK189" s="100" t="s">
        <v>30</v>
      </c>
      <c r="BL189" s="360"/>
      <c r="BN189" s="412"/>
      <c r="BO189" s="412"/>
      <c r="BP189" s="412"/>
      <c r="BQ189" s="412"/>
      <c r="BR189" s="412"/>
      <c r="BZ189">
        <f t="shared" si="5"/>
        <v>1</v>
      </c>
    </row>
    <row r="190" spans="1:78" hidden="1">
      <c r="A190" s="35" t="str">
        <f t="shared" si="4"/>
        <v>M055/2646055</v>
      </c>
      <c r="C190" s="358" t="s">
        <v>24</v>
      </c>
      <c r="D190" s="358">
        <v>187</v>
      </c>
      <c r="E190" s="359" t="s">
        <v>3345</v>
      </c>
      <c r="F190" s="359" t="s">
        <v>50</v>
      </c>
      <c r="G190" s="400">
        <v>46055</v>
      </c>
      <c r="H190" s="359" t="s">
        <v>2202</v>
      </c>
      <c r="I190" s="359">
        <v>16</v>
      </c>
      <c r="J190" s="359" t="str">
        <f>IFERROR(VLOOKUP($A190,#REF!,3,0),"")</f>
        <v/>
      </c>
      <c r="K190" s="359" t="str">
        <f>IFERROR(VLOOKUP($A190,#REF!,4,0),AF190)</f>
        <v>EXT</v>
      </c>
      <c r="L190" s="359" t="str">
        <f>IFERROR(VLOOKUP($A190,#REF!,5,0),"")</f>
        <v/>
      </c>
      <c r="M190" s="359" t="str">
        <f>IFERROR(VLOOKUP($A190,#REF!,7,0),"")</f>
        <v/>
      </c>
      <c r="N190" s="359"/>
      <c r="O190" s="359" t="str">
        <f>IFERROR(VLOOKUP($A190,#REF!,6,0),"")</f>
        <v/>
      </c>
      <c r="P190" s="359" t="str">
        <f>IFERROR(VLOOKUP($A190,#REF!,9,0),"")</f>
        <v/>
      </c>
      <c r="Q190" s="359" t="str">
        <f>IFERROR(VLOOKUP($A190,#REF!,10,0),"")</f>
        <v/>
      </c>
      <c r="R190" s="359" t="str">
        <f>IFERROR(VLOOKUP($A190,#REF!,11,0),"")</f>
        <v/>
      </c>
      <c r="S190" s="359" t="str">
        <f>IFERROR(VLOOKUP($A190,#REF!,13,0),"")</f>
        <v/>
      </c>
      <c r="T190" s="359" t="str">
        <f>IFERROR(VLOOKUP($A190,#REF!,14,0),"")</f>
        <v/>
      </c>
      <c r="U190" s="359" t="str">
        <f>IFERROR(VLOOKUP($A190,#REF!,15,0),"")</f>
        <v/>
      </c>
      <c r="V190" s="359" t="str">
        <f>IFERROR(VLOOKUP($A190,#REF!,16,0),"")</f>
        <v/>
      </c>
      <c r="W190" s="359" t="str">
        <f>IFERROR(VLOOKUP($A190,#REF!,17,0),"")</f>
        <v/>
      </c>
      <c r="X190" s="359" t="str">
        <f>IFERROR(VLOOKUP($A190,#REF!,18,0),"")</f>
        <v/>
      </c>
      <c r="Y190" s="359" t="str">
        <f>IFERROR(VLOOKUP($A190,#REF!,19,0),"")</f>
        <v/>
      </c>
      <c r="Z190" s="400" t="str">
        <f>IFERROR(VLOOKUP($A190,#REF!,21,0),"")</f>
        <v/>
      </c>
      <c r="AA190" s="359"/>
      <c r="AB190" s="359"/>
      <c r="AC190" s="359" t="s">
        <v>1077</v>
      </c>
      <c r="AD190" s="359" t="s">
        <v>1138</v>
      </c>
      <c r="AE190" s="93"/>
      <c r="AF190" s="141" t="s">
        <v>3082</v>
      </c>
      <c r="AG190" s="358" t="s">
        <v>2113</v>
      </c>
      <c r="AH190" s="358" t="s">
        <v>3217</v>
      </c>
      <c r="AI190" s="359" t="s">
        <v>3217</v>
      </c>
      <c r="AJ190" s="359" t="s">
        <v>2083</v>
      </c>
      <c r="AK190" s="359"/>
      <c r="AL190" s="359"/>
      <c r="AM190" s="359"/>
      <c r="AN190" s="130" t="s">
        <v>2863</v>
      </c>
      <c r="AO190" s="380" t="s">
        <v>30</v>
      </c>
      <c r="AP190" s="380">
        <v>46106</v>
      </c>
      <c r="AQ190" s="384" t="s">
        <v>1138</v>
      </c>
      <c r="AR190" s="358" t="s">
        <v>32</v>
      </c>
      <c r="AS190" s="358">
        <v>14</v>
      </c>
      <c r="AT190" s="384" t="s">
        <v>1138</v>
      </c>
      <c r="AU190" s="380">
        <v>46106</v>
      </c>
      <c r="AV190" s="95" t="s">
        <v>32</v>
      </c>
      <c r="AW190" s="122" t="s">
        <v>30</v>
      </c>
      <c r="AX190" s="95" t="s">
        <v>32</v>
      </c>
      <c r="AY190" s="100" t="s">
        <v>30</v>
      </c>
      <c r="AZ190" s="100" t="s">
        <v>30</v>
      </c>
      <c r="BA190" s="100" t="s">
        <v>30</v>
      </c>
      <c r="BB190" s="100" t="s">
        <v>30</v>
      </c>
      <c r="BC190" s="100" t="s">
        <v>30</v>
      </c>
      <c r="BD190" s="100" t="s">
        <v>30</v>
      </c>
      <c r="BE190" s="100" t="s">
        <v>30</v>
      </c>
      <c r="BF190" s="100" t="s">
        <v>30</v>
      </c>
      <c r="BG190" s="100" t="s">
        <v>30</v>
      </c>
      <c r="BH190" s="100" t="s">
        <v>30</v>
      </c>
      <c r="BI190" s="100" t="s">
        <v>30</v>
      </c>
      <c r="BJ190" s="100" t="s">
        <v>30</v>
      </c>
      <c r="BK190" s="95" t="s">
        <v>32</v>
      </c>
      <c r="BL190" s="360"/>
      <c r="BN190" s="412"/>
      <c r="BO190" s="412"/>
      <c r="BP190" s="412"/>
      <c r="BQ190" s="412"/>
      <c r="BR190" s="412"/>
      <c r="BZ190">
        <f t="shared" si="5"/>
        <v>1</v>
      </c>
    </row>
    <row r="191" spans="1:78" hidden="1">
      <c r="A191" s="35" t="str">
        <f t="shared" si="4"/>
        <v>002/2646055</v>
      </c>
      <c r="C191" s="358" t="s">
        <v>24</v>
      </c>
      <c r="D191" s="358">
        <v>188</v>
      </c>
      <c r="E191" s="359" t="s">
        <v>3194</v>
      </c>
      <c r="F191" s="359" t="s">
        <v>3346</v>
      </c>
      <c r="G191" s="400">
        <v>46055</v>
      </c>
      <c r="H191" s="359" t="s">
        <v>110</v>
      </c>
      <c r="I191" s="359">
        <v>12</v>
      </c>
      <c r="J191" s="359" t="str">
        <f>IFERROR(VLOOKUP($A191,#REF!,3,0),"")</f>
        <v/>
      </c>
      <c r="K191" s="359" t="str">
        <f>IFERROR(VLOOKUP($A191,#REF!,4,0),AF191)</f>
        <v>INT</v>
      </c>
      <c r="L191" s="359" t="str">
        <f>IFERROR(VLOOKUP($A191,#REF!,5,0),"")</f>
        <v/>
      </c>
      <c r="M191" s="359" t="str">
        <f>IFERROR(VLOOKUP($A191,#REF!,7,0),"")</f>
        <v/>
      </c>
      <c r="N191" s="359"/>
      <c r="O191" s="359" t="str">
        <f>IFERROR(VLOOKUP($A191,#REF!,6,0),"")</f>
        <v/>
      </c>
      <c r="P191" s="359" t="str">
        <f>IFERROR(VLOOKUP($A191,#REF!,9,0),"")</f>
        <v/>
      </c>
      <c r="Q191" s="359" t="str">
        <f>IFERROR(VLOOKUP($A191,#REF!,10,0),"")</f>
        <v/>
      </c>
      <c r="R191" s="359" t="str">
        <f>IFERROR(VLOOKUP($A191,#REF!,11,0),"")</f>
        <v/>
      </c>
      <c r="S191" s="359" t="str">
        <f>IFERROR(VLOOKUP($A191,#REF!,13,0),"")</f>
        <v/>
      </c>
      <c r="T191" s="359" t="str">
        <f>IFERROR(VLOOKUP($A191,#REF!,14,0),"")</f>
        <v/>
      </c>
      <c r="U191" s="359" t="str">
        <f>IFERROR(VLOOKUP($A191,#REF!,15,0),"")</f>
        <v/>
      </c>
      <c r="V191" s="359" t="str">
        <f>IFERROR(VLOOKUP($A191,#REF!,16,0),"")</f>
        <v/>
      </c>
      <c r="W191" s="359" t="str">
        <f>IFERROR(VLOOKUP($A191,#REF!,17,0),"")</f>
        <v/>
      </c>
      <c r="X191" s="359" t="str">
        <f>IFERROR(VLOOKUP($A191,#REF!,18,0),"")</f>
        <v/>
      </c>
      <c r="Y191" s="359" t="str">
        <f>IFERROR(VLOOKUP($A191,#REF!,19,0),"")</f>
        <v/>
      </c>
      <c r="Z191" s="400" t="str">
        <f>IFERROR(VLOOKUP($A191,#REF!,21,0),"")</f>
        <v/>
      </c>
      <c r="AA191" s="359"/>
      <c r="AB191" s="359"/>
      <c r="AC191" s="359" t="s">
        <v>1334</v>
      </c>
      <c r="AD191" s="359" t="s">
        <v>1334</v>
      </c>
      <c r="AE191" s="102"/>
      <c r="AF191" s="141" t="s">
        <v>3077</v>
      </c>
      <c r="AG191" s="358" t="s">
        <v>2126</v>
      </c>
      <c r="AH191" s="358" t="s">
        <v>3347</v>
      </c>
      <c r="AI191" s="359" t="s">
        <v>3347</v>
      </c>
      <c r="AJ191" s="359" t="s">
        <v>110</v>
      </c>
      <c r="AK191" s="359"/>
      <c r="AL191" s="359"/>
      <c r="AM191" s="359"/>
      <c r="AN191" s="359" t="s">
        <v>32</v>
      </c>
      <c r="AO191" s="380" t="s">
        <v>30</v>
      </c>
      <c r="AP191" s="380">
        <v>46069</v>
      </c>
      <c r="AQ191" s="384" t="s">
        <v>48</v>
      </c>
      <c r="AR191" s="358" t="s">
        <v>32</v>
      </c>
      <c r="AS191" s="358">
        <v>12</v>
      </c>
      <c r="AT191" s="384" t="s">
        <v>48</v>
      </c>
      <c r="AU191" s="380">
        <v>46069</v>
      </c>
      <c r="AV191" s="82" t="s">
        <v>113</v>
      </c>
      <c r="AW191" s="122" t="s">
        <v>30</v>
      </c>
      <c r="AX191" s="82" t="s">
        <v>113</v>
      </c>
      <c r="AY191" s="100" t="s">
        <v>30</v>
      </c>
      <c r="AZ191" s="100" t="s">
        <v>30</v>
      </c>
      <c r="BA191" s="100" t="s">
        <v>30</v>
      </c>
      <c r="BB191" s="100" t="s">
        <v>30</v>
      </c>
      <c r="BC191" s="100" t="s">
        <v>30</v>
      </c>
      <c r="BD191" s="100" t="s">
        <v>30</v>
      </c>
      <c r="BE191" s="100" t="s">
        <v>30</v>
      </c>
      <c r="BF191" s="100" t="s">
        <v>30</v>
      </c>
      <c r="BG191" s="100" t="s">
        <v>30</v>
      </c>
      <c r="BH191" s="100" t="s">
        <v>30</v>
      </c>
      <c r="BI191" s="100" t="s">
        <v>30</v>
      </c>
      <c r="BJ191" s="100" t="s">
        <v>30</v>
      </c>
      <c r="BK191" s="95"/>
      <c r="BL191" s="360"/>
      <c r="BN191" s="412"/>
      <c r="BO191" s="412"/>
      <c r="BP191" s="412"/>
      <c r="BQ191" s="412"/>
      <c r="BR191" s="412"/>
      <c r="BZ191">
        <f t="shared" si="5"/>
        <v>1</v>
      </c>
    </row>
    <row r="192" spans="1:78" hidden="1">
      <c r="A192" s="35" t="str">
        <f t="shared" si="4"/>
        <v>M084/2646056</v>
      </c>
      <c r="C192" s="358" t="s">
        <v>24</v>
      </c>
      <c r="D192" s="358">
        <v>189</v>
      </c>
      <c r="E192" s="359" t="s">
        <v>3348</v>
      </c>
      <c r="F192" s="359" t="s">
        <v>43</v>
      </c>
      <c r="G192" s="400">
        <v>46056</v>
      </c>
      <c r="H192" s="359" t="s">
        <v>1618</v>
      </c>
      <c r="I192" s="359">
        <v>14</v>
      </c>
      <c r="J192" s="359" t="str">
        <f>IFERROR(VLOOKUP($A192,#REF!,3,0),"")</f>
        <v/>
      </c>
      <c r="K192" s="359" t="str">
        <f>IFERROR(VLOOKUP($A192,#REF!,4,0),AF192)</f>
        <v>EXT</v>
      </c>
      <c r="L192" s="359" t="str">
        <f>IFERROR(VLOOKUP($A192,#REF!,5,0),"")</f>
        <v/>
      </c>
      <c r="M192" s="359" t="str">
        <f>IFERROR(VLOOKUP($A192,#REF!,7,0),"")</f>
        <v/>
      </c>
      <c r="N192" s="359"/>
      <c r="O192" s="359" t="str">
        <f>IFERROR(VLOOKUP($A192,#REF!,6,0),"")</f>
        <v/>
      </c>
      <c r="P192" s="359" t="str">
        <f>IFERROR(VLOOKUP($A192,#REF!,9,0),"")</f>
        <v/>
      </c>
      <c r="Q192" s="359" t="str">
        <f>IFERROR(VLOOKUP($A192,#REF!,10,0),"")</f>
        <v/>
      </c>
      <c r="R192" s="359" t="str">
        <f>IFERROR(VLOOKUP($A192,#REF!,11,0),"")</f>
        <v/>
      </c>
      <c r="S192" s="359" t="str">
        <f>IFERROR(VLOOKUP($A192,#REF!,13,0),"")</f>
        <v/>
      </c>
      <c r="T192" s="359" t="str">
        <f>IFERROR(VLOOKUP($A192,#REF!,14,0),"")</f>
        <v/>
      </c>
      <c r="U192" s="359" t="str">
        <f>IFERROR(VLOOKUP($A192,#REF!,15,0),"")</f>
        <v/>
      </c>
      <c r="V192" s="359" t="str">
        <f>IFERROR(VLOOKUP($A192,#REF!,16,0),"")</f>
        <v/>
      </c>
      <c r="W192" s="359" t="str">
        <f>IFERROR(VLOOKUP($A192,#REF!,17,0),"")</f>
        <v/>
      </c>
      <c r="X192" s="359" t="str">
        <f>IFERROR(VLOOKUP($A192,#REF!,18,0),"")</f>
        <v/>
      </c>
      <c r="Y192" s="359" t="str">
        <f>IFERROR(VLOOKUP($A192,#REF!,19,0),"")</f>
        <v/>
      </c>
      <c r="Z192" s="400" t="str">
        <f>IFERROR(VLOOKUP($A192,#REF!,21,0),"")</f>
        <v/>
      </c>
      <c r="AA192" s="359"/>
      <c r="AB192" s="359"/>
      <c r="AC192" s="359" t="s">
        <v>1077</v>
      </c>
      <c r="AD192" s="359" t="s">
        <v>1138</v>
      </c>
      <c r="AE192" s="358"/>
      <c r="AF192" s="141" t="s">
        <v>3082</v>
      </c>
      <c r="AG192" s="358" t="s">
        <v>2203</v>
      </c>
      <c r="AH192" s="358" t="s">
        <v>3222</v>
      </c>
      <c r="AI192" s="359" t="s">
        <v>3344</v>
      </c>
      <c r="AJ192" s="359" t="s">
        <v>2083</v>
      </c>
      <c r="AK192" s="359"/>
      <c r="AL192" s="359"/>
      <c r="AM192" s="359"/>
      <c r="AN192" s="130" t="s">
        <v>2863</v>
      </c>
      <c r="AO192" s="380" t="s">
        <v>30</v>
      </c>
      <c r="AP192" s="380">
        <v>46087</v>
      </c>
      <c r="AQ192" s="384" t="s">
        <v>1138</v>
      </c>
      <c r="AR192" s="358" t="s">
        <v>1055</v>
      </c>
      <c r="AS192" s="358">
        <v>13</v>
      </c>
      <c r="AT192" s="358" t="s">
        <v>1138</v>
      </c>
      <c r="AU192" s="380">
        <v>46087</v>
      </c>
      <c r="AV192" s="100" t="s">
        <v>30</v>
      </c>
      <c r="AW192" s="100" t="s">
        <v>30</v>
      </c>
      <c r="AX192" s="100" t="s">
        <v>30</v>
      </c>
      <c r="AY192" s="100" t="s">
        <v>30</v>
      </c>
      <c r="AZ192" s="100" t="s">
        <v>30</v>
      </c>
      <c r="BA192" s="100" t="s">
        <v>30</v>
      </c>
      <c r="BB192" s="100" t="s">
        <v>30</v>
      </c>
      <c r="BC192" s="100" t="s">
        <v>30</v>
      </c>
      <c r="BD192" s="100" t="s">
        <v>30</v>
      </c>
      <c r="BE192" s="100" t="s">
        <v>30</v>
      </c>
      <c r="BF192" s="100" t="s">
        <v>30</v>
      </c>
      <c r="BG192" s="100" t="s">
        <v>30</v>
      </c>
      <c r="BH192" s="100" t="s">
        <v>30</v>
      </c>
      <c r="BI192" s="100" t="s">
        <v>30</v>
      </c>
      <c r="BJ192" s="100" t="s">
        <v>30</v>
      </c>
      <c r="BK192" s="100" t="s">
        <v>30</v>
      </c>
      <c r="BL192" s="360"/>
      <c r="BN192" s="412"/>
      <c r="BO192" s="412"/>
      <c r="BP192" s="412"/>
      <c r="BQ192" s="412"/>
      <c r="BR192" s="412"/>
      <c r="BZ192">
        <f t="shared" si="5"/>
        <v>1</v>
      </c>
    </row>
    <row r="193" spans="1:78" hidden="1">
      <c r="A193" s="35" t="str">
        <f t="shared" si="4"/>
        <v>M100/2646056</v>
      </c>
      <c r="C193" s="358" t="s">
        <v>24</v>
      </c>
      <c r="D193" s="358">
        <v>190</v>
      </c>
      <c r="E193" s="359" t="s">
        <v>3349</v>
      </c>
      <c r="F193" s="359" t="s">
        <v>57</v>
      </c>
      <c r="G193" s="400">
        <v>46056</v>
      </c>
      <c r="H193" s="359" t="s">
        <v>3350</v>
      </c>
      <c r="I193" s="359">
        <v>12</v>
      </c>
      <c r="J193" s="359" t="str">
        <f>IFERROR(VLOOKUP($A193,#REF!,3,0),"")</f>
        <v/>
      </c>
      <c r="K193" s="359" t="str">
        <f>IFERROR(VLOOKUP($A193,#REF!,4,0),AF193)</f>
        <v>EXT</v>
      </c>
      <c r="L193" s="359" t="str">
        <f>IFERROR(VLOOKUP($A193,#REF!,5,0),"")</f>
        <v/>
      </c>
      <c r="M193" s="359" t="str">
        <f>IFERROR(VLOOKUP($A193,#REF!,7,0),"")</f>
        <v/>
      </c>
      <c r="N193" s="359"/>
      <c r="O193" s="359" t="str">
        <f>IFERROR(VLOOKUP($A193,#REF!,6,0),"")</f>
        <v/>
      </c>
      <c r="P193" s="359" t="str">
        <f>IFERROR(VLOOKUP($A193,#REF!,9,0),"")</f>
        <v/>
      </c>
      <c r="Q193" s="359" t="str">
        <f>IFERROR(VLOOKUP($A193,#REF!,10,0),"")</f>
        <v/>
      </c>
      <c r="R193" s="359" t="str">
        <f>IFERROR(VLOOKUP($A193,#REF!,11,0),"")</f>
        <v/>
      </c>
      <c r="S193" s="359" t="str">
        <f>IFERROR(VLOOKUP($A193,#REF!,13,0),"")</f>
        <v/>
      </c>
      <c r="T193" s="359" t="str">
        <f>IFERROR(VLOOKUP($A193,#REF!,14,0),"")</f>
        <v/>
      </c>
      <c r="U193" s="359" t="str">
        <f>IFERROR(VLOOKUP($A193,#REF!,15,0),"")</f>
        <v/>
      </c>
      <c r="V193" s="359" t="str">
        <f>IFERROR(VLOOKUP($A193,#REF!,16,0),"")</f>
        <v/>
      </c>
      <c r="W193" s="359" t="str">
        <f>IFERROR(VLOOKUP($A193,#REF!,17,0),"")</f>
        <v/>
      </c>
      <c r="X193" s="359" t="str">
        <f>IFERROR(VLOOKUP($A193,#REF!,18,0),"")</f>
        <v/>
      </c>
      <c r="Y193" s="359" t="str">
        <f>IFERROR(VLOOKUP($A193,#REF!,19,0),"")</f>
        <v/>
      </c>
      <c r="Z193" s="400" t="str">
        <f>IFERROR(VLOOKUP($A193,#REF!,21,0),"")</f>
        <v/>
      </c>
      <c r="AA193" s="359"/>
      <c r="AB193" s="359"/>
      <c r="AC193" s="359" t="s">
        <v>1077</v>
      </c>
      <c r="AD193" s="359" t="s">
        <v>1138</v>
      </c>
      <c r="AE193" s="358"/>
      <c r="AF193" s="141" t="s">
        <v>3082</v>
      </c>
      <c r="AG193" s="358" t="s">
        <v>3351</v>
      </c>
      <c r="AH193" s="358" t="s">
        <v>3347</v>
      </c>
      <c r="AI193" s="359" t="s">
        <v>3347</v>
      </c>
      <c r="AJ193" s="359" t="s">
        <v>2050</v>
      </c>
      <c r="AK193" s="359"/>
      <c r="AL193" s="359"/>
      <c r="AM193" s="359"/>
      <c r="AN193" s="359" t="s">
        <v>32</v>
      </c>
      <c r="AO193" s="358" t="s">
        <v>30</v>
      </c>
      <c r="AP193" s="380">
        <v>46085</v>
      </c>
      <c r="AQ193" s="384" t="s">
        <v>1138</v>
      </c>
      <c r="AR193" s="358" t="s">
        <v>32</v>
      </c>
      <c r="AS193" s="358">
        <v>12</v>
      </c>
      <c r="AT193" s="384" t="s">
        <v>1138</v>
      </c>
      <c r="AU193" s="380">
        <v>46085</v>
      </c>
      <c r="AV193" s="122" t="s">
        <v>30</v>
      </c>
      <c r="AW193" s="122" t="s">
        <v>30</v>
      </c>
      <c r="AX193" s="100" t="s">
        <v>30</v>
      </c>
      <c r="AY193" s="100"/>
      <c r="AZ193" s="100"/>
      <c r="BA193" s="100"/>
      <c r="BB193" s="100" t="s">
        <v>30</v>
      </c>
      <c r="BC193" s="100" t="s">
        <v>30</v>
      </c>
      <c r="BD193" s="100" t="s">
        <v>30</v>
      </c>
      <c r="BE193" s="100" t="s">
        <v>30</v>
      </c>
      <c r="BF193" s="100" t="s">
        <v>30</v>
      </c>
      <c r="BG193" s="114"/>
      <c r="BH193" s="114"/>
      <c r="BI193" s="111" t="s">
        <v>30</v>
      </c>
      <c r="BJ193" s="111" t="s">
        <v>30</v>
      </c>
      <c r="BK193" s="95"/>
      <c r="BL193" s="360"/>
      <c r="BN193" s="412"/>
      <c r="BO193" s="412"/>
      <c r="BP193" s="412"/>
      <c r="BQ193" s="412"/>
      <c r="BR193" s="412"/>
      <c r="BZ193">
        <f t="shared" si="5"/>
        <v>1</v>
      </c>
    </row>
    <row r="194" spans="1:78" hidden="1">
      <c r="A194" s="35" t="str">
        <f t="shared" si="4"/>
        <v>M058/2646057</v>
      </c>
      <c r="C194" s="358" t="s">
        <v>24</v>
      </c>
      <c r="D194" s="358">
        <v>191</v>
      </c>
      <c r="E194" s="359" t="s">
        <v>3352</v>
      </c>
      <c r="F194" s="359" t="s">
        <v>3353</v>
      </c>
      <c r="G194" s="400">
        <v>46057</v>
      </c>
      <c r="H194" s="359" t="s">
        <v>245</v>
      </c>
      <c r="I194" s="359">
        <v>18</v>
      </c>
      <c r="J194" s="359" t="str">
        <f>IFERROR(VLOOKUP($A194,#REF!,3,0),"")</f>
        <v/>
      </c>
      <c r="K194" s="359" t="str">
        <f>IFERROR(VLOOKUP($A194,#REF!,4,0),AF194)</f>
        <v>INT</v>
      </c>
      <c r="L194" s="359" t="str">
        <f>IFERROR(VLOOKUP($A194,#REF!,5,0),"")</f>
        <v/>
      </c>
      <c r="M194" s="359" t="str">
        <f>IFERROR(VLOOKUP($A194,#REF!,7,0),"")</f>
        <v/>
      </c>
      <c r="N194" s="359"/>
      <c r="O194" s="359" t="str">
        <f>IFERROR(VLOOKUP($A194,#REF!,6,0),"")</f>
        <v/>
      </c>
      <c r="P194" s="359" t="str">
        <f>IFERROR(VLOOKUP($A194,#REF!,9,0),"")</f>
        <v/>
      </c>
      <c r="Q194" s="359" t="str">
        <f>IFERROR(VLOOKUP($A194,#REF!,10,0),"")</f>
        <v/>
      </c>
      <c r="R194" s="359" t="str">
        <f>IFERROR(VLOOKUP($A194,#REF!,11,0),"")</f>
        <v/>
      </c>
      <c r="S194" s="359" t="str">
        <f>IFERROR(VLOOKUP($A194,#REF!,13,0),"")</f>
        <v/>
      </c>
      <c r="T194" s="359" t="str">
        <f>IFERROR(VLOOKUP($A194,#REF!,14,0),"")</f>
        <v/>
      </c>
      <c r="U194" s="359" t="str">
        <f>IFERROR(VLOOKUP($A194,#REF!,15,0),"")</f>
        <v/>
      </c>
      <c r="V194" s="359" t="str">
        <f>IFERROR(VLOOKUP($A194,#REF!,16,0),"")</f>
        <v/>
      </c>
      <c r="W194" s="359" t="str">
        <f>IFERROR(VLOOKUP($A194,#REF!,17,0),"")</f>
        <v/>
      </c>
      <c r="X194" s="359" t="str">
        <f>IFERROR(VLOOKUP($A194,#REF!,18,0),"")</f>
        <v/>
      </c>
      <c r="Y194" s="359" t="str">
        <f>IFERROR(VLOOKUP($A194,#REF!,19,0),"")</f>
        <v/>
      </c>
      <c r="Z194" s="400" t="str">
        <f>IFERROR(VLOOKUP($A194,#REF!,21,0),"")</f>
        <v/>
      </c>
      <c r="AA194" s="359"/>
      <c r="AB194" s="359"/>
      <c r="AC194" s="359" t="s">
        <v>1077</v>
      </c>
      <c r="AD194" s="359" t="s">
        <v>1138</v>
      </c>
      <c r="AE194" s="102"/>
      <c r="AF194" s="141" t="s">
        <v>3077</v>
      </c>
      <c r="AG194" s="358" t="s">
        <v>2115</v>
      </c>
      <c r="AH194" s="358" t="s">
        <v>3347</v>
      </c>
      <c r="AI194" s="359" t="s">
        <v>3354</v>
      </c>
      <c r="AJ194" s="359" t="s">
        <v>2083</v>
      </c>
      <c r="AK194" s="359"/>
      <c r="AL194" s="359"/>
      <c r="AM194" s="359"/>
      <c r="AN194" s="130" t="s">
        <v>2863</v>
      </c>
      <c r="AO194" s="358" t="s">
        <v>30</v>
      </c>
      <c r="AP194" s="380">
        <v>46084</v>
      </c>
      <c r="AQ194" s="384" t="s">
        <v>1138</v>
      </c>
      <c r="AR194" s="358" t="s">
        <v>32</v>
      </c>
      <c r="AS194" s="358">
        <v>18</v>
      </c>
      <c r="AT194" s="384" t="s">
        <v>1138</v>
      </c>
      <c r="AU194" s="380">
        <v>46084</v>
      </c>
      <c r="AV194" s="100" t="s">
        <v>30</v>
      </c>
      <c r="AW194" s="100" t="s">
        <v>30</v>
      </c>
      <c r="AX194" s="100" t="s">
        <v>30</v>
      </c>
      <c r="AY194" s="95" t="s">
        <v>32</v>
      </c>
      <c r="AZ194" s="95" t="s">
        <v>32</v>
      </c>
      <c r="BA194" s="95" t="s">
        <v>32</v>
      </c>
      <c r="BB194" s="100" t="s">
        <v>30</v>
      </c>
      <c r="BC194" s="100" t="s">
        <v>30</v>
      </c>
      <c r="BD194" s="100" t="s">
        <v>30</v>
      </c>
      <c r="BE194" s="100" t="s">
        <v>30</v>
      </c>
      <c r="BF194" s="100" t="s">
        <v>30</v>
      </c>
      <c r="BG194" s="100"/>
      <c r="BH194" s="100" t="s">
        <v>30</v>
      </c>
      <c r="BI194" s="100" t="s">
        <v>30</v>
      </c>
      <c r="BJ194" s="100" t="s">
        <v>30</v>
      </c>
      <c r="BK194" s="95"/>
      <c r="BL194" s="360"/>
      <c r="BN194" s="412"/>
      <c r="BO194" s="412"/>
      <c r="BP194" s="412"/>
      <c r="BQ194" s="412"/>
      <c r="BR194" s="412"/>
      <c r="BZ194">
        <f t="shared" si="5"/>
        <v>1</v>
      </c>
    </row>
    <row r="195" spans="1:78" hidden="1">
      <c r="A195" s="35" t="str">
        <f t="shared" si="4"/>
        <v>M116/2646059</v>
      </c>
      <c r="C195" s="358" t="s">
        <v>24</v>
      </c>
      <c r="D195" s="358">
        <v>192</v>
      </c>
      <c r="E195" s="359" t="s">
        <v>3355</v>
      </c>
      <c r="F195" s="359" t="s">
        <v>406</v>
      </c>
      <c r="G195" s="400">
        <v>46059</v>
      </c>
      <c r="H195" s="359" t="s">
        <v>97</v>
      </c>
      <c r="I195" s="359">
        <v>11</v>
      </c>
      <c r="J195" s="359" t="str">
        <f>IFERROR(VLOOKUP($A195,#REF!,3,0),"")</f>
        <v/>
      </c>
      <c r="K195" s="359" t="str">
        <f>IFERROR(VLOOKUP($A195,#REF!,4,0),AF195)</f>
        <v>EXT</v>
      </c>
      <c r="L195" s="359" t="str">
        <f>IFERROR(VLOOKUP($A195,#REF!,5,0),"")</f>
        <v/>
      </c>
      <c r="M195" s="359" t="str">
        <f>IFERROR(VLOOKUP($A195,#REF!,7,0),"")</f>
        <v/>
      </c>
      <c r="N195" s="359"/>
      <c r="O195" s="359" t="str">
        <f>IFERROR(VLOOKUP($A195,#REF!,6,0),"")</f>
        <v/>
      </c>
      <c r="P195" s="359" t="str">
        <f>IFERROR(VLOOKUP($A195,#REF!,9,0),"")</f>
        <v/>
      </c>
      <c r="Q195" s="359" t="str">
        <f>IFERROR(VLOOKUP($A195,#REF!,10,0),"")</f>
        <v/>
      </c>
      <c r="R195" s="359" t="str">
        <f>IFERROR(VLOOKUP($A195,#REF!,11,0),"")</f>
        <v/>
      </c>
      <c r="S195" s="359" t="str">
        <f>IFERROR(VLOOKUP($A195,#REF!,13,0),"")</f>
        <v/>
      </c>
      <c r="T195" s="359" t="str">
        <f>IFERROR(VLOOKUP($A195,#REF!,14,0),"")</f>
        <v/>
      </c>
      <c r="U195" s="359" t="str">
        <f>IFERROR(VLOOKUP($A195,#REF!,15,0),"")</f>
        <v/>
      </c>
      <c r="V195" s="359" t="str">
        <f>IFERROR(VLOOKUP($A195,#REF!,16,0),"")</f>
        <v/>
      </c>
      <c r="W195" s="359" t="str">
        <f>IFERROR(VLOOKUP($A195,#REF!,17,0),"")</f>
        <v/>
      </c>
      <c r="X195" s="359" t="str">
        <f>IFERROR(VLOOKUP($A195,#REF!,18,0),"")</f>
        <v/>
      </c>
      <c r="Y195" s="359" t="str">
        <f>IFERROR(VLOOKUP($A195,#REF!,19,0),"")</f>
        <v/>
      </c>
      <c r="Z195" s="400" t="str">
        <f>IFERROR(VLOOKUP($A195,#REF!,21,0),"")</f>
        <v/>
      </c>
      <c r="AA195" s="359"/>
      <c r="AB195" s="359"/>
      <c r="AC195" s="359" t="s">
        <v>3075</v>
      </c>
      <c r="AD195" s="359" t="s">
        <v>47</v>
      </c>
      <c r="AE195" s="358"/>
      <c r="AF195" s="141" t="s">
        <v>3082</v>
      </c>
      <c r="AG195" s="358" t="s">
        <v>2061</v>
      </c>
      <c r="AH195" s="358" t="s">
        <v>3354</v>
      </c>
      <c r="AI195" s="359" t="s">
        <v>3356</v>
      </c>
      <c r="AJ195" s="359" t="s">
        <v>2050</v>
      </c>
      <c r="AK195" s="359"/>
      <c r="AL195" s="359"/>
      <c r="AM195" s="359"/>
      <c r="AN195" s="359" t="s">
        <v>32</v>
      </c>
      <c r="AO195" s="358" t="s">
        <v>30</v>
      </c>
      <c r="AP195" s="380">
        <v>46087</v>
      </c>
      <c r="AQ195" s="384" t="s">
        <v>47</v>
      </c>
      <c r="AR195" s="358" t="s">
        <v>32</v>
      </c>
      <c r="AS195" s="358">
        <v>11</v>
      </c>
      <c r="AT195" s="384" t="s">
        <v>3357</v>
      </c>
      <c r="AU195" s="380">
        <v>46087</v>
      </c>
      <c r="AV195" s="100" t="s">
        <v>30</v>
      </c>
      <c r="AW195" s="100" t="s">
        <v>30</v>
      </c>
      <c r="AX195" s="82" t="s">
        <v>30</v>
      </c>
      <c r="AY195" s="100" t="s">
        <v>30</v>
      </c>
      <c r="AZ195" s="100" t="s">
        <v>30</v>
      </c>
      <c r="BA195" s="100" t="s">
        <v>30</v>
      </c>
      <c r="BB195" s="100" t="s">
        <v>30</v>
      </c>
      <c r="BC195" s="100" t="s">
        <v>30</v>
      </c>
      <c r="BD195" s="100" t="s">
        <v>30</v>
      </c>
      <c r="BE195" s="100" t="s">
        <v>30</v>
      </c>
      <c r="BF195" s="100" t="s">
        <v>30</v>
      </c>
      <c r="BG195" s="100" t="s">
        <v>30</v>
      </c>
      <c r="BH195" s="100" t="s">
        <v>30</v>
      </c>
      <c r="BI195" s="100" t="s">
        <v>30</v>
      </c>
      <c r="BJ195" s="100" t="s">
        <v>30</v>
      </c>
      <c r="BK195" s="100" t="s">
        <v>30</v>
      </c>
      <c r="BL195" s="360"/>
      <c r="BN195" s="412"/>
      <c r="BO195" s="412"/>
      <c r="BP195" s="412"/>
      <c r="BQ195" s="412"/>
      <c r="BR195" s="412"/>
      <c r="BZ195">
        <f t="shared" si="5"/>
        <v>1</v>
      </c>
    </row>
    <row r="196" spans="1:78" hidden="1">
      <c r="A196" s="35" t="str">
        <f t="shared" si="4"/>
        <v>M117/2646059</v>
      </c>
      <c r="C196" s="358" t="s">
        <v>24</v>
      </c>
      <c r="D196" s="358">
        <v>193</v>
      </c>
      <c r="E196" s="359" t="s">
        <v>3358</v>
      </c>
      <c r="F196" s="359" t="s">
        <v>2188</v>
      </c>
      <c r="G196" s="400">
        <v>46059</v>
      </c>
      <c r="H196" s="359" t="s">
        <v>97</v>
      </c>
      <c r="I196" s="359">
        <v>11</v>
      </c>
      <c r="J196" s="359" t="str">
        <f>IFERROR(VLOOKUP($A196,#REF!,3,0),"")</f>
        <v/>
      </c>
      <c r="K196" s="359" t="str">
        <f>IFERROR(VLOOKUP($A196,#REF!,4,0),AF196)</f>
        <v>EXT</v>
      </c>
      <c r="L196" s="359" t="str">
        <f>IFERROR(VLOOKUP($A196,#REF!,5,0),"")</f>
        <v/>
      </c>
      <c r="M196" s="359" t="str">
        <f>IFERROR(VLOOKUP($A196,#REF!,7,0),"")</f>
        <v/>
      </c>
      <c r="N196" s="359"/>
      <c r="O196" s="359" t="str">
        <f>IFERROR(VLOOKUP($A196,#REF!,6,0),"")</f>
        <v/>
      </c>
      <c r="P196" s="359" t="str">
        <f>IFERROR(VLOOKUP($A196,#REF!,9,0),"")</f>
        <v/>
      </c>
      <c r="Q196" s="359" t="str">
        <f>IFERROR(VLOOKUP($A196,#REF!,10,0),"")</f>
        <v/>
      </c>
      <c r="R196" s="359" t="str">
        <f>IFERROR(VLOOKUP($A196,#REF!,11,0),"")</f>
        <v/>
      </c>
      <c r="S196" s="359" t="str">
        <f>IFERROR(VLOOKUP($A196,#REF!,13,0),"")</f>
        <v/>
      </c>
      <c r="T196" s="359" t="str">
        <f>IFERROR(VLOOKUP($A196,#REF!,14,0),"")</f>
        <v/>
      </c>
      <c r="U196" s="359" t="str">
        <f>IFERROR(VLOOKUP($A196,#REF!,15,0),"")</f>
        <v/>
      </c>
      <c r="V196" s="359" t="str">
        <f>IFERROR(VLOOKUP($A196,#REF!,16,0),"")</f>
        <v/>
      </c>
      <c r="W196" s="359" t="str">
        <f>IFERROR(VLOOKUP($A196,#REF!,17,0),"")</f>
        <v/>
      </c>
      <c r="X196" s="359" t="str">
        <f>IFERROR(VLOOKUP($A196,#REF!,18,0),"")</f>
        <v/>
      </c>
      <c r="Y196" s="359" t="str">
        <f>IFERROR(VLOOKUP($A196,#REF!,19,0),"")</f>
        <v/>
      </c>
      <c r="Z196" s="400" t="str">
        <f>IFERROR(VLOOKUP($A196,#REF!,21,0),"")</f>
        <v/>
      </c>
      <c r="AA196" s="359"/>
      <c r="AB196" s="359"/>
      <c r="AC196" s="359" t="s">
        <v>3075</v>
      </c>
      <c r="AD196" s="359" t="s">
        <v>47</v>
      </c>
      <c r="AE196" s="358"/>
      <c r="AF196" s="141" t="s">
        <v>3082</v>
      </c>
      <c r="AG196" s="358" t="s">
        <v>2061</v>
      </c>
      <c r="AH196" s="358" t="s">
        <v>401</v>
      </c>
      <c r="AI196" s="359" t="s">
        <v>401</v>
      </c>
      <c r="AJ196" s="359" t="s">
        <v>401</v>
      </c>
      <c r="AK196" s="359"/>
      <c r="AL196" s="359"/>
      <c r="AM196" s="359"/>
      <c r="AN196" s="359" t="s">
        <v>32</v>
      </c>
      <c r="AO196" s="380" t="s">
        <v>30</v>
      </c>
      <c r="AP196" s="380">
        <v>46085</v>
      </c>
      <c r="AQ196" s="384" t="s">
        <v>47</v>
      </c>
      <c r="AR196" s="358" t="s">
        <v>32</v>
      </c>
      <c r="AS196" s="358">
        <v>11</v>
      </c>
      <c r="AT196" s="384" t="s">
        <v>47</v>
      </c>
      <c r="AU196" s="380">
        <v>46085</v>
      </c>
      <c r="AV196" s="100" t="s">
        <v>30</v>
      </c>
      <c r="AW196" s="100" t="s">
        <v>30</v>
      </c>
      <c r="AX196" s="82" t="s">
        <v>30</v>
      </c>
      <c r="AY196" s="100" t="s">
        <v>30</v>
      </c>
      <c r="AZ196" s="100" t="s">
        <v>30</v>
      </c>
      <c r="BA196" s="100" t="s">
        <v>30</v>
      </c>
      <c r="BB196" s="100" t="s">
        <v>30</v>
      </c>
      <c r="BC196" s="100" t="s">
        <v>30</v>
      </c>
      <c r="BD196" s="100" t="s">
        <v>30</v>
      </c>
      <c r="BE196" s="100" t="s">
        <v>30</v>
      </c>
      <c r="BF196" s="100" t="s">
        <v>30</v>
      </c>
      <c r="BG196" s="100" t="s">
        <v>30</v>
      </c>
      <c r="BH196" s="100" t="s">
        <v>30</v>
      </c>
      <c r="BI196" s="100" t="s">
        <v>30</v>
      </c>
      <c r="BJ196" s="100" t="s">
        <v>30</v>
      </c>
      <c r="BK196" s="100" t="s">
        <v>30</v>
      </c>
      <c r="BL196" s="360"/>
      <c r="BN196" s="412"/>
      <c r="BO196" s="412"/>
      <c r="BP196" s="412"/>
      <c r="BQ196" s="412"/>
      <c r="BR196" s="412"/>
      <c r="BZ196">
        <f t="shared" si="5"/>
        <v>1</v>
      </c>
    </row>
    <row r="197" spans="1:78" hidden="1">
      <c r="A197" s="35" t="str">
        <f t="shared" ref="A197:A260" si="6">E197&amp;G197</f>
        <v>M063/2646060</v>
      </c>
      <c r="C197" s="358" t="s">
        <v>24</v>
      </c>
      <c r="D197" s="358">
        <v>194</v>
      </c>
      <c r="E197" s="359" t="s">
        <v>3359</v>
      </c>
      <c r="F197" s="359" t="s">
        <v>50</v>
      </c>
      <c r="G197" s="400">
        <v>46060</v>
      </c>
      <c r="H197" s="359" t="s">
        <v>1945</v>
      </c>
      <c r="I197" s="359">
        <v>10</v>
      </c>
      <c r="J197" s="359" t="str">
        <f>IFERROR(VLOOKUP($A197,#REF!,3,0),"")</f>
        <v/>
      </c>
      <c r="K197" s="359" t="str">
        <f>IFERROR(VLOOKUP($A197,#REF!,4,0),AF197)</f>
        <v>INT</v>
      </c>
      <c r="L197" s="359" t="str">
        <f>IFERROR(VLOOKUP($A197,#REF!,5,0),"")</f>
        <v/>
      </c>
      <c r="M197" s="359" t="str">
        <f>IFERROR(VLOOKUP($A197,#REF!,7,0),"")</f>
        <v/>
      </c>
      <c r="N197" s="359"/>
      <c r="O197" s="359" t="str">
        <f>IFERROR(VLOOKUP($A197,#REF!,6,0),"")</f>
        <v/>
      </c>
      <c r="P197" s="359" t="str">
        <f>IFERROR(VLOOKUP($A197,#REF!,9,0),"")</f>
        <v/>
      </c>
      <c r="Q197" s="359" t="str">
        <f>IFERROR(VLOOKUP($A197,#REF!,10,0),"")</f>
        <v/>
      </c>
      <c r="R197" s="359" t="str">
        <f>IFERROR(VLOOKUP($A197,#REF!,11,0),"")</f>
        <v/>
      </c>
      <c r="S197" s="359" t="str">
        <f>IFERROR(VLOOKUP($A197,#REF!,13,0),"")</f>
        <v/>
      </c>
      <c r="T197" s="359" t="str">
        <f>IFERROR(VLOOKUP($A197,#REF!,14,0),"")</f>
        <v/>
      </c>
      <c r="U197" s="359" t="str">
        <f>IFERROR(VLOOKUP($A197,#REF!,15,0),"")</f>
        <v/>
      </c>
      <c r="V197" s="359" t="str">
        <f>IFERROR(VLOOKUP($A197,#REF!,16,0),"")</f>
        <v/>
      </c>
      <c r="W197" s="359" t="str">
        <f>IFERROR(VLOOKUP($A197,#REF!,17,0),"")</f>
        <v/>
      </c>
      <c r="X197" s="359" t="str">
        <f>IFERROR(VLOOKUP($A197,#REF!,18,0),"")</f>
        <v/>
      </c>
      <c r="Y197" s="359" t="str">
        <f>IFERROR(VLOOKUP($A197,#REF!,19,0),"")</f>
        <v/>
      </c>
      <c r="Z197" s="400" t="str">
        <f>IFERROR(VLOOKUP($A197,#REF!,21,0),"")</f>
        <v/>
      </c>
      <c r="AA197" s="359"/>
      <c r="AB197" s="359"/>
      <c r="AC197" s="359" t="s">
        <v>127</v>
      </c>
      <c r="AD197" s="359" t="s">
        <v>28</v>
      </c>
      <c r="AE197" s="358"/>
      <c r="AF197" s="141" t="s">
        <v>3077</v>
      </c>
      <c r="AG197" s="358" t="s">
        <v>2703</v>
      </c>
      <c r="AH197" s="358" t="s">
        <v>3356</v>
      </c>
      <c r="AI197" s="358" t="s">
        <v>3356</v>
      </c>
      <c r="AJ197" s="359" t="s">
        <v>2050</v>
      </c>
      <c r="AK197" s="359"/>
      <c r="AL197" s="359"/>
      <c r="AM197" s="359"/>
      <c r="AN197" s="359" t="s">
        <v>32</v>
      </c>
      <c r="AO197" s="380" t="s">
        <v>30</v>
      </c>
      <c r="AP197" s="380">
        <v>46085</v>
      </c>
      <c r="AQ197" s="384" t="s">
        <v>28</v>
      </c>
      <c r="AR197" s="358" t="s">
        <v>32</v>
      </c>
      <c r="AS197" s="358">
        <v>21</v>
      </c>
      <c r="AT197" s="384" t="s">
        <v>28</v>
      </c>
      <c r="AU197" s="380">
        <v>46085</v>
      </c>
      <c r="AV197" s="100" t="s">
        <v>30</v>
      </c>
      <c r="AW197" s="100" t="s">
        <v>30</v>
      </c>
      <c r="AX197" s="95" t="s">
        <v>32</v>
      </c>
      <c r="AY197" s="100" t="s">
        <v>30</v>
      </c>
      <c r="AZ197" s="100" t="s">
        <v>30</v>
      </c>
      <c r="BA197" s="100" t="s">
        <v>30</v>
      </c>
      <c r="BB197" s="100" t="s">
        <v>30</v>
      </c>
      <c r="BC197" s="100" t="s">
        <v>30</v>
      </c>
      <c r="BD197" s="100" t="s">
        <v>30</v>
      </c>
      <c r="BE197" s="100" t="s">
        <v>30</v>
      </c>
      <c r="BF197" s="100" t="s">
        <v>30</v>
      </c>
      <c r="BG197" s="100" t="s">
        <v>30</v>
      </c>
      <c r="BH197" s="100" t="s">
        <v>30</v>
      </c>
      <c r="BI197" s="100" t="s">
        <v>30</v>
      </c>
      <c r="BJ197" s="100" t="s">
        <v>30</v>
      </c>
      <c r="BK197" s="100" t="s">
        <v>30</v>
      </c>
      <c r="BL197" s="360"/>
      <c r="BN197" s="412"/>
      <c r="BO197" s="412"/>
      <c r="BP197" s="412"/>
      <c r="BQ197" s="412"/>
      <c r="BR197" s="412"/>
      <c r="BZ197">
        <f t="shared" ref="BZ197:BZ259" si="7">IF(G197&gt;1,1,"")</f>
        <v>1</v>
      </c>
    </row>
    <row r="198" spans="1:78" hidden="1">
      <c r="A198" s="35" t="str">
        <f t="shared" si="6"/>
        <v>M002/2646060</v>
      </c>
      <c r="C198" s="358" t="s">
        <v>24</v>
      </c>
      <c r="D198" s="358">
        <v>195</v>
      </c>
      <c r="E198" s="359" t="s">
        <v>3360</v>
      </c>
      <c r="F198" s="359" t="s">
        <v>34</v>
      </c>
      <c r="G198" s="400">
        <v>46060</v>
      </c>
      <c r="H198" s="359" t="s">
        <v>506</v>
      </c>
      <c r="I198" s="359">
        <v>14</v>
      </c>
      <c r="J198" s="359" t="str">
        <f>IFERROR(VLOOKUP($A198,#REF!,3,0),"")</f>
        <v/>
      </c>
      <c r="K198" s="359" t="str">
        <f>IFERROR(VLOOKUP($A198,#REF!,4,0),AF198)</f>
        <v>INT</v>
      </c>
      <c r="L198" s="359" t="str">
        <f>IFERROR(VLOOKUP($A198,#REF!,5,0),"")</f>
        <v/>
      </c>
      <c r="M198" s="359" t="str">
        <f>IFERROR(VLOOKUP($A198,#REF!,7,0),"")</f>
        <v/>
      </c>
      <c r="N198" s="359"/>
      <c r="O198" s="359" t="str">
        <f>IFERROR(VLOOKUP($A198,#REF!,6,0),"")</f>
        <v/>
      </c>
      <c r="P198" s="359" t="str">
        <f>IFERROR(VLOOKUP($A198,#REF!,9,0),"")</f>
        <v/>
      </c>
      <c r="Q198" s="359" t="str">
        <f>IFERROR(VLOOKUP($A198,#REF!,10,0),"")</f>
        <v/>
      </c>
      <c r="R198" s="359" t="str">
        <f>IFERROR(VLOOKUP($A198,#REF!,11,0),"")</f>
        <v/>
      </c>
      <c r="S198" s="359" t="str">
        <f>IFERROR(VLOOKUP($A198,#REF!,13,0),"")</f>
        <v/>
      </c>
      <c r="T198" s="359" t="str">
        <f>IFERROR(VLOOKUP($A198,#REF!,14,0),"")</f>
        <v/>
      </c>
      <c r="U198" s="359" t="str">
        <f>IFERROR(VLOOKUP($A198,#REF!,15,0),"")</f>
        <v/>
      </c>
      <c r="V198" s="359" t="str">
        <f>IFERROR(VLOOKUP($A198,#REF!,16,0),"")</f>
        <v/>
      </c>
      <c r="W198" s="359" t="str">
        <f>IFERROR(VLOOKUP($A198,#REF!,17,0),"")</f>
        <v/>
      </c>
      <c r="X198" s="359" t="str">
        <f>IFERROR(VLOOKUP($A198,#REF!,18,0),"")</f>
        <v/>
      </c>
      <c r="Y198" s="359" t="str">
        <f>IFERROR(VLOOKUP($A198,#REF!,19,0),"")</f>
        <v/>
      </c>
      <c r="Z198" s="400" t="str">
        <f>IFERROR(VLOOKUP($A198,#REF!,21,0),"")</f>
        <v/>
      </c>
      <c r="AA198" s="359"/>
      <c r="AB198" s="359"/>
      <c r="AC198" s="359" t="s">
        <v>127</v>
      </c>
      <c r="AD198" s="359" t="s">
        <v>28</v>
      </c>
      <c r="AE198" s="358"/>
      <c r="AF198" s="141" t="s">
        <v>3077</v>
      </c>
      <c r="AG198" s="358" t="s">
        <v>2180</v>
      </c>
      <c r="AH198" s="358" t="s">
        <v>3356</v>
      </c>
      <c r="AI198" s="359" t="s">
        <v>3356</v>
      </c>
      <c r="AJ198" s="359" t="s">
        <v>3361</v>
      </c>
      <c r="AK198" s="359"/>
      <c r="AL198" s="359"/>
      <c r="AM198" s="359"/>
      <c r="AN198" s="359" t="s">
        <v>32</v>
      </c>
      <c r="AO198" s="380" t="s">
        <v>30</v>
      </c>
      <c r="AP198" s="380">
        <v>46086</v>
      </c>
      <c r="AQ198" s="384" t="s">
        <v>28</v>
      </c>
      <c r="AR198" s="358" t="s">
        <v>32</v>
      </c>
      <c r="AS198" s="358">
        <v>15</v>
      </c>
      <c r="AT198" s="384" t="s">
        <v>28</v>
      </c>
      <c r="AU198" s="380">
        <v>46086</v>
      </c>
      <c r="AV198" s="100" t="s">
        <v>30</v>
      </c>
      <c r="AW198" s="100" t="s">
        <v>30</v>
      </c>
      <c r="AX198" s="95" t="s">
        <v>32</v>
      </c>
      <c r="AY198" s="95" t="s">
        <v>32</v>
      </c>
      <c r="AZ198" s="95" t="s">
        <v>32</v>
      </c>
      <c r="BA198" s="95" t="s">
        <v>32</v>
      </c>
      <c r="BB198" s="100" t="s">
        <v>30</v>
      </c>
      <c r="BC198" s="100" t="s">
        <v>30</v>
      </c>
      <c r="BD198" s="100" t="s">
        <v>30</v>
      </c>
      <c r="BE198" s="100" t="s">
        <v>30</v>
      </c>
      <c r="BF198" s="100" t="s">
        <v>30</v>
      </c>
      <c r="BG198" s="100" t="s">
        <v>30</v>
      </c>
      <c r="BH198" s="100" t="s">
        <v>30</v>
      </c>
      <c r="BI198" s="100" t="s">
        <v>30</v>
      </c>
      <c r="BJ198" s="100" t="s">
        <v>30</v>
      </c>
      <c r="BK198" s="100" t="s">
        <v>30</v>
      </c>
      <c r="BL198" s="360"/>
      <c r="BN198" s="412"/>
      <c r="BO198" s="412"/>
      <c r="BP198" s="412"/>
      <c r="BQ198" s="412"/>
      <c r="BR198" s="412"/>
      <c r="BZ198">
        <f t="shared" si="7"/>
        <v>1</v>
      </c>
    </row>
    <row r="199" spans="1:78" hidden="1">
      <c r="A199" s="35" t="str">
        <f t="shared" si="6"/>
        <v>M124/2646060</v>
      </c>
      <c r="C199" s="358" t="s">
        <v>24</v>
      </c>
      <c r="D199" s="358">
        <v>196</v>
      </c>
      <c r="E199" s="359" t="s">
        <v>3362</v>
      </c>
      <c r="F199" s="359" t="s">
        <v>34</v>
      </c>
      <c r="G199" s="400">
        <v>46060</v>
      </c>
      <c r="H199" s="359" t="s">
        <v>167</v>
      </c>
      <c r="I199" s="141">
        <v>10</v>
      </c>
      <c r="J199" s="359" t="str">
        <f>IFERROR(VLOOKUP($A199,#REF!,3,0),"")</f>
        <v/>
      </c>
      <c r="K199" s="359" t="str">
        <f>IFERROR(VLOOKUP($A199,#REF!,4,0),AF199)</f>
        <v>INT</v>
      </c>
      <c r="L199" s="359" t="str">
        <f>IFERROR(VLOOKUP($A199,#REF!,5,0),"")</f>
        <v/>
      </c>
      <c r="M199" s="359" t="str">
        <f>IFERROR(VLOOKUP($A199,#REF!,7,0),"")</f>
        <v/>
      </c>
      <c r="N199" s="359"/>
      <c r="O199" s="359" t="str">
        <f>IFERROR(VLOOKUP($A199,#REF!,6,0),"")</f>
        <v/>
      </c>
      <c r="P199" s="359" t="str">
        <f>IFERROR(VLOOKUP($A199,#REF!,9,0),"")</f>
        <v/>
      </c>
      <c r="Q199" s="359" t="str">
        <f>IFERROR(VLOOKUP($A199,#REF!,10,0),"")</f>
        <v/>
      </c>
      <c r="R199" s="359" t="str">
        <f>IFERROR(VLOOKUP($A199,#REF!,11,0),"")</f>
        <v/>
      </c>
      <c r="S199" s="359" t="str">
        <f>IFERROR(VLOOKUP($A199,#REF!,13,0),"")</f>
        <v/>
      </c>
      <c r="T199" s="359" t="str">
        <f>IFERROR(VLOOKUP($A199,#REF!,14,0),"")</f>
        <v/>
      </c>
      <c r="U199" s="359" t="str">
        <f>IFERROR(VLOOKUP($A199,#REF!,15,0),"")</f>
        <v/>
      </c>
      <c r="V199" s="359" t="str">
        <f>IFERROR(VLOOKUP($A199,#REF!,16,0),"")</f>
        <v/>
      </c>
      <c r="W199" s="359" t="str">
        <f>IFERROR(VLOOKUP($A199,#REF!,17,0),"")</f>
        <v/>
      </c>
      <c r="X199" s="359" t="str">
        <f>IFERROR(VLOOKUP($A199,#REF!,18,0),"")</f>
        <v/>
      </c>
      <c r="Y199" s="359" t="str">
        <f>IFERROR(VLOOKUP($A199,#REF!,19,0),"")</f>
        <v/>
      </c>
      <c r="Z199" s="400" t="str">
        <f>IFERROR(VLOOKUP($A199,#REF!,21,0),"")</f>
        <v/>
      </c>
      <c r="AA199" s="141"/>
      <c r="AB199" s="141"/>
      <c r="AC199" s="359" t="s">
        <v>127</v>
      </c>
      <c r="AD199" s="359" t="s">
        <v>28</v>
      </c>
      <c r="AE199" s="358"/>
      <c r="AF199" s="141" t="s">
        <v>3077</v>
      </c>
      <c r="AG199" s="358" t="s">
        <v>2092</v>
      </c>
      <c r="AH199" s="358" t="s">
        <v>3363</v>
      </c>
      <c r="AI199" s="359" t="s">
        <v>3364</v>
      </c>
      <c r="AJ199" s="359" t="s">
        <v>3365</v>
      </c>
      <c r="AK199" s="359"/>
      <c r="AL199" s="359"/>
      <c r="AM199" s="359"/>
      <c r="AN199" s="359" t="s">
        <v>32</v>
      </c>
      <c r="AO199" s="380" t="s">
        <v>30</v>
      </c>
      <c r="AP199" s="380">
        <v>46086</v>
      </c>
      <c r="AQ199" s="384" t="s">
        <v>28</v>
      </c>
      <c r="AR199" s="358" t="s">
        <v>32</v>
      </c>
      <c r="AS199" s="358">
        <v>23</v>
      </c>
      <c r="AT199" s="384" t="s">
        <v>28</v>
      </c>
      <c r="AU199" s="380">
        <v>46086</v>
      </c>
      <c r="AV199" s="100" t="s">
        <v>30</v>
      </c>
      <c r="AW199" s="100" t="s">
        <v>30</v>
      </c>
      <c r="AX199" s="95" t="s">
        <v>32</v>
      </c>
      <c r="AY199" s="95" t="s">
        <v>32</v>
      </c>
      <c r="AZ199" s="95" t="s">
        <v>32</v>
      </c>
      <c r="BA199" s="95" t="s">
        <v>32</v>
      </c>
      <c r="BB199" s="100" t="s">
        <v>30</v>
      </c>
      <c r="BC199" s="100" t="s">
        <v>30</v>
      </c>
      <c r="BD199" s="100" t="s">
        <v>30</v>
      </c>
      <c r="BE199" s="100" t="s">
        <v>30</v>
      </c>
      <c r="BF199" s="100" t="s">
        <v>30</v>
      </c>
      <c r="BG199" s="100" t="s">
        <v>30</v>
      </c>
      <c r="BH199" s="100" t="s">
        <v>30</v>
      </c>
      <c r="BI199" s="100" t="s">
        <v>30</v>
      </c>
      <c r="BJ199" s="100" t="s">
        <v>30</v>
      </c>
      <c r="BK199" s="100" t="s">
        <v>30</v>
      </c>
      <c r="BL199" s="360"/>
      <c r="BN199" s="412"/>
      <c r="BO199" s="412"/>
      <c r="BP199" s="412"/>
      <c r="BQ199" s="412"/>
      <c r="BR199" s="412"/>
      <c r="BZ199">
        <f t="shared" si="7"/>
        <v>1</v>
      </c>
    </row>
    <row r="200" spans="1:78" hidden="1">
      <c r="A200" s="35" t="str">
        <f t="shared" si="6"/>
        <v>059/2646060</v>
      </c>
      <c r="C200" s="358" t="s">
        <v>24</v>
      </c>
      <c r="D200" s="358">
        <v>197</v>
      </c>
      <c r="E200" s="359" t="s">
        <v>3366</v>
      </c>
      <c r="F200" s="359" t="s">
        <v>34</v>
      </c>
      <c r="G200" s="400">
        <v>46060</v>
      </c>
      <c r="H200" s="359" t="s">
        <v>401</v>
      </c>
      <c r="I200" s="359">
        <v>2</v>
      </c>
      <c r="J200" s="359" t="str">
        <f>IFERROR(VLOOKUP($A200,#REF!,3,0),"")</f>
        <v/>
      </c>
      <c r="K200" s="359" t="str">
        <f>IFERROR(VLOOKUP($A200,#REF!,4,0),AF200)</f>
        <v>INT</v>
      </c>
      <c r="L200" s="359" t="str">
        <f>IFERROR(VLOOKUP($A200,#REF!,5,0),"")</f>
        <v/>
      </c>
      <c r="M200" s="359" t="str">
        <f>IFERROR(VLOOKUP($A200,#REF!,7,0),"")</f>
        <v/>
      </c>
      <c r="N200" s="359"/>
      <c r="O200" s="359" t="str">
        <f>IFERROR(VLOOKUP($A200,#REF!,6,0),"")</f>
        <v/>
      </c>
      <c r="P200" s="359" t="str">
        <f>IFERROR(VLOOKUP($A200,#REF!,9,0),"")</f>
        <v/>
      </c>
      <c r="Q200" s="359" t="str">
        <f>IFERROR(VLOOKUP($A200,#REF!,10,0),"")</f>
        <v/>
      </c>
      <c r="R200" s="359" t="str">
        <f>IFERROR(VLOOKUP($A200,#REF!,11,0),"")</f>
        <v/>
      </c>
      <c r="S200" s="359" t="str">
        <f>IFERROR(VLOOKUP($A200,#REF!,13,0),"")</f>
        <v/>
      </c>
      <c r="T200" s="359" t="str">
        <f>IFERROR(VLOOKUP($A200,#REF!,14,0),"")</f>
        <v/>
      </c>
      <c r="U200" s="359" t="str">
        <f>IFERROR(VLOOKUP($A200,#REF!,15,0),"")</f>
        <v/>
      </c>
      <c r="V200" s="359" t="str">
        <f>IFERROR(VLOOKUP($A200,#REF!,16,0),"")</f>
        <v/>
      </c>
      <c r="W200" s="359" t="str">
        <f>IFERROR(VLOOKUP($A200,#REF!,17,0),"")</f>
        <v/>
      </c>
      <c r="X200" s="359" t="str">
        <f>IFERROR(VLOOKUP($A200,#REF!,18,0),"")</f>
        <v/>
      </c>
      <c r="Y200" s="359" t="str">
        <f>IFERROR(VLOOKUP($A200,#REF!,19,0),"")</f>
        <v/>
      </c>
      <c r="Z200" s="400" t="str">
        <f>IFERROR(VLOOKUP($A200,#REF!,21,0),"")</f>
        <v/>
      </c>
      <c r="AA200" s="359"/>
      <c r="AB200" s="359"/>
      <c r="AC200" s="359" t="s">
        <v>1076</v>
      </c>
      <c r="AD200" s="359" t="s">
        <v>3357</v>
      </c>
      <c r="AE200" s="358"/>
      <c r="AF200" s="141" t="s">
        <v>3077</v>
      </c>
      <c r="AG200" s="358" t="s">
        <v>2092</v>
      </c>
      <c r="AH200" s="358" t="s">
        <v>401</v>
      </c>
      <c r="AI200" s="359" t="s">
        <v>401</v>
      </c>
      <c r="AJ200" s="359" t="s">
        <v>401</v>
      </c>
      <c r="AK200" s="359"/>
      <c r="AL200" s="359"/>
      <c r="AM200" s="359"/>
      <c r="AN200" s="359" t="s">
        <v>32</v>
      </c>
      <c r="AO200" s="380" t="s">
        <v>30</v>
      </c>
      <c r="AP200" s="380">
        <v>46086</v>
      </c>
      <c r="AQ200" s="384" t="s">
        <v>28</v>
      </c>
      <c r="AR200" s="358" t="s">
        <v>32</v>
      </c>
      <c r="AS200" s="358">
        <v>2</v>
      </c>
      <c r="AT200" s="384" t="s">
        <v>28</v>
      </c>
      <c r="AU200" s="380">
        <v>46086</v>
      </c>
      <c r="AV200" s="100" t="s">
        <v>30</v>
      </c>
      <c r="AW200" s="100" t="s">
        <v>30</v>
      </c>
      <c r="AX200" s="95" t="s">
        <v>32</v>
      </c>
      <c r="AY200" s="95" t="s">
        <v>32</v>
      </c>
      <c r="AZ200" s="95" t="s">
        <v>32</v>
      </c>
      <c r="BA200" s="95" t="s">
        <v>32</v>
      </c>
      <c r="BB200" s="100" t="s">
        <v>30</v>
      </c>
      <c r="BC200" s="100" t="s">
        <v>30</v>
      </c>
      <c r="BD200" s="100" t="s">
        <v>30</v>
      </c>
      <c r="BE200" s="100" t="s">
        <v>30</v>
      </c>
      <c r="BF200" s="100" t="s">
        <v>30</v>
      </c>
      <c r="BG200" s="100" t="s">
        <v>30</v>
      </c>
      <c r="BH200" s="100" t="s">
        <v>30</v>
      </c>
      <c r="BI200" s="100" t="s">
        <v>30</v>
      </c>
      <c r="BJ200" s="100" t="s">
        <v>30</v>
      </c>
      <c r="BK200" s="100" t="s">
        <v>30</v>
      </c>
      <c r="BL200" s="360"/>
      <c r="BN200" s="412"/>
      <c r="BO200" s="412"/>
      <c r="BP200" s="412"/>
      <c r="BQ200" s="412"/>
      <c r="BR200" s="412"/>
      <c r="BZ200">
        <f t="shared" si="7"/>
        <v>1</v>
      </c>
    </row>
    <row r="201" spans="1:78" hidden="1">
      <c r="A201" s="35" t="str">
        <f t="shared" si="6"/>
        <v>M107/2646060</v>
      </c>
      <c r="C201" s="358" t="s">
        <v>24</v>
      </c>
      <c r="D201" s="358">
        <v>198</v>
      </c>
      <c r="E201" s="359" t="s">
        <v>3367</v>
      </c>
      <c r="F201" s="359" t="s">
        <v>34</v>
      </c>
      <c r="G201" s="400">
        <v>46060</v>
      </c>
      <c r="H201" s="359" t="s">
        <v>1611</v>
      </c>
      <c r="I201" s="359">
        <v>14</v>
      </c>
      <c r="J201" s="359" t="str">
        <f>IFERROR(VLOOKUP($A201,#REF!,3,0),"")</f>
        <v/>
      </c>
      <c r="K201" s="359" t="str">
        <f>IFERROR(VLOOKUP($A201,#REF!,4,0),AF201)</f>
        <v>INT</v>
      </c>
      <c r="L201" s="359" t="str">
        <f>IFERROR(VLOOKUP($A201,#REF!,5,0),"")</f>
        <v/>
      </c>
      <c r="M201" s="359" t="str">
        <f>IFERROR(VLOOKUP($A201,#REF!,7,0),"")</f>
        <v/>
      </c>
      <c r="N201" s="359"/>
      <c r="O201" s="359" t="str">
        <f>IFERROR(VLOOKUP($A201,#REF!,6,0),"")</f>
        <v/>
      </c>
      <c r="P201" s="359" t="str">
        <f>IFERROR(VLOOKUP($A201,#REF!,9,0),"")</f>
        <v/>
      </c>
      <c r="Q201" s="359" t="str">
        <f>IFERROR(VLOOKUP($A201,#REF!,10,0),"")</f>
        <v/>
      </c>
      <c r="R201" s="359" t="str">
        <f>IFERROR(VLOOKUP($A201,#REF!,11,0),"")</f>
        <v/>
      </c>
      <c r="S201" s="359" t="str">
        <f>IFERROR(VLOOKUP($A201,#REF!,13,0),"")</f>
        <v/>
      </c>
      <c r="T201" s="359" t="str">
        <f>IFERROR(VLOOKUP($A201,#REF!,14,0),"")</f>
        <v/>
      </c>
      <c r="U201" s="359" t="str">
        <f>IFERROR(VLOOKUP($A201,#REF!,15,0),"")</f>
        <v/>
      </c>
      <c r="V201" s="359" t="str">
        <f>IFERROR(VLOOKUP($A201,#REF!,16,0),"")</f>
        <v/>
      </c>
      <c r="W201" s="359" t="str">
        <f>IFERROR(VLOOKUP($A201,#REF!,17,0),"")</f>
        <v/>
      </c>
      <c r="X201" s="359" t="str">
        <f>IFERROR(VLOOKUP($A201,#REF!,18,0),"")</f>
        <v/>
      </c>
      <c r="Y201" s="359" t="str">
        <f>IFERROR(VLOOKUP($A201,#REF!,19,0),"")</f>
        <v/>
      </c>
      <c r="Z201" s="400" t="str">
        <f>IFERROR(VLOOKUP($A201,#REF!,21,0),"")</f>
        <v/>
      </c>
      <c r="AA201" s="359"/>
      <c r="AB201" s="359"/>
      <c r="AC201" s="359" t="s">
        <v>1721</v>
      </c>
      <c r="AD201" s="359" t="s">
        <v>1638</v>
      </c>
      <c r="AE201" s="102"/>
      <c r="AF201" s="141" t="s">
        <v>3077</v>
      </c>
      <c r="AG201" s="358" t="s">
        <v>2126</v>
      </c>
      <c r="AH201" s="358" t="s">
        <v>3356</v>
      </c>
      <c r="AI201" s="359" t="s">
        <v>3356</v>
      </c>
      <c r="AJ201" s="359" t="s">
        <v>2050</v>
      </c>
      <c r="AK201" s="359"/>
      <c r="AL201" s="359"/>
      <c r="AM201" s="359"/>
      <c r="AN201" s="359" t="s">
        <v>32</v>
      </c>
      <c r="AO201" s="380" t="s">
        <v>30</v>
      </c>
      <c r="AP201" s="380">
        <v>46083</v>
      </c>
      <c r="AQ201" s="384" t="s">
        <v>1638</v>
      </c>
      <c r="AR201" s="358" t="s">
        <v>32</v>
      </c>
      <c r="AS201" s="358">
        <v>11</v>
      </c>
      <c r="AT201" s="384" t="s">
        <v>1638</v>
      </c>
      <c r="AU201" s="380">
        <v>46083</v>
      </c>
      <c r="AV201" s="100" t="s">
        <v>30</v>
      </c>
      <c r="AW201" s="100" t="s">
        <v>30</v>
      </c>
      <c r="AX201" s="100" t="s">
        <v>30</v>
      </c>
      <c r="AY201" s="95"/>
      <c r="AZ201" s="95"/>
      <c r="BA201" s="100"/>
      <c r="BB201" s="100" t="s">
        <v>30</v>
      </c>
      <c r="BC201" s="100" t="s">
        <v>30</v>
      </c>
      <c r="BD201" s="100" t="s">
        <v>30</v>
      </c>
      <c r="BE201" s="100" t="s">
        <v>30</v>
      </c>
      <c r="BF201" s="100" t="s">
        <v>30</v>
      </c>
      <c r="BG201" s="100" t="s">
        <v>30</v>
      </c>
      <c r="BH201" s="100" t="s">
        <v>30</v>
      </c>
      <c r="BI201" s="100" t="s">
        <v>30</v>
      </c>
      <c r="BJ201" s="100" t="s">
        <v>30</v>
      </c>
      <c r="BK201" s="95"/>
      <c r="BL201" s="360" t="s">
        <v>3368</v>
      </c>
      <c r="BN201" s="412"/>
      <c r="BO201" s="412"/>
      <c r="BP201" s="412"/>
      <c r="BQ201" s="412"/>
      <c r="BR201" s="412"/>
      <c r="BZ201">
        <f t="shared" si="7"/>
        <v>1</v>
      </c>
    </row>
    <row r="202" spans="1:78" hidden="1">
      <c r="A202" s="35" t="str">
        <f t="shared" si="6"/>
        <v>M115/2646060</v>
      </c>
      <c r="C202" s="358" t="s">
        <v>24</v>
      </c>
      <c r="D202" s="358">
        <v>199</v>
      </c>
      <c r="E202" s="359" t="s">
        <v>3369</v>
      </c>
      <c r="F202" s="359" t="s">
        <v>606</v>
      </c>
      <c r="G202" s="400">
        <v>46060</v>
      </c>
      <c r="H202" s="359" t="s">
        <v>688</v>
      </c>
      <c r="I202" s="359">
        <v>12</v>
      </c>
      <c r="J202" s="359" t="str">
        <f>IFERROR(VLOOKUP($A202,#REF!,3,0),"")</f>
        <v/>
      </c>
      <c r="K202" s="359" t="str">
        <f>IFERROR(VLOOKUP($A202,#REF!,4,0),AF202)</f>
        <v>INT</v>
      </c>
      <c r="L202" s="359" t="str">
        <f>IFERROR(VLOOKUP($A202,#REF!,5,0),"")</f>
        <v/>
      </c>
      <c r="M202" s="359" t="str">
        <f>IFERROR(VLOOKUP($A202,#REF!,7,0),"")</f>
        <v/>
      </c>
      <c r="N202" s="359"/>
      <c r="O202" s="359" t="str">
        <f>IFERROR(VLOOKUP($A202,#REF!,6,0),"")</f>
        <v/>
      </c>
      <c r="P202" s="359" t="str">
        <f>IFERROR(VLOOKUP($A202,#REF!,9,0),"")</f>
        <v/>
      </c>
      <c r="Q202" s="359" t="str">
        <f>IFERROR(VLOOKUP($A202,#REF!,10,0),"")</f>
        <v/>
      </c>
      <c r="R202" s="359" t="str">
        <f>IFERROR(VLOOKUP($A202,#REF!,11,0),"")</f>
        <v/>
      </c>
      <c r="S202" s="359" t="str">
        <f>IFERROR(VLOOKUP($A202,#REF!,13,0),"")</f>
        <v/>
      </c>
      <c r="T202" s="359" t="str">
        <f>IFERROR(VLOOKUP($A202,#REF!,14,0),"")</f>
        <v/>
      </c>
      <c r="U202" s="359" t="str">
        <f>IFERROR(VLOOKUP($A202,#REF!,15,0),"")</f>
        <v/>
      </c>
      <c r="V202" s="359" t="str">
        <f>IFERROR(VLOOKUP($A202,#REF!,16,0),"")</f>
        <v/>
      </c>
      <c r="W202" s="359" t="str">
        <f>IFERROR(VLOOKUP($A202,#REF!,17,0),"")</f>
        <v/>
      </c>
      <c r="X202" s="359" t="str">
        <f>IFERROR(VLOOKUP($A202,#REF!,18,0),"")</f>
        <v/>
      </c>
      <c r="Y202" s="359" t="str">
        <f>IFERROR(VLOOKUP($A202,#REF!,19,0),"")</f>
        <v/>
      </c>
      <c r="Z202" s="400" t="str">
        <f>IFERROR(VLOOKUP($A202,#REF!,21,0),"")</f>
        <v/>
      </c>
      <c r="AA202" s="359"/>
      <c r="AB202" s="359"/>
      <c r="AC202" s="359" t="s">
        <v>1721</v>
      </c>
      <c r="AD202" s="359" t="s">
        <v>1638</v>
      </c>
      <c r="AE202" s="358"/>
      <c r="AF202" s="141" t="s">
        <v>3077</v>
      </c>
      <c r="AG202" s="358" t="s">
        <v>2123</v>
      </c>
      <c r="AH202" s="358" t="s">
        <v>3364</v>
      </c>
      <c r="AI202" s="359" t="s">
        <v>3356</v>
      </c>
      <c r="AJ202" s="359" t="s">
        <v>3370</v>
      </c>
      <c r="AK202" s="359"/>
      <c r="AL202" s="359"/>
      <c r="AM202" s="359"/>
      <c r="AN202" s="359" t="s">
        <v>32</v>
      </c>
      <c r="AO202" s="380" t="s">
        <v>30</v>
      </c>
      <c r="AP202" s="380">
        <v>46083</v>
      </c>
      <c r="AQ202" s="384" t="s">
        <v>1638</v>
      </c>
      <c r="AR202" s="358" t="s">
        <v>32</v>
      </c>
      <c r="AS202" s="358">
        <v>10</v>
      </c>
      <c r="AT202" s="384" t="s">
        <v>1638</v>
      </c>
      <c r="AU202" s="380">
        <v>46083</v>
      </c>
      <c r="AV202" s="100" t="s">
        <v>30</v>
      </c>
      <c r="AW202" s="100" t="s">
        <v>30</v>
      </c>
      <c r="AX202" s="100" t="s">
        <v>30</v>
      </c>
      <c r="AY202" s="95"/>
      <c r="AZ202" s="95"/>
      <c r="BA202" s="95"/>
      <c r="BB202" s="100" t="s">
        <v>30</v>
      </c>
      <c r="BC202" s="100" t="s">
        <v>30</v>
      </c>
      <c r="BD202" s="100" t="s">
        <v>30</v>
      </c>
      <c r="BE202" s="100" t="s">
        <v>30</v>
      </c>
      <c r="BF202" s="100" t="s">
        <v>30</v>
      </c>
      <c r="BG202" s="100" t="s">
        <v>30</v>
      </c>
      <c r="BH202" s="100"/>
      <c r="BI202" s="100"/>
      <c r="BJ202" s="100"/>
      <c r="BK202" s="95"/>
      <c r="BL202" s="360"/>
      <c r="BN202" s="412"/>
      <c r="BO202" s="412"/>
      <c r="BP202" s="412"/>
      <c r="BQ202" s="412"/>
      <c r="BR202" s="412"/>
      <c r="BZ202">
        <f t="shared" si="7"/>
        <v>1</v>
      </c>
    </row>
    <row r="203" spans="1:78" hidden="1">
      <c r="A203" s="35" t="str">
        <f t="shared" si="6"/>
        <v>M017/2646060</v>
      </c>
      <c r="C203" s="358" t="s">
        <v>24</v>
      </c>
      <c r="D203" s="358">
        <v>200</v>
      </c>
      <c r="E203" s="359" t="s">
        <v>3371</v>
      </c>
      <c r="F203" s="359" t="s">
        <v>178</v>
      </c>
      <c r="G203" s="400">
        <v>46060</v>
      </c>
      <c r="H203" s="359" t="s">
        <v>179</v>
      </c>
      <c r="I203" s="359">
        <v>14</v>
      </c>
      <c r="J203" s="359" t="str">
        <f>IFERROR(VLOOKUP($A203,#REF!,3,0),"")</f>
        <v/>
      </c>
      <c r="K203" s="359" t="str">
        <f>IFERROR(VLOOKUP($A203,#REF!,4,0),AF203)</f>
        <v>INT</v>
      </c>
      <c r="L203" s="359" t="str">
        <f>IFERROR(VLOOKUP($A203,#REF!,5,0),"")</f>
        <v/>
      </c>
      <c r="M203" s="359" t="str">
        <f>IFERROR(VLOOKUP($A203,#REF!,7,0),"")</f>
        <v/>
      </c>
      <c r="N203" s="359"/>
      <c r="O203" s="359" t="str">
        <f>IFERROR(VLOOKUP($A203,#REF!,6,0),"")</f>
        <v/>
      </c>
      <c r="P203" s="359" t="str">
        <f>IFERROR(VLOOKUP($A203,#REF!,9,0),"")</f>
        <v/>
      </c>
      <c r="Q203" s="359" t="str">
        <f>IFERROR(VLOOKUP($A203,#REF!,10,0),"")</f>
        <v/>
      </c>
      <c r="R203" s="359" t="str">
        <f>IFERROR(VLOOKUP($A203,#REF!,11,0),"")</f>
        <v/>
      </c>
      <c r="S203" s="359" t="str">
        <f>IFERROR(VLOOKUP($A203,#REF!,13,0),"")</f>
        <v/>
      </c>
      <c r="T203" s="359" t="str">
        <f>IFERROR(VLOOKUP($A203,#REF!,14,0),"")</f>
        <v/>
      </c>
      <c r="U203" s="359" t="str">
        <f>IFERROR(VLOOKUP($A203,#REF!,15,0),"")</f>
        <v/>
      </c>
      <c r="V203" s="359" t="str">
        <f>IFERROR(VLOOKUP($A203,#REF!,16,0),"")</f>
        <v/>
      </c>
      <c r="W203" s="359" t="str">
        <f>IFERROR(VLOOKUP($A203,#REF!,17,0),"")</f>
        <v/>
      </c>
      <c r="X203" s="359" t="str">
        <f>IFERROR(VLOOKUP($A203,#REF!,18,0),"")</f>
        <v/>
      </c>
      <c r="Y203" s="359" t="str">
        <f>IFERROR(VLOOKUP($A203,#REF!,19,0),"")</f>
        <v/>
      </c>
      <c r="Z203" s="400" t="str">
        <f>IFERROR(VLOOKUP($A203,#REF!,21,0),"")</f>
        <v/>
      </c>
      <c r="AA203" s="359"/>
      <c r="AB203" s="359"/>
      <c r="AC203" s="359" t="s">
        <v>1077</v>
      </c>
      <c r="AD203" s="359" t="s">
        <v>1138</v>
      </c>
      <c r="AE203" s="358"/>
      <c r="AF203" s="141" t="s">
        <v>3077</v>
      </c>
      <c r="AG203" s="358" t="s">
        <v>2108</v>
      </c>
      <c r="AH203" s="358" t="s">
        <v>3356</v>
      </c>
      <c r="AI203" s="359" t="s">
        <v>3363</v>
      </c>
      <c r="AJ203" s="359" t="s">
        <v>2050</v>
      </c>
      <c r="AK203" s="359"/>
      <c r="AL203" s="359"/>
      <c r="AM203" s="359"/>
      <c r="AN203" s="113" t="s">
        <v>32</v>
      </c>
      <c r="AO203" s="358" t="s">
        <v>30</v>
      </c>
      <c r="AP203" s="380">
        <v>46087</v>
      </c>
      <c r="AQ203" s="384" t="s">
        <v>1138</v>
      </c>
      <c r="AR203" s="358" t="s">
        <v>32</v>
      </c>
      <c r="AS203" s="358">
        <v>14</v>
      </c>
      <c r="AT203" s="384" t="s">
        <v>1138</v>
      </c>
      <c r="AU203" s="380">
        <v>46087</v>
      </c>
      <c r="AV203" s="100" t="s">
        <v>30</v>
      </c>
      <c r="AW203" s="100" t="s">
        <v>30</v>
      </c>
      <c r="AX203" s="100" t="s">
        <v>30</v>
      </c>
      <c r="AY203" s="100" t="s">
        <v>30</v>
      </c>
      <c r="AZ203" s="100" t="s">
        <v>30</v>
      </c>
      <c r="BA203" s="100" t="s">
        <v>30</v>
      </c>
      <c r="BB203" s="100" t="s">
        <v>30</v>
      </c>
      <c r="BC203" s="100" t="s">
        <v>30</v>
      </c>
      <c r="BD203" s="100" t="s">
        <v>30</v>
      </c>
      <c r="BE203" s="100" t="s">
        <v>30</v>
      </c>
      <c r="BF203" s="100" t="s">
        <v>30</v>
      </c>
      <c r="BG203" s="95"/>
      <c r="BH203" s="100" t="s">
        <v>30</v>
      </c>
      <c r="BI203" s="100" t="s">
        <v>30</v>
      </c>
      <c r="BJ203" s="100" t="s">
        <v>30</v>
      </c>
      <c r="BK203" s="95"/>
      <c r="BL203" s="360"/>
      <c r="BN203" s="412"/>
      <c r="BO203" s="412"/>
      <c r="BP203" s="412"/>
      <c r="BQ203" s="412"/>
      <c r="BR203" s="412"/>
      <c r="BZ203">
        <f t="shared" si="7"/>
        <v>1</v>
      </c>
    </row>
    <row r="204" spans="1:78" hidden="1">
      <c r="A204" s="35" t="str">
        <f t="shared" si="6"/>
        <v>053/2646062</v>
      </c>
      <c r="C204" s="358" t="s">
        <v>24</v>
      </c>
      <c r="D204" s="358">
        <v>201</v>
      </c>
      <c r="E204" s="359" t="s">
        <v>3372</v>
      </c>
      <c r="F204" s="359" t="s">
        <v>34</v>
      </c>
      <c r="G204" s="400">
        <v>46062</v>
      </c>
      <c r="H204" s="359" t="s">
        <v>324</v>
      </c>
      <c r="I204" s="359">
        <v>10</v>
      </c>
      <c r="J204" s="359" t="str">
        <f>IFERROR(VLOOKUP($A204,#REF!,3,0),"")</f>
        <v/>
      </c>
      <c r="K204" s="359" t="str">
        <f>IFERROR(VLOOKUP($A204,#REF!,4,0),AF204)</f>
        <v>INT</v>
      </c>
      <c r="L204" s="359" t="str">
        <f>IFERROR(VLOOKUP($A204,#REF!,5,0),"")</f>
        <v/>
      </c>
      <c r="M204" s="359" t="str">
        <f>IFERROR(VLOOKUP($A204,#REF!,7,0),"")</f>
        <v/>
      </c>
      <c r="N204" s="359"/>
      <c r="O204" s="359" t="str">
        <f>IFERROR(VLOOKUP($A204,#REF!,6,0),"")</f>
        <v/>
      </c>
      <c r="P204" s="359" t="str">
        <f>IFERROR(VLOOKUP($A204,#REF!,9,0),"")</f>
        <v/>
      </c>
      <c r="Q204" s="359" t="str">
        <f>IFERROR(VLOOKUP($A204,#REF!,10,0),"")</f>
        <v/>
      </c>
      <c r="R204" s="359" t="str">
        <f>IFERROR(VLOOKUP($A204,#REF!,11,0),"")</f>
        <v/>
      </c>
      <c r="S204" s="359" t="str">
        <f>IFERROR(VLOOKUP($A204,#REF!,13,0),"")</f>
        <v/>
      </c>
      <c r="T204" s="359" t="str">
        <f>IFERROR(VLOOKUP($A204,#REF!,14,0),"")</f>
        <v/>
      </c>
      <c r="U204" s="359" t="str">
        <f>IFERROR(VLOOKUP($A204,#REF!,15,0),"")</f>
        <v/>
      </c>
      <c r="V204" s="359" t="str">
        <f>IFERROR(VLOOKUP($A204,#REF!,16,0),"")</f>
        <v/>
      </c>
      <c r="W204" s="359" t="str">
        <f>IFERROR(VLOOKUP($A204,#REF!,17,0),"")</f>
        <v/>
      </c>
      <c r="X204" s="359" t="str">
        <f>IFERROR(VLOOKUP($A204,#REF!,18,0),"")</f>
        <v/>
      </c>
      <c r="Y204" s="359" t="str">
        <f>IFERROR(VLOOKUP($A204,#REF!,19,0),"")</f>
        <v/>
      </c>
      <c r="Z204" s="400" t="str">
        <f>IFERROR(VLOOKUP($A204,#REF!,21,0),"")</f>
        <v/>
      </c>
      <c r="AA204" s="359"/>
      <c r="AB204" s="359"/>
      <c r="AC204" s="359" t="s">
        <v>1721</v>
      </c>
      <c r="AD204" s="359" t="s">
        <v>1638</v>
      </c>
      <c r="AE204" s="358"/>
      <c r="AF204" s="141" t="s">
        <v>3077</v>
      </c>
      <c r="AG204" s="358" t="s">
        <v>2098</v>
      </c>
      <c r="AH204" s="358" t="s">
        <v>3364</v>
      </c>
      <c r="AI204" s="358" t="s">
        <v>3364</v>
      </c>
      <c r="AJ204" s="359" t="s">
        <v>2050</v>
      </c>
      <c r="AK204" s="359"/>
      <c r="AL204" s="359"/>
      <c r="AM204" s="359"/>
      <c r="AN204" s="359" t="s">
        <v>32</v>
      </c>
      <c r="AO204" s="358" t="s">
        <v>30</v>
      </c>
      <c r="AP204" s="380">
        <v>46085</v>
      </c>
      <c r="AQ204" s="384" t="s">
        <v>1638</v>
      </c>
      <c r="AR204" s="358" t="s">
        <v>32</v>
      </c>
      <c r="AS204" s="358">
        <v>10</v>
      </c>
      <c r="AT204" s="384" t="s">
        <v>1638</v>
      </c>
      <c r="AU204" s="380">
        <v>46085</v>
      </c>
      <c r="AV204" s="100" t="s">
        <v>30</v>
      </c>
      <c r="AW204" s="100" t="s">
        <v>30</v>
      </c>
      <c r="AX204" s="100" t="s">
        <v>30</v>
      </c>
      <c r="AY204" s="100"/>
      <c r="AZ204" s="100"/>
      <c r="BA204" s="100"/>
      <c r="BB204" s="100" t="s">
        <v>30</v>
      </c>
      <c r="BC204" s="100" t="s">
        <v>30</v>
      </c>
      <c r="BD204" s="100" t="s">
        <v>30</v>
      </c>
      <c r="BE204" s="100" t="s">
        <v>30</v>
      </c>
      <c r="BF204" s="100" t="s">
        <v>30</v>
      </c>
      <c r="BG204" s="114"/>
      <c r="BH204" s="100" t="s">
        <v>30</v>
      </c>
      <c r="BI204" s="100" t="s">
        <v>30</v>
      </c>
      <c r="BJ204" s="100" t="s">
        <v>30</v>
      </c>
      <c r="BK204" s="100" t="s">
        <v>30</v>
      </c>
      <c r="BL204" s="360"/>
      <c r="BN204" s="412"/>
      <c r="BO204" s="412"/>
      <c r="BP204" s="412"/>
      <c r="BQ204" s="412"/>
      <c r="BR204" s="412"/>
      <c r="BZ204">
        <f t="shared" si="7"/>
        <v>1</v>
      </c>
    </row>
    <row r="205" spans="1:78" hidden="1">
      <c r="A205" s="35" t="str">
        <f t="shared" si="6"/>
        <v>M090/2646062</v>
      </c>
      <c r="C205" s="358" t="s">
        <v>24</v>
      </c>
      <c r="D205" s="358">
        <v>202</v>
      </c>
      <c r="E205" s="359" t="s">
        <v>3373</v>
      </c>
      <c r="F205" s="359" t="s">
        <v>64</v>
      </c>
      <c r="G205" s="400">
        <v>46062</v>
      </c>
      <c r="H205" s="359" t="s">
        <v>202</v>
      </c>
      <c r="I205" s="359">
        <v>21</v>
      </c>
      <c r="J205" s="359" t="str">
        <f>IFERROR(VLOOKUP($A205,#REF!,3,0),"")</f>
        <v/>
      </c>
      <c r="K205" s="359" t="str">
        <f>IFERROR(VLOOKUP($A205,#REF!,4,0),AF205)</f>
        <v>EXT</v>
      </c>
      <c r="L205" s="359" t="str">
        <f>IFERROR(VLOOKUP($A205,#REF!,5,0),"")</f>
        <v/>
      </c>
      <c r="M205" s="359" t="str">
        <f>IFERROR(VLOOKUP($A205,#REF!,7,0),"")</f>
        <v/>
      </c>
      <c r="N205" s="359"/>
      <c r="O205" s="359" t="str">
        <f>IFERROR(VLOOKUP($A205,#REF!,6,0),"")</f>
        <v/>
      </c>
      <c r="P205" s="359" t="str">
        <f>IFERROR(VLOOKUP($A205,#REF!,9,0),"")</f>
        <v/>
      </c>
      <c r="Q205" s="359" t="str">
        <f>IFERROR(VLOOKUP($A205,#REF!,10,0),"")</f>
        <v/>
      </c>
      <c r="R205" s="359" t="str">
        <f>IFERROR(VLOOKUP($A205,#REF!,11,0),"")</f>
        <v/>
      </c>
      <c r="S205" s="359" t="str">
        <f>IFERROR(VLOOKUP($A205,#REF!,13,0),"")</f>
        <v/>
      </c>
      <c r="T205" s="359" t="str">
        <f>IFERROR(VLOOKUP($A205,#REF!,14,0),"")</f>
        <v/>
      </c>
      <c r="U205" s="359" t="str">
        <f>IFERROR(VLOOKUP($A205,#REF!,15,0),"")</f>
        <v/>
      </c>
      <c r="V205" s="359" t="str">
        <f>IFERROR(VLOOKUP($A205,#REF!,16,0),"")</f>
        <v/>
      </c>
      <c r="W205" s="359" t="str">
        <f>IFERROR(VLOOKUP($A205,#REF!,17,0),"")</f>
        <v/>
      </c>
      <c r="X205" s="359" t="str">
        <f>IFERROR(VLOOKUP($A205,#REF!,18,0),"")</f>
        <v/>
      </c>
      <c r="Y205" s="359" t="str">
        <f>IFERROR(VLOOKUP($A205,#REF!,19,0),"")</f>
        <v/>
      </c>
      <c r="Z205" s="400" t="str">
        <f>IFERROR(VLOOKUP($A205,#REF!,21,0),"")</f>
        <v/>
      </c>
      <c r="AA205" s="359"/>
      <c r="AB205" s="359"/>
      <c r="AC205" s="359" t="s">
        <v>3075</v>
      </c>
      <c r="AD205" s="359" t="s">
        <v>47</v>
      </c>
      <c r="AE205" s="358"/>
      <c r="AF205" s="141" t="s">
        <v>3082</v>
      </c>
      <c r="AG205" s="358" t="s">
        <v>2056</v>
      </c>
      <c r="AH205" s="358" t="s">
        <v>3364</v>
      </c>
      <c r="AI205" s="359" t="s">
        <v>3364</v>
      </c>
      <c r="AJ205" s="359" t="s">
        <v>2058</v>
      </c>
      <c r="AK205" s="359"/>
      <c r="AL205" s="359"/>
      <c r="AM205" s="359"/>
      <c r="AN205" s="130" t="s">
        <v>2863</v>
      </c>
      <c r="AO205" s="380" t="s">
        <v>30</v>
      </c>
      <c r="AP205" s="380">
        <v>46092</v>
      </c>
      <c r="AQ205" s="384" t="s">
        <v>47</v>
      </c>
      <c r="AR205" s="358" t="s">
        <v>32</v>
      </c>
      <c r="AS205" s="358">
        <v>21</v>
      </c>
      <c r="AT205" s="384" t="s">
        <v>47</v>
      </c>
      <c r="AU205" s="380">
        <v>46092</v>
      </c>
      <c r="AV205" s="100" t="s">
        <v>30</v>
      </c>
      <c r="AW205" s="100" t="s">
        <v>30</v>
      </c>
      <c r="AX205" s="82" t="s">
        <v>30</v>
      </c>
      <c r="AY205" s="100" t="s">
        <v>30</v>
      </c>
      <c r="AZ205" s="100" t="s">
        <v>30</v>
      </c>
      <c r="BA205" s="100" t="s">
        <v>30</v>
      </c>
      <c r="BB205" s="100" t="s">
        <v>30</v>
      </c>
      <c r="BC205" s="100" t="s">
        <v>30</v>
      </c>
      <c r="BD205" s="100" t="s">
        <v>30</v>
      </c>
      <c r="BE205" s="100" t="s">
        <v>30</v>
      </c>
      <c r="BF205" s="100" t="s">
        <v>30</v>
      </c>
      <c r="BG205" s="100" t="s">
        <v>30</v>
      </c>
      <c r="BH205" s="100" t="s">
        <v>30</v>
      </c>
      <c r="BI205" s="100" t="s">
        <v>30</v>
      </c>
      <c r="BJ205" s="100" t="s">
        <v>30</v>
      </c>
      <c r="BK205" s="100" t="s">
        <v>30</v>
      </c>
      <c r="BL205" s="100" t="s">
        <v>30</v>
      </c>
      <c r="BN205" s="412"/>
      <c r="BO205" s="412"/>
      <c r="BP205" s="412"/>
      <c r="BQ205" s="412"/>
      <c r="BR205" s="412"/>
      <c r="BZ205">
        <f t="shared" si="7"/>
        <v>1</v>
      </c>
    </row>
    <row r="206" spans="1:78" hidden="1">
      <c r="A206" s="35" t="str">
        <f t="shared" si="6"/>
        <v>M013/2646063</v>
      </c>
      <c r="C206" s="358" t="s">
        <v>24</v>
      </c>
      <c r="D206" s="358">
        <v>203</v>
      </c>
      <c r="E206" s="359" t="s">
        <v>3374</v>
      </c>
      <c r="F206" s="359" t="s">
        <v>64</v>
      </c>
      <c r="G206" s="400">
        <v>46063</v>
      </c>
      <c r="H206" s="359" t="s">
        <v>39</v>
      </c>
      <c r="I206" s="359">
        <v>10</v>
      </c>
      <c r="J206" s="359" t="str">
        <f>IFERROR(VLOOKUP($A206,#REF!,3,0),"")</f>
        <v/>
      </c>
      <c r="K206" s="359" t="str">
        <f>IFERROR(VLOOKUP($A206,#REF!,4,0),AF206)</f>
        <v>INT</v>
      </c>
      <c r="L206" s="359" t="str">
        <f>IFERROR(VLOOKUP($A206,#REF!,5,0),"")</f>
        <v/>
      </c>
      <c r="M206" s="359" t="str">
        <f>IFERROR(VLOOKUP($A206,#REF!,7,0),"")</f>
        <v/>
      </c>
      <c r="N206" s="359"/>
      <c r="O206" s="359" t="str">
        <f>IFERROR(VLOOKUP($A206,#REF!,6,0),"")</f>
        <v/>
      </c>
      <c r="P206" s="359" t="str">
        <f>IFERROR(VLOOKUP($A206,#REF!,9,0),"")</f>
        <v/>
      </c>
      <c r="Q206" s="359" t="str">
        <f>IFERROR(VLOOKUP($A206,#REF!,10,0),"")</f>
        <v/>
      </c>
      <c r="R206" s="359" t="str">
        <f>IFERROR(VLOOKUP($A206,#REF!,11,0),"")</f>
        <v/>
      </c>
      <c r="S206" s="359" t="str">
        <f>IFERROR(VLOOKUP($A206,#REF!,13,0),"")</f>
        <v/>
      </c>
      <c r="T206" s="359" t="str">
        <f>IFERROR(VLOOKUP($A206,#REF!,14,0),"")</f>
        <v/>
      </c>
      <c r="U206" s="359" t="str">
        <f>IFERROR(VLOOKUP($A206,#REF!,15,0),"")</f>
        <v/>
      </c>
      <c r="V206" s="359" t="str">
        <f>IFERROR(VLOOKUP($A206,#REF!,16,0),"")</f>
        <v/>
      </c>
      <c r="W206" s="359" t="str">
        <f>IFERROR(VLOOKUP($A206,#REF!,17,0),"")</f>
        <v/>
      </c>
      <c r="X206" s="359" t="str">
        <f>IFERROR(VLOOKUP($A206,#REF!,18,0),"")</f>
        <v/>
      </c>
      <c r="Y206" s="359" t="str">
        <f>IFERROR(VLOOKUP($A206,#REF!,19,0),"")</f>
        <v/>
      </c>
      <c r="Z206" s="400" t="str">
        <f>IFERROR(VLOOKUP($A206,#REF!,21,0),"")</f>
        <v/>
      </c>
      <c r="AA206" s="359"/>
      <c r="AB206" s="359"/>
      <c r="AC206" s="359" t="s">
        <v>1721</v>
      </c>
      <c r="AD206" s="359" t="s">
        <v>1638</v>
      </c>
      <c r="AE206" s="358"/>
      <c r="AF206" s="141" t="s">
        <v>3077</v>
      </c>
      <c r="AG206" s="358" t="s">
        <v>2102</v>
      </c>
      <c r="AH206" s="358" t="s">
        <v>3375</v>
      </c>
      <c r="AI206" s="359" t="s">
        <v>3375</v>
      </c>
      <c r="AJ206" s="359" t="s">
        <v>2050</v>
      </c>
      <c r="AK206" s="359"/>
      <c r="AL206" s="359"/>
      <c r="AM206" s="359"/>
      <c r="AN206" s="359" t="s">
        <v>32</v>
      </c>
      <c r="AO206" s="358" t="s">
        <v>30</v>
      </c>
      <c r="AP206" s="380">
        <v>46086</v>
      </c>
      <c r="AQ206" s="384" t="s">
        <v>1638</v>
      </c>
      <c r="AR206" s="358" t="s">
        <v>32</v>
      </c>
      <c r="AS206" s="358">
        <v>10</v>
      </c>
      <c r="AT206" s="384" t="s">
        <v>1638</v>
      </c>
      <c r="AU206" s="380">
        <v>46086</v>
      </c>
      <c r="AV206" s="100" t="s">
        <v>30</v>
      </c>
      <c r="AW206" s="94" t="s">
        <v>30</v>
      </c>
      <c r="AX206" s="94" t="s">
        <v>30</v>
      </c>
      <c r="AY206" s="95"/>
      <c r="AZ206" s="95"/>
      <c r="BA206" s="95"/>
      <c r="BB206" s="100" t="s">
        <v>30</v>
      </c>
      <c r="BC206" s="100" t="s">
        <v>30</v>
      </c>
      <c r="BD206" s="100" t="s">
        <v>30</v>
      </c>
      <c r="BE206" s="100" t="s">
        <v>30</v>
      </c>
      <c r="BF206" s="100" t="s">
        <v>30</v>
      </c>
      <c r="BG206" s="114"/>
      <c r="BH206" s="94"/>
      <c r="BI206" s="94"/>
      <c r="BJ206" s="94"/>
      <c r="BK206" s="95"/>
      <c r="BL206" s="360"/>
      <c r="BN206" s="412"/>
      <c r="BO206" s="412"/>
      <c r="BP206" s="412"/>
      <c r="BQ206" s="412"/>
      <c r="BR206" s="412"/>
      <c r="BZ206">
        <f t="shared" si="7"/>
        <v>1</v>
      </c>
    </row>
    <row r="207" spans="1:78" hidden="1">
      <c r="A207" s="35" t="str">
        <f t="shared" si="6"/>
        <v>M101/2646063</v>
      </c>
      <c r="C207" s="358" t="s">
        <v>24</v>
      </c>
      <c r="D207" s="358">
        <v>204</v>
      </c>
      <c r="E207" s="359" t="s">
        <v>3376</v>
      </c>
      <c r="F207" s="359" t="s">
        <v>882</v>
      </c>
      <c r="G207" s="400">
        <v>46063</v>
      </c>
      <c r="H207" s="359" t="s">
        <v>3350</v>
      </c>
      <c r="I207" s="359">
        <v>12</v>
      </c>
      <c r="J207" s="359" t="str">
        <f>IFERROR(VLOOKUP($A207,#REF!,3,0),"")</f>
        <v/>
      </c>
      <c r="K207" s="359" t="str">
        <f>IFERROR(VLOOKUP($A207,#REF!,4,0),AF207)</f>
        <v>EXT</v>
      </c>
      <c r="L207" s="359" t="str">
        <f>IFERROR(VLOOKUP($A207,#REF!,5,0),"")</f>
        <v/>
      </c>
      <c r="M207" s="359" t="str">
        <f>IFERROR(VLOOKUP($A207,#REF!,7,0),"")</f>
        <v/>
      </c>
      <c r="N207" s="359"/>
      <c r="O207" s="359" t="str">
        <f>IFERROR(VLOOKUP($A207,#REF!,6,0),"")</f>
        <v/>
      </c>
      <c r="P207" s="359" t="str">
        <f>IFERROR(VLOOKUP($A207,#REF!,9,0),"")</f>
        <v/>
      </c>
      <c r="Q207" s="359" t="str">
        <f>IFERROR(VLOOKUP($A207,#REF!,10,0),"")</f>
        <v/>
      </c>
      <c r="R207" s="359" t="str">
        <f>IFERROR(VLOOKUP($A207,#REF!,11,0),"")</f>
        <v/>
      </c>
      <c r="S207" s="359" t="str">
        <f>IFERROR(VLOOKUP($A207,#REF!,13,0),"")</f>
        <v/>
      </c>
      <c r="T207" s="359" t="str">
        <f>IFERROR(VLOOKUP($A207,#REF!,14,0),"")</f>
        <v/>
      </c>
      <c r="U207" s="359" t="str">
        <f>IFERROR(VLOOKUP($A207,#REF!,15,0),"")</f>
        <v/>
      </c>
      <c r="V207" s="359" t="str">
        <f>IFERROR(VLOOKUP($A207,#REF!,16,0),"")</f>
        <v/>
      </c>
      <c r="W207" s="359" t="str">
        <f>IFERROR(VLOOKUP($A207,#REF!,17,0),"")</f>
        <v/>
      </c>
      <c r="X207" s="359" t="str">
        <f>IFERROR(VLOOKUP($A207,#REF!,18,0),"")</f>
        <v/>
      </c>
      <c r="Y207" s="359" t="str">
        <f>IFERROR(VLOOKUP($A207,#REF!,19,0),"")</f>
        <v/>
      </c>
      <c r="Z207" s="400" t="str">
        <f>IFERROR(VLOOKUP($A207,#REF!,21,0),"")</f>
        <v/>
      </c>
      <c r="AA207" s="359"/>
      <c r="AB207" s="359"/>
      <c r="AC207" s="359" t="s">
        <v>1077</v>
      </c>
      <c r="AD207" s="359" t="s">
        <v>1138</v>
      </c>
      <c r="AE207" s="93" t="s">
        <v>3377</v>
      </c>
      <c r="AF207" s="141" t="s">
        <v>3082</v>
      </c>
      <c r="AG207" s="358" t="s">
        <v>2640</v>
      </c>
      <c r="AH207" s="358" t="s">
        <v>3364</v>
      </c>
      <c r="AI207" s="359" t="s">
        <v>3364</v>
      </c>
      <c r="AJ207" s="359" t="s">
        <v>2083</v>
      </c>
      <c r="AK207" s="359"/>
      <c r="AL207" s="359"/>
      <c r="AM207" s="359"/>
      <c r="AN207" s="359" t="s">
        <v>32</v>
      </c>
      <c r="AO207" s="380"/>
      <c r="AP207" s="380"/>
      <c r="AQ207" s="384" t="s">
        <v>1138</v>
      </c>
      <c r="AR207" s="358"/>
      <c r="AS207" s="358"/>
      <c r="AT207" s="384"/>
      <c r="AU207" s="380">
        <v>46112</v>
      </c>
      <c r="AV207" s="95" t="s">
        <v>32</v>
      </c>
      <c r="AW207" s="100" t="s">
        <v>30</v>
      </c>
      <c r="AX207" s="95" t="s">
        <v>32</v>
      </c>
      <c r="AY207" s="100" t="s">
        <v>30</v>
      </c>
      <c r="AZ207" s="100" t="s">
        <v>30</v>
      </c>
      <c r="BA207" s="100" t="s">
        <v>30</v>
      </c>
      <c r="BB207" s="100" t="s">
        <v>30</v>
      </c>
      <c r="BC207" s="100" t="s">
        <v>30</v>
      </c>
      <c r="BD207" s="100" t="s">
        <v>30</v>
      </c>
      <c r="BE207" s="100" t="s">
        <v>30</v>
      </c>
      <c r="BF207" s="100" t="s">
        <v>30</v>
      </c>
      <c r="BG207" s="100" t="s">
        <v>30</v>
      </c>
      <c r="BH207" s="100" t="s">
        <v>30</v>
      </c>
      <c r="BI207" s="100" t="s">
        <v>30</v>
      </c>
      <c r="BJ207" s="100" t="s">
        <v>30</v>
      </c>
      <c r="BK207" s="100" t="s">
        <v>30</v>
      </c>
      <c r="BL207" s="360"/>
      <c r="BN207" s="412"/>
      <c r="BO207" s="412"/>
      <c r="BP207" s="412"/>
      <c r="BQ207" s="412"/>
      <c r="BR207" s="412"/>
      <c r="BZ207">
        <f t="shared" si="7"/>
        <v>1</v>
      </c>
    </row>
    <row r="208" spans="1:78" hidden="1">
      <c r="A208" s="35" t="str">
        <f t="shared" si="6"/>
        <v>M137/2646063</v>
      </c>
      <c r="C208" s="358" t="s">
        <v>24</v>
      </c>
      <c r="D208" s="358">
        <v>205</v>
      </c>
      <c r="E208" s="359" t="s">
        <v>3378</v>
      </c>
      <c r="F208" s="359" t="s">
        <v>34</v>
      </c>
      <c r="G208" s="400">
        <v>46063</v>
      </c>
      <c r="H208" s="359" t="s">
        <v>1749</v>
      </c>
      <c r="I208" s="359">
        <v>12</v>
      </c>
      <c r="J208" s="359" t="str">
        <f>IFERROR(VLOOKUP($A208,#REF!,3,0),"")</f>
        <v/>
      </c>
      <c r="K208" s="359" t="str">
        <f>IFERROR(VLOOKUP($A208,#REF!,4,0),AF208)</f>
        <v>INT</v>
      </c>
      <c r="L208" s="359" t="str">
        <f>IFERROR(VLOOKUP($A208,#REF!,5,0),"")</f>
        <v/>
      </c>
      <c r="M208" s="359" t="str">
        <f>IFERROR(VLOOKUP($A208,#REF!,7,0),"")</f>
        <v/>
      </c>
      <c r="N208" s="359"/>
      <c r="O208" s="359" t="str">
        <f>IFERROR(VLOOKUP($A208,#REF!,6,0),"")</f>
        <v/>
      </c>
      <c r="P208" s="359" t="str">
        <f>IFERROR(VLOOKUP($A208,#REF!,9,0),"")</f>
        <v/>
      </c>
      <c r="Q208" s="359" t="str">
        <f>IFERROR(VLOOKUP($A208,#REF!,10,0),"")</f>
        <v/>
      </c>
      <c r="R208" s="359" t="str">
        <f>IFERROR(VLOOKUP($A208,#REF!,11,0),"")</f>
        <v/>
      </c>
      <c r="S208" s="359" t="str">
        <f>IFERROR(VLOOKUP($A208,#REF!,13,0),"")</f>
        <v/>
      </c>
      <c r="T208" s="359" t="str">
        <f>IFERROR(VLOOKUP($A208,#REF!,14,0),"")</f>
        <v/>
      </c>
      <c r="U208" s="359" t="str">
        <f>IFERROR(VLOOKUP($A208,#REF!,15,0),"")</f>
        <v/>
      </c>
      <c r="V208" s="359" t="str">
        <f>IFERROR(VLOOKUP($A208,#REF!,16,0),"")</f>
        <v/>
      </c>
      <c r="W208" s="359" t="str">
        <f>IFERROR(VLOOKUP($A208,#REF!,17,0),"")</f>
        <v/>
      </c>
      <c r="X208" s="359" t="str">
        <f>IFERROR(VLOOKUP($A208,#REF!,18,0),"")</f>
        <v/>
      </c>
      <c r="Y208" s="359" t="str">
        <f>IFERROR(VLOOKUP($A208,#REF!,19,0),"")</f>
        <v/>
      </c>
      <c r="Z208" s="400" t="str">
        <f>IFERROR(VLOOKUP($A208,#REF!,21,0),"")</f>
        <v/>
      </c>
      <c r="AA208" s="359"/>
      <c r="AB208" s="359"/>
      <c r="AC208" s="359" t="s">
        <v>127</v>
      </c>
      <c r="AD208" s="359" t="s">
        <v>28</v>
      </c>
      <c r="AE208" s="358"/>
      <c r="AF208" s="141" t="s">
        <v>3077</v>
      </c>
      <c r="AG208" s="358" t="s">
        <v>2180</v>
      </c>
      <c r="AH208" s="358" t="s">
        <v>3379</v>
      </c>
      <c r="AI208" s="359" t="s">
        <v>3379</v>
      </c>
      <c r="AJ208" s="359" t="s">
        <v>2050</v>
      </c>
      <c r="AK208" s="359"/>
      <c r="AL208" s="359"/>
      <c r="AM208" s="359"/>
      <c r="AN208" s="359" t="s">
        <v>32</v>
      </c>
      <c r="AO208" s="380" t="s">
        <v>30</v>
      </c>
      <c r="AP208" s="380">
        <v>46087</v>
      </c>
      <c r="AQ208" s="384" t="s">
        <v>28</v>
      </c>
      <c r="AR208" s="358" t="s">
        <v>32</v>
      </c>
      <c r="AS208" s="358">
        <v>7</v>
      </c>
      <c r="AT208" s="384" t="s">
        <v>28</v>
      </c>
      <c r="AU208" s="380">
        <v>46087</v>
      </c>
      <c r="AV208" s="100" t="s">
        <v>30</v>
      </c>
      <c r="AW208" s="100" t="s">
        <v>30</v>
      </c>
      <c r="AX208" s="95" t="s">
        <v>32</v>
      </c>
      <c r="AY208" s="95" t="s">
        <v>32</v>
      </c>
      <c r="AZ208" s="95" t="s">
        <v>32</v>
      </c>
      <c r="BA208" s="95" t="s">
        <v>32</v>
      </c>
      <c r="BB208" s="100" t="s">
        <v>30</v>
      </c>
      <c r="BC208" s="100" t="s">
        <v>30</v>
      </c>
      <c r="BD208" s="100" t="s">
        <v>30</v>
      </c>
      <c r="BE208" s="100" t="s">
        <v>30</v>
      </c>
      <c r="BF208" s="100" t="s">
        <v>30</v>
      </c>
      <c r="BG208" s="100" t="s">
        <v>30</v>
      </c>
      <c r="BH208" s="100" t="s">
        <v>30</v>
      </c>
      <c r="BI208" s="100" t="s">
        <v>30</v>
      </c>
      <c r="BJ208" s="100" t="s">
        <v>30</v>
      </c>
      <c r="BK208" s="100" t="s">
        <v>30</v>
      </c>
      <c r="BL208" s="360"/>
      <c r="BN208" s="412"/>
      <c r="BO208" s="412"/>
      <c r="BP208" s="412"/>
      <c r="BQ208" s="412"/>
      <c r="BR208" s="412"/>
      <c r="BZ208">
        <f t="shared" si="7"/>
        <v>1</v>
      </c>
    </row>
    <row r="209" spans="1:78" hidden="1">
      <c r="A209" s="35" t="str">
        <f t="shared" si="6"/>
        <v>048/2646064</v>
      </c>
      <c r="C209" s="358" t="s">
        <v>24</v>
      </c>
      <c r="D209" s="358">
        <v>206</v>
      </c>
      <c r="E209" s="359" t="s">
        <v>3380</v>
      </c>
      <c r="F209" s="359" t="s">
        <v>34</v>
      </c>
      <c r="G209" s="400">
        <v>46064</v>
      </c>
      <c r="H209" s="359" t="s">
        <v>324</v>
      </c>
      <c r="I209" s="359">
        <v>12</v>
      </c>
      <c r="J209" s="359" t="str">
        <f>IFERROR(VLOOKUP($A209,#REF!,3,0),"")</f>
        <v/>
      </c>
      <c r="K209" s="359" t="str">
        <f>IFERROR(VLOOKUP($A209,#REF!,4,0),AF209)</f>
        <v>INT</v>
      </c>
      <c r="L209" s="359" t="str">
        <f>IFERROR(VLOOKUP($A209,#REF!,5,0),"")</f>
        <v/>
      </c>
      <c r="M209" s="359" t="str">
        <f>IFERROR(VLOOKUP($A209,#REF!,7,0),"")</f>
        <v/>
      </c>
      <c r="N209" s="359"/>
      <c r="O209" s="359" t="str">
        <f>IFERROR(VLOOKUP($A209,#REF!,6,0),"")</f>
        <v/>
      </c>
      <c r="P209" s="359" t="str">
        <f>IFERROR(VLOOKUP($A209,#REF!,9,0),"")</f>
        <v/>
      </c>
      <c r="Q209" s="359" t="str">
        <f>IFERROR(VLOOKUP($A209,#REF!,10,0),"")</f>
        <v/>
      </c>
      <c r="R209" s="359" t="str">
        <f>IFERROR(VLOOKUP($A209,#REF!,11,0),"")</f>
        <v/>
      </c>
      <c r="S209" s="359" t="str">
        <f>IFERROR(VLOOKUP($A209,#REF!,13,0),"")</f>
        <v/>
      </c>
      <c r="T209" s="359" t="str">
        <f>IFERROR(VLOOKUP($A209,#REF!,14,0),"")</f>
        <v/>
      </c>
      <c r="U209" s="359" t="str">
        <f>IFERROR(VLOOKUP($A209,#REF!,15,0),"")</f>
        <v/>
      </c>
      <c r="V209" s="359" t="str">
        <f>IFERROR(VLOOKUP($A209,#REF!,16,0),"")</f>
        <v/>
      </c>
      <c r="W209" s="359" t="str">
        <f>IFERROR(VLOOKUP($A209,#REF!,17,0),"")</f>
        <v/>
      </c>
      <c r="X209" s="359" t="str">
        <f>IFERROR(VLOOKUP($A209,#REF!,18,0),"")</f>
        <v/>
      </c>
      <c r="Y209" s="359" t="str">
        <f>IFERROR(VLOOKUP($A209,#REF!,19,0),"")</f>
        <v/>
      </c>
      <c r="Z209" s="400" t="str">
        <f>IFERROR(VLOOKUP($A209,#REF!,21,0),"")</f>
        <v/>
      </c>
      <c r="AA209" s="359"/>
      <c r="AB209" s="359"/>
      <c r="AC209" s="359" t="s">
        <v>1076</v>
      </c>
      <c r="AD209" s="358" t="s">
        <v>3357</v>
      </c>
      <c r="AE209" s="102"/>
      <c r="AF209" s="141" t="s">
        <v>3077</v>
      </c>
      <c r="AG209" s="358" t="s">
        <v>2123</v>
      </c>
      <c r="AH209" s="358" t="s">
        <v>3375</v>
      </c>
      <c r="AI209" s="359" t="s">
        <v>3375</v>
      </c>
      <c r="AJ209" s="359" t="s">
        <v>2050</v>
      </c>
      <c r="AK209" s="359"/>
      <c r="AL209" s="359"/>
      <c r="AM209" s="359"/>
      <c r="AN209" s="359" t="s">
        <v>32</v>
      </c>
      <c r="AO209" s="358" t="s">
        <v>30</v>
      </c>
      <c r="AP209" s="380">
        <v>46084</v>
      </c>
      <c r="AQ209" s="384" t="s">
        <v>3357</v>
      </c>
      <c r="AR209" s="358" t="s">
        <v>32</v>
      </c>
      <c r="AS209" s="358">
        <v>12</v>
      </c>
      <c r="AT209" s="384" t="s">
        <v>3357</v>
      </c>
      <c r="AU209" s="380">
        <v>46084</v>
      </c>
      <c r="AV209" s="100" t="s">
        <v>30</v>
      </c>
      <c r="AW209" s="100" t="s">
        <v>30</v>
      </c>
      <c r="AX209" s="100" t="s">
        <v>30</v>
      </c>
      <c r="AY209" s="95"/>
      <c r="AZ209" s="95"/>
      <c r="BA209" s="95"/>
      <c r="BB209" s="100" t="s">
        <v>30</v>
      </c>
      <c r="BC209" s="100" t="s">
        <v>30</v>
      </c>
      <c r="BD209" s="100" t="s">
        <v>30</v>
      </c>
      <c r="BE209" s="100" t="s">
        <v>30</v>
      </c>
      <c r="BF209" s="100" t="s">
        <v>30</v>
      </c>
      <c r="BG209" s="114"/>
      <c r="BH209" s="100" t="s">
        <v>30</v>
      </c>
      <c r="BI209" s="100" t="s">
        <v>30</v>
      </c>
      <c r="BJ209" s="100" t="s">
        <v>30</v>
      </c>
      <c r="BK209" s="95"/>
      <c r="BL209" s="360"/>
      <c r="BN209" s="412"/>
      <c r="BO209" s="412"/>
      <c r="BP209" s="412"/>
      <c r="BQ209" s="412"/>
      <c r="BR209" s="412"/>
      <c r="BZ209">
        <f t="shared" si="7"/>
        <v>1</v>
      </c>
    </row>
    <row r="210" spans="1:78" hidden="1">
      <c r="A210" s="35" t="str">
        <f t="shared" si="6"/>
        <v>M113/2646065</v>
      </c>
      <c r="C210" s="358" t="s">
        <v>24</v>
      </c>
      <c r="D210" s="358">
        <v>207</v>
      </c>
      <c r="E210" s="359" t="s">
        <v>3381</v>
      </c>
      <c r="F210" s="359" t="s">
        <v>3382</v>
      </c>
      <c r="G210" s="400">
        <v>46065</v>
      </c>
      <c r="H210" s="359" t="s">
        <v>395</v>
      </c>
      <c r="I210" s="359">
        <v>9</v>
      </c>
      <c r="J210" s="359" t="str">
        <f>IFERROR(VLOOKUP($A210,#REF!,3,0),"")</f>
        <v/>
      </c>
      <c r="K210" s="359" t="str">
        <f>IFERROR(VLOOKUP($A210,#REF!,4,0),AF210)</f>
        <v>EXT</v>
      </c>
      <c r="L210" s="359" t="str">
        <f>IFERROR(VLOOKUP($A210,#REF!,5,0),"")</f>
        <v/>
      </c>
      <c r="M210" s="359" t="str">
        <f>IFERROR(VLOOKUP($A210,#REF!,7,0),"")</f>
        <v/>
      </c>
      <c r="N210" s="359"/>
      <c r="O210" s="359" t="str">
        <f>IFERROR(VLOOKUP($A210,#REF!,6,0),"")</f>
        <v/>
      </c>
      <c r="P210" s="359" t="str">
        <f>IFERROR(VLOOKUP($A210,#REF!,9,0),"")</f>
        <v/>
      </c>
      <c r="Q210" s="359" t="str">
        <f>IFERROR(VLOOKUP($A210,#REF!,10,0),"")</f>
        <v/>
      </c>
      <c r="R210" s="359" t="str">
        <f>IFERROR(VLOOKUP($A210,#REF!,11,0),"")</f>
        <v/>
      </c>
      <c r="S210" s="359" t="str">
        <f>IFERROR(VLOOKUP($A210,#REF!,13,0),"")</f>
        <v/>
      </c>
      <c r="T210" s="359" t="str">
        <f>IFERROR(VLOOKUP($A210,#REF!,14,0),"")</f>
        <v/>
      </c>
      <c r="U210" s="359" t="str">
        <f>IFERROR(VLOOKUP($A210,#REF!,15,0),"")</f>
        <v/>
      </c>
      <c r="V210" s="359" t="str">
        <f>IFERROR(VLOOKUP($A210,#REF!,16,0),"")</f>
        <v/>
      </c>
      <c r="W210" s="359" t="str">
        <f>IFERROR(VLOOKUP($A210,#REF!,17,0),"")</f>
        <v/>
      </c>
      <c r="X210" s="359" t="str">
        <f>IFERROR(VLOOKUP($A210,#REF!,18,0),"")</f>
        <v/>
      </c>
      <c r="Y210" s="359" t="str">
        <f>IFERROR(VLOOKUP($A210,#REF!,19,0),"")</f>
        <v/>
      </c>
      <c r="Z210" s="400" t="str">
        <f>IFERROR(VLOOKUP($A210,#REF!,21,0),"")</f>
        <v/>
      </c>
      <c r="AA210" s="359"/>
      <c r="AB210" s="359"/>
      <c r="AC210" s="359" t="s">
        <v>3075</v>
      </c>
      <c r="AD210" s="359" t="s">
        <v>47</v>
      </c>
      <c r="AE210" s="93"/>
      <c r="AF210" s="141" t="s">
        <v>3082</v>
      </c>
      <c r="AG210" s="358" t="s">
        <v>2056</v>
      </c>
      <c r="AH210" s="358" t="s">
        <v>3383</v>
      </c>
      <c r="AI210" s="359" t="s">
        <v>3383</v>
      </c>
      <c r="AJ210" s="359" t="s">
        <v>2058</v>
      </c>
      <c r="AK210" s="359"/>
      <c r="AL210" s="359"/>
      <c r="AM210" s="359"/>
      <c r="AN210" s="359" t="s">
        <v>32</v>
      </c>
      <c r="AO210" s="380" t="s">
        <v>30</v>
      </c>
      <c r="AP210" s="380">
        <v>46106</v>
      </c>
      <c r="AQ210" s="384" t="s">
        <v>47</v>
      </c>
      <c r="AR210" s="358" t="s">
        <v>32</v>
      </c>
      <c r="AS210" s="358">
        <v>8</v>
      </c>
      <c r="AT210" s="384" t="s">
        <v>47</v>
      </c>
      <c r="AU210" s="380">
        <v>46106</v>
      </c>
      <c r="AV210" s="95" t="s">
        <v>32</v>
      </c>
      <c r="AW210" s="100" t="s">
        <v>30</v>
      </c>
      <c r="AX210" s="95" t="s">
        <v>32</v>
      </c>
      <c r="AY210" s="100" t="s">
        <v>30</v>
      </c>
      <c r="AZ210" s="100" t="s">
        <v>30</v>
      </c>
      <c r="BA210" s="100" t="s">
        <v>30</v>
      </c>
      <c r="BB210" s="100" t="s">
        <v>30</v>
      </c>
      <c r="BC210" s="100" t="s">
        <v>30</v>
      </c>
      <c r="BD210" s="100" t="s">
        <v>30</v>
      </c>
      <c r="BE210" s="100" t="s">
        <v>30</v>
      </c>
      <c r="BF210" s="100" t="s">
        <v>30</v>
      </c>
      <c r="BG210" s="114"/>
      <c r="BH210" s="100" t="s">
        <v>30</v>
      </c>
      <c r="BI210" s="100" t="s">
        <v>30</v>
      </c>
      <c r="BJ210" s="100" t="s">
        <v>30</v>
      </c>
      <c r="BK210" s="95" t="s">
        <v>32</v>
      </c>
      <c r="BL210" s="360"/>
      <c r="BN210" s="412"/>
      <c r="BO210" s="412"/>
      <c r="BP210" s="412"/>
      <c r="BQ210" s="412"/>
      <c r="BR210" s="412"/>
      <c r="BZ210">
        <f t="shared" si="7"/>
        <v>1</v>
      </c>
    </row>
    <row r="211" spans="1:78" hidden="1">
      <c r="A211" s="35" t="str">
        <f t="shared" si="6"/>
        <v>M083/2646065</v>
      </c>
      <c r="C211" s="358" t="s">
        <v>24</v>
      </c>
      <c r="D211" s="358">
        <v>208</v>
      </c>
      <c r="E211" s="359" t="s">
        <v>3384</v>
      </c>
      <c r="F211" s="359" t="s">
        <v>234</v>
      </c>
      <c r="G211" s="400">
        <v>46065</v>
      </c>
      <c r="H211" s="359" t="s">
        <v>462</v>
      </c>
      <c r="I211" s="359">
        <v>9</v>
      </c>
      <c r="J211" s="359" t="str">
        <f>IFERROR(VLOOKUP($A211,#REF!,3,0),"")</f>
        <v/>
      </c>
      <c r="K211" s="359" t="str">
        <f>IFERROR(VLOOKUP($A211,#REF!,4,0),AF211)</f>
        <v>INT</v>
      </c>
      <c r="L211" s="359" t="str">
        <f>IFERROR(VLOOKUP($A211,#REF!,5,0),"")</f>
        <v/>
      </c>
      <c r="M211" s="359" t="str">
        <f>IFERROR(VLOOKUP($A211,#REF!,7,0),"")</f>
        <v/>
      </c>
      <c r="N211" s="359"/>
      <c r="O211" s="359" t="str">
        <f>IFERROR(VLOOKUP($A211,#REF!,6,0),"")</f>
        <v/>
      </c>
      <c r="P211" s="359" t="str">
        <f>IFERROR(VLOOKUP($A211,#REF!,9,0),"")</f>
        <v/>
      </c>
      <c r="Q211" s="359" t="str">
        <f>IFERROR(VLOOKUP($A211,#REF!,10,0),"")</f>
        <v/>
      </c>
      <c r="R211" s="359" t="str">
        <f>IFERROR(VLOOKUP($A211,#REF!,11,0),"")</f>
        <v/>
      </c>
      <c r="S211" s="359" t="str">
        <f>IFERROR(VLOOKUP($A211,#REF!,13,0),"")</f>
        <v/>
      </c>
      <c r="T211" s="359" t="str">
        <f>IFERROR(VLOOKUP($A211,#REF!,14,0),"")</f>
        <v/>
      </c>
      <c r="U211" s="359" t="str">
        <f>IFERROR(VLOOKUP($A211,#REF!,15,0),"")</f>
        <v/>
      </c>
      <c r="V211" s="359" t="str">
        <f>IFERROR(VLOOKUP($A211,#REF!,16,0),"")</f>
        <v/>
      </c>
      <c r="W211" s="359" t="str">
        <f>IFERROR(VLOOKUP($A211,#REF!,17,0),"")</f>
        <v/>
      </c>
      <c r="X211" s="359" t="str">
        <f>IFERROR(VLOOKUP($A211,#REF!,18,0),"")</f>
        <v/>
      </c>
      <c r="Y211" s="359" t="str">
        <f>IFERROR(VLOOKUP($A211,#REF!,19,0),"")</f>
        <v/>
      </c>
      <c r="Z211" s="400" t="str">
        <f>IFERROR(VLOOKUP($A211,#REF!,21,0),"")</f>
        <v/>
      </c>
      <c r="AA211" s="359"/>
      <c r="AB211" s="359"/>
      <c r="AC211" s="359" t="s">
        <v>1077</v>
      </c>
      <c r="AD211" s="359" t="s">
        <v>1138</v>
      </c>
      <c r="AE211" s="93"/>
      <c r="AF211" s="141" t="s">
        <v>3077</v>
      </c>
      <c r="AG211" s="358" t="s">
        <v>3385</v>
      </c>
      <c r="AH211" s="358" t="s">
        <v>3383</v>
      </c>
      <c r="AI211" s="358" t="s">
        <v>3383</v>
      </c>
      <c r="AJ211" s="359" t="s">
        <v>2050</v>
      </c>
      <c r="AK211" s="359"/>
      <c r="AL211" s="359"/>
      <c r="AM211" s="359"/>
      <c r="AN211" s="359" t="s">
        <v>32</v>
      </c>
      <c r="AO211" s="380" t="s">
        <v>30</v>
      </c>
      <c r="AP211" s="380">
        <v>46106</v>
      </c>
      <c r="AQ211" s="384" t="s">
        <v>1138</v>
      </c>
      <c r="AR211" s="358" t="s">
        <v>32</v>
      </c>
      <c r="AS211" s="358">
        <v>8</v>
      </c>
      <c r="AT211" s="384" t="s">
        <v>1138</v>
      </c>
      <c r="AU211" s="380">
        <v>46106</v>
      </c>
      <c r="AV211" s="100" t="s">
        <v>30</v>
      </c>
      <c r="AW211" s="100" t="s">
        <v>30</v>
      </c>
      <c r="AX211" s="95" t="s">
        <v>32</v>
      </c>
      <c r="AY211" s="100" t="s">
        <v>30</v>
      </c>
      <c r="AZ211" s="100" t="s">
        <v>30</v>
      </c>
      <c r="BA211" s="100" t="s">
        <v>30</v>
      </c>
      <c r="BB211" s="100" t="s">
        <v>30</v>
      </c>
      <c r="BC211" s="100" t="s">
        <v>30</v>
      </c>
      <c r="BD211" s="100" t="s">
        <v>30</v>
      </c>
      <c r="BE211" s="100" t="s">
        <v>30</v>
      </c>
      <c r="BF211" s="100" t="s">
        <v>30</v>
      </c>
      <c r="BG211" s="100" t="s">
        <v>30</v>
      </c>
      <c r="BH211" s="100" t="s">
        <v>30</v>
      </c>
      <c r="BI211" s="100" t="s">
        <v>30</v>
      </c>
      <c r="BJ211" s="100" t="s">
        <v>30</v>
      </c>
      <c r="BK211" s="100" t="s">
        <v>30</v>
      </c>
      <c r="BL211" s="360"/>
      <c r="BN211" s="412"/>
      <c r="BO211" s="412"/>
      <c r="BP211" s="412"/>
      <c r="BQ211" s="412"/>
      <c r="BR211" s="412"/>
      <c r="BZ211">
        <f t="shared" si="7"/>
        <v>1</v>
      </c>
    </row>
    <row r="212" spans="1:78" hidden="1">
      <c r="A212" s="35" t="str">
        <f t="shared" si="6"/>
        <v>049/2646065</v>
      </c>
      <c r="C212" s="358" t="s">
        <v>24</v>
      </c>
      <c r="D212" s="358">
        <v>209</v>
      </c>
      <c r="E212" s="359" t="s">
        <v>3386</v>
      </c>
      <c r="F212" s="359" t="s">
        <v>102</v>
      </c>
      <c r="G212" s="400">
        <v>46065</v>
      </c>
      <c r="H212" s="359" t="s">
        <v>324</v>
      </c>
      <c r="I212" s="359">
        <v>12</v>
      </c>
      <c r="J212" s="359" t="str">
        <f>IFERROR(VLOOKUP($A212,#REF!,3,0),"")</f>
        <v/>
      </c>
      <c r="K212" s="359" t="str">
        <f>IFERROR(VLOOKUP($A212,#REF!,4,0),AF212)</f>
        <v>INT</v>
      </c>
      <c r="L212" s="359" t="str">
        <f>IFERROR(VLOOKUP($A212,#REF!,5,0),"")</f>
        <v/>
      </c>
      <c r="M212" s="359" t="str">
        <f>IFERROR(VLOOKUP($A212,#REF!,7,0),"")</f>
        <v/>
      </c>
      <c r="N212" s="359"/>
      <c r="O212" s="359" t="str">
        <f>IFERROR(VLOOKUP($A212,#REF!,6,0),"")</f>
        <v/>
      </c>
      <c r="P212" s="359" t="str">
        <f>IFERROR(VLOOKUP($A212,#REF!,9,0),"")</f>
        <v/>
      </c>
      <c r="Q212" s="359" t="str">
        <f>IFERROR(VLOOKUP($A212,#REF!,10,0),"")</f>
        <v/>
      </c>
      <c r="R212" s="359" t="str">
        <f>IFERROR(VLOOKUP($A212,#REF!,11,0),"")</f>
        <v/>
      </c>
      <c r="S212" s="359" t="str">
        <f>IFERROR(VLOOKUP($A212,#REF!,13,0),"")</f>
        <v/>
      </c>
      <c r="T212" s="359" t="str">
        <f>IFERROR(VLOOKUP($A212,#REF!,14,0),"")</f>
        <v/>
      </c>
      <c r="U212" s="359" t="str">
        <f>IFERROR(VLOOKUP($A212,#REF!,15,0),"")</f>
        <v/>
      </c>
      <c r="V212" s="359" t="str">
        <f>IFERROR(VLOOKUP($A212,#REF!,16,0),"")</f>
        <v/>
      </c>
      <c r="W212" s="359" t="str">
        <f>IFERROR(VLOOKUP($A212,#REF!,17,0),"")</f>
        <v/>
      </c>
      <c r="X212" s="359" t="str">
        <f>IFERROR(VLOOKUP($A212,#REF!,18,0),"")</f>
        <v/>
      </c>
      <c r="Y212" s="359" t="str">
        <f>IFERROR(VLOOKUP($A212,#REF!,19,0),"")</f>
        <v/>
      </c>
      <c r="Z212" s="400" t="str">
        <f>IFERROR(VLOOKUP($A212,#REF!,21,0),"")</f>
        <v/>
      </c>
      <c r="AA212" s="359"/>
      <c r="AB212" s="359"/>
      <c r="AC212" s="359" t="s">
        <v>1076</v>
      </c>
      <c r="AD212" s="358" t="s">
        <v>3357</v>
      </c>
      <c r="AE212" s="358"/>
      <c r="AF212" s="141" t="s">
        <v>3077</v>
      </c>
      <c r="AG212" s="358" t="s">
        <v>2123</v>
      </c>
      <c r="AH212" s="358" t="s">
        <v>3375</v>
      </c>
      <c r="AI212" s="359" t="s">
        <v>3375</v>
      </c>
      <c r="AJ212" s="359" t="s">
        <v>2050</v>
      </c>
      <c r="AK212" s="359"/>
      <c r="AL212" s="359"/>
      <c r="AM212" s="359"/>
      <c r="AN212" s="359" t="s">
        <v>32</v>
      </c>
      <c r="AO212" s="380" t="s">
        <v>30</v>
      </c>
      <c r="AP212" s="380">
        <v>46091</v>
      </c>
      <c r="AQ212" s="384" t="s">
        <v>3357</v>
      </c>
      <c r="AR212" s="358" t="s">
        <v>32</v>
      </c>
      <c r="AS212" s="358">
        <v>12</v>
      </c>
      <c r="AT212" s="384" t="s">
        <v>3357</v>
      </c>
      <c r="AU212" s="380">
        <v>46091</v>
      </c>
      <c r="AV212" s="100" t="s">
        <v>30</v>
      </c>
      <c r="AW212" s="100" t="s">
        <v>30</v>
      </c>
      <c r="AX212" s="100" t="s">
        <v>30</v>
      </c>
      <c r="AY212" s="100" t="s">
        <v>30</v>
      </c>
      <c r="AZ212" s="100" t="s">
        <v>30</v>
      </c>
      <c r="BA212" s="100" t="s">
        <v>30</v>
      </c>
      <c r="BB212" s="100" t="s">
        <v>30</v>
      </c>
      <c r="BC212" s="100" t="s">
        <v>30</v>
      </c>
      <c r="BD212" s="100" t="s">
        <v>30</v>
      </c>
      <c r="BE212" s="100" t="s">
        <v>30</v>
      </c>
      <c r="BF212" s="100" t="s">
        <v>30</v>
      </c>
      <c r="BG212" s="100" t="s">
        <v>30</v>
      </c>
      <c r="BH212" s="100" t="s">
        <v>30</v>
      </c>
      <c r="BI212" s="100" t="s">
        <v>30</v>
      </c>
      <c r="BJ212" s="100" t="s">
        <v>30</v>
      </c>
      <c r="BK212" s="95"/>
      <c r="BL212" s="360"/>
      <c r="BN212" s="412"/>
      <c r="BO212" s="412"/>
      <c r="BP212" s="412"/>
      <c r="BQ212" s="412"/>
      <c r="BR212" s="412"/>
      <c r="BX212" s="96"/>
      <c r="BZ212">
        <f t="shared" si="7"/>
        <v>1</v>
      </c>
    </row>
    <row r="213" spans="1:78" hidden="1">
      <c r="A213" s="35" t="str">
        <f t="shared" si="6"/>
        <v>039/2646066</v>
      </c>
      <c r="C213" s="358" t="s">
        <v>24</v>
      </c>
      <c r="D213" s="358">
        <v>210</v>
      </c>
      <c r="E213" s="359" t="s">
        <v>3387</v>
      </c>
      <c r="F213" s="359" t="s">
        <v>34</v>
      </c>
      <c r="G213" s="400">
        <v>46066</v>
      </c>
      <c r="H213" s="359" t="s">
        <v>2295</v>
      </c>
      <c r="I213" s="359">
        <v>9</v>
      </c>
      <c r="J213" s="359" t="str">
        <f>IFERROR(VLOOKUP($A213,#REF!,3,0),"")</f>
        <v/>
      </c>
      <c r="K213" s="359" t="str">
        <f>IFERROR(VLOOKUP($A213,#REF!,4,0),AF213)</f>
        <v>INT</v>
      </c>
      <c r="L213" s="359" t="str">
        <f>IFERROR(VLOOKUP($A213,#REF!,5,0),"")</f>
        <v/>
      </c>
      <c r="M213" s="359" t="str">
        <f>IFERROR(VLOOKUP($A213,#REF!,7,0),"")</f>
        <v/>
      </c>
      <c r="N213" s="359"/>
      <c r="O213" s="359" t="str">
        <f>IFERROR(VLOOKUP($A213,#REF!,6,0),"")</f>
        <v/>
      </c>
      <c r="P213" s="359" t="str">
        <f>IFERROR(VLOOKUP($A213,#REF!,9,0),"")</f>
        <v/>
      </c>
      <c r="Q213" s="359" t="str">
        <f>IFERROR(VLOOKUP($A213,#REF!,10,0),"")</f>
        <v/>
      </c>
      <c r="R213" s="359" t="str">
        <f>IFERROR(VLOOKUP($A213,#REF!,11,0),"")</f>
        <v/>
      </c>
      <c r="S213" s="359" t="str">
        <f>IFERROR(VLOOKUP($A213,#REF!,13,0),"")</f>
        <v/>
      </c>
      <c r="T213" s="359" t="str">
        <f>IFERROR(VLOOKUP($A213,#REF!,14,0),"")</f>
        <v/>
      </c>
      <c r="U213" s="359" t="str">
        <f>IFERROR(VLOOKUP($A213,#REF!,15,0),"")</f>
        <v/>
      </c>
      <c r="V213" s="359" t="str">
        <f>IFERROR(VLOOKUP($A213,#REF!,16,0),"")</f>
        <v/>
      </c>
      <c r="W213" s="359" t="str">
        <f>IFERROR(VLOOKUP($A213,#REF!,17,0),"")</f>
        <v/>
      </c>
      <c r="X213" s="359" t="str">
        <f>IFERROR(VLOOKUP($A213,#REF!,18,0),"")</f>
        <v/>
      </c>
      <c r="Y213" s="359" t="str">
        <f>IFERROR(VLOOKUP($A213,#REF!,19,0),"")</f>
        <v/>
      </c>
      <c r="Z213" s="400" t="str">
        <f>IFERROR(VLOOKUP($A213,#REF!,21,0),"")</f>
        <v/>
      </c>
      <c r="AA213" s="359"/>
      <c r="AB213" s="359"/>
      <c r="AC213" s="359" t="s">
        <v>1077</v>
      </c>
      <c r="AD213" s="359" t="s">
        <v>1138</v>
      </c>
      <c r="AE213" s="93"/>
      <c r="AF213" s="141" t="s">
        <v>3077</v>
      </c>
      <c r="AG213" s="358" t="s">
        <v>2135</v>
      </c>
      <c r="AH213" s="358" t="s">
        <v>3383</v>
      </c>
      <c r="AI213" s="359" t="s">
        <v>3388</v>
      </c>
      <c r="AJ213" s="359" t="s">
        <v>2050</v>
      </c>
      <c r="AK213" s="359"/>
      <c r="AL213" s="359"/>
      <c r="AM213" s="359"/>
      <c r="AN213" s="359" t="s">
        <v>32</v>
      </c>
      <c r="AO213" s="380" t="s">
        <v>30</v>
      </c>
      <c r="AP213" s="380">
        <v>46105</v>
      </c>
      <c r="AQ213" s="384" t="s">
        <v>1138</v>
      </c>
      <c r="AR213" s="358" t="s">
        <v>32</v>
      </c>
      <c r="AS213" s="358">
        <v>6</v>
      </c>
      <c r="AT213" s="384" t="s">
        <v>1138</v>
      </c>
      <c r="AU213" s="380">
        <v>46106</v>
      </c>
      <c r="AV213" s="82" t="s">
        <v>30</v>
      </c>
      <c r="AW213" s="100" t="s">
        <v>30</v>
      </c>
      <c r="AX213" s="95" t="s">
        <v>32</v>
      </c>
      <c r="AY213" s="95" t="s">
        <v>32</v>
      </c>
      <c r="AZ213" s="95" t="s">
        <v>32</v>
      </c>
      <c r="BA213" s="95" t="s">
        <v>32</v>
      </c>
      <c r="BB213" s="100" t="s">
        <v>30</v>
      </c>
      <c r="BC213" s="100" t="s">
        <v>30</v>
      </c>
      <c r="BD213" s="100" t="s">
        <v>30</v>
      </c>
      <c r="BE213" s="100" t="s">
        <v>30</v>
      </c>
      <c r="BF213" s="100" t="s">
        <v>30</v>
      </c>
      <c r="BG213" s="100" t="s">
        <v>30</v>
      </c>
      <c r="BH213" s="100" t="s">
        <v>30</v>
      </c>
      <c r="BI213" s="100" t="s">
        <v>30</v>
      </c>
      <c r="BJ213" s="100" t="s">
        <v>30</v>
      </c>
      <c r="BK213" s="100" t="s">
        <v>30</v>
      </c>
      <c r="BL213" s="360"/>
      <c r="BN213" s="412"/>
      <c r="BO213" s="412"/>
      <c r="BP213" s="412"/>
      <c r="BQ213" s="412"/>
      <c r="BR213" s="412"/>
      <c r="BZ213">
        <f t="shared" si="7"/>
        <v>1</v>
      </c>
    </row>
    <row r="214" spans="1:78" hidden="1">
      <c r="A214" s="35" t="str">
        <f t="shared" si="6"/>
        <v>005/2646066</v>
      </c>
      <c r="C214" s="358" t="s">
        <v>24</v>
      </c>
      <c r="D214" s="358">
        <v>211</v>
      </c>
      <c r="E214" s="359" t="s">
        <v>3079</v>
      </c>
      <c r="F214" s="359" t="s">
        <v>1937</v>
      </c>
      <c r="G214" s="400">
        <v>46066</v>
      </c>
      <c r="H214" s="359" t="s">
        <v>3350</v>
      </c>
      <c r="I214" s="359">
        <v>12</v>
      </c>
      <c r="J214" s="359" t="str">
        <f>IFERROR(VLOOKUP($A214,#REF!,3,0),"")</f>
        <v/>
      </c>
      <c r="K214" s="359" t="str">
        <f>IFERROR(VLOOKUP($A214,#REF!,4,0),AF214)</f>
        <v>EXT</v>
      </c>
      <c r="L214" s="359" t="str">
        <f>IFERROR(VLOOKUP($A214,#REF!,5,0),"")</f>
        <v/>
      </c>
      <c r="M214" s="359" t="str">
        <f>IFERROR(VLOOKUP($A214,#REF!,7,0),"")</f>
        <v/>
      </c>
      <c r="N214" s="359"/>
      <c r="O214" s="359" t="str">
        <f>IFERROR(VLOOKUP($A214,#REF!,6,0),"")</f>
        <v/>
      </c>
      <c r="P214" s="359" t="str">
        <f>IFERROR(VLOOKUP($A214,#REF!,9,0),"")</f>
        <v/>
      </c>
      <c r="Q214" s="359" t="str">
        <f>IFERROR(VLOOKUP($A214,#REF!,10,0),"")</f>
        <v/>
      </c>
      <c r="R214" s="359" t="str">
        <f>IFERROR(VLOOKUP($A214,#REF!,11,0),"")</f>
        <v/>
      </c>
      <c r="S214" s="359" t="str">
        <f>IFERROR(VLOOKUP($A214,#REF!,13,0),"")</f>
        <v/>
      </c>
      <c r="T214" s="359" t="str">
        <f>IFERROR(VLOOKUP($A214,#REF!,14,0),"")</f>
        <v/>
      </c>
      <c r="U214" s="359" t="str">
        <f>IFERROR(VLOOKUP($A214,#REF!,15,0),"")</f>
        <v/>
      </c>
      <c r="V214" s="359" t="str">
        <f>IFERROR(VLOOKUP($A214,#REF!,16,0),"")</f>
        <v/>
      </c>
      <c r="W214" s="359" t="str">
        <f>IFERROR(VLOOKUP($A214,#REF!,17,0),"")</f>
        <v/>
      </c>
      <c r="X214" s="359" t="str">
        <f>IFERROR(VLOOKUP($A214,#REF!,18,0),"")</f>
        <v/>
      </c>
      <c r="Y214" s="359" t="str">
        <f>IFERROR(VLOOKUP($A214,#REF!,19,0),"")</f>
        <v/>
      </c>
      <c r="Z214" s="400" t="str">
        <f>IFERROR(VLOOKUP($A214,#REF!,21,0),"")</f>
        <v/>
      </c>
      <c r="AA214" s="359"/>
      <c r="AB214" s="359"/>
      <c r="AC214" s="359" t="s">
        <v>1077</v>
      </c>
      <c r="AD214" s="359" t="s">
        <v>1138</v>
      </c>
      <c r="AE214" s="93"/>
      <c r="AF214" s="141" t="s">
        <v>3082</v>
      </c>
      <c r="AG214" s="358" t="s">
        <v>3389</v>
      </c>
      <c r="AH214" s="358" t="s">
        <v>3375</v>
      </c>
      <c r="AI214" s="359" t="s">
        <v>3375</v>
      </c>
      <c r="AJ214" s="359" t="s">
        <v>2050</v>
      </c>
      <c r="AK214" s="359"/>
      <c r="AL214" s="359"/>
      <c r="AM214" s="359"/>
      <c r="AN214" s="359" t="s">
        <v>32</v>
      </c>
      <c r="AO214" s="380" t="s">
        <v>30</v>
      </c>
      <c r="AP214" s="380">
        <v>46107</v>
      </c>
      <c r="AQ214" s="384" t="s">
        <v>1138</v>
      </c>
      <c r="AR214" s="358" t="s">
        <v>32</v>
      </c>
      <c r="AS214" s="358">
        <v>17</v>
      </c>
      <c r="AT214" s="384" t="s">
        <v>1138</v>
      </c>
      <c r="AU214" s="380">
        <v>46107</v>
      </c>
      <c r="AV214" s="100" t="s">
        <v>30</v>
      </c>
      <c r="AW214" s="100" t="s">
        <v>30</v>
      </c>
      <c r="AX214" s="95" t="s">
        <v>32</v>
      </c>
      <c r="AY214" s="100" t="s">
        <v>30</v>
      </c>
      <c r="AZ214" s="100" t="s">
        <v>30</v>
      </c>
      <c r="BA214" s="100" t="s">
        <v>30</v>
      </c>
      <c r="BB214" s="100" t="s">
        <v>30</v>
      </c>
      <c r="BC214" s="100" t="s">
        <v>30</v>
      </c>
      <c r="BD214" s="100" t="s">
        <v>30</v>
      </c>
      <c r="BE214" s="100" t="s">
        <v>30</v>
      </c>
      <c r="BF214" s="100" t="s">
        <v>30</v>
      </c>
      <c r="BG214" s="100" t="s">
        <v>30</v>
      </c>
      <c r="BH214" s="100" t="s">
        <v>30</v>
      </c>
      <c r="BI214" s="100" t="s">
        <v>30</v>
      </c>
      <c r="BJ214" s="100" t="s">
        <v>30</v>
      </c>
      <c r="BK214" s="100" t="s">
        <v>30</v>
      </c>
      <c r="BL214" s="360"/>
      <c r="BN214" s="412"/>
      <c r="BO214" s="412"/>
      <c r="BP214" s="412"/>
      <c r="BQ214" s="412"/>
      <c r="BR214" s="412"/>
      <c r="BZ214">
        <f t="shared" si="7"/>
        <v>1</v>
      </c>
    </row>
    <row r="215" spans="1:78" hidden="1">
      <c r="A215" s="35" t="str">
        <f t="shared" si="6"/>
        <v>064/2646066</v>
      </c>
      <c r="C215" s="358" t="s">
        <v>24</v>
      </c>
      <c r="D215" s="358">
        <v>212</v>
      </c>
      <c r="E215" s="359" t="s">
        <v>3390</v>
      </c>
      <c r="F215" s="359" t="s">
        <v>606</v>
      </c>
      <c r="G215" s="400">
        <v>46066</v>
      </c>
      <c r="H215" s="359" t="s">
        <v>3391</v>
      </c>
      <c r="I215" s="359">
        <v>14</v>
      </c>
      <c r="J215" s="359" t="str">
        <f>IFERROR(VLOOKUP($A215,#REF!,3,0),"")</f>
        <v/>
      </c>
      <c r="K215" s="359" t="str">
        <f>IFERROR(VLOOKUP($A215,#REF!,4,0),AF215)</f>
        <v>INT</v>
      </c>
      <c r="L215" s="359" t="str">
        <f>IFERROR(VLOOKUP($A215,#REF!,5,0),"")</f>
        <v/>
      </c>
      <c r="M215" s="359" t="str">
        <f>IFERROR(VLOOKUP($A215,#REF!,7,0),"")</f>
        <v/>
      </c>
      <c r="N215" s="359"/>
      <c r="O215" s="359" t="str">
        <f>IFERROR(VLOOKUP($A215,#REF!,6,0),"")</f>
        <v/>
      </c>
      <c r="P215" s="359" t="str">
        <f>IFERROR(VLOOKUP($A215,#REF!,9,0),"")</f>
        <v/>
      </c>
      <c r="Q215" s="359" t="str">
        <f>IFERROR(VLOOKUP($A215,#REF!,10,0),"")</f>
        <v/>
      </c>
      <c r="R215" s="359" t="str">
        <f>IFERROR(VLOOKUP($A215,#REF!,11,0),"")</f>
        <v/>
      </c>
      <c r="S215" s="359" t="str">
        <f>IFERROR(VLOOKUP($A215,#REF!,13,0),"")</f>
        <v/>
      </c>
      <c r="T215" s="359" t="str">
        <f>IFERROR(VLOOKUP($A215,#REF!,14,0),"")</f>
        <v/>
      </c>
      <c r="U215" s="359" t="str">
        <f>IFERROR(VLOOKUP($A215,#REF!,15,0),"")</f>
        <v/>
      </c>
      <c r="V215" s="359" t="str">
        <f>IFERROR(VLOOKUP($A215,#REF!,16,0),"")</f>
        <v/>
      </c>
      <c r="W215" s="359" t="str">
        <f>IFERROR(VLOOKUP($A215,#REF!,17,0),"")</f>
        <v/>
      </c>
      <c r="X215" s="359" t="str">
        <f>IFERROR(VLOOKUP($A215,#REF!,18,0),"")</f>
        <v/>
      </c>
      <c r="Y215" s="359" t="str">
        <f>IFERROR(VLOOKUP($A215,#REF!,19,0),"")</f>
        <v/>
      </c>
      <c r="Z215" s="400" t="str">
        <f>IFERROR(VLOOKUP($A215,#REF!,21,0),"")</f>
        <v/>
      </c>
      <c r="AA215" s="359"/>
      <c r="AB215" s="359"/>
      <c r="AC215" s="359" t="s">
        <v>1076</v>
      </c>
      <c r="AD215" s="358" t="s">
        <v>3357</v>
      </c>
      <c r="AE215" s="358"/>
      <c r="AF215" s="141" t="s">
        <v>3077</v>
      </c>
      <c r="AG215" s="358" t="s">
        <v>2098</v>
      </c>
      <c r="AH215" s="358" t="s">
        <v>3392</v>
      </c>
      <c r="AI215" s="358" t="s">
        <v>3392</v>
      </c>
      <c r="AJ215" s="359" t="s">
        <v>2050</v>
      </c>
      <c r="AK215" s="359"/>
      <c r="AL215" s="359"/>
      <c r="AM215" s="359"/>
      <c r="AN215" s="359" t="s">
        <v>32</v>
      </c>
      <c r="AO215" s="358" t="s">
        <v>30</v>
      </c>
      <c r="AP215" s="380">
        <v>46085</v>
      </c>
      <c r="AQ215" s="384" t="s">
        <v>3357</v>
      </c>
      <c r="AR215" s="358" t="s">
        <v>32</v>
      </c>
      <c r="AS215" s="358">
        <v>14</v>
      </c>
      <c r="AT215" s="384" t="s">
        <v>3357</v>
      </c>
      <c r="AU215" s="380">
        <v>46085</v>
      </c>
      <c r="AV215" s="100" t="s">
        <v>30</v>
      </c>
      <c r="AW215" s="94" t="s">
        <v>30</v>
      </c>
      <c r="AX215" s="82" t="s">
        <v>30</v>
      </c>
      <c r="AY215" s="100"/>
      <c r="AZ215" s="100"/>
      <c r="BA215" s="100"/>
      <c r="BB215" s="100" t="s">
        <v>30</v>
      </c>
      <c r="BC215" s="100" t="s">
        <v>30</v>
      </c>
      <c r="BD215" s="100" t="s">
        <v>30</v>
      </c>
      <c r="BE215" s="100" t="s">
        <v>30</v>
      </c>
      <c r="BF215" s="100" t="s">
        <v>30</v>
      </c>
      <c r="BG215" s="114"/>
      <c r="BH215" s="94" t="s">
        <v>30</v>
      </c>
      <c r="BI215" s="94" t="s">
        <v>30</v>
      </c>
      <c r="BJ215" s="94" t="s">
        <v>30</v>
      </c>
      <c r="BK215" s="95"/>
      <c r="BL215" s="360"/>
      <c r="BN215" s="412"/>
      <c r="BO215" s="412"/>
      <c r="BP215" s="412"/>
      <c r="BQ215" s="412"/>
      <c r="BR215" s="412"/>
      <c r="BZ215">
        <f t="shared" si="7"/>
        <v>1</v>
      </c>
    </row>
    <row r="216" spans="1:78" hidden="1">
      <c r="A216" s="35" t="str">
        <f t="shared" si="6"/>
        <v>050/2646067</v>
      </c>
      <c r="C216" s="358" t="s">
        <v>24</v>
      </c>
      <c r="D216" s="358">
        <v>213</v>
      </c>
      <c r="E216" s="359" t="s">
        <v>3393</v>
      </c>
      <c r="F216" s="359" t="s">
        <v>34</v>
      </c>
      <c r="G216" s="400">
        <v>46067</v>
      </c>
      <c r="H216" s="359" t="s">
        <v>1165</v>
      </c>
      <c r="I216" s="359">
        <v>11</v>
      </c>
      <c r="J216" s="359" t="str">
        <f>IFERROR(VLOOKUP($A216,#REF!,3,0),"")</f>
        <v/>
      </c>
      <c r="K216" s="359" t="str">
        <f>IFERROR(VLOOKUP($A216,#REF!,4,0),AF216)</f>
        <v>INT</v>
      </c>
      <c r="L216" s="359" t="str">
        <f>IFERROR(VLOOKUP($A216,#REF!,5,0),"")</f>
        <v/>
      </c>
      <c r="M216" s="359" t="str">
        <f>IFERROR(VLOOKUP($A216,#REF!,7,0),"")</f>
        <v/>
      </c>
      <c r="N216" s="359"/>
      <c r="O216" s="359" t="str">
        <f>IFERROR(VLOOKUP($A216,#REF!,6,0),"")</f>
        <v/>
      </c>
      <c r="P216" s="359" t="str">
        <f>IFERROR(VLOOKUP($A216,#REF!,9,0),"")</f>
        <v/>
      </c>
      <c r="Q216" s="359" t="str">
        <f>IFERROR(VLOOKUP($A216,#REF!,10,0),"")</f>
        <v/>
      </c>
      <c r="R216" s="359" t="str">
        <f>IFERROR(VLOOKUP($A216,#REF!,11,0),"")</f>
        <v/>
      </c>
      <c r="S216" s="359" t="str">
        <f>IFERROR(VLOOKUP($A216,#REF!,13,0),"")</f>
        <v/>
      </c>
      <c r="T216" s="359" t="str">
        <f>IFERROR(VLOOKUP($A216,#REF!,14,0),"")</f>
        <v/>
      </c>
      <c r="U216" s="359" t="str">
        <f>IFERROR(VLOOKUP($A216,#REF!,15,0),"")</f>
        <v/>
      </c>
      <c r="V216" s="359" t="str">
        <f>IFERROR(VLOOKUP($A216,#REF!,16,0),"")</f>
        <v/>
      </c>
      <c r="W216" s="359" t="str">
        <f>IFERROR(VLOOKUP($A216,#REF!,17,0),"")</f>
        <v/>
      </c>
      <c r="X216" s="359" t="str">
        <f>IFERROR(VLOOKUP($A216,#REF!,18,0),"")</f>
        <v/>
      </c>
      <c r="Y216" s="359" t="str">
        <f>IFERROR(VLOOKUP($A216,#REF!,19,0),"")</f>
        <v/>
      </c>
      <c r="Z216" s="400" t="str">
        <f>IFERROR(VLOOKUP($A216,#REF!,21,0),"")</f>
        <v/>
      </c>
      <c r="AA216" s="359"/>
      <c r="AB216" s="359"/>
      <c r="AC216" s="359" t="s">
        <v>1076</v>
      </c>
      <c r="AD216" s="358" t="s">
        <v>3357</v>
      </c>
      <c r="AE216" s="358"/>
      <c r="AF216" s="141" t="s">
        <v>3077</v>
      </c>
      <c r="AG216" s="358" t="s">
        <v>2085</v>
      </c>
      <c r="AH216" s="358" t="s">
        <v>3394</v>
      </c>
      <c r="AI216" s="359" t="s">
        <v>3394</v>
      </c>
      <c r="AJ216" s="359" t="s">
        <v>2050</v>
      </c>
      <c r="AK216" s="359"/>
      <c r="AL216" s="359"/>
      <c r="AM216" s="359"/>
      <c r="AN216" s="359" t="s">
        <v>32</v>
      </c>
      <c r="AO216" s="358" t="s">
        <v>30</v>
      </c>
      <c r="AP216" s="380">
        <v>46085</v>
      </c>
      <c r="AQ216" s="384" t="s">
        <v>3357</v>
      </c>
      <c r="AR216" s="358" t="s">
        <v>32</v>
      </c>
      <c r="AS216" s="358">
        <v>11</v>
      </c>
      <c r="AT216" s="380" t="s">
        <v>3357</v>
      </c>
      <c r="AU216" s="380">
        <v>46085</v>
      </c>
      <c r="AV216" s="100" t="s">
        <v>30</v>
      </c>
      <c r="AW216" s="122" t="s">
        <v>30</v>
      </c>
      <c r="AX216" s="100" t="s">
        <v>30</v>
      </c>
      <c r="AY216" s="100"/>
      <c r="AZ216" s="100"/>
      <c r="BA216" s="100"/>
      <c r="BB216" s="100" t="s">
        <v>30</v>
      </c>
      <c r="BC216" s="100" t="s">
        <v>30</v>
      </c>
      <c r="BD216" s="100" t="s">
        <v>30</v>
      </c>
      <c r="BE216" s="100" t="s">
        <v>30</v>
      </c>
      <c r="BF216" s="100" t="s">
        <v>30</v>
      </c>
      <c r="BG216" s="114"/>
      <c r="BH216" s="122" t="s">
        <v>30</v>
      </c>
      <c r="BI216" s="122" t="s">
        <v>30</v>
      </c>
      <c r="BJ216" s="122" t="s">
        <v>30</v>
      </c>
      <c r="BK216" s="95"/>
      <c r="BL216" s="360"/>
      <c r="BN216" s="412"/>
      <c r="BO216" s="412"/>
      <c r="BP216" s="412"/>
      <c r="BQ216" s="412"/>
      <c r="BR216" s="412"/>
      <c r="BZ216">
        <f t="shared" si="7"/>
        <v>1</v>
      </c>
    </row>
    <row r="217" spans="1:78" hidden="1">
      <c r="A217" s="35" t="str">
        <f t="shared" si="6"/>
        <v>M077/2646069</v>
      </c>
      <c r="C217" s="358" t="s">
        <v>24</v>
      </c>
      <c r="D217" s="358">
        <v>214</v>
      </c>
      <c r="E217" s="359" t="s">
        <v>3395</v>
      </c>
      <c r="F217" s="359" t="s">
        <v>43</v>
      </c>
      <c r="G217" s="400">
        <v>46069</v>
      </c>
      <c r="H217" s="359" t="s">
        <v>737</v>
      </c>
      <c r="I217" s="359">
        <v>18</v>
      </c>
      <c r="J217" s="359" t="str">
        <f>IFERROR(VLOOKUP($A217,#REF!,3,0),"")</f>
        <v/>
      </c>
      <c r="K217" s="359" t="str">
        <f>IFERROR(VLOOKUP($A217,#REF!,4,0),AF217)</f>
        <v>EXT</v>
      </c>
      <c r="L217" s="359" t="str">
        <f>IFERROR(VLOOKUP($A217,#REF!,5,0),"")</f>
        <v/>
      </c>
      <c r="M217" s="359" t="str">
        <f>IFERROR(VLOOKUP($A217,#REF!,7,0),"")</f>
        <v/>
      </c>
      <c r="N217" s="359"/>
      <c r="O217" s="359" t="str">
        <f>IFERROR(VLOOKUP($A217,#REF!,6,0),"")</f>
        <v/>
      </c>
      <c r="P217" s="359" t="str">
        <f>IFERROR(VLOOKUP($A217,#REF!,9,0),"")</f>
        <v/>
      </c>
      <c r="Q217" s="359" t="str">
        <f>IFERROR(VLOOKUP($A217,#REF!,10,0),"")</f>
        <v/>
      </c>
      <c r="R217" s="359" t="str">
        <f>IFERROR(VLOOKUP($A217,#REF!,11,0),"")</f>
        <v/>
      </c>
      <c r="S217" s="359" t="str">
        <f>IFERROR(VLOOKUP($A217,#REF!,13,0),"")</f>
        <v/>
      </c>
      <c r="T217" s="359" t="str">
        <f>IFERROR(VLOOKUP($A217,#REF!,14,0),"")</f>
        <v/>
      </c>
      <c r="U217" s="359" t="str">
        <f>IFERROR(VLOOKUP($A217,#REF!,15,0),"")</f>
        <v/>
      </c>
      <c r="V217" s="359" t="str">
        <f>IFERROR(VLOOKUP($A217,#REF!,16,0),"")</f>
        <v/>
      </c>
      <c r="W217" s="359" t="str">
        <f>IFERROR(VLOOKUP($A217,#REF!,17,0),"")</f>
        <v/>
      </c>
      <c r="X217" s="359" t="str">
        <f>IFERROR(VLOOKUP($A217,#REF!,18,0),"")</f>
        <v/>
      </c>
      <c r="Y217" s="359" t="str">
        <f>IFERROR(VLOOKUP($A217,#REF!,19,0),"")</f>
        <v/>
      </c>
      <c r="Z217" s="400" t="str">
        <f>IFERROR(VLOOKUP($A217,#REF!,21,0),"")</f>
        <v/>
      </c>
      <c r="AA217" s="359"/>
      <c r="AB217" s="359"/>
      <c r="AC217" s="359" t="s">
        <v>3075</v>
      </c>
      <c r="AD217" s="359" t="s">
        <v>47</v>
      </c>
      <c r="AE217" s="93" t="s">
        <v>3377</v>
      </c>
      <c r="AF217" s="141" t="s">
        <v>3082</v>
      </c>
      <c r="AG217" s="358" t="s">
        <v>3396</v>
      </c>
      <c r="AH217" s="358" t="s">
        <v>3383</v>
      </c>
      <c r="AI217" s="358" t="s">
        <v>3394</v>
      </c>
      <c r="AJ217" s="358" t="s">
        <v>2050</v>
      </c>
      <c r="AK217" s="358"/>
      <c r="AL217" s="358"/>
      <c r="AM217" s="358"/>
      <c r="AN217" s="359" t="s">
        <v>32</v>
      </c>
      <c r="AO217" s="358" t="s">
        <v>30</v>
      </c>
      <c r="AP217" s="380">
        <v>46112</v>
      </c>
      <c r="AQ217" s="384" t="s">
        <v>47</v>
      </c>
      <c r="AR217" s="358" t="s">
        <v>32</v>
      </c>
      <c r="AS217" s="358">
        <v>18</v>
      </c>
      <c r="AT217" s="384" t="s">
        <v>47</v>
      </c>
      <c r="AU217" s="380">
        <v>46112</v>
      </c>
      <c r="AV217" s="95" t="s">
        <v>32</v>
      </c>
      <c r="AW217" s="100" t="s">
        <v>30</v>
      </c>
      <c r="AX217" s="95" t="s">
        <v>32</v>
      </c>
      <c r="AY217" s="100" t="s">
        <v>30</v>
      </c>
      <c r="AZ217" s="100" t="s">
        <v>30</v>
      </c>
      <c r="BA217" s="100" t="s">
        <v>30</v>
      </c>
      <c r="BB217" s="100" t="s">
        <v>30</v>
      </c>
      <c r="BC217" s="100" t="s">
        <v>30</v>
      </c>
      <c r="BD217" s="100" t="s">
        <v>30</v>
      </c>
      <c r="BE217" s="100" t="s">
        <v>30</v>
      </c>
      <c r="BF217" s="100" t="s">
        <v>30</v>
      </c>
      <c r="BG217" s="114"/>
      <c r="BH217" s="95"/>
      <c r="BI217" s="95"/>
      <c r="BJ217" s="95"/>
      <c r="BK217" s="95" t="s">
        <v>32</v>
      </c>
      <c r="BL217" s="360" t="s">
        <v>3397</v>
      </c>
      <c r="BN217" s="412"/>
      <c r="BO217" s="412"/>
      <c r="BP217" s="412"/>
      <c r="BQ217" s="412"/>
      <c r="BR217" s="412"/>
      <c r="BZ217">
        <f t="shared" si="7"/>
        <v>1</v>
      </c>
    </row>
    <row r="218" spans="1:78" hidden="1">
      <c r="A218" s="35" t="str">
        <f t="shared" si="6"/>
        <v>M081/2646069</v>
      </c>
      <c r="C218" s="358" t="s">
        <v>24</v>
      </c>
      <c r="D218" s="358">
        <v>215</v>
      </c>
      <c r="E218" s="359" t="s">
        <v>3398</v>
      </c>
      <c r="F218" s="359" t="s">
        <v>43</v>
      </c>
      <c r="G218" s="400">
        <v>46069</v>
      </c>
      <c r="H218" s="359" t="s">
        <v>1165</v>
      </c>
      <c r="I218" s="359">
        <v>25</v>
      </c>
      <c r="J218" s="359" t="str">
        <f>IFERROR(VLOOKUP($A218,#REF!,3,0),"")</f>
        <v/>
      </c>
      <c r="K218" s="359" t="str">
        <f>IFERROR(VLOOKUP($A218,#REF!,4,0),AF218)</f>
        <v>EXT</v>
      </c>
      <c r="L218" s="359" t="str">
        <f>IFERROR(VLOOKUP($A218,#REF!,5,0),"")</f>
        <v/>
      </c>
      <c r="M218" s="359" t="str">
        <f>IFERROR(VLOOKUP($A218,#REF!,7,0),"")</f>
        <v/>
      </c>
      <c r="N218" s="359"/>
      <c r="O218" s="359" t="str">
        <f>IFERROR(VLOOKUP($A218,#REF!,6,0),"")</f>
        <v/>
      </c>
      <c r="P218" s="359" t="str">
        <f>IFERROR(VLOOKUP($A218,#REF!,9,0),"")</f>
        <v/>
      </c>
      <c r="Q218" s="359" t="str">
        <f>IFERROR(VLOOKUP($A218,#REF!,10,0),"")</f>
        <v/>
      </c>
      <c r="R218" s="359" t="str">
        <f>IFERROR(VLOOKUP($A218,#REF!,11,0),"")</f>
        <v/>
      </c>
      <c r="S218" s="359" t="str">
        <f>IFERROR(VLOOKUP($A218,#REF!,13,0),"")</f>
        <v/>
      </c>
      <c r="T218" s="359" t="str">
        <f>IFERROR(VLOOKUP($A218,#REF!,14,0),"")</f>
        <v/>
      </c>
      <c r="U218" s="359" t="str">
        <f>IFERROR(VLOOKUP($A218,#REF!,15,0),"")</f>
        <v/>
      </c>
      <c r="V218" s="359" t="str">
        <f>IFERROR(VLOOKUP($A218,#REF!,16,0),"")</f>
        <v/>
      </c>
      <c r="W218" s="359" t="str">
        <f>IFERROR(VLOOKUP($A218,#REF!,17,0),"")</f>
        <v/>
      </c>
      <c r="X218" s="359" t="str">
        <f>IFERROR(VLOOKUP($A218,#REF!,18,0),"")</f>
        <v/>
      </c>
      <c r="Y218" s="359" t="str">
        <f>IFERROR(VLOOKUP($A218,#REF!,19,0),"")</f>
        <v/>
      </c>
      <c r="Z218" s="400" t="str">
        <f>IFERROR(VLOOKUP($A218,#REF!,21,0),"")</f>
        <v/>
      </c>
      <c r="AA218" s="359"/>
      <c r="AB218" s="359"/>
      <c r="AC218" s="359" t="s">
        <v>3075</v>
      </c>
      <c r="AD218" s="359" t="s">
        <v>47</v>
      </c>
      <c r="AE218" s="102"/>
      <c r="AF218" s="141" t="s">
        <v>3082</v>
      </c>
      <c r="AG218" s="358" t="s">
        <v>2244</v>
      </c>
      <c r="AH218" s="358" t="s">
        <v>3383</v>
      </c>
      <c r="AI218" s="358" t="s">
        <v>3394</v>
      </c>
      <c r="AJ218" s="358" t="s">
        <v>2050</v>
      </c>
      <c r="AK218" s="358"/>
      <c r="AL218" s="358"/>
      <c r="AM218" s="358"/>
      <c r="AN218" s="130" t="s">
        <v>2863</v>
      </c>
      <c r="AO218" s="358" t="s">
        <v>30</v>
      </c>
      <c r="AP218" s="384">
        <v>46099</v>
      </c>
      <c r="AQ218" s="384" t="s">
        <v>47</v>
      </c>
      <c r="AR218" s="358" t="s">
        <v>32</v>
      </c>
      <c r="AS218" s="358">
        <v>24</v>
      </c>
      <c r="AT218" s="384" t="s">
        <v>47</v>
      </c>
      <c r="AU218" s="380">
        <v>46099</v>
      </c>
      <c r="AV218" s="100" t="s">
        <v>30</v>
      </c>
      <c r="AW218" s="122" t="s">
        <v>30</v>
      </c>
      <c r="AX218" s="82" t="s">
        <v>30</v>
      </c>
      <c r="AY218" s="100" t="s">
        <v>30</v>
      </c>
      <c r="AZ218" s="100" t="s">
        <v>30</v>
      </c>
      <c r="BA218" s="100" t="s">
        <v>30</v>
      </c>
      <c r="BB218" s="100" t="s">
        <v>30</v>
      </c>
      <c r="BC218" s="100" t="s">
        <v>30</v>
      </c>
      <c r="BD218" s="100" t="s">
        <v>30</v>
      </c>
      <c r="BE218" s="100" t="s">
        <v>30</v>
      </c>
      <c r="BF218" s="100" t="s">
        <v>30</v>
      </c>
      <c r="BG218" s="114"/>
      <c r="BH218" s="122" t="s">
        <v>30</v>
      </c>
      <c r="BI218" s="122" t="s">
        <v>30</v>
      </c>
      <c r="BJ218" s="122" t="s">
        <v>30</v>
      </c>
      <c r="BK218" s="82" t="s">
        <v>30</v>
      </c>
      <c r="BL218" s="360" t="s">
        <v>3128</v>
      </c>
      <c r="BN218" s="412"/>
      <c r="BO218" s="412"/>
      <c r="BP218" s="412"/>
      <c r="BQ218" s="412"/>
      <c r="BR218" s="412"/>
      <c r="BZ218">
        <f t="shared" si="7"/>
        <v>1</v>
      </c>
    </row>
    <row r="219" spans="1:78" hidden="1">
      <c r="A219" s="35" t="str">
        <f t="shared" si="6"/>
        <v>M109/2646069</v>
      </c>
      <c r="C219" s="358" t="s">
        <v>24</v>
      </c>
      <c r="D219" s="358">
        <v>216</v>
      </c>
      <c r="E219" s="359" t="s">
        <v>3399</v>
      </c>
      <c r="F219" s="359" t="s">
        <v>43</v>
      </c>
      <c r="G219" s="400">
        <v>46069</v>
      </c>
      <c r="H219" s="359" t="s">
        <v>93</v>
      </c>
      <c r="I219" s="359">
        <v>18</v>
      </c>
      <c r="J219" s="359" t="str">
        <f>IFERROR(VLOOKUP($A219,#REF!,3,0),"")</f>
        <v/>
      </c>
      <c r="K219" s="359" t="str">
        <f>IFERROR(VLOOKUP($A219,#REF!,4,0),AF219)</f>
        <v>EXT</v>
      </c>
      <c r="L219" s="359" t="str">
        <f>IFERROR(VLOOKUP($A219,#REF!,5,0),"")</f>
        <v/>
      </c>
      <c r="M219" s="359" t="str">
        <f>IFERROR(VLOOKUP($A219,#REF!,7,0),"")</f>
        <v/>
      </c>
      <c r="N219" s="359"/>
      <c r="O219" s="359" t="str">
        <f>IFERROR(VLOOKUP($A219,#REF!,6,0),"")</f>
        <v/>
      </c>
      <c r="P219" s="359" t="str">
        <f>IFERROR(VLOOKUP($A219,#REF!,9,0),"")</f>
        <v/>
      </c>
      <c r="Q219" s="359" t="str">
        <f>IFERROR(VLOOKUP($A219,#REF!,10,0),"")</f>
        <v/>
      </c>
      <c r="R219" s="359" t="str">
        <f>IFERROR(VLOOKUP($A219,#REF!,11,0),"")</f>
        <v/>
      </c>
      <c r="S219" s="359" t="str">
        <f>IFERROR(VLOOKUP($A219,#REF!,13,0),"")</f>
        <v/>
      </c>
      <c r="T219" s="359" t="str">
        <f>IFERROR(VLOOKUP($A219,#REF!,14,0),"")</f>
        <v/>
      </c>
      <c r="U219" s="359" t="str">
        <f>IFERROR(VLOOKUP($A219,#REF!,15,0),"")</f>
        <v/>
      </c>
      <c r="V219" s="359" t="str">
        <f>IFERROR(VLOOKUP($A219,#REF!,16,0),"")</f>
        <v/>
      </c>
      <c r="W219" s="359" t="str">
        <f>IFERROR(VLOOKUP($A219,#REF!,17,0),"")</f>
        <v/>
      </c>
      <c r="X219" s="359" t="str">
        <f>IFERROR(VLOOKUP($A219,#REF!,18,0),"")</f>
        <v/>
      </c>
      <c r="Y219" s="359" t="str">
        <f>IFERROR(VLOOKUP($A219,#REF!,19,0),"")</f>
        <v/>
      </c>
      <c r="Z219" s="400" t="str">
        <f>IFERROR(VLOOKUP($A219,#REF!,21,0),"")</f>
        <v/>
      </c>
      <c r="AA219" s="359"/>
      <c r="AB219" s="359"/>
      <c r="AC219" s="359" t="s">
        <v>3075</v>
      </c>
      <c r="AD219" s="359" t="s">
        <v>47</v>
      </c>
      <c r="AE219" s="93"/>
      <c r="AF219" s="141" t="s">
        <v>3082</v>
      </c>
      <c r="AG219" s="358" t="s">
        <v>2578</v>
      </c>
      <c r="AH219" s="358" t="s">
        <v>3383</v>
      </c>
      <c r="AI219" s="358" t="s">
        <v>3394</v>
      </c>
      <c r="AJ219" s="358" t="s">
        <v>3400</v>
      </c>
      <c r="AK219" s="358"/>
      <c r="AL219" s="358"/>
      <c r="AM219" s="358"/>
      <c r="AN219" s="130" t="s">
        <v>2863</v>
      </c>
      <c r="AO219" s="358" t="s">
        <v>30</v>
      </c>
      <c r="AP219" s="380">
        <v>46090</v>
      </c>
      <c r="AQ219" s="384" t="s">
        <v>47</v>
      </c>
      <c r="AR219" s="358" t="s">
        <v>32</v>
      </c>
      <c r="AS219" s="358">
        <v>16</v>
      </c>
      <c r="AT219" s="384" t="s">
        <v>47</v>
      </c>
      <c r="AU219" s="380">
        <v>46090</v>
      </c>
      <c r="AV219" s="95" t="s">
        <v>32</v>
      </c>
      <c r="AW219" s="100" t="s">
        <v>30</v>
      </c>
      <c r="AX219" s="95" t="s">
        <v>32</v>
      </c>
      <c r="AY219" s="100" t="s">
        <v>30</v>
      </c>
      <c r="AZ219" s="100" t="s">
        <v>30</v>
      </c>
      <c r="BA219" s="100" t="s">
        <v>30</v>
      </c>
      <c r="BB219" s="100" t="s">
        <v>30</v>
      </c>
      <c r="BC219" s="100" t="s">
        <v>30</v>
      </c>
      <c r="BD219" s="100" t="s">
        <v>30</v>
      </c>
      <c r="BE219" s="100" t="s">
        <v>30</v>
      </c>
      <c r="BF219" s="100" t="s">
        <v>30</v>
      </c>
      <c r="BG219" s="114"/>
      <c r="BH219" s="100" t="s">
        <v>30</v>
      </c>
      <c r="BI219" s="100" t="s">
        <v>30</v>
      </c>
      <c r="BJ219" s="100" t="s">
        <v>30</v>
      </c>
      <c r="BK219" s="95" t="s">
        <v>32</v>
      </c>
      <c r="BL219" s="360"/>
      <c r="BN219" s="412"/>
      <c r="BO219" s="412"/>
      <c r="BP219" s="412"/>
      <c r="BQ219" s="412"/>
      <c r="BR219" s="412"/>
      <c r="BZ219">
        <f t="shared" si="7"/>
        <v>1</v>
      </c>
    </row>
    <row r="220" spans="1:78" hidden="1">
      <c r="A220" s="35" t="str">
        <f t="shared" si="6"/>
        <v>007/2646069</v>
      </c>
      <c r="C220" s="358" t="s">
        <v>24</v>
      </c>
      <c r="D220" s="358">
        <v>217</v>
      </c>
      <c r="E220" s="359" t="s">
        <v>3401</v>
      </c>
      <c r="F220" s="359" t="s">
        <v>34</v>
      </c>
      <c r="G220" s="400">
        <v>46069</v>
      </c>
      <c r="H220" s="359" t="s">
        <v>635</v>
      </c>
      <c r="I220" s="403">
        <v>11</v>
      </c>
      <c r="J220" s="359" t="str">
        <f>IFERROR(VLOOKUP($A220,#REF!,3,0),"")</f>
        <v/>
      </c>
      <c r="K220" s="359" t="str">
        <f>IFERROR(VLOOKUP($A220,#REF!,4,0),AF220)</f>
        <v>INT</v>
      </c>
      <c r="L220" s="359" t="str">
        <f>IFERROR(VLOOKUP($A220,#REF!,5,0),"")</f>
        <v/>
      </c>
      <c r="M220" s="359" t="str">
        <f>IFERROR(VLOOKUP($A220,#REF!,7,0),"")</f>
        <v/>
      </c>
      <c r="N220" s="359"/>
      <c r="O220" s="359" t="str">
        <f>IFERROR(VLOOKUP($A220,#REF!,6,0),"")</f>
        <v/>
      </c>
      <c r="P220" s="359" t="str">
        <f>IFERROR(VLOOKUP($A220,#REF!,9,0),"")</f>
        <v/>
      </c>
      <c r="Q220" s="359" t="str">
        <f>IFERROR(VLOOKUP($A220,#REF!,10,0),"")</f>
        <v/>
      </c>
      <c r="R220" s="359" t="str">
        <f>IFERROR(VLOOKUP($A220,#REF!,11,0),"")</f>
        <v/>
      </c>
      <c r="S220" s="359" t="str">
        <f>IFERROR(VLOOKUP($A220,#REF!,13,0),"")</f>
        <v/>
      </c>
      <c r="T220" s="359" t="str">
        <f>IFERROR(VLOOKUP($A220,#REF!,14,0),"")</f>
        <v/>
      </c>
      <c r="U220" s="359" t="str">
        <f>IFERROR(VLOOKUP($A220,#REF!,15,0),"")</f>
        <v/>
      </c>
      <c r="V220" s="359" t="str">
        <f>IFERROR(VLOOKUP($A220,#REF!,16,0),"")</f>
        <v/>
      </c>
      <c r="W220" s="359" t="str">
        <f>IFERROR(VLOOKUP($A220,#REF!,17,0),"")</f>
        <v/>
      </c>
      <c r="X220" s="359" t="str">
        <f>IFERROR(VLOOKUP($A220,#REF!,18,0),"")</f>
        <v/>
      </c>
      <c r="Y220" s="359" t="str">
        <f>IFERROR(VLOOKUP($A220,#REF!,19,0),"")</f>
        <v/>
      </c>
      <c r="Z220" s="400" t="str">
        <f>IFERROR(VLOOKUP($A220,#REF!,21,0),"")</f>
        <v/>
      </c>
      <c r="AA220" s="359"/>
      <c r="AB220" s="359"/>
      <c r="AC220" s="359" t="s">
        <v>127</v>
      </c>
      <c r="AD220" s="359" t="s">
        <v>28</v>
      </c>
      <c r="AE220" s="102"/>
      <c r="AF220" s="141" t="s">
        <v>3077</v>
      </c>
      <c r="AG220" s="358" t="s">
        <v>2087</v>
      </c>
      <c r="AH220" s="358" t="s">
        <v>3383</v>
      </c>
      <c r="AI220" s="358" t="s">
        <v>3394</v>
      </c>
      <c r="AJ220" s="358" t="s">
        <v>2050</v>
      </c>
      <c r="AK220" s="358"/>
      <c r="AL220" s="358"/>
      <c r="AM220" s="358"/>
      <c r="AN220" s="359" t="s">
        <v>32</v>
      </c>
      <c r="AO220" s="358" t="s">
        <v>30</v>
      </c>
      <c r="AP220" s="380">
        <v>46087</v>
      </c>
      <c r="AQ220" s="384" t="s">
        <v>28</v>
      </c>
      <c r="AR220" s="358" t="s">
        <v>32</v>
      </c>
      <c r="AS220" s="358">
        <v>11</v>
      </c>
      <c r="AT220" s="384" t="s">
        <v>28</v>
      </c>
      <c r="AU220" s="380">
        <v>46087</v>
      </c>
      <c r="AV220" s="100" t="s">
        <v>30</v>
      </c>
      <c r="AW220" s="100" t="s">
        <v>30</v>
      </c>
      <c r="AX220" s="95" t="s">
        <v>32</v>
      </c>
      <c r="AY220" s="95" t="s">
        <v>32</v>
      </c>
      <c r="AZ220" s="95" t="s">
        <v>32</v>
      </c>
      <c r="BA220" s="95" t="s">
        <v>32</v>
      </c>
      <c r="BB220" s="100" t="s">
        <v>30</v>
      </c>
      <c r="BC220" s="100" t="s">
        <v>30</v>
      </c>
      <c r="BD220" s="100" t="s">
        <v>30</v>
      </c>
      <c r="BE220" s="100" t="s">
        <v>30</v>
      </c>
      <c r="BF220" s="100" t="s">
        <v>30</v>
      </c>
      <c r="BG220" s="100" t="s">
        <v>30</v>
      </c>
      <c r="BH220" s="100" t="s">
        <v>30</v>
      </c>
      <c r="BI220" s="100" t="s">
        <v>30</v>
      </c>
      <c r="BJ220" s="100" t="s">
        <v>30</v>
      </c>
      <c r="BK220" s="100" t="s">
        <v>30</v>
      </c>
      <c r="BL220" s="360" t="s">
        <v>3128</v>
      </c>
      <c r="BN220" s="412"/>
      <c r="BO220" s="412"/>
      <c r="BP220" s="412"/>
      <c r="BQ220" s="412"/>
      <c r="BR220" s="412"/>
      <c r="BZ220">
        <f t="shared" si="7"/>
        <v>1</v>
      </c>
    </row>
    <row r="221" spans="1:78" hidden="1">
      <c r="A221" s="35" t="str">
        <f t="shared" si="6"/>
        <v>M093/2646069</v>
      </c>
      <c r="C221" s="358" t="s">
        <v>24</v>
      </c>
      <c r="D221" s="358">
        <v>218</v>
      </c>
      <c r="E221" s="359" t="s">
        <v>3402</v>
      </c>
      <c r="F221" s="359" t="s">
        <v>34</v>
      </c>
      <c r="G221" s="400">
        <v>46069</v>
      </c>
      <c r="H221" s="359" t="s">
        <v>628</v>
      </c>
      <c r="I221" s="359">
        <v>18</v>
      </c>
      <c r="J221" s="359" t="str">
        <f>IFERROR(VLOOKUP($A221,#REF!,3,0),"")</f>
        <v/>
      </c>
      <c r="K221" s="359" t="str">
        <f>IFERROR(VLOOKUP($A221,#REF!,4,0),AF221)</f>
        <v>INT</v>
      </c>
      <c r="L221" s="359" t="str">
        <f>IFERROR(VLOOKUP($A221,#REF!,5,0),"")</f>
        <v/>
      </c>
      <c r="M221" s="359" t="str">
        <f>IFERROR(VLOOKUP($A221,#REF!,7,0),"")</f>
        <v/>
      </c>
      <c r="N221" s="359"/>
      <c r="O221" s="359" t="str">
        <f>IFERROR(VLOOKUP($A221,#REF!,6,0),"")</f>
        <v/>
      </c>
      <c r="P221" s="359" t="str">
        <f>IFERROR(VLOOKUP($A221,#REF!,9,0),"")</f>
        <v/>
      </c>
      <c r="Q221" s="359" t="str">
        <f>IFERROR(VLOOKUP($A221,#REF!,10,0),"")</f>
        <v/>
      </c>
      <c r="R221" s="359" t="str">
        <f>IFERROR(VLOOKUP($A221,#REF!,11,0),"")</f>
        <v/>
      </c>
      <c r="S221" s="359" t="str">
        <f>IFERROR(VLOOKUP($A221,#REF!,13,0),"")</f>
        <v/>
      </c>
      <c r="T221" s="359" t="str">
        <f>IFERROR(VLOOKUP($A221,#REF!,14,0),"")</f>
        <v/>
      </c>
      <c r="U221" s="359" t="str">
        <f>IFERROR(VLOOKUP($A221,#REF!,15,0),"")</f>
        <v/>
      </c>
      <c r="V221" s="359" t="str">
        <f>IFERROR(VLOOKUP($A221,#REF!,16,0),"")</f>
        <v/>
      </c>
      <c r="W221" s="359" t="str">
        <f>IFERROR(VLOOKUP($A221,#REF!,17,0),"")</f>
        <v/>
      </c>
      <c r="X221" s="359" t="str">
        <f>IFERROR(VLOOKUP($A221,#REF!,18,0),"")</f>
        <v/>
      </c>
      <c r="Y221" s="359" t="str">
        <f>IFERROR(VLOOKUP($A221,#REF!,19,0),"")</f>
        <v/>
      </c>
      <c r="Z221" s="400" t="str">
        <f>IFERROR(VLOOKUP($A221,#REF!,21,0),"")</f>
        <v/>
      </c>
      <c r="AA221" s="359"/>
      <c r="AB221" s="359"/>
      <c r="AC221" s="359" t="s">
        <v>127</v>
      </c>
      <c r="AD221" s="359" t="s">
        <v>28</v>
      </c>
      <c r="AE221" s="358"/>
      <c r="AF221" s="141" t="s">
        <v>3077</v>
      </c>
      <c r="AG221" s="358" t="s">
        <v>2085</v>
      </c>
      <c r="AH221" s="358" t="s">
        <v>3383</v>
      </c>
      <c r="AI221" s="358" t="s">
        <v>3394</v>
      </c>
      <c r="AJ221" s="358" t="s">
        <v>2050</v>
      </c>
      <c r="AK221" s="358"/>
      <c r="AL221" s="358"/>
      <c r="AM221" s="358"/>
      <c r="AN221" s="130" t="s">
        <v>2863</v>
      </c>
      <c r="AO221" s="358" t="s">
        <v>30</v>
      </c>
      <c r="AP221" s="384">
        <v>46099</v>
      </c>
      <c r="AQ221" s="384" t="s">
        <v>178</v>
      </c>
      <c r="AR221" s="358" t="s">
        <v>32</v>
      </c>
      <c r="AS221" s="358">
        <v>17</v>
      </c>
      <c r="AT221" s="384" t="s">
        <v>178</v>
      </c>
      <c r="AU221" s="380">
        <v>46099</v>
      </c>
      <c r="AV221" s="100" t="s">
        <v>30</v>
      </c>
      <c r="AW221" s="100" t="s">
        <v>30</v>
      </c>
      <c r="AX221" s="100" t="s">
        <v>30</v>
      </c>
      <c r="AY221" s="95" t="s">
        <v>32</v>
      </c>
      <c r="AZ221" s="95" t="s">
        <v>32</v>
      </c>
      <c r="BA221" s="95" t="s">
        <v>32</v>
      </c>
      <c r="BB221" s="100" t="s">
        <v>30</v>
      </c>
      <c r="BC221" s="100" t="s">
        <v>30</v>
      </c>
      <c r="BD221" s="100" t="s">
        <v>30</v>
      </c>
      <c r="BE221" s="100" t="s">
        <v>30</v>
      </c>
      <c r="BF221" s="100" t="s">
        <v>30</v>
      </c>
      <c r="BG221" s="100" t="s">
        <v>30</v>
      </c>
      <c r="BH221" s="100" t="s">
        <v>30</v>
      </c>
      <c r="BI221" s="100" t="s">
        <v>30</v>
      </c>
      <c r="BJ221" s="100" t="s">
        <v>30</v>
      </c>
      <c r="BK221" s="100" t="s">
        <v>30</v>
      </c>
      <c r="BL221" s="360"/>
      <c r="BN221" s="412"/>
      <c r="BO221" s="412"/>
      <c r="BP221" s="412"/>
      <c r="BQ221" s="412"/>
      <c r="BR221" s="412"/>
      <c r="BZ221">
        <f t="shared" si="7"/>
        <v>1</v>
      </c>
    </row>
    <row r="222" spans="1:78" hidden="1">
      <c r="A222" s="35" t="str">
        <f t="shared" si="6"/>
        <v>S004/2646069</v>
      </c>
      <c r="C222" s="358" t="s">
        <v>24</v>
      </c>
      <c r="D222" s="358">
        <v>219</v>
      </c>
      <c r="E222" s="359" t="s">
        <v>3403</v>
      </c>
      <c r="F222" s="359" t="s">
        <v>1754</v>
      </c>
      <c r="G222" s="400">
        <v>46069</v>
      </c>
      <c r="H222" s="359" t="s">
        <v>110</v>
      </c>
      <c r="I222" s="359">
        <v>15</v>
      </c>
      <c r="J222" s="359" t="str">
        <f>IFERROR(VLOOKUP($A222,#REF!,3,0),"")</f>
        <v/>
      </c>
      <c r="K222" s="359">
        <f>IFERROR(VLOOKUP($A222,#REF!,4,0),AF222)</f>
        <v>0</v>
      </c>
      <c r="L222" s="359" t="str">
        <f>IFERROR(VLOOKUP($A222,#REF!,5,0),"")</f>
        <v/>
      </c>
      <c r="M222" s="359" t="str">
        <f>IFERROR(VLOOKUP($A222,#REF!,7,0),"")</f>
        <v/>
      </c>
      <c r="N222" s="359"/>
      <c r="O222" s="359" t="str">
        <f>IFERROR(VLOOKUP($A222,#REF!,6,0),"")</f>
        <v/>
      </c>
      <c r="P222" s="359" t="str">
        <f>IFERROR(VLOOKUP($A222,#REF!,9,0),"")</f>
        <v/>
      </c>
      <c r="Q222" s="359" t="str">
        <f>IFERROR(VLOOKUP($A222,#REF!,10,0),"")</f>
        <v/>
      </c>
      <c r="R222" s="359" t="str">
        <f>IFERROR(VLOOKUP($A222,#REF!,11,0),"")</f>
        <v/>
      </c>
      <c r="S222" s="359" t="str">
        <f>IFERROR(VLOOKUP($A222,#REF!,13,0),"")</f>
        <v/>
      </c>
      <c r="T222" s="359" t="str">
        <f>IFERROR(VLOOKUP($A222,#REF!,14,0),"")</f>
        <v/>
      </c>
      <c r="U222" s="359" t="str">
        <f>IFERROR(VLOOKUP($A222,#REF!,15,0),"")</f>
        <v/>
      </c>
      <c r="V222" s="359" t="str">
        <f>IFERROR(VLOOKUP($A222,#REF!,16,0),"")</f>
        <v/>
      </c>
      <c r="W222" s="359" t="str">
        <f>IFERROR(VLOOKUP($A222,#REF!,17,0),"")</f>
        <v/>
      </c>
      <c r="X222" s="359" t="str">
        <f>IFERROR(VLOOKUP($A222,#REF!,18,0),"")</f>
        <v/>
      </c>
      <c r="Y222" s="359" t="str">
        <f>IFERROR(VLOOKUP($A222,#REF!,19,0),"")</f>
        <v/>
      </c>
      <c r="Z222" s="400" t="str">
        <f>IFERROR(VLOOKUP($A222,#REF!,21,0),"")</f>
        <v/>
      </c>
      <c r="AA222" s="359"/>
      <c r="AB222" s="359"/>
      <c r="AC222" s="359" t="s">
        <v>1334</v>
      </c>
      <c r="AD222" s="359" t="s">
        <v>1334</v>
      </c>
      <c r="AE222" s="358"/>
      <c r="AF222" s="141"/>
      <c r="AG222" s="358" t="s">
        <v>110</v>
      </c>
      <c r="AH222" s="358" t="s">
        <v>3404</v>
      </c>
      <c r="AI222" s="358" t="s">
        <v>3404</v>
      </c>
      <c r="AJ222" s="358" t="s">
        <v>110</v>
      </c>
      <c r="AK222" s="358"/>
      <c r="AL222" s="358"/>
      <c r="AM222" s="358"/>
      <c r="AN222" s="130" t="s">
        <v>2863</v>
      </c>
      <c r="AO222" s="358" t="s">
        <v>30</v>
      </c>
      <c r="AP222" s="384">
        <v>46090</v>
      </c>
      <c r="AQ222" s="380" t="s">
        <v>48</v>
      </c>
      <c r="AR222" s="358" t="s">
        <v>1055</v>
      </c>
      <c r="AS222" s="358">
        <v>17</v>
      </c>
      <c r="AT222" s="384" t="s">
        <v>48</v>
      </c>
      <c r="AU222" s="380">
        <v>46090</v>
      </c>
      <c r="AV222" s="82" t="s">
        <v>113</v>
      </c>
      <c r="AW222" s="95"/>
      <c r="AX222" s="82" t="s">
        <v>113</v>
      </c>
      <c r="AY222" s="100" t="s">
        <v>30</v>
      </c>
      <c r="AZ222" s="100" t="s">
        <v>30</v>
      </c>
      <c r="BA222" s="100" t="s">
        <v>30</v>
      </c>
      <c r="BB222" s="100" t="s">
        <v>30</v>
      </c>
      <c r="BC222" s="100" t="s">
        <v>30</v>
      </c>
      <c r="BD222" s="100" t="s">
        <v>30</v>
      </c>
      <c r="BE222" s="100" t="s">
        <v>30</v>
      </c>
      <c r="BF222" s="100" t="s">
        <v>30</v>
      </c>
      <c r="BG222" s="100" t="s">
        <v>30</v>
      </c>
      <c r="BH222" s="100" t="s">
        <v>30</v>
      </c>
      <c r="BI222" s="100" t="s">
        <v>30</v>
      </c>
      <c r="BJ222" s="100" t="s">
        <v>30</v>
      </c>
      <c r="BK222" s="95"/>
      <c r="BL222" s="360"/>
      <c r="BN222" s="412"/>
      <c r="BO222" s="412"/>
      <c r="BP222" s="412"/>
      <c r="BQ222" s="412"/>
      <c r="BR222" s="412"/>
      <c r="BZ222">
        <f t="shared" si="7"/>
        <v>1</v>
      </c>
    </row>
    <row r="223" spans="1:78" hidden="1">
      <c r="A223" s="35" t="str">
        <f t="shared" si="6"/>
        <v>M087/2646069</v>
      </c>
      <c r="C223" s="358" t="s">
        <v>24</v>
      </c>
      <c r="D223" s="358">
        <v>220</v>
      </c>
      <c r="E223" s="359" t="s">
        <v>3405</v>
      </c>
      <c r="F223" s="359" t="s">
        <v>50</v>
      </c>
      <c r="G223" s="400">
        <v>46069</v>
      </c>
      <c r="H223" s="359" t="s">
        <v>1295</v>
      </c>
      <c r="I223" s="359">
        <v>21</v>
      </c>
      <c r="J223" s="359" t="str">
        <f>IFERROR(VLOOKUP($A223,#REF!,3,0),"")</f>
        <v/>
      </c>
      <c r="K223" s="359" t="str">
        <f>IFERROR(VLOOKUP($A223,#REF!,4,0),AF223)</f>
        <v>EXT</v>
      </c>
      <c r="L223" s="359" t="str">
        <f>IFERROR(VLOOKUP($A223,#REF!,5,0),"")</f>
        <v/>
      </c>
      <c r="M223" s="359" t="str">
        <f>IFERROR(VLOOKUP($A223,#REF!,7,0),"")</f>
        <v/>
      </c>
      <c r="N223" s="359"/>
      <c r="O223" s="359" t="str">
        <f>IFERROR(VLOOKUP($A223,#REF!,6,0),"")</f>
        <v/>
      </c>
      <c r="P223" s="359" t="str">
        <f>IFERROR(VLOOKUP($A223,#REF!,9,0),"")</f>
        <v/>
      </c>
      <c r="Q223" s="359" t="str">
        <f>IFERROR(VLOOKUP($A223,#REF!,10,0),"")</f>
        <v/>
      </c>
      <c r="R223" s="359" t="str">
        <f>IFERROR(VLOOKUP($A223,#REF!,11,0),"")</f>
        <v/>
      </c>
      <c r="S223" s="359" t="str">
        <f>IFERROR(VLOOKUP($A223,#REF!,13,0),"")</f>
        <v/>
      </c>
      <c r="T223" s="359" t="str">
        <f>IFERROR(VLOOKUP($A223,#REF!,14,0),"")</f>
        <v/>
      </c>
      <c r="U223" s="359" t="str">
        <f>IFERROR(VLOOKUP($A223,#REF!,15,0),"")</f>
        <v/>
      </c>
      <c r="V223" s="359" t="str">
        <f>IFERROR(VLOOKUP($A223,#REF!,16,0),"")</f>
        <v/>
      </c>
      <c r="W223" s="359" t="str">
        <f>IFERROR(VLOOKUP($A223,#REF!,17,0),"")</f>
        <v/>
      </c>
      <c r="X223" s="359" t="str">
        <f>IFERROR(VLOOKUP($A223,#REF!,18,0),"")</f>
        <v/>
      </c>
      <c r="Y223" s="359" t="str">
        <f>IFERROR(VLOOKUP($A223,#REF!,19,0),"")</f>
        <v/>
      </c>
      <c r="Z223" s="400" t="str">
        <f>IFERROR(VLOOKUP($A223,#REF!,21,0),"")</f>
        <v/>
      </c>
      <c r="AA223" s="359"/>
      <c r="AB223" s="359"/>
      <c r="AC223" s="359" t="s">
        <v>1077</v>
      </c>
      <c r="AD223" s="359" t="s">
        <v>1138</v>
      </c>
      <c r="AE223" s="93"/>
      <c r="AF223" s="141" t="s">
        <v>3082</v>
      </c>
      <c r="AG223" s="358" t="s">
        <v>2113</v>
      </c>
      <c r="AH223" s="358" t="s">
        <v>3394</v>
      </c>
      <c r="AI223" s="358" t="s">
        <v>3406</v>
      </c>
      <c r="AJ223" s="358" t="s">
        <v>2050</v>
      </c>
      <c r="AK223" s="358"/>
      <c r="AL223" s="358"/>
      <c r="AM223" s="358"/>
      <c r="AN223" s="130" t="s">
        <v>2863</v>
      </c>
      <c r="AO223" s="358"/>
      <c r="AP223" s="358"/>
      <c r="AQ223" s="384" t="s">
        <v>1138</v>
      </c>
      <c r="AR223" s="358"/>
      <c r="AS223" s="358"/>
      <c r="AT223" s="384"/>
      <c r="AU223" s="380">
        <v>46107</v>
      </c>
      <c r="AV223" s="95" t="s">
        <v>32</v>
      </c>
      <c r="AW223" s="100" t="s">
        <v>30</v>
      </c>
      <c r="AX223" s="95" t="s">
        <v>32</v>
      </c>
      <c r="AY223" s="100" t="s">
        <v>30</v>
      </c>
      <c r="AZ223" s="100" t="s">
        <v>30</v>
      </c>
      <c r="BA223" s="100" t="s">
        <v>30</v>
      </c>
      <c r="BB223" s="100" t="s">
        <v>30</v>
      </c>
      <c r="BC223" s="100" t="s">
        <v>30</v>
      </c>
      <c r="BD223" s="100" t="s">
        <v>30</v>
      </c>
      <c r="BE223" s="100" t="s">
        <v>30</v>
      </c>
      <c r="BF223" s="100" t="s">
        <v>30</v>
      </c>
      <c r="BG223" s="100"/>
      <c r="BH223" s="100"/>
      <c r="BI223" s="100"/>
      <c r="BJ223" s="100"/>
      <c r="BK223" s="100"/>
      <c r="BL223" s="360"/>
      <c r="BN223" s="412"/>
      <c r="BO223" s="412"/>
      <c r="BP223" s="412"/>
      <c r="BQ223" s="412"/>
      <c r="BR223" s="412"/>
      <c r="BX223" s="96"/>
      <c r="BZ223">
        <f t="shared" si="7"/>
        <v>1</v>
      </c>
    </row>
    <row r="224" spans="1:78" hidden="1">
      <c r="A224" s="35" t="str">
        <f t="shared" si="6"/>
        <v>M088/2646070</v>
      </c>
      <c r="C224" s="358" t="s">
        <v>24</v>
      </c>
      <c r="D224" s="358">
        <v>221</v>
      </c>
      <c r="E224" s="359" t="s">
        <v>3407</v>
      </c>
      <c r="F224" s="359" t="s">
        <v>43</v>
      </c>
      <c r="G224" s="400">
        <v>46070</v>
      </c>
      <c r="H224" s="359" t="s">
        <v>1295</v>
      </c>
      <c r="I224" s="359">
        <v>21</v>
      </c>
      <c r="J224" s="359" t="str">
        <f>IFERROR(VLOOKUP($A224,#REF!,3,0),"")</f>
        <v/>
      </c>
      <c r="K224" s="359" t="str">
        <f>IFERROR(VLOOKUP($A224,#REF!,4,0),AF224)</f>
        <v>EXT</v>
      </c>
      <c r="L224" s="359" t="str">
        <f>IFERROR(VLOOKUP($A224,#REF!,5,0),"")</f>
        <v/>
      </c>
      <c r="M224" s="359" t="str">
        <f>IFERROR(VLOOKUP($A224,#REF!,7,0),"")</f>
        <v/>
      </c>
      <c r="N224" s="359"/>
      <c r="O224" s="359" t="str">
        <f>IFERROR(VLOOKUP($A224,#REF!,6,0),"")</f>
        <v/>
      </c>
      <c r="P224" s="359" t="str">
        <f>IFERROR(VLOOKUP($A224,#REF!,9,0),"")</f>
        <v/>
      </c>
      <c r="Q224" s="359" t="str">
        <f>IFERROR(VLOOKUP($A224,#REF!,10,0),"")</f>
        <v/>
      </c>
      <c r="R224" s="359" t="str">
        <f>IFERROR(VLOOKUP($A224,#REF!,11,0),"")</f>
        <v/>
      </c>
      <c r="S224" s="359" t="str">
        <f>IFERROR(VLOOKUP($A224,#REF!,13,0),"")</f>
        <v/>
      </c>
      <c r="T224" s="359" t="str">
        <f>IFERROR(VLOOKUP($A224,#REF!,14,0),"")</f>
        <v/>
      </c>
      <c r="U224" s="359" t="str">
        <f>IFERROR(VLOOKUP($A224,#REF!,15,0),"")</f>
        <v/>
      </c>
      <c r="V224" s="359" t="str">
        <f>IFERROR(VLOOKUP($A224,#REF!,16,0),"")</f>
        <v/>
      </c>
      <c r="W224" s="359" t="str">
        <f>IFERROR(VLOOKUP($A224,#REF!,17,0),"")</f>
        <v/>
      </c>
      <c r="X224" s="359" t="str">
        <f>IFERROR(VLOOKUP($A224,#REF!,18,0),"")</f>
        <v/>
      </c>
      <c r="Y224" s="359" t="str">
        <f>IFERROR(VLOOKUP($A224,#REF!,19,0),"")</f>
        <v/>
      </c>
      <c r="Z224" s="400" t="str">
        <f>IFERROR(VLOOKUP($A224,#REF!,21,0),"")</f>
        <v/>
      </c>
      <c r="AA224" s="359"/>
      <c r="AB224" s="359"/>
      <c r="AC224" s="359" t="s">
        <v>1077</v>
      </c>
      <c r="AD224" s="359" t="s">
        <v>1138</v>
      </c>
      <c r="AE224" s="93"/>
      <c r="AF224" s="141" t="s">
        <v>3082</v>
      </c>
      <c r="AG224" s="358" t="s">
        <v>2113</v>
      </c>
      <c r="AH224" s="358" t="s">
        <v>3394</v>
      </c>
      <c r="AI224" s="358" t="s">
        <v>3406</v>
      </c>
      <c r="AJ224" s="358" t="s">
        <v>2050</v>
      </c>
      <c r="AK224" s="358"/>
      <c r="AL224" s="358"/>
      <c r="AM224" s="358"/>
      <c r="AN224" s="130" t="s">
        <v>2863</v>
      </c>
      <c r="AO224" s="358" t="s">
        <v>30</v>
      </c>
      <c r="AP224" s="384">
        <v>46108</v>
      </c>
      <c r="AQ224" s="384" t="s">
        <v>1138</v>
      </c>
      <c r="AR224" s="358" t="s">
        <v>32</v>
      </c>
      <c r="AS224" s="358">
        <v>21</v>
      </c>
      <c r="AT224" s="384" t="s">
        <v>1138</v>
      </c>
      <c r="AU224" s="380">
        <v>46108</v>
      </c>
      <c r="AV224" s="95" t="s">
        <v>32</v>
      </c>
      <c r="AW224" s="100" t="s">
        <v>30</v>
      </c>
      <c r="AX224" s="95" t="s">
        <v>32</v>
      </c>
      <c r="AY224" s="100" t="s">
        <v>30</v>
      </c>
      <c r="AZ224" s="100" t="s">
        <v>30</v>
      </c>
      <c r="BA224" s="100" t="s">
        <v>30</v>
      </c>
      <c r="BB224" s="100" t="s">
        <v>30</v>
      </c>
      <c r="BC224" s="100" t="s">
        <v>30</v>
      </c>
      <c r="BD224" s="100" t="s">
        <v>30</v>
      </c>
      <c r="BE224" s="100" t="s">
        <v>30</v>
      </c>
      <c r="BF224" s="100" t="s">
        <v>30</v>
      </c>
      <c r="BG224" s="100"/>
      <c r="BH224" s="100"/>
      <c r="BI224" s="100"/>
      <c r="BJ224" s="100"/>
      <c r="BK224" s="100"/>
      <c r="BL224" s="360" t="s">
        <v>3408</v>
      </c>
      <c r="BN224" s="412"/>
      <c r="BO224" s="412"/>
      <c r="BP224" s="412"/>
      <c r="BQ224" s="412"/>
      <c r="BR224" s="412"/>
      <c r="BZ224">
        <f t="shared" si="7"/>
        <v>1</v>
      </c>
    </row>
    <row r="225" spans="1:78" hidden="1">
      <c r="A225" s="35" t="str">
        <f t="shared" si="6"/>
        <v>M006/2646071</v>
      </c>
      <c r="C225" s="358" t="s">
        <v>24</v>
      </c>
      <c r="D225" s="358">
        <v>222</v>
      </c>
      <c r="E225" s="359" t="s">
        <v>3409</v>
      </c>
      <c r="F225" s="359" t="s">
        <v>34</v>
      </c>
      <c r="G225" s="400">
        <v>46071</v>
      </c>
      <c r="H225" s="359" t="s">
        <v>2715</v>
      </c>
      <c r="I225" s="359">
        <v>7</v>
      </c>
      <c r="J225" s="359" t="str">
        <f>IFERROR(VLOOKUP($A225,#REF!,3,0),"")</f>
        <v/>
      </c>
      <c r="K225" s="359" t="str">
        <f>IFERROR(VLOOKUP($A225,#REF!,4,0),AF225)</f>
        <v>INT</v>
      </c>
      <c r="L225" s="359" t="str">
        <f>IFERROR(VLOOKUP($A225,#REF!,5,0),"")</f>
        <v/>
      </c>
      <c r="M225" s="359" t="str">
        <f>IFERROR(VLOOKUP($A225,#REF!,7,0),"")</f>
        <v/>
      </c>
      <c r="N225" s="359"/>
      <c r="O225" s="359" t="str">
        <f>IFERROR(VLOOKUP($A225,#REF!,6,0),"")</f>
        <v/>
      </c>
      <c r="P225" s="359" t="str">
        <f>IFERROR(VLOOKUP($A225,#REF!,9,0),"")</f>
        <v/>
      </c>
      <c r="Q225" s="359" t="str">
        <f>IFERROR(VLOOKUP($A225,#REF!,10,0),"")</f>
        <v/>
      </c>
      <c r="R225" s="359" t="str">
        <f>IFERROR(VLOOKUP($A225,#REF!,11,0),"")</f>
        <v/>
      </c>
      <c r="S225" s="359" t="str">
        <f>IFERROR(VLOOKUP($A225,#REF!,13,0),"")</f>
        <v/>
      </c>
      <c r="T225" s="359" t="str">
        <f>IFERROR(VLOOKUP($A225,#REF!,14,0),"")</f>
        <v/>
      </c>
      <c r="U225" s="359" t="str">
        <f>IFERROR(VLOOKUP($A225,#REF!,15,0),"")</f>
        <v/>
      </c>
      <c r="V225" s="359" t="str">
        <f>IFERROR(VLOOKUP($A225,#REF!,16,0),"")</f>
        <v/>
      </c>
      <c r="W225" s="359" t="str">
        <f>IFERROR(VLOOKUP($A225,#REF!,17,0),"")</f>
        <v/>
      </c>
      <c r="X225" s="359" t="str">
        <f>IFERROR(VLOOKUP($A225,#REF!,18,0),"")</f>
        <v/>
      </c>
      <c r="Y225" s="359" t="str">
        <f>IFERROR(VLOOKUP($A225,#REF!,19,0),"")</f>
        <v/>
      </c>
      <c r="Z225" s="400" t="str">
        <f>IFERROR(VLOOKUP($A225,#REF!,21,0),"")</f>
        <v/>
      </c>
      <c r="AA225" s="359"/>
      <c r="AB225" s="359"/>
      <c r="AC225" s="359" t="s">
        <v>1721</v>
      </c>
      <c r="AD225" s="359" t="s">
        <v>1638</v>
      </c>
      <c r="AE225" s="358"/>
      <c r="AF225" s="141" t="s">
        <v>3077</v>
      </c>
      <c r="AG225" s="358" t="s">
        <v>2102</v>
      </c>
      <c r="AH225" s="358" t="s">
        <v>3394</v>
      </c>
      <c r="AI225" s="358" t="s">
        <v>3394</v>
      </c>
      <c r="AJ225" s="358" t="s">
        <v>2050</v>
      </c>
      <c r="AK225" s="358"/>
      <c r="AL225" s="358"/>
      <c r="AM225" s="358"/>
      <c r="AN225" s="359" t="s">
        <v>32</v>
      </c>
      <c r="AO225" s="358" t="s">
        <v>30</v>
      </c>
      <c r="AP225" s="380">
        <v>46085</v>
      </c>
      <c r="AQ225" s="384" t="s">
        <v>1638</v>
      </c>
      <c r="AR225" s="358" t="s">
        <v>32</v>
      </c>
      <c r="AS225" s="358">
        <v>7</v>
      </c>
      <c r="AT225" s="384" t="s">
        <v>1638</v>
      </c>
      <c r="AU225" s="380">
        <v>46085</v>
      </c>
      <c r="AV225" s="100" t="s">
        <v>30</v>
      </c>
      <c r="AW225" s="100" t="s">
        <v>30</v>
      </c>
      <c r="AX225" s="100" t="s">
        <v>30</v>
      </c>
      <c r="AY225" s="100"/>
      <c r="AZ225" s="95"/>
      <c r="BA225" s="100"/>
      <c r="BB225" s="100" t="s">
        <v>30</v>
      </c>
      <c r="BC225" s="100" t="s">
        <v>30</v>
      </c>
      <c r="BD225" s="100" t="s">
        <v>30</v>
      </c>
      <c r="BE225" s="100" t="s">
        <v>30</v>
      </c>
      <c r="BF225" s="100" t="s">
        <v>30</v>
      </c>
      <c r="BG225" s="114"/>
      <c r="BH225" s="100"/>
      <c r="BI225" s="100"/>
      <c r="BJ225" s="100"/>
      <c r="BK225" s="95"/>
      <c r="BL225" s="360"/>
      <c r="BN225" s="412"/>
      <c r="BO225" s="412"/>
      <c r="BP225" s="412"/>
      <c r="BQ225" s="412"/>
      <c r="BR225" s="412"/>
      <c r="BZ225">
        <f t="shared" si="7"/>
        <v>1</v>
      </c>
    </row>
    <row r="226" spans="1:78" hidden="1">
      <c r="A226" s="35" t="str">
        <f t="shared" si="6"/>
        <v>M112/2646073</v>
      </c>
      <c r="C226" s="358" t="s">
        <v>24</v>
      </c>
      <c r="D226" s="358">
        <v>223</v>
      </c>
      <c r="E226" s="359" t="s">
        <v>3410</v>
      </c>
      <c r="F226" s="359" t="s">
        <v>1965</v>
      </c>
      <c r="G226" s="400">
        <v>46073</v>
      </c>
      <c r="H226" s="359" t="s">
        <v>1608</v>
      </c>
      <c r="I226" s="359">
        <v>16</v>
      </c>
      <c r="J226" s="359" t="str">
        <f>IFERROR(VLOOKUP($A226,#REF!,3,0),"")</f>
        <v/>
      </c>
      <c r="K226" s="359" t="str">
        <f>IFERROR(VLOOKUP($A226,#REF!,4,0),AF226)</f>
        <v>EXT</v>
      </c>
      <c r="L226" s="359" t="str">
        <f>IFERROR(VLOOKUP($A226,#REF!,5,0),"")</f>
        <v/>
      </c>
      <c r="M226" s="359" t="str">
        <f>IFERROR(VLOOKUP($A226,#REF!,7,0),"")</f>
        <v/>
      </c>
      <c r="N226" s="359"/>
      <c r="O226" s="359" t="str">
        <f>IFERROR(VLOOKUP($A226,#REF!,6,0),"")</f>
        <v/>
      </c>
      <c r="P226" s="359" t="str">
        <f>IFERROR(VLOOKUP($A226,#REF!,9,0),"")</f>
        <v/>
      </c>
      <c r="Q226" s="359" t="str">
        <f>IFERROR(VLOOKUP($A226,#REF!,10,0),"")</f>
        <v/>
      </c>
      <c r="R226" s="359" t="str">
        <f>IFERROR(VLOOKUP($A226,#REF!,11,0),"")</f>
        <v/>
      </c>
      <c r="S226" s="359" t="str">
        <f>IFERROR(VLOOKUP($A226,#REF!,13,0),"")</f>
        <v/>
      </c>
      <c r="T226" s="359" t="str">
        <f>IFERROR(VLOOKUP($A226,#REF!,14,0),"")</f>
        <v/>
      </c>
      <c r="U226" s="359" t="str">
        <f>IFERROR(VLOOKUP($A226,#REF!,15,0),"")</f>
        <v/>
      </c>
      <c r="V226" s="359" t="str">
        <f>IFERROR(VLOOKUP($A226,#REF!,16,0),"")</f>
        <v/>
      </c>
      <c r="W226" s="359" t="str">
        <f>IFERROR(VLOOKUP($A226,#REF!,17,0),"")</f>
        <v/>
      </c>
      <c r="X226" s="359" t="str">
        <f>IFERROR(VLOOKUP($A226,#REF!,18,0),"")</f>
        <v/>
      </c>
      <c r="Y226" s="359" t="str">
        <f>IFERROR(VLOOKUP($A226,#REF!,19,0),"")</f>
        <v/>
      </c>
      <c r="Z226" s="400" t="str">
        <f>IFERROR(VLOOKUP($A226,#REF!,21,0),"")</f>
        <v/>
      </c>
      <c r="AA226" s="359"/>
      <c r="AB226" s="359"/>
      <c r="AC226" s="359" t="s">
        <v>1077</v>
      </c>
      <c r="AD226" s="359" t="s">
        <v>1138</v>
      </c>
      <c r="AE226" s="358"/>
      <c r="AF226" s="141" t="s">
        <v>3082</v>
      </c>
      <c r="AG226" s="358" t="s">
        <v>3411</v>
      </c>
      <c r="AH226" s="358" t="s">
        <v>3394</v>
      </c>
      <c r="AI226" s="358" t="s">
        <v>3404</v>
      </c>
      <c r="AJ226" s="358" t="s">
        <v>2050</v>
      </c>
      <c r="AK226" s="358"/>
      <c r="AL226" s="358"/>
      <c r="AM226" s="358"/>
      <c r="AN226" s="130" t="s">
        <v>2863</v>
      </c>
      <c r="AO226" s="358" t="s">
        <v>30</v>
      </c>
      <c r="AP226" s="380">
        <v>46085</v>
      </c>
      <c r="AQ226" s="384" t="s">
        <v>1138</v>
      </c>
      <c r="AR226" s="358" t="s">
        <v>32</v>
      </c>
      <c r="AS226" s="358">
        <v>16</v>
      </c>
      <c r="AT226" s="384" t="s">
        <v>1138</v>
      </c>
      <c r="AU226" s="380">
        <v>46085</v>
      </c>
      <c r="AV226" s="100" t="s">
        <v>30</v>
      </c>
      <c r="AW226" s="100" t="s">
        <v>30</v>
      </c>
      <c r="AX226" s="95" t="s">
        <v>32</v>
      </c>
      <c r="AY226" s="100" t="s">
        <v>30</v>
      </c>
      <c r="AZ226" s="100" t="s">
        <v>30</v>
      </c>
      <c r="BA226" s="100" t="s">
        <v>30</v>
      </c>
      <c r="BB226" s="100" t="s">
        <v>30</v>
      </c>
      <c r="BC226" s="100" t="s">
        <v>30</v>
      </c>
      <c r="BD226" s="100" t="s">
        <v>30</v>
      </c>
      <c r="BE226" s="100" t="s">
        <v>30</v>
      </c>
      <c r="BF226" s="100" t="s">
        <v>30</v>
      </c>
      <c r="BG226" s="100" t="s">
        <v>30</v>
      </c>
      <c r="BH226" s="100" t="s">
        <v>30</v>
      </c>
      <c r="BI226" s="100" t="s">
        <v>30</v>
      </c>
      <c r="BJ226" s="100" t="s">
        <v>30</v>
      </c>
      <c r="BK226" s="95"/>
      <c r="BL226" s="360"/>
      <c r="BN226" s="412"/>
      <c r="BO226" s="412"/>
      <c r="BP226" s="412"/>
      <c r="BQ226" s="412"/>
      <c r="BR226" s="412"/>
      <c r="BX226" s="96"/>
      <c r="BZ226">
        <f t="shared" si="7"/>
        <v>1</v>
      </c>
    </row>
    <row r="227" spans="1:78" hidden="1">
      <c r="A227" s="35" t="str">
        <f t="shared" si="6"/>
        <v>034/2646073</v>
      </c>
      <c r="C227" s="358" t="s">
        <v>24</v>
      </c>
      <c r="D227" s="358">
        <v>224</v>
      </c>
      <c r="E227" s="359" t="s">
        <v>3412</v>
      </c>
      <c r="F227" s="359" t="s">
        <v>34</v>
      </c>
      <c r="G227" s="400">
        <v>46073</v>
      </c>
      <c r="H227" s="359" t="s">
        <v>506</v>
      </c>
      <c r="I227" s="359">
        <v>12</v>
      </c>
      <c r="J227" s="359" t="str">
        <f>IFERROR(VLOOKUP($A227,#REF!,3,0),"")</f>
        <v/>
      </c>
      <c r="K227" s="359" t="str">
        <f>IFERROR(VLOOKUP($A227,#REF!,4,0),AF227)</f>
        <v>INT</v>
      </c>
      <c r="L227" s="359" t="str">
        <f>IFERROR(VLOOKUP($A227,#REF!,5,0),"")</f>
        <v/>
      </c>
      <c r="M227" s="359" t="str">
        <f>IFERROR(VLOOKUP($A227,#REF!,7,0),"")</f>
        <v/>
      </c>
      <c r="N227" s="359"/>
      <c r="O227" s="359" t="str">
        <f>IFERROR(VLOOKUP($A227,#REF!,6,0),"")</f>
        <v/>
      </c>
      <c r="P227" s="359" t="str">
        <f>IFERROR(VLOOKUP($A227,#REF!,9,0),"")</f>
        <v/>
      </c>
      <c r="Q227" s="359" t="str">
        <f>IFERROR(VLOOKUP($A227,#REF!,10,0),"")</f>
        <v/>
      </c>
      <c r="R227" s="359" t="str">
        <f>IFERROR(VLOOKUP($A227,#REF!,11,0),"")</f>
        <v/>
      </c>
      <c r="S227" s="359" t="str">
        <f>IFERROR(VLOOKUP($A227,#REF!,13,0),"")</f>
        <v/>
      </c>
      <c r="T227" s="359" t="str">
        <f>IFERROR(VLOOKUP($A227,#REF!,14,0),"")</f>
        <v/>
      </c>
      <c r="U227" s="359" t="str">
        <f>IFERROR(VLOOKUP($A227,#REF!,15,0),"")</f>
        <v/>
      </c>
      <c r="V227" s="359" t="str">
        <f>IFERROR(VLOOKUP($A227,#REF!,16,0),"")</f>
        <v/>
      </c>
      <c r="W227" s="359" t="str">
        <f>IFERROR(VLOOKUP($A227,#REF!,17,0),"")</f>
        <v/>
      </c>
      <c r="X227" s="359" t="str">
        <f>IFERROR(VLOOKUP($A227,#REF!,18,0),"")</f>
        <v/>
      </c>
      <c r="Y227" s="359" t="str">
        <f>IFERROR(VLOOKUP($A227,#REF!,19,0),"")</f>
        <v/>
      </c>
      <c r="Z227" s="400" t="str">
        <f>IFERROR(VLOOKUP($A227,#REF!,21,0),"")</f>
        <v/>
      </c>
      <c r="AA227" s="359"/>
      <c r="AB227" s="359"/>
      <c r="AC227" s="359" t="s">
        <v>1076</v>
      </c>
      <c r="AD227" s="358" t="s">
        <v>3357</v>
      </c>
      <c r="AE227" s="358"/>
      <c r="AF227" s="141" t="s">
        <v>3077</v>
      </c>
      <c r="AG227" s="358" t="s">
        <v>2130</v>
      </c>
      <c r="AH227" s="358" t="s">
        <v>3413</v>
      </c>
      <c r="AI227" s="358" t="s">
        <v>3413</v>
      </c>
      <c r="AJ227" s="358" t="s">
        <v>2050</v>
      </c>
      <c r="AK227" s="358"/>
      <c r="AL227" s="358"/>
      <c r="AM227" s="358"/>
      <c r="AN227" s="359" t="s">
        <v>32</v>
      </c>
      <c r="AO227" s="358" t="s">
        <v>30</v>
      </c>
      <c r="AP227" s="384">
        <v>46087</v>
      </c>
      <c r="AQ227" s="384" t="s">
        <v>3357</v>
      </c>
      <c r="AR227" s="358" t="s">
        <v>32</v>
      </c>
      <c r="AS227" s="358">
        <v>12</v>
      </c>
      <c r="AT227" s="384" t="s">
        <v>3357</v>
      </c>
      <c r="AU227" s="380">
        <v>46087</v>
      </c>
      <c r="AV227" s="100" t="s">
        <v>30</v>
      </c>
      <c r="AW227" s="100" t="s">
        <v>30</v>
      </c>
      <c r="AX227" s="100" t="s">
        <v>30</v>
      </c>
      <c r="AY227" s="100" t="s">
        <v>30</v>
      </c>
      <c r="AZ227" s="100" t="s">
        <v>30</v>
      </c>
      <c r="BA227" s="100" t="s">
        <v>30</v>
      </c>
      <c r="BB227" s="100" t="s">
        <v>30</v>
      </c>
      <c r="BC227" s="100" t="s">
        <v>30</v>
      </c>
      <c r="BD227" s="100" t="s">
        <v>30</v>
      </c>
      <c r="BE227" s="100" t="s">
        <v>30</v>
      </c>
      <c r="BF227" s="100" t="s">
        <v>30</v>
      </c>
      <c r="BG227" s="100" t="s">
        <v>30</v>
      </c>
      <c r="BH227" s="114"/>
      <c r="BI227" s="114"/>
      <c r="BJ227" s="114"/>
      <c r="BK227" s="95"/>
      <c r="BL227" s="360"/>
      <c r="BN227" s="412"/>
      <c r="BO227" s="412"/>
      <c r="BP227" s="412"/>
      <c r="BQ227" s="412"/>
      <c r="BR227" s="412"/>
      <c r="BZ227">
        <f t="shared" si="7"/>
        <v>1</v>
      </c>
    </row>
    <row r="228" spans="1:78" hidden="1">
      <c r="A228" s="35" t="str">
        <f t="shared" si="6"/>
        <v>M129/2646074</v>
      </c>
      <c r="C228" s="358" t="s">
        <v>24</v>
      </c>
      <c r="D228" s="358">
        <v>225</v>
      </c>
      <c r="E228" s="359" t="s">
        <v>3414</v>
      </c>
      <c r="F228" s="359" t="s">
        <v>882</v>
      </c>
      <c r="G228" s="400">
        <v>46074</v>
      </c>
      <c r="H228" s="359" t="s">
        <v>494</v>
      </c>
      <c r="I228" s="359">
        <v>10</v>
      </c>
      <c r="J228" s="359" t="str">
        <f>IFERROR(VLOOKUP($A228,#REF!,3,0),"")</f>
        <v/>
      </c>
      <c r="K228" s="359" t="str">
        <f>IFERROR(VLOOKUP($A228,#REF!,4,0),AF228)</f>
        <v>EXT</v>
      </c>
      <c r="L228" s="359" t="str">
        <f>IFERROR(VLOOKUP($A228,#REF!,5,0),"")</f>
        <v/>
      </c>
      <c r="M228" s="359" t="str">
        <f>IFERROR(VLOOKUP($A228,#REF!,7,0),"")</f>
        <v/>
      </c>
      <c r="N228" s="359"/>
      <c r="O228" s="359" t="str">
        <f>IFERROR(VLOOKUP($A228,#REF!,6,0),"")</f>
        <v/>
      </c>
      <c r="P228" s="359" t="str">
        <f>IFERROR(VLOOKUP($A228,#REF!,9,0),"")</f>
        <v/>
      </c>
      <c r="Q228" s="359" t="str">
        <f>IFERROR(VLOOKUP($A228,#REF!,10,0),"")</f>
        <v/>
      </c>
      <c r="R228" s="359" t="str">
        <f>IFERROR(VLOOKUP($A228,#REF!,11,0),"")</f>
        <v/>
      </c>
      <c r="S228" s="359" t="str">
        <f>IFERROR(VLOOKUP($A228,#REF!,13,0),"")</f>
        <v/>
      </c>
      <c r="T228" s="359" t="str">
        <f>IFERROR(VLOOKUP($A228,#REF!,14,0),"")</f>
        <v/>
      </c>
      <c r="U228" s="359" t="str">
        <f>IFERROR(VLOOKUP($A228,#REF!,15,0),"")</f>
        <v/>
      </c>
      <c r="V228" s="359" t="str">
        <f>IFERROR(VLOOKUP($A228,#REF!,16,0),"")</f>
        <v/>
      </c>
      <c r="W228" s="359" t="str">
        <f>IFERROR(VLOOKUP($A228,#REF!,17,0),"")</f>
        <v/>
      </c>
      <c r="X228" s="359" t="str">
        <f>IFERROR(VLOOKUP($A228,#REF!,18,0),"")</f>
        <v/>
      </c>
      <c r="Y228" s="359" t="str">
        <f>IFERROR(VLOOKUP($A228,#REF!,19,0),"")</f>
        <v/>
      </c>
      <c r="Z228" s="400" t="str">
        <f>IFERROR(VLOOKUP($A228,#REF!,21,0),"")</f>
        <v/>
      </c>
      <c r="AA228" s="359"/>
      <c r="AB228" s="359"/>
      <c r="AC228" s="359" t="s">
        <v>1077</v>
      </c>
      <c r="AD228" s="359" t="s">
        <v>1138</v>
      </c>
      <c r="AE228" s="93"/>
      <c r="AF228" s="141" t="s">
        <v>3082</v>
      </c>
      <c r="AG228" s="358" t="s">
        <v>3213</v>
      </c>
      <c r="AH228" s="358" t="s">
        <v>3415</v>
      </c>
      <c r="AI228" s="358" t="s">
        <v>3415</v>
      </c>
      <c r="AJ228" s="358" t="s">
        <v>2083</v>
      </c>
      <c r="AK228" s="358"/>
      <c r="AL228" s="358"/>
      <c r="AM228" s="358"/>
      <c r="AN228" s="130" t="s">
        <v>2863</v>
      </c>
      <c r="AO228" s="358" t="s">
        <v>30</v>
      </c>
      <c r="AP228" s="384">
        <v>46106</v>
      </c>
      <c r="AQ228" s="384" t="s">
        <v>1138</v>
      </c>
      <c r="AR228" s="358" t="s">
        <v>32</v>
      </c>
      <c r="AS228" s="358">
        <v>10</v>
      </c>
      <c r="AT228" s="384" t="s">
        <v>1138</v>
      </c>
      <c r="AU228" s="380">
        <v>46106</v>
      </c>
      <c r="AV228" s="95" t="s">
        <v>32</v>
      </c>
      <c r="AW228" s="100" t="s">
        <v>30</v>
      </c>
      <c r="AX228" s="95" t="s">
        <v>32</v>
      </c>
      <c r="AY228" s="100" t="s">
        <v>30</v>
      </c>
      <c r="AZ228" s="100" t="s">
        <v>30</v>
      </c>
      <c r="BA228" s="100" t="s">
        <v>30</v>
      </c>
      <c r="BB228" s="100" t="s">
        <v>30</v>
      </c>
      <c r="BC228" s="100" t="s">
        <v>30</v>
      </c>
      <c r="BD228" s="100" t="s">
        <v>30</v>
      </c>
      <c r="BE228" s="100" t="s">
        <v>30</v>
      </c>
      <c r="BF228" s="100" t="s">
        <v>30</v>
      </c>
      <c r="BG228" s="100"/>
      <c r="BH228" s="100"/>
      <c r="BI228" s="100"/>
      <c r="BJ228" s="100"/>
      <c r="BK228" s="100"/>
      <c r="BL228" s="360" t="s">
        <v>3416</v>
      </c>
      <c r="BN228" s="412"/>
      <c r="BO228" s="412"/>
      <c r="BP228" s="412"/>
      <c r="BQ228" s="412"/>
      <c r="BR228" s="412"/>
      <c r="BZ228">
        <f t="shared" si="7"/>
        <v>1</v>
      </c>
    </row>
    <row r="229" spans="1:78" hidden="1">
      <c r="A229" s="35" t="str">
        <f t="shared" si="6"/>
        <v>M025/2646074</v>
      </c>
      <c r="C229" s="358" t="s">
        <v>24</v>
      </c>
      <c r="D229" s="358">
        <v>226</v>
      </c>
      <c r="E229" s="359" t="s">
        <v>3417</v>
      </c>
      <c r="F229" s="359" t="s">
        <v>64</v>
      </c>
      <c r="G229" s="400">
        <v>46074</v>
      </c>
      <c r="H229" s="359" t="s">
        <v>3168</v>
      </c>
      <c r="I229" s="359">
        <v>9</v>
      </c>
      <c r="J229" s="359" t="str">
        <f>IFERROR(VLOOKUP($A229,#REF!,3,0),"")</f>
        <v/>
      </c>
      <c r="K229" s="359" t="str">
        <f>IFERROR(VLOOKUP($A229,#REF!,4,0),AF229)</f>
        <v>EXT</v>
      </c>
      <c r="L229" s="359" t="str">
        <f>IFERROR(VLOOKUP($A229,#REF!,5,0),"")</f>
        <v/>
      </c>
      <c r="M229" s="359" t="str">
        <f>IFERROR(VLOOKUP($A229,#REF!,7,0),"")</f>
        <v/>
      </c>
      <c r="N229" s="359"/>
      <c r="O229" s="359" t="str">
        <f>IFERROR(VLOOKUP($A229,#REF!,6,0),"")</f>
        <v/>
      </c>
      <c r="P229" s="359" t="str">
        <f>IFERROR(VLOOKUP($A229,#REF!,9,0),"")</f>
        <v/>
      </c>
      <c r="Q229" s="359" t="str">
        <f>IFERROR(VLOOKUP($A229,#REF!,10,0),"")</f>
        <v/>
      </c>
      <c r="R229" s="359" t="str">
        <f>IFERROR(VLOOKUP($A229,#REF!,11,0),"")</f>
        <v/>
      </c>
      <c r="S229" s="359" t="str">
        <f>IFERROR(VLOOKUP($A229,#REF!,13,0),"")</f>
        <v/>
      </c>
      <c r="T229" s="359" t="str">
        <f>IFERROR(VLOOKUP($A229,#REF!,14,0),"")</f>
        <v/>
      </c>
      <c r="U229" s="359" t="str">
        <f>IFERROR(VLOOKUP($A229,#REF!,15,0),"")</f>
        <v/>
      </c>
      <c r="V229" s="359" t="str">
        <f>IFERROR(VLOOKUP($A229,#REF!,16,0),"")</f>
        <v/>
      </c>
      <c r="W229" s="359" t="str">
        <f>IFERROR(VLOOKUP($A229,#REF!,17,0),"")</f>
        <v/>
      </c>
      <c r="X229" s="359" t="str">
        <f>IFERROR(VLOOKUP($A229,#REF!,18,0),"")</f>
        <v/>
      </c>
      <c r="Y229" s="359" t="str">
        <f>IFERROR(VLOOKUP($A229,#REF!,19,0),"")</f>
        <v/>
      </c>
      <c r="Z229" s="400" t="str">
        <f>IFERROR(VLOOKUP($A229,#REF!,21,0),"")</f>
        <v/>
      </c>
      <c r="AA229" s="359"/>
      <c r="AB229" s="359"/>
      <c r="AC229" s="359" t="s">
        <v>1077</v>
      </c>
      <c r="AD229" s="359" t="s">
        <v>1138</v>
      </c>
      <c r="AE229" s="358"/>
      <c r="AF229" s="141" t="s">
        <v>3082</v>
      </c>
      <c r="AG229" s="358" t="s">
        <v>2203</v>
      </c>
      <c r="AH229" s="358" t="s">
        <v>3413</v>
      </c>
      <c r="AI229" s="358" t="s">
        <v>3415</v>
      </c>
      <c r="AJ229" s="358" t="s">
        <v>2050</v>
      </c>
      <c r="AK229" s="358"/>
      <c r="AL229" s="358"/>
      <c r="AM229" s="358"/>
      <c r="AN229" s="359" t="s">
        <v>32</v>
      </c>
      <c r="AO229" s="358" t="s">
        <v>30</v>
      </c>
      <c r="AP229" s="384">
        <v>46087</v>
      </c>
      <c r="AQ229" s="384" t="s">
        <v>1138</v>
      </c>
      <c r="AR229" s="358" t="s">
        <v>32</v>
      </c>
      <c r="AS229" s="358">
        <v>9</v>
      </c>
      <c r="AT229" s="384" t="s">
        <v>1138</v>
      </c>
      <c r="AU229" s="380">
        <v>46087</v>
      </c>
      <c r="AV229" s="100" t="s">
        <v>30</v>
      </c>
      <c r="AW229" s="100" t="s">
        <v>30</v>
      </c>
      <c r="AX229" s="100" t="s">
        <v>30</v>
      </c>
      <c r="AY229" s="100" t="s">
        <v>30</v>
      </c>
      <c r="AZ229" s="100" t="s">
        <v>30</v>
      </c>
      <c r="BA229" s="100" t="s">
        <v>30</v>
      </c>
      <c r="BB229" s="100" t="s">
        <v>30</v>
      </c>
      <c r="BC229" s="100" t="s">
        <v>30</v>
      </c>
      <c r="BD229" s="100" t="s">
        <v>30</v>
      </c>
      <c r="BE229" s="100" t="s">
        <v>30</v>
      </c>
      <c r="BF229" s="100" t="s">
        <v>30</v>
      </c>
      <c r="BG229" s="114"/>
      <c r="BH229" s="100"/>
      <c r="BI229" s="100"/>
      <c r="BJ229" s="100"/>
      <c r="BK229" s="95"/>
      <c r="BL229" s="360"/>
      <c r="BN229" s="412"/>
      <c r="BO229" s="412"/>
      <c r="BP229" s="412"/>
      <c r="BQ229" s="412"/>
      <c r="BR229" s="412"/>
      <c r="BZ229">
        <f t="shared" si="7"/>
        <v>1</v>
      </c>
    </row>
    <row r="230" spans="1:78" hidden="1">
      <c r="A230" s="35" t="str">
        <f t="shared" si="6"/>
        <v>058/2646074</v>
      </c>
      <c r="C230" s="358" t="s">
        <v>24</v>
      </c>
      <c r="D230" s="358">
        <v>227</v>
      </c>
      <c r="E230" s="359" t="s">
        <v>3418</v>
      </c>
      <c r="F230" s="359" t="s">
        <v>34</v>
      </c>
      <c r="G230" s="400">
        <v>46074</v>
      </c>
      <c r="H230" s="359" t="s">
        <v>65</v>
      </c>
      <c r="I230" s="359">
        <v>7</v>
      </c>
      <c r="J230" s="359" t="str">
        <f>IFERROR(VLOOKUP($A230,#REF!,3,0),"")</f>
        <v/>
      </c>
      <c r="K230" s="359" t="str">
        <f>IFERROR(VLOOKUP($A230,#REF!,4,0),AF230)</f>
        <v>INT</v>
      </c>
      <c r="L230" s="359" t="str">
        <f>IFERROR(VLOOKUP($A230,#REF!,5,0),"")</f>
        <v/>
      </c>
      <c r="M230" s="359" t="str">
        <f>IFERROR(VLOOKUP($A230,#REF!,7,0),"")</f>
        <v/>
      </c>
      <c r="N230" s="359"/>
      <c r="O230" s="359" t="str">
        <f>IFERROR(VLOOKUP($A230,#REF!,6,0),"")</f>
        <v/>
      </c>
      <c r="P230" s="359" t="str">
        <f>IFERROR(VLOOKUP($A230,#REF!,9,0),"")</f>
        <v/>
      </c>
      <c r="Q230" s="359" t="str">
        <f>IFERROR(VLOOKUP($A230,#REF!,10,0),"")</f>
        <v/>
      </c>
      <c r="R230" s="359" t="str">
        <f>IFERROR(VLOOKUP($A230,#REF!,11,0),"")</f>
        <v/>
      </c>
      <c r="S230" s="359" t="str">
        <f>IFERROR(VLOOKUP($A230,#REF!,13,0),"")</f>
        <v/>
      </c>
      <c r="T230" s="359" t="str">
        <f>IFERROR(VLOOKUP($A230,#REF!,14,0),"")</f>
        <v/>
      </c>
      <c r="U230" s="359" t="str">
        <f>IFERROR(VLOOKUP($A230,#REF!,15,0),"")</f>
        <v/>
      </c>
      <c r="V230" s="359" t="str">
        <f>IFERROR(VLOOKUP($A230,#REF!,16,0),"")</f>
        <v/>
      </c>
      <c r="W230" s="359" t="str">
        <f>IFERROR(VLOOKUP($A230,#REF!,17,0),"")</f>
        <v/>
      </c>
      <c r="X230" s="359" t="str">
        <f>IFERROR(VLOOKUP($A230,#REF!,18,0),"")</f>
        <v/>
      </c>
      <c r="Y230" s="359" t="str">
        <f>IFERROR(VLOOKUP($A230,#REF!,19,0),"")</f>
        <v/>
      </c>
      <c r="Z230" s="400" t="str">
        <f>IFERROR(VLOOKUP($A230,#REF!,21,0),"")</f>
        <v/>
      </c>
      <c r="AA230" s="359"/>
      <c r="AB230" s="359"/>
      <c r="AC230" s="359" t="s">
        <v>1076</v>
      </c>
      <c r="AD230" s="358" t="s">
        <v>3357</v>
      </c>
      <c r="AE230" s="102"/>
      <c r="AF230" s="141" t="s">
        <v>3077</v>
      </c>
      <c r="AG230" s="358" t="s">
        <v>2052</v>
      </c>
      <c r="AH230" s="358" t="s">
        <v>3415</v>
      </c>
      <c r="AI230" s="358" t="s">
        <v>3415</v>
      </c>
      <c r="AJ230" s="358" t="s">
        <v>2166</v>
      </c>
      <c r="AK230" s="358"/>
      <c r="AL230" s="358"/>
      <c r="AM230" s="358"/>
      <c r="AN230" s="284" t="s">
        <v>32</v>
      </c>
      <c r="AO230" s="358" t="s">
        <v>30</v>
      </c>
      <c r="AP230" s="380">
        <v>46085</v>
      </c>
      <c r="AQ230" s="384" t="s">
        <v>3357</v>
      </c>
      <c r="AR230" s="358" t="s">
        <v>32</v>
      </c>
      <c r="AS230" s="358">
        <v>7</v>
      </c>
      <c r="AT230" s="384" t="s">
        <v>3357</v>
      </c>
      <c r="AU230" s="380">
        <v>46085</v>
      </c>
      <c r="AV230" s="100" t="s">
        <v>30</v>
      </c>
      <c r="AW230" s="100" t="s">
        <v>30</v>
      </c>
      <c r="AX230" s="100" t="s">
        <v>30</v>
      </c>
      <c r="AY230" s="100" t="s">
        <v>30</v>
      </c>
      <c r="AZ230" s="100" t="s">
        <v>30</v>
      </c>
      <c r="BA230" s="100" t="s">
        <v>30</v>
      </c>
      <c r="BB230" s="100" t="s">
        <v>30</v>
      </c>
      <c r="BC230" s="100" t="s">
        <v>30</v>
      </c>
      <c r="BD230" s="100" t="s">
        <v>30</v>
      </c>
      <c r="BE230" s="100" t="s">
        <v>30</v>
      </c>
      <c r="BF230" s="100" t="s">
        <v>30</v>
      </c>
      <c r="BG230" s="100" t="s">
        <v>30</v>
      </c>
      <c r="BH230" s="100" t="s">
        <v>30</v>
      </c>
      <c r="BI230" s="100" t="s">
        <v>30</v>
      </c>
      <c r="BJ230" s="100" t="s">
        <v>30</v>
      </c>
      <c r="BK230" s="95"/>
      <c r="BL230" s="360"/>
      <c r="BN230" s="412"/>
      <c r="BO230" s="412"/>
      <c r="BP230" s="412"/>
      <c r="BQ230" s="412"/>
      <c r="BR230" s="412"/>
      <c r="BZ230">
        <f t="shared" si="7"/>
        <v>1</v>
      </c>
    </row>
    <row r="231" spans="1:78" hidden="1">
      <c r="A231" s="35" t="str">
        <f t="shared" si="6"/>
        <v>M019/2646074</v>
      </c>
      <c r="C231" s="358" t="s">
        <v>24</v>
      </c>
      <c r="D231" s="358">
        <v>228</v>
      </c>
      <c r="E231" s="359" t="s">
        <v>3419</v>
      </c>
      <c r="F231" s="359" t="s">
        <v>34</v>
      </c>
      <c r="G231" s="400">
        <v>46074</v>
      </c>
      <c r="H231" s="359" t="s">
        <v>401</v>
      </c>
      <c r="I231" s="359">
        <v>13</v>
      </c>
      <c r="J231" s="359" t="str">
        <f>IFERROR(VLOOKUP($A231,#REF!,3,0),"")</f>
        <v/>
      </c>
      <c r="K231" s="359" t="str">
        <f>IFERROR(VLOOKUP($A231,#REF!,4,0),AF231)</f>
        <v>INT</v>
      </c>
      <c r="L231" s="359" t="str">
        <f>IFERROR(VLOOKUP($A231,#REF!,5,0),"")</f>
        <v/>
      </c>
      <c r="M231" s="359" t="str">
        <f>IFERROR(VLOOKUP($A231,#REF!,7,0),"")</f>
        <v/>
      </c>
      <c r="N231" s="359"/>
      <c r="O231" s="359" t="str">
        <f>IFERROR(VLOOKUP($A231,#REF!,6,0),"")</f>
        <v/>
      </c>
      <c r="P231" s="359" t="str">
        <f>IFERROR(VLOOKUP($A231,#REF!,9,0),"")</f>
        <v/>
      </c>
      <c r="Q231" s="359" t="str">
        <f>IFERROR(VLOOKUP($A231,#REF!,10,0),"")</f>
        <v/>
      </c>
      <c r="R231" s="359" t="str">
        <f>IFERROR(VLOOKUP($A231,#REF!,11,0),"")</f>
        <v/>
      </c>
      <c r="S231" s="359" t="str">
        <f>IFERROR(VLOOKUP($A231,#REF!,13,0),"")</f>
        <v/>
      </c>
      <c r="T231" s="359" t="str">
        <f>IFERROR(VLOOKUP($A231,#REF!,14,0),"")</f>
        <v/>
      </c>
      <c r="U231" s="359" t="str">
        <f>IFERROR(VLOOKUP($A231,#REF!,15,0),"")</f>
        <v/>
      </c>
      <c r="V231" s="359" t="str">
        <f>IFERROR(VLOOKUP($A231,#REF!,16,0),"")</f>
        <v/>
      </c>
      <c r="W231" s="359" t="str">
        <f>IFERROR(VLOOKUP($A231,#REF!,17,0),"")</f>
        <v/>
      </c>
      <c r="X231" s="359" t="str">
        <f>IFERROR(VLOOKUP($A231,#REF!,18,0),"")</f>
        <v/>
      </c>
      <c r="Y231" s="359" t="str">
        <f>IFERROR(VLOOKUP($A231,#REF!,19,0),"")</f>
        <v/>
      </c>
      <c r="Z231" s="400" t="str">
        <f>IFERROR(VLOOKUP($A231,#REF!,21,0),"")</f>
        <v/>
      </c>
      <c r="AA231" s="359"/>
      <c r="AB231" s="359"/>
      <c r="AC231" s="359" t="s">
        <v>1077</v>
      </c>
      <c r="AD231" s="359" t="s">
        <v>1138</v>
      </c>
      <c r="AE231" s="358"/>
      <c r="AF231" s="141" t="s">
        <v>3077</v>
      </c>
      <c r="AG231" s="358" t="s">
        <v>401</v>
      </c>
      <c r="AH231" s="358" t="s">
        <v>401</v>
      </c>
      <c r="AI231" s="358" t="s">
        <v>401</v>
      </c>
      <c r="AJ231" s="358" t="s">
        <v>401</v>
      </c>
      <c r="AK231" s="358"/>
      <c r="AL231" s="358"/>
      <c r="AM231" s="358"/>
      <c r="AN231" s="359" t="s">
        <v>32</v>
      </c>
      <c r="AO231" s="358" t="s">
        <v>30</v>
      </c>
      <c r="AP231" s="384">
        <v>46087</v>
      </c>
      <c r="AQ231" s="384" t="s">
        <v>1138</v>
      </c>
      <c r="AR231" s="358" t="s">
        <v>32</v>
      </c>
      <c r="AS231" s="358">
        <v>13</v>
      </c>
      <c r="AT231" s="384" t="s">
        <v>1138</v>
      </c>
      <c r="AU231" s="380">
        <v>46100</v>
      </c>
      <c r="AV231" s="100" t="s">
        <v>30</v>
      </c>
      <c r="AW231" s="100" t="s">
        <v>30</v>
      </c>
      <c r="AX231" s="82" t="s">
        <v>30</v>
      </c>
      <c r="AY231" s="100" t="s">
        <v>30</v>
      </c>
      <c r="AZ231" s="100" t="s">
        <v>30</v>
      </c>
      <c r="BA231" s="100" t="s">
        <v>30</v>
      </c>
      <c r="BB231" s="100" t="s">
        <v>30</v>
      </c>
      <c r="BC231" s="100" t="s">
        <v>30</v>
      </c>
      <c r="BD231" s="100" t="s">
        <v>30</v>
      </c>
      <c r="BE231" s="100" t="s">
        <v>30</v>
      </c>
      <c r="BF231" s="100" t="s">
        <v>30</v>
      </c>
      <c r="BG231" s="100" t="s">
        <v>30</v>
      </c>
      <c r="BH231" s="100" t="s">
        <v>30</v>
      </c>
      <c r="BI231" s="100" t="s">
        <v>30</v>
      </c>
      <c r="BJ231" s="100" t="s">
        <v>30</v>
      </c>
      <c r="BK231" s="95"/>
      <c r="BL231" s="360"/>
      <c r="BN231" s="412"/>
      <c r="BO231" s="412"/>
      <c r="BP231" s="412"/>
      <c r="BQ231" s="412"/>
      <c r="BR231" s="412"/>
      <c r="BZ231">
        <f t="shared" si="7"/>
        <v>1</v>
      </c>
    </row>
    <row r="232" spans="1:78" hidden="1">
      <c r="A232" s="35" t="str">
        <f t="shared" si="6"/>
        <v>M139/2646074</v>
      </c>
      <c r="C232" s="358" t="s">
        <v>24</v>
      </c>
      <c r="D232" s="358">
        <v>229</v>
      </c>
      <c r="E232" s="359" t="s">
        <v>3420</v>
      </c>
      <c r="F232" s="359" t="s">
        <v>34</v>
      </c>
      <c r="G232" s="400">
        <v>46074</v>
      </c>
      <c r="H232" s="359" t="s">
        <v>3421</v>
      </c>
      <c r="I232" s="359">
        <v>24</v>
      </c>
      <c r="J232" s="359" t="str">
        <f>IFERROR(VLOOKUP($A232,#REF!,3,0),"")</f>
        <v/>
      </c>
      <c r="K232" s="359" t="str">
        <f>IFERROR(VLOOKUP($A232,#REF!,4,0),AF232)</f>
        <v>INT</v>
      </c>
      <c r="L232" s="359" t="str">
        <f>IFERROR(VLOOKUP($A232,#REF!,5,0),"")</f>
        <v/>
      </c>
      <c r="M232" s="359" t="str">
        <f>IFERROR(VLOOKUP($A232,#REF!,7,0),"")</f>
        <v/>
      </c>
      <c r="N232" s="359"/>
      <c r="O232" s="359" t="str">
        <f>IFERROR(VLOOKUP($A232,#REF!,6,0),"")</f>
        <v/>
      </c>
      <c r="P232" s="359" t="str">
        <f>IFERROR(VLOOKUP($A232,#REF!,9,0),"")</f>
        <v/>
      </c>
      <c r="Q232" s="359" t="str">
        <f>IFERROR(VLOOKUP($A232,#REF!,10,0),"")</f>
        <v/>
      </c>
      <c r="R232" s="359" t="str">
        <f>IFERROR(VLOOKUP($A232,#REF!,11,0),"")</f>
        <v/>
      </c>
      <c r="S232" s="359" t="str">
        <f>IFERROR(VLOOKUP($A232,#REF!,13,0),"")</f>
        <v/>
      </c>
      <c r="T232" s="359" t="str">
        <f>IFERROR(VLOOKUP($A232,#REF!,14,0),"")</f>
        <v/>
      </c>
      <c r="U232" s="359" t="str">
        <f>IFERROR(VLOOKUP($A232,#REF!,15,0),"")</f>
        <v/>
      </c>
      <c r="V232" s="359" t="str">
        <f>IFERROR(VLOOKUP($A232,#REF!,16,0),"")</f>
        <v/>
      </c>
      <c r="W232" s="359" t="str">
        <f>IFERROR(VLOOKUP($A232,#REF!,17,0),"")</f>
        <v/>
      </c>
      <c r="X232" s="359" t="str">
        <f>IFERROR(VLOOKUP($A232,#REF!,18,0),"")</f>
        <v/>
      </c>
      <c r="Y232" s="359" t="str">
        <f>IFERROR(VLOOKUP($A232,#REF!,19,0),"")</f>
        <v/>
      </c>
      <c r="Z232" s="400" t="str">
        <f>IFERROR(VLOOKUP($A232,#REF!,21,0),"")</f>
        <v/>
      </c>
      <c r="AA232" s="359"/>
      <c r="AB232" s="359"/>
      <c r="AC232" s="359" t="s">
        <v>127</v>
      </c>
      <c r="AD232" s="359" t="s">
        <v>28</v>
      </c>
      <c r="AE232" s="102"/>
      <c r="AF232" s="141" t="s">
        <v>3077</v>
      </c>
      <c r="AG232" s="358" t="s">
        <v>3422</v>
      </c>
      <c r="AH232" s="358" t="s">
        <v>3404</v>
      </c>
      <c r="AI232" s="358" t="s">
        <v>3404</v>
      </c>
      <c r="AJ232" s="358" t="s">
        <v>3423</v>
      </c>
      <c r="AK232" s="358"/>
      <c r="AL232" s="358"/>
      <c r="AM232" s="358"/>
      <c r="AN232" s="130" t="s">
        <v>2863</v>
      </c>
      <c r="AO232" s="358" t="s">
        <v>30</v>
      </c>
      <c r="AP232" s="384">
        <v>46099</v>
      </c>
      <c r="AQ232" s="384" t="s">
        <v>178</v>
      </c>
      <c r="AR232" s="358" t="s">
        <v>32</v>
      </c>
      <c r="AS232" s="358">
        <v>24</v>
      </c>
      <c r="AT232" s="384" t="s">
        <v>178</v>
      </c>
      <c r="AU232" s="380">
        <v>46099</v>
      </c>
      <c r="AV232" s="100" t="s">
        <v>30</v>
      </c>
      <c r="AW232" s="100" t="s">
        <v>30</v>
      </c>
      <c r="AX232" s="100" t="s">
        <v>30</v>
      </c>
      <c r="AY232" s="100" t="s">
        <v>30</v>
      </c>
      <c r="AZ232" s="100" t="s">
        <v>30</v>
      </c>
      <c r="BA232" s="100" t="s">
        <v>30</v>
      </c>
      <c r="BB232" s="100" t="s">
        <v>30</v>
      </c>
      <c r="BC232" s="100" t="s">
        <v>30</v>
      </c>
      <c r="BD232" s="100" t="s">
        <v>30</v>
      </c>
      <c r="BE232" s="100" t="s">
        <v>30</v>
      </c>
      <c r="BF232" s="100" t="s">
        <v>30</v>
      </c>
      <c r="BG232" s="100" t="s">
        <v>30</v>
      </c>
      <c r="BH232" s="100" t="s">
        <v>30</v>
      </c>
      <c r="BI232" s="100" t="s">
        <v>30</v>
      </c>
      <c r="BJ232" s="100" t="s">
        <v>30</v>
      </c>
      <c r="BK232" s="100" t="s">
        <v>30</v>
      </c>
      <c r="BL232" s="360"/>
      <c r="BN232" s="412"/>
      <c r="BO232" s="412"/>
      <c r="BP232" s="412"/>
      <c r="BQ232" s="412"/>
      <c r="BR232" s="412"/>
      <c r="BZ232">
        <f t="shared" si="7"/>
        <v>1</v>
      </c>
    </row>
    <row r="233" spans="1:78" hidden="1">
      <c r="A233" s="35" t="str">
        <f t="shared" si="6"/>
        <v>M125/2646074</v>
      </c>
      <c r="C233" s="358" t="s">
        <v>24</v>
      </c>
      <c r="D233" s="358">
        <v>230</v>
      </c>
      <c r="E233" s="359" t="s">
        <v>3424</v>
      </c>
      <c r="F233" s="359" t="s">
        <v>34</v>
      </c>
      <c r="G233" s="400">
        <v>46074</v>
      </c>
      <c r="H233" s="359" t="s">
        <v>206</v>
      </c>
      <c r="I233" s="359">
        <v>12</v>
      </c>
      <c r="J233" s="359" t="str">
        <f>IFERROR(VLOOKUP($A233,#REF!,3,0),"")</f>
        <v/>
      </c>
      <c r="K233" s="359" t="str">
        <f>IFERROR(VLOOKUP($A233,#REF!,4,0),AF233)</f>
        <v>INT</v>
      </c>
      <c r="L233" s="359" t="str">
        <f>IFERROR(VLOOKUP($A233,#REF!,5,0),"")</f>
        <v/>
      </c>
      <c r="M233" s="359" t="str">
        <f>IFERROR(VLOOKUP($A233,#REF!,7,0),"")</f>
        <v/>
      </c>
      <c r="N233" s="359"/>
      <c r="O233" s="359" t="str">
        <f>IFERROR(VLOOKUP($A233,#REF!,6,0),"")</f>
        <v/>
      </c>
      <c r="P233" s="359" t="str">
        <f>IFERROR(VLOOKUP($A233,#REF!,9,0),"")</f>
        <v/>
      </c>
      <c r="Q233" s="359" t="str">
        <f>IFERROR(VLOOKUP($A233,#REF!,10,0),"")</f>
        <v/>
      </c>
      <c r="R233" s="359" t="str">
        <f>IFERROR(VLOOKUP($A233,#REF!,11,0),"")</f>
        <v/>
      </c>
      <c r="S233" s="359" t="str">
        <f>IFERROR(VLOOKUP($A233,#REF!,13,0),"")</f>
        <v/>
      </c>
      <c r="T233" s="359" t="str">
        <f>IFERROR(VLOOKUP($A233,#REF!,14,0),"")</f>
        <v/>
      </c>
      <c r="U233" s="359" t="str">
        <f>IFERROR(VLOOKUP($A233,#REF!,15,0),"")</f>
        <v/>
      </c>
      <c r="V233" s="359" t="str">
        <f>IFERROR(VLOOKUP($A233,#REF!,16,0),"")</f>
        <v/>
      </c>
      <c r="W233" s="359" t="str">
        <f>IFERROR(VLOOKUP($A233,#REF!,17,0),"")</f>
        <v/>
      </c>
      <c r="X233" s="359" t="str">
        <f>IFERROR(VLOOKUP($A233,#REF!,18,0),"")</f>
        <v/>
      </c>
      <c r="Y233" s="359" t="str">
        <f>IFERROR(VLOOKUP($A233,#REF!,19,0),"")</f>
        <v/>
      </c>
      <c r="Z233" s="400" t="str">
        <f>IFERROR(VLOOKUP($A233,#REF!,21,0),"")</f>
        <v/>
      </c>
      <c r="AA233" s="359"/>
      <c r="AB233" s="359"/>
      <c r="AC233" s="359" t="s">
        <v>127</v>
      </c>
      <c r="AD233" s="359" t="s">
        <v>28</v>
      </c>
      <c r="AE233" s="102"/>
      <c r="AF233" s="141" t="s">
        <v>3077</v>
      </c>
      <c r="AG233" s="358" t="s">
        <v>2180</v>
      </c>
      <c r="AH233" s="358" t="s">
        <v>3404</v>
      </c>
      <c r="AI233" s="358" t="s">
        <v>3425</v>
      </c>
      <c r="AJ233" s="358" t="s">
        <v>2050</v>
      </c>
      <c r="AK233" s="358"/>
      <c r="AL233" s="358"/>
      <c r="AM233" s="358"/>
      <c r="AN233" s="359" t="s">
        <v>32</v>
      </c>
      <c r="AO233" s="358" t="s">
        <v>30</v>
      </c>
      <c r="AP233" s="384">
        <v>46090</v>
      </c>
      <c r="AQ233" s="384" t="s">
        <v>28</v>
      </c>
      <c r="AR233" s="358" t="s">
        <v>32</v>
      </c>
      <c r="AS233" s="358">
        <v>12</v>
      </c>
      <c r="AT233" s="384" t="s">
        <v>28</v>
      </c>
      <c r="AU233" s="380">
        <v>46090</v>
      </c>
      <c r="AV233" s="100" t="s">
        <v>30</v>
      </c>
      <c r="AW233" s="100" t="s">
        <v>30</v>
      </c>
      <c r="AX233" s="95" t="s">
        <v>32</v>
      </c>
      <c r="AY233" s="95" t="s">
        <v>32</v>
      </c>
      <c r="AZ233" s="95" t="s">
        <v>32</v>
      </c>
      <c r="BA233" s="95" t="s">
        <v>32</v>
      </c>
      <c r="BB233" s="100" t="s">
        <v>30</v>
      </c>
      <c r="BC233" s="100" t="s">
        <v>30</v>
      </c>
      <c r="BD233" s="100" t="s">
        <v>30</v>
      </c>
      <c r="BE233" s="100" t="s">
        <v>30</v>
      </c>
      <c r="BF233" s="100" t="s">
        <v>30</v>
      </c>
      <c r="BG233" s="100" t="s">
        <v>30</v>
      </c>
      <c r="BH233" s="100" t="s">
        <v>30</v>
      </c>
      <c r="BI233" s="100" t="s">
        <v>30</v>
      </c>
      <c r="BJ233" s="100" t="s">
        <v>30</v>
      </c>
      <c r="BK233" s="100" t="s">
        <v>30</v>
      </c>
      <c r="BL233" s="360"/>
      <c r="BN233" s="412"/>
      <c r="BO233" s="412"/>
      <c r="BP233" s="412"/>
      <c r="BQ233" s="412"/>
      <c r="BR233" s="412"/>
      <c r="BZ233">
        <f t="shared" si="7"/>
        <v>1</v>
      </c>
    </row>
    <row r="234" spans="1:78" hidden="1">
      <c r="A234" s="35" t="str">
        <f t="shared" si="6"/>
        <v>M064/2646074</v>
      </c>
      <c r="C234" s="358" t="s">
        <v>24</v>
      </c>
      <c r="D234" s="358">
        <v>231</v>
      </c>
      <c r="E234" s="358" t="s">
        <v>3426</v>
      </c>
      <c r="F234" s="358" t="s">
        <v>64</v>
      </c>
      <c r="G234" s="384">
        <v>46074</v>
      </c>
      <c r="H234" s="358" t="s">
        <v>701</v>
      </c>
      <c r="I234" s="358">
        <v>12</v>
      </c>
      <c r="J234" s="359" t="str">
        <f>IFERROR(VLOOKUP($A234,#REF!,3,0),"")</f>
        <v/>
      </c>
      <c r="K234" s="359" t="str">
        <f>IFERROR(VLOOKUP($A234,#REF!,4,0),AF234)</f>
        <v>INT</v>
      </c>
      <c r="L234" s="359" t="str">
        <f>IFERROR(VLOOKUP($A234,#REF!,5,0),"")</f>
        <v/>
      </c>
      <c r="M234" s="359" t="str">
        <f>IFERROR(VLOOKUP($A234,#REF!,7,0),"")</f>
        <v/>
      </c>
      <c r="N234" s="359"/>
      <c r="O234" s="359" t="str">
        <f>IFERROR(VLOOKUP($A234,#REF!,6,0),"")</f>
        <v/>
      </c>
      <c r="P234" s="359" t="str">
        <f>IFERROR(VLOOKUP($A234,#REF!,9,0),"")</f>
        <v/>
      </c>
      <c r="Q234" s="359" t="str">
        <f>IFERROR(VLOOKUP($A234,#REF!,10,0),"")</f>
        <v/>
      </c>
      <c r="R234" s="359" t="str">
        <f>IFERROR(VLOOKUP($A234,#REF!,11,0),"")</f>
        <v/>
      </c>
      <c r="S234" s="359" t="str">
        <f>IFERROR(VLOOKUP($A234,#REF!,13,0),"")</f>
        <v/>
      </c>
      <c r="T234" s="359" t="str">
        <f>IFERROR(VLOOKUP($A234,#REF!,14,0),"")</f>
        <v/>
      </c>
      <c r="U234" s="359" t="str">
        <f>IFERROR(VLOOKUP($A234,#REF!,15,0),"")</f>
        <v/>
      </c>
      <c r="V234" s="359" t="str">
        <f>IFERROR(VLOOKUP($A234,#REF!,16,0),"")</f>
        <v/>
      </c>
      <c r="W234" s="359" t="str">
        <f>IFERROR(VLOOKUP($A234,#REF!,17,0),"")</f>
        <v/>
      </c>
      <c r="X234" s="359" t="str">
        <f>IFERROR(VLOOKUP($A234,#REF!,18,0),"")</f>
        <v/>
      </c>
      <c r="Y234" s="359" t="str">
        <f>IFERROR(VLOOKUP($A234,#REF!,19,0),"")</f>
        <v/>
      </c>
      <c r="Z234" s="400" t="str">
        <f>IFERROR(VLOOKUP($A234,#REF!,21,0),"")</f>
        <v/>
      </c>
      <c r="AA234" s="358"/>
      <c r="AB234" s="358"/>
      <c r="AC234" s="358" t="s">
        <v>127</v>
      </c>
      <c r="AD234" s="359" t="s">
        <v>28</v>
      </c>
      <c r="AE234" s="358"/>
      <c r="AF234" s="141" t="s">
        <v>3077</v>
      </c>
      <c r="AG234" s="358" t="s">
        <v>2703</v>
      </c>
      <c r="AH234" s="358" t="s">
        <v>3427</v>
      </c>
      <c r="AI234" s="358" t="s">
        <v>3413</v>
      </c>
      <c r="AJ234" s="358" t="s">
        <v>3428</v>
      </c>
      <c r="AK234" s="358"/>
      <c r="AL234" s="358"/>
      <c r="AM234" s="358"/>
      <c r="AN234" s="359" t="s">
        <v>32</v>
      </c>
      <c r="AO234" s="358" t="s">
        <v>30</v>
      </c>
      <c r="AP234" s="380">
        <v>46105</v>
      </c>
      <c r="AQ234" s="384" t="s">
        <v>3429</v>
      </c>
      <c r="AR234" s="358" t="s">
        <v>32</v>
      </c>
      <c r="AS234" s="358">
        <v>12</v>
      </c>
      <c r="AT234" s="384" t="s">
        <v>3429</v>
      </c>
      <c r="AU234" s="380">
        <v>46105</v>
      </c>
      <c r="AV234" s="100" t="s">
        <v>30</v>
      </c>
      <c r="AW234" s="100" t="s">
        <v>30</v>
      </c>
      <c r="AX234" s="95" t="s">
        <v>32</v>
      </c>
      <c r="AY234" s="122" t="s">
        <v>30</v>
      </c>
      <c r="AZ234" s="122" t="s">
        <v>30</v>
      </c>
      <c r="BA234" s="122" t="s">
        <v>30</v>
      </c>
      <c r="BB234" s="100" t="s">
        <v>30</v>
      </c>
      <c r="BC234" s="100" t="s">
        <v>30</v>
      </c>
      <c r="BD234" s="100" t="s">
        <v>30</v>
      </c>
      <c r="BE234" s="100" t="s">
        <v>30</v>
      </c>
      <c r="BF234" s="100" t="s">
        <v>30</v>
      </c>
      <c r="BG234" s="100" t="s">
        <v>30</v>
      </c>
      <c r="BH234" s="100" t="s">
        <v>30</v>
      </c>
      <c r="BI234" s="100" t="s">
        <v>30</v>
      </c>
      <c r="BJ234" s="100" t="s">
        <v>30</v>
      </c>
      <c r="BK234" s="100" t="s">
        <v>30</v>
      </c>
      <c r="BL234" s="360"/>
      <c r="BN234" s="412"/>
      <c r="BO234" s="412"/>
      <c r="BP234" s="412"/>
      <c r="BQ234" s="412"/>
      <c r="BR234" s="412"/>
      <c r="BX234" s="72"/>
      <c r="BZ234">
        <f t="shared" si="7"/>
        <v>1</v>
      </c>
    </row>
    <row r="235" spans="1:78" hidden="1">
      <c r="A235" s="35" t="str">
        <f t="shared" si="6"/>
        <v>M147/2646074</v>
      </c>
      <c r="C235" s="358" t="s">
        <v>24</v>
      </c>
      <c r="D235" s="358">
        <v>232</v>
      </c>
      <c r="E235" s="358" t="s">
        <v>3430</v>
      </c>
      <c r="F235" s="358" t="s">
        <v>64</v>
      </c>
      <c r="G235" s="384">
        <v>46074</v>
      </c>
      <c r="H235" s="358" t="s">
        <v>202</v>
      </c>
      <c r="I235" s="358">
        <v>12</v>
      </c>
      <c r="J235" s="359" t="str">
        <f>IFERROR(VLOOKUP($A235,#REF!,3,0),"")</f>
        <v/>
      </c>
      <c r="K235" s="359" t="str">
        <f>IFERROR(VLOOKUP($A235,#REF!,4,0),AF235)</f>
        <v>INT</v>
      </c>
      <c r="L235" s="359" t="str">
        <f>IFERROR(VLOOKUP($A235,#REF!,5,0),"")</f>
        <v/>
      </c>
      <c r="M235" s="359" t="str">
        <f>IFERROR(VLOOKUP($A235,#REF!,7,0),"")</f>
        <v/>
      </c>
      <c r="N235" s="359"/>
      <c r="O235" s="359" t="str">
        <f>IFERROR(VLOOKUP($A235,#REF!,6,0),"")</f>
        <v/>
      </c>
      <c r="P235" s="359" t="str">
        <f>IFERROR(VLOOKUP($A235,#REF!,9,0),"")</f>
        <v/>
      </c>
      <c r="Q235" s="359" t="str">
        <f>IFERROR(VLOOKUP($A235,#REF!,10,0),"")</f>
        <v/>
      </c>
      <c r="R235" s="359" t="str">
        <f>IFERROR(VLOOKUP($A235,#REF!,11,0),"")</f>
        <v/>
      </c>
      <c r="S235" s="359" t="str">
        <f>IFERROR(VLOOKUP($A235,#REF!,13,0),"")</f>
        <v/>
      </c>
      <c r="T235" s="359" t="str">
        <f>IFERROR(VLOOKUP($A235,#REF!,14,0),"")</f>
        <v/>
      </c>
      <c r="U235" s="359" t="str">
        <f>IFERROR(VLOOKUP($A235,#REF!,15,0),"")</f>
        <v/>
      </c>
      <c r="V235" s="359" t="str">
        <f>IFERROR(VLOOKUP($A235,#REF!,16,0),"")</f>
        <v/>
      </c>
      <c r="W235" s="359" t="str">
        <f>IFERROR(VLOOKUP($A235,#REF!,17,0),"")</f>
        <v/>
      </c>
      <c r="X235" s="359" t="str">
        <f>IFERROR(VLOOKUP($A235,#REF!,18,0),"")</f>
        <v/>
      </c>
      <c r="Y235" s="359" t="str">
        <f>IFERROR(VLOOKUP($A235,#REF!,19,0),"")</f>
        <v/>
      </c>
      <c r="Z235" s="400" t="str">
        <f>IFERROR(VLOOKUP($A235,#REF!,21,0),"")</f>
        <v/>
      </c>
      <c r="AA235" s="358"/>
      <c r="AB235" s="358"/>
      <c r="AC235" s="358" t="s">
        <v>127</v>
      </c>
      <c r="AD235" s="359" t="s">
        <v>28</v>
      </c>
      <c r="AE235" s="358"/>
      <c r="AF235" s="141" t="s">
        <v>3077</v>
      </c>
      <c r="AG235" s="358" t="s">
        <v>2142</v>
      </c>
      <c r="AH235" s="358" t="s">
        <v>3413</v>
      </c>
      <c r="AI235" s="358" t="s">
        <v>3425</v>
      </c>
      <c r="AJ235" s="358" t="s">
        <v>2766</v>
      </c>
      <c r="AK235" s="358"/>
      <c r="AL235" s="358"/>
      <c r="AM235" s="358"/>
      <c r="AN235" s="359" t="s">
        <v>32</v>
      </c>
      <c r="AO235" s="358" t="s">
        <v>30</v>
      </c>
      <c r="AP235" s="384">
        <v>46106</v>
      </c>
      <c r="AQ235" s="384" t="s">
        <v>3429</v>
      </c>
      <c r="AR235" s="358" t="s">
        <v>32</v>
      </c>
      <c r="AS235" s="358">
        <v>12</v>
      </c>
      <c r="AT235" s="384" t="s">
        <v>3429</v>
      </c>
      <c r="AU235" s="380">
        <v>46106</v>
      </c>
      <c r="AV235" s="100" t="s">
        <v>30</v>
      </c>
      <c r="AW235" s="100" t="s">
        <v>30</v>
      </c>
      <c r="AX235" s="95" t="s">
        <v>32</v>
      </c>
      <c r="AY235" s="122" t="s">
        <v>30</v>
      </c>
      <c r="AZ235" s="122" t="s">
        <v>30</v>
      </c>
      <c r="BA235" s="122" t="s">
        <v>30</v>
      </c>
      <c r="BB235" s="100" t="s">
        <v>30</v>
      </c>
      <c r="BC235" s="100" t="s">
        <v>30</v>
      </c>
      <c r="BD235" s="100" t="s">
        <v>30</v>
      </c>
      <c r="BE235" s="100" t="s">
        <v>30</v>
      </c>
      <c r="BF235" s="100" t="s">
        <v>30</v>
      </c>
      <c r="BG235" s="114"/>
      <c r="BH235" s="111"/>
      <c r="BI235" s="111" t="s">
        <v>30</v>
      </c>
      <c r="BJ235" s="111" t="s">
        <v>30</v>
      </c>
      <c r="BK235" s="95"/>
      <c r="BL235" s="360"/>
      <c r="BN235" s="412"/>
      <c r="BO235" s="412"/>
      <c r="BP235" s="412"/>
      <c r="BQ235" s="412"/>
      <c r="BR235" s="412"/>
      <c r="BZ235">
        <f t="shared" si="7"/>
        <v>1</v>
      </c>
    </row>
    <row r="236" spans="1:78" hidden="1">
      <c r="A236" s="35" t="str">
        <f t="shared" si="6"/>
        <v>046/2646074</v>
      </c>
      <c r="C236" s="358" t="s">
        <v>24</v>
      </c>
      <c r="D236" s="358">
        <v>233</v>
      </c>
      <c r="E236" s="358" t="s">
        <v>3431</v>
      </c>
      <c r="F236" s="358" t="s">
        <v>34</v>
      </c>
      <c r="G236" s="384">
        <v>46074</v>
      </c>
      <c r="H236" s="358" t="s">
        <v>1943</v>
      </c>
      <c r="I236" s="358">
        <v>12</v>
      </c>
      <c r="J236" s="359" t="str">
        <f>IFERROR(VLOOKUP($A236,#REF!,3,0),"")</f>
        <v/>
      </c>
      <c r="K236" s="359" t="str">
        <f>IFERROR(VLOOKUP($A236,#REF!,4,0),AF236)</f>
        <v>INT</v>
      </c>
      <c r="L236" s="359" t="str">
        <f>IFERROR(VLOOKUP($A236,#REF!,5,0),"")</f>
        <v/>
      </c>
      <c r="M236" s="359" t="str">
        <f>IFERROR(VLOOKUP($A236,#REF!,7,0),"")</f>
        <v/>
      </c>
      <c r="N236" s="359"/>
      <c r="O236" s="359" t="str">
        <f>IFERROR(VLOOKUP($A236,#REF!,6,0),"")</f>
        <v/>
      </c>
      <c r="P236" s="359" t="str">
        <f>IFERROR(VLOOKUP($A236,#REF!,9,0),"")</f>
        <v/>
      </c>
      <c r="Q236" s="359" t="str">
        <f>IFERROR(VLOOKUP($A236,#REF!,10,0),"")</f>
        <v/>
      </c>
      <c r="R236" s="359" t="str">
        <f>IFERROR(VLOOKUP($A236,#REF!,11,0),"")</f>
        <v/>
      </c>
      <c r="S236" s="359" t="str">
        <f>IFERROR(VLOOKUP($A236,#REF!,13,0),"")</f>
        <v/>
      </c>
      <c r="T236" s="359" t="str">
        <f>IFERROR(VLOOKUP($A236,#REF!,14,0),"")</f>
        <v/>
      </c>
      <c r="U236" s="359" t="str">
        <f>IFERROR(VLOOKUP($A236,#REF!,15,0),"")</f>
        <v/>
      </c>
      <c r="V236" s="359" t="str">
        <f>IFERROR(VLOOKUP($A236,#REF!,16,0),"")</f>
        <v/>
      </c>
      <c r="W236" s="359" t="str">
        <f>IFERROR(VLOOKUP($A236,#REF!,17,0),"")</f>
        <v/>
      </c>
      <c r="X236" s="359" t="str">
        <f>IFERROR(VLOOKUP($A236,#REF!,18,0),"")</f>
        <v/>
      </c>
      <c r="Y236" s="359" t="str">
        <f>IFERROR(VLOOKUP($A236,#REF!,19,0),"")</f>
        <v/>
      </c>
      <c r="Z236" s="400" t="str">
        <f>IFERROR(VLOOKUP($A236,#REF!,21,0),"")</f>
        <v/>
      </c>
      <c r="AA236" s="358"/>
      <c r="AB236" s="358"/>
      <c r="AC236" s="358" t="s">
        <v>1076</v>
      </c>
      <c r="AD236" s="358" t="s">
        <v>3357</v>
      </c>
      <c r="AE236" s="358"/>
      <c r="AF236" s="141" t="s">
        <v>3077</v>
      </c>
      <c r="AG236" s="358" t="s">
        <v>2130</v>
      </c>
      <c r="AH236" s="358" t="s">
        <v>3404</v>
      </c>
      <c r="AI236" s="358" t="s">
        <v>3413</v>
      </c>
      <c r="AJ236" s="358" t="s">
        <v>2050</v>
      </c>
      <c r="AK236" s="358"/>
      <c r="AL236" s="358"/>
      <c r="AM236" s="358"/>
      <c r="AN236" s="359" t="s">
        <v>32</v>
      </c>
      <c r="AO236" s="358" t="s">
        <v>30</v>
      </c>
      <c r="AP236" s="384">
        <v>46087</v>
      </c>
      <c r="AQ236" s="384" t="s">
        <v>3357</v>
      </c>
      <c r="AR236" s="358" t="s">
        <v>32</v>
      </c>
      <c r="AS236" s="358">
        <v>13</v>
      </c>
      <c r="AT236" s="384" t="s">
        <v>3357</v>
      </c>
      <c r="AU236" s="380">
        <v>46087</v>
      </c>
      <c r="AV236" s="100" t="s">
        <v>30</v>
      </c>
      <c r="AW236" s="122" t="s">
        <v>30</v>
      </c>
      <c r="AX236" s="122" t="s">
        <v>30</v>
      </c>
      <c r="AY236" s="122" t="s">
        <v>30</v>
      </c>
      <c r="AZ236" s="122" t="s">
        <v>30</v>
      </c>
      <c r="BA236" s="122" t="s">
        <v>30</v>
      </c>
      <c r="BB236" s="122" t="s">
        <v>30</v>
      </c>
      <c r="BC236" s="122" t="s">
        <v>30</v>
      </c>
      <c r="BD236" s="122" t="s">
        <v>30</v>
      </c>
      <c r="BE236" s="122" t="s">
        <v>30</v>
      </c>
      <c r="BF236" s="122" t="s">
        <v>30</v>
      </c>
      <c r="BG236" s="122" t="s">
        <v>30</v>
      </c>
      <c r="BH236" s="122" t="s">
        <v>30</v>
      </c>
      <c r="BI236" s="122" t="s">
        <v>30</v>
      </c>
      <c r="BJ236" s="122" t="s">
        <v>30</v>
      </c>
      <c r="BK236" s="122" t="s">
        <v>30</v>
      </c>
      <c r="BL236" s="360"/>
      <c r="BN236" s="412"/>
      <c r="BO236" s="412"/>
      <c r="BP236" s="412"/>
      <c r="BQ236" s="412"/>
      <c r="BR236" s="412"/>
      <c r="BZ236">
        <f t="shared" si="7"/>
        <v>1</v>
      </c>
    </row>
    <row r="237" spans="1:78" hidden="1">
      <c r="A237" s="35" t="str">
        <f t="shared" si="6"/>
        <v>M106/2646074</v>
      </c>
      <c r="C237" s="358" t="s">
        <v>24</v>
      </c>
      <c r="D237" s="358">
        <v>234</v>
      </c>
      <c r="E237" s="358" t="s">
        <v>3432</v>
      </c>
      <c r="F237" s="358" t="s">
        <v>34</v>
      </c>
      <c r="G237" s="384">
        <v>46074</v>
      </c>
      <c r="H237" s="358" t="s">
        <v>3433</v>
      </c>
      <c r="I237" s="358">
        <v>24</v>
      </c>
      <c r="J237" s="359" t="str">
        <f>IFERROR(VLOOKUP($A237,#REF!,3,0),"")</f>
        <v/>
      </c>
      <c r="K237" s="359" t="str">
        <f>IFERROR(VLOOKUP($A237,#REF!,4,0),AF237)</f>
        <v>INT</v>
      </c>
      <c r="L237" s="359" t="str">
        <f>IFERROR(VLOOKUP($A237,#REF!,5,0),"")</f>
        <v/>
      </c>
      <c r="M237" s="359" t="str">
        <f>IFERROR(VLOOKUP($A237,#REF!,7,0),"")</f>
        <v/>
      </c>
      <c r="N237" s="359"/>
      <c r="O237" s="359" t="str">
        <f>IFERROR(VLOOKUP($A237,#REF!,6,0),"")</f>
        <v/>
      </c>
      <c r="P237" s="359" t="str">
        <f>IFERROR(VLOOKUP($A237,#REF!,9,0),"")</f>
        <v/>
      </c>
      <c r="Q237" s="359" t="str">
        <f>IFERROR(VLOOKUP($A237,#REF!,10,0),"")</f>
        <v/>
      </c>
      <c r="R237" s="359" t="str">
        <f>IFERROR(VLOOKUP($A237,#REF!,11,0),"")</f>
        <v/>
      </c>
      <c r="S237" s="359" t="str">
        <f>IFERROR(VLOOKUP($A237,#REF!,13,0),"")</f>
        <v/>
      </c>
      <c r="T237" s="359" t="str">
        <f>IFERROR(VLOOKUP($A237,#REF!,14,0),"")</f>
        <v/>
      </c>
      <c r="U237" s="359" t="str">
        <f>IFERROR(VLOOKUP($A237,#REF!,15,0),"")</f>
        <v/>
      </c>
      <c r="V237" s="359" t="str">
        <f>IFERROR(VLOOKUP($A237,#REF!,16,0),"")</f>
        <v/>
      </c>
      <c r="W237" s="359" t="str">
        <f>IFERROR(VLOOKUP($A237,#REF!,17,0),"")</f>
        <v/>
      </c>
      <c r="X237" s="359" t="str">
        <f>IFERROR(VLOOKUP($A237,#REF!,18,0),"")</f>
        <v/>
      </c>
      <c r="Y237" s="359" t="str">
        <f>IFERROR(VLOOKUP($A237,#REF!,19,0),"")</f>
        <v/>
      </c>
      <c r="Z237" s="400" t="str">
        <f>IFERROR(VLOOKUP($A237,#REF!,21,0),"")</f>
        <v/>
      </c>
      <c r="AA237" s="358"/>
      <c r="AB237" s="358"/>
      <c r="AC237" s="359" t="s">
        <v>1721</v>
      </c>
      <c r="AD237" s="358" t="s">
        <v>1638</v>
      </c>
      <c r="AE237" s="102"/>
      <c r="AF237" s="141" t="s">
        <v>3077</v>
      </c>
      <c r="AG237" s="358" t="s">
        <v>2102</v>
      </c>
      <c r="AH237" s="358" t="s">
        <v>3427</v>
      </c>
      <c r="AI237" s="358" t="s">
        <v>3425</v>
      </c>
      <c r="AJ237" s="358" t="s">
        <v>3434</v>
      </c>
      <c r="AK237" s="358"/>
      <c r="AL237" s="358"/>
      <c r="AM237" s="358"/>
      <c r="AN237" s="130" t="s">
        <v>2863</v>
      </c>
      <c r="AO237" s="358" t="s">
        <v>30</v>
      </c>
      <c r="AP237" s="384">
        <v>46084</v>
      </c>
      <c r="AQ237" s="384" t="s">
        <v>1638</v>
      </c>
      <c r="AR237" s="358" t="s">
        <v>32</v>
      </c>
      <c r="AS237" s="358">
        <v>15</v>
      </c>
      <c r="AT237" s="384" t="s">
        <v>1638</v>
      </c>
      <c r="AU237" s="380">
        <v>46106</v>
      </c>
      <c r="AV237" s="100" t="s">
        <v>30</v>
      </c>
      <c r="AW237" s="100" t="s">
        <v>30</v>
      </c>
      <c r="AX237" s="95" t="s">
        <v>32</v>
      </c>
      <c r="AY237" s="100"/>
      <c r="AZ237" s="100"/>
      <c r="BA237" s="100"/>
      <c r="BB237" s="100" t="s">
        <v>30</v>
      </c>
      <c r="BC237" s="100" t="s">
        <v>30</v>
      </c>
      <c r="BD237" s="100" t="s">
        <v>30</v>
      </c>
      <c r="BE237" s="100" t="s">
        <v>30</v>
      </c>
      <c r="BF237" s="100" t="s">
        <v>30</v>
      </c>
      <c r="BG237" s="114"/>
      <c r="BH237" s="111"/>
      <c r="BI237" s="111"/>
      <c r="BJ237" s="100"/>
      <c r="BK237" s="95"/>
      <c r="BL237" s="360"/>
      <c r="BN237" s="412"/>
      <c r="BO237" s="412"/>
      <c r="BP237" s="412"/>
      <c r="BQ237" s="412"/>
      <c r="BR237" s="412"/>
      <c r="BX237" s="72"/>
      <c r="BZ237">
        <f t="shared" si="7"/>
        <v>1</v>
      </c>
    </row>
    <row r="238" spans="1:78" hidden="1">
      <c r="A238" s="35" t="str">
        <f t="shared" si="6"/>
        <v>062/2646074</v>
      </c>
      <c r="C238" s="358" t="s">
        <v>24</v>
      </c>
      <c r="D238" s="358">
        <v>235</v>
      </c>
      <c r="E238" s="358" t="s">
        <v>3435</v>
      </c>
      <c r="F238" s="358" t="s">
        <v>83</v>
      </c>
      <c r="G238" s="384">
        <v>46074</v>
      </c>
      <c r="H238" s="358" t="s">
        <v>1649</v>
      </c>
      <c r="I238" s="358">
        <v>12</v>
      </c>
      <c r="J238" s="359" t="str">
        <f>IFERROR(VLOOKUP($A238,#REF!,3,0),"")</f>
        <v/>
      </c>
      <c r="K238" s="359" t="str">
        <f>IFERROR(VLOOKUP($A238,#REF!,4,0),AF238)</f>
        <v>INT</v>
      </c>
      <c r="L238" s="359" t="str">
        <f>IFERROR(VLOOKUP($A238,#REF!,5,0),"")</f>
        <v/>
      </c>
      <c r="M238" s="359" t="str">
        <f>IFERROR(VLOOKUP($A238,#REF!,7,0),"")</f>
        <v/>
      </c>
      <c r="N238" s="359"/>
      <c r="O238" s="359" t="str">
        <f>IFERROR(VLOOKUP($A238,#REF!,6,0),"")</f>
        <v/>
      </c>
      <c r="P238" s="359" t="str">
        <f>IFERROR(VLOOKUP($A238,#REF!,9,0),"")</f>
        <v/>
      </c>
      <c r="Q238" s="359" t="str">
        <f>IFERROR(VLOOKUP($A238,#REF!,10,0),"")</f>
        <v/>
      </c>
      <c r="R238" s="359" t="str">
        <f>IFERROR(VLOOKUP($A238,#REF!,11,0),"")</f>
        <v/>
      </c>
      <c r="S238" s="359" t="str">
        <f>IFERROR(VLOOKUP($A238,#REF!,13,0),"")</f>
        <v/>
      </c>
      <c r="T238" s="359" t="str">
        <f>IFERROR(VLOOKUP($A238,#REF!,14,0),"")</f>
        <v/>
      </c>
      <c r="U238" s="359" t="str">
        <f>IFERROR(VLOOKUP($A238,#REF!,15,0),"")</f>
        <v/>
      </c>
      <c r="V238" s="359" t="str">
        <f>IFERROR(VLOOKUP($A238,#REF!,16,0),"")</f>
        <v/>
      </c>
      <c r="W238" s="359" t="str">
        <f>IFERROR(VLOOKUP($A238,#REF!,17,0),"")</f>
        <v/>
      </c>
      <c r="X238" s="359" t="str">
        <f>IFERROR(VLOOKUP($A238,#REF!,18,0),"")</f>
        <v/>
      </c>
      <c r="Y238" s="359" t="str">
        <f>IFERROR(VLOOKUP($A238,#REF!,19,0),"")</f>
        <v/>
      </c>
      <c r="Z238" s="400" t="str">
        <f>IFERROR(VLOOKUP($A238,#REF!,21,0),"")</f>
        <v/>
      </c>
      <c r="AA238" s="358"/>
      <c r="AB238" s="358"/>
      <c r="AC238" s="359" t="s">
        <v>1076</v>
      </c>
      <c r="AD238" s="358" t="s">
        <v>3357</v>
      </c>
      <c r="AE238" s="358"/>
      <c r="AF238" s="141" t="s">
        <v>3077</v>
      </c>
      <c r="AG238" s="358" t="s">
        <v>2098</v>
      </c>
      <c r="AH238" s="358" t="s">
        <v>3404</v>
      </c>
      <c r="AI238" s="358" t="s">
        <v>3413</v>
      </c>
      <c r="AJ238" s="358" t="s">
        <v>2050</v>
      </c>
      <c r="AK238" s="358"/>
      <c r="AL238" s="358"/>
      <c r="AM238" s="358"/>
      <c r="AN238" s="359" t="s">
        <v>32</v>
      </c>
      <c r="AO238" s="358" t="s">
        <v>30</v>
      </c>
      <c r="AP238" s="384">
        <v>46091</v>
      </c>
      <c r="AQ238" s="384" t="s">
        <v>3357</v>
      </c>
      <c r="AR238" s="358" t="s">
        <v>32</v>
      </c>
      <c r="AS238" s="358">
        <v>12</v>
      </c>
      <c r="AT238" s="384" t="s">
        <v>3357</v>
      </c>
      <c r="AU238" s="380">
        <v>46091</v>
      </c>
      <c r="AV238" s="100" t="s">
        <v>30</v>
      </c>
      <c r="AW238" s="122" t="s">
        <v>30</v>
      </c>
      <c r="AX238" s="122" t="s">
        <v>30</v>
      </c>
      <c r="AY238" s="122" t="s">
        <v>30</v>
      </c>
      <c r="AZ238" s="122" t="s">
        <v>30</v>
      </c>
      <c r="BA238" s="122" t="s">
        <v>30</v>
      </c>
      <c r="BB238" s="122" t="s">
        <v>30</v>
      </c>
      <c r="BC238" s="122" t="s">
        <v>30</v>
      </c>
      <c r="BD238" s="122" t="s">
        <v>30</v>
      </c>
      <c r="BE238" s="122" t="s">
        <v>30</v>
      </c>
      <c r="BF238" s="122" t="s">
        <v>30</v>
      </c>
      <c r="BG238" s="122" t="s">
        <v>30</v>
      </c>
      <c r="BH238" s="122" t="s">
        <v>30</v>
      </c>
      <c r="BI238" s="122" t="s">
        <v>30</v>
      </c>
      <c r="BJ238" s="122" t="s">
        <v>30</v>
      </c>
      <c r="BK238" s="122" t="s">
        <v>30</v>
      </c>
      <c r="BL238" s="360"/>
      <c r="BN238" s="412"/>
      <c r="BO238" s="412"/>
      <c r="BP238" s="412"/>
      <c r="BQ238" s="412"/>
      <c r="BR238" s="412"/>
      <c r="BX238" s="72"/>
      <c r="BZ238">
        <f t="shared" si="7"/>
        <v>1</v>
      </c>
    </row>
    <row r="239" spans="1:78" hidden="1">
      <c r="A239" s="35" t="str">
        <f t="shared" si="6"/>
        <v>M095/2646076</v>
      </c>
      <c r="C239" s="358" t="s">
        <v>24</v>
      </c>
      <c r="D239" s="358">
        <v>236</v>
      </c>
      <c r="E239" s="358" t="s">
        <v>3436</v>
      </c>
      <c r="F239" s="358" t="s">
        <v>1764</v>
      </c>
      <c r="G239" s="384">
        <v>46076</v>
      </c>
      <c r="H239" s="358" t="s">
        <v>202</v>
      </c>
      <c r="I239" s="358">
        <v>18</v>
      </c>
      <c r="J239" s="359" t="str">
        <f>IFERROR(VLOOKUP($A239,#REF!,3,0),"")</f>
        <v/>
      </c>
      <c r="K239" s="359" t="str">
        <f>IFERROR(VLOOKUP($A239,#REF!,4,0),AF239)</f>
        <v>EXT</v>
      </c>
      <c r="L239" s="359" t="str">
        <f>IFERROR(VLOOKUP($A239,#REF!,5,0),"")</f>
        <v/>
      </c>
      <c r="M239" s="359" t="str">
        <f>IFERROR(VLOOKUP($A239,#REF!,7,0),"")</f>
        <v/>
      </c>
      <c r="N239" s="359"/>
      <c r="O239" s="359" t="str">
        <f>IFERROR(VLOOKUP($A239,#REF!,6,0),"")</f>
        <v/>
      </c>
      <c r="P239" s="359" t="str">
        <f>IFERROR(VLOOKUP($A239,#REF!,9,0),"")</f>
        <v/>
      </c>
      <c r="Q239" s="359" t="str">
        <f>IFERROR(VLOOKUP($A239,#REF!,10,0),"")</f>
        <v/>
      </c>
      <c r="R239" s="359" t="str">
        <f>IFERROR(VLOOKUP($A239,#REF!,11,0),"")</f>
        <v/>
      </c>
      <c r="S239" s="359" t="str">
        <f>IFERROR(VLOOKUP($A239,#REF!,13,0),"")</f>
        <v/>
      </c>
      <c r="T239" s="359" t="str">
        <f>IFERROR(VLOOKUP($A239,#REF!,14,0),"")</f>
        <v/>
      </c>
      <c r="U239" s="359" t="str">
        <f>IFERROR(VLOOKUP($A239,#REF!,15,0),"")</f>
        <v/>
      </c>
      <c r="V239" s="359" t="str">
        <f>IFERROR(VLOOKUP($A239,#REF!,16,0),"")</f>
        <v/>
      </c>
      <c r="W239" s="359" t="str">
        <f>IFERROR(VLOOKUP($A239,#REF!,17,0),"")</f>
        <v/>
      </c>
      <c r="X239" s="359" t="str">
        <f>IFERROR(VLOOKUP($A239,#REF!,18,0),"")</f>
        <v/>
      </c>
      <c r="Y239" s="359" t="str">
        <f>IFERROR(VLOOKUP($A239,#REF!,19,0),"")</f>
        <v/>
      </c>
      <c r="Z239" s="400" t="str">
        <f>IFERROR(VLOOKUP($A239,#REF!,21,0),"")</f>
        <v/>
      </c>
      <c r="AA239" s="358"/>
      <c r="AB239" s="358"/>
      <c r="AC239" s="358" t="s">
        <v>127</v>
      </c>
      <c r="AD239" s="359" t="s">
        <v>28</v>
      </c>
      <c r="AE239" s="358"/>
      <c r="AF239" s="141" t="s">
        <v>3082</v>
      </c>
      <c r="AG239" s="358" t="s">
        <v>2056</v>
      </c>
      <c r="AH239" s="358" t="s">
        <v>3222</v>
      </c>
      <c r="AI239" s="358" t="s">
        <v>3222</v>
      </c>
      <c r="AJ239" s="358" t="s">
        <v>2058</v>
      </c>
      <c r="AK239" s="358"/>
      <c r="AL239" s="358"/>
      <c r="AM239" s="358"/>
      <c r="AN239" s="130" t="s">
        <v>2863</v>
      </c>
      <c r="AO239" s="358" t="s">
        <v>30</v>
      </c>
      <c r="AP239" s="384">
        <v>46111</v>
      </c>
      <c r="AQ239" s="384" t="s">
        <v>3429</v>
      </c>
      <c r="AR239" s="358" t="s">
        <v>32</v>
      </c>
      <c r="AS239" s="358">
        <v>18</v>
      </c>
      <c r="AT239" s="384" t="s">
        <v>3429</v>
      </c>
      <c r="AU239" s="380">
        <v>46111</v>
      </c>
      <c r="AV239" s="95" t="s">
        <v>32</v>
      </c>
      <c r="AW239" s="100" t="s">
        <v>30</v>
      </c>
      <c r="AX239" s="95" t="s">
        <v>32</v>
      </c>
      <c r="AY239" s="122" t="s">
        <v>30</v>
      </c>
      <c r="AZ239" s="122" t="s">
        <v>30</v>
      </c>
      <c r="BA239" s="122" t="s">
        <v>30</v>
      </c>
      <c r="BB239" s="100" t="s">
        <v>30</v>
      </c>
      <c r="BC239" s="100" t="s">
        <v>30</v>
      </c>
      <c r="BD239" s="100" t="s">
        <v>30</v>
      </c>
      <c r="BE239" s="100" t="s">
        <v>30</v>
      </c>
      <c r="BF239" s="100" t="s">
        <v>30</v>
      </c>
      <c r="BG239" s="114"/>
      <c r="BH239" s="112"/>
      <c r="BI239" s="112"/>
      <c r="BJ239" s="112"/>
      <c r="BK239" s="95"/>
      <c r="BL239" s="360"/>
      <c r="BN239" s="412"/>
      <c r="BO239" s="412"/>
      <c r="BP239" s="412"/>
      <c r="BQ239" s="412"/>
      <c r="BR239" s="412"/>
      <c r="BZ239">
        <f t="shared" si="7"/>
        <v>1</v>
      </c>
    </row>
    <row r="240" spans="1:78" hidden="1">
      <c r="A240" s="35" t="str">
        <f t="shared" si="6"/>
        <v>M134/2646076</v>
      </c>
      <c r="C240" s="358" t="s">
        <v>24</v>
      </c>
      <c r="D240" s="358">
        <v>237</v>
      </c>
      <c r="E240" s="358" t="s">
        <v>3437</v>
      </c>
      <c r="F240" s="358" t="s">
        <v>469</v>
      </c>
      <c r="G240" s="384">
        <v>46076</v>
      </c>
      <c r="H240" s="358" t="s">
        <v>506</v>
      </c>
      <c r="I240" s="358">
        <v>13</v>
      </c>
      <c r="J240" s="359" t="str">
        <f>IFERROR(VLOOKUP($A240,#REF!,3,0),"")</f>
        <v/>
      </c>
      <c r="K240" s="359" t="str">
        <f>IFERROR(VLOOKUP($A240,#REF!,4,0),AF240)</f>
        <v>EXT</v>
      </c>
      <c r="L240" s="359" t="str">
        <f>IFERROR(VLOOKUP($A240,#REF!,5,0),"")</f>
        <v/>
      </c>
      <c r="M240" s="359" t="str">
        <f>IFERROR(VLOOKUP($A240,#REF!,7,0),"")</f>
        <v/>
      </c>
      <c r="N240" s="359"/>
      <c r="O240" s="359" t="str">
        <f>IFERROR(VLOOKUP($A240,#REF!,6,0),"")</f>
        <v/>
      </c>
      <c r="P240" s="359" t="str">
        <f>IFERROR(VLOOKUP($A240,#REF!,9,0),"")</f>
        <v/>
      </c>
      <c r="Q240" s="359" t="str">
        <f>IFERROR(VLOOKUP($A240,#REF!,10,0),"")</f>
        <v/>
      </c>
      <c r="R240" s="359" t="str">
        <f>IFERROR(VLOOKUP($A240,#REF!,11,0),"")</f>
        <v/>
      </c>
      <c r="S240" s="359" t="str">
        <f>IFERROR(VLOOKUP($A240,#REF!,13,0),"")</f>
        <v/>
      </c>
      <c r="T240" s="359" t="str">
        <f>IFERROR(VLOOKUP($A240,#REF!,14,0),"")</f>
        <v/>
      </c>
      <c r="U240" s="359" t="str">
        <f>IFERROR(VLOOKUP($A240,#REF!,15,0),"")</f>
        <v/>
      </c>
      <c r="V240" s="359" t="str">
        <f>IFERROR(VLOOKUP($A240,#REF!,16,0),"")</f>
        <v/>
      </c>
      <c r="W240" s="359" t="str">
        <f>IFERROR(VLOOKUP($A240,#REF!,17,0),"")</f>
        <v/>
      </c>
      <c r="X240" s="359" t="str">
        <f>IFERROR(VLOOKUP($A240,#REF!,18,0),"")</f>
        <v/>
      </c>
      <c r="Y240" s="359" t="str">
        <f>IFERROR(VLOOKUP($A240,#REF!,19,0),"")</f>
        <v/>
      </c>
      <c r="Z240" s="400" t="str">
        <f>IFERROR(VLOOKUP($A240,#REF!,21,0),"")</f>
        <v/>
      </c>
      <c r="AA240" s="358"/>
      <c r="AB240" s="358"/>
      <c r="AC240" s="358" t="s">
        <v>3075</v>
      </c>
      <c r="AD240" s="358" t="s">
        <v>47</v>
      </c>
      <c r="AE240" s="358"/>
      <c r="AF240" s="141" t="s">
        <v>3082</v>
      </c>
      <c r="AG240" s="358" t="s">
        <v>2244</v>
      </c>
      <c r="AH240" s="358" t="s">
        <v>3413</v>
      </c>
      <c r="AI240" s="358" t="s">
        <v>3413</v>
      </c>
      <c r="AJ240" s="358" t="s">
        <v>2050</v>
      </c>
      <c r="AK240" s="358"/>
      <c r="AL240" s="358"/>
      <c r="AM240" s="358"/>
      <c r="AN240" s="359" t="s">
        <v>32</v>
      </c>
      <c r="AO240" s="358" t="s">
        <v>30</v>
      </c>
      <c r="AP240" s="384">
        <v>46094</v>
      </c>
      <c r="AQ240" s="384" t="s">
        <v>47</v>
      </c>
      <c r="AR240" s="358" t="s">
        <v>32</v>
      </c>
      <c r="AS240" s="358">
        <v>13</v>
      </c>
      <c r="AT240" s="384" t="s">
        <v>47</v>
      </c>
      <c r="AU240" s="380">
        <v>46094</v>
      </c>
      <c r="AV240" s="100" t="s">
        <v>30</v>
      </c>
      <c r="AW240" s="100" t="s">
        <v>30</v>
      </c>
      <c r="AX240" s="82" t="s">
        <v>30</v>
      </c>
      <c r="AY240" s="100" t="s">
        <v>30</v>
      </c>
      <c r="AZ240" s="100" t="s">
        <v>30</v>
      </c>
      <c r="BA240" s="100" t="s">
        <v>30</v>
      </c>
      <c r="BB240" s="100" t="s">
        <v>30</v>
      </c>
      <c r="BC240" s="100" t="s">
        <v>30</v>
      </c>
      <c r="BD240" s="100" t="s">
        <v>30</v>
      </c>
      <c r="BE240" s="100" t="s">
        <v>30</v>
      </c>
      <c r="BF240" s="100" t="s">
        <v>30</v>
      </c>
      <c r="BG240" s="112" t="s">
        <v>30</v>
      </c>
      <c r="BH240" s="111" t="s">
        <v>30</v>
      </c>
      <c r="BI240" s="111" t="s">
        <v>30</v>
      </c>
      <c r="BJ240" s="111" t="s">
        <v>30</v>
      </c>
      <c r="BK240" s="82" t="s">
        <v>30</v>
      </c>
      <c r="BL240" s="360"/>
      <c r="BN240" s="412"/>
      <c r="BO240" s="412"/>
      <c r="BP240" s="412"/>
      <c r="BQ240" s="412"/>
      <c r="BR240" s="412"/>
      <c r="BX240" s="96"/>
      <c r="BZ240">
        <f t="shared" si="7"/>
        <v>1</v>
      </c>
    </row>
    <row r="241" spans="1:78" hidden="1">
      <c r="A241" s="35" t="str">
        <f t="shared" si="6"/>
        <v>M102/2646077</v>
      </c>
      <c r="C241" s="358" t="s">
        <v>24</v>
      </c>
      <c r="D241" s="358">
        <v>238</v>
      </c>
      <c r="E241" s="358" t="s">
        <v>3438</v>
      </c>
      <c r="F241" s="358" t="s">
        <v>1746</v>
      </c>
      <c r="G241" s="384">
        <v>46077</v>
      </c>
      <c r="H241" s="358" t="s">
        <v>3350</v>
      </c>
      <c r="I241" s="358">
        <v>12</v>
      </c>
      <c r="J241" s="359" t="str">
        <f>IFERROR(VLOOKUP($A241,#REF!,3,0),"")</f>
        <v/>
      </c>
      <c r="K241" s="359" t="str">
        <f>IFERROR(VLOOKUP($A241,#REF!,4,0),AF241)</f>
        <v>EXT</v>
      </c>
      <c r="L241" s="359" t="str">
        <f>IFERROR(VLOOKUP($A241,#REF!,5,0),"")</f>
        <v/>
      </c>
      <c r="M241" s="359" t="str">
        <f>IFERROR(VLOOKUP($A241,#REF!,7,0),"")</f>
        <v/>
      </c>
      <c r="N241" s="359"/>
      <c r="O241" s="359" t="str">
        <f>IFERROR(VLOOKUP($A241,#REF!,6,0),"")</f>
        <v/>
      </c>
      <c r="P241" s="359" t="str">
        <f>IFERROR(VLOOKUP($A241,#REF!,9,0),"")</f>
        <v/>
      </c>
      <c r="Q241" s="359" t="str">
        <f>IFERROR(VLOOKUP($A241,#REF!,10,0),"")</f>
        <v/>
      </c>
      <c r="R241" s="359" t="str">
        <f>IFERROR(VLOOKUP($A241,#REF!,11,0),"")</f>
        <v/>
      </c>
      <c r="S241" s="359" t="str">
        <f>IFERROR(VLOOKUP($A241,#REF!,13,0),"")</f>
        <v/>
      </c>
      <c r="T241" s="359" t="str">
        <f>IFERROR(VLOOKUP($A241,#REF!,14,0),"")</f>
        <v/>
      </c>
      <c r="U241" s="359" t="str">
        <f>IFERROR(VLOOKUP($A241,#REF!,15,0),"")</f>
        <v/>
      </c>
      <c r="V241" s="359" t="str">
        <f>IFERROR(VLOOKUP($A241,#REF!,16,0),"")</f>
        <v/>
      </c>
      <c r="W241" s="359" t="str">
        <f>IFERROR(VLOOKUP($A241,#REF!,17,0),"")</f>
        <v/>
      </c>
      <c r="X241" s="359" t="str">
        <f>IFERROR(VLOOKUP($A241,#REF!,18,0),"")</f>
        <v/>
      </c>
      <c r="Y241" s="359" t="str">
        <f>IFERROR(VLOOKUP($A241,#REF!,19,0),"")</f>
        <v/>
      </c>
      <c r="Z241" s="400" t="str">
        <f>IFERROR(VLOOKUP($A241,#REF!,21,0),"")</f>
        <v/>
      </c>
      <c r="AA241" s="358"/>
      <c r="AB241" s="358"/>
      <c r="AC241" s="358" t="s">
        <v>1077</v>
      </c>
      <c r="AD241" s="358" t="s">
        <v>1138</v>
      </c>
      <c r="AE241" s="93" t="s">
        <v>3377</v>
      </c>
      <c r="AF241" s="141" t="s">
        <v>3082</v>
      </c>
      <c r="AG241" s="358" t="s">
        <v>2640</v>
      </c>
      <c r="AH241" s="358" t="s">
        <v>3415</v>
      </c>
      <c r="AI241" s="358" t="s">
        <v>3439</v>
      </c>
      <c r="AJ241" s="358" t="s">
        <v>2083</v>
      </c>
      <c r="AK241" s="358"/>
      <c r="AL241" s="358"/>
      <c r="AM241" s="358"/>
      <c r="AN241" s="359" t="s">
        <v>32</v>
      </c>
      <c r="AO241" s="358"/>
      <c r="AP241" s="358"/>
      <c r="AQ241" s="384" t="s">
        <v>1138</v>
      </c>
      <c r="AR241" s="358"/>
      <c r="AS241" s="358"/>
      <c r="AT241" s="384"/>
      <c r="AU241" s="380">
        <v>46112</v>
      </c>
      <c r="AV241" s="95" t="s">
        <v>32</v>
      </c>
      <c r="AW241" s="100" t="s">
        <v>30</v>
      </c>
      <c r="AX241" s="95" t="s">
        <v>32</v>
      </c>
      <c r="AY241" s="100" t="s">
        <v>30</v>
      </c>
      <c r="AZ241" s="100" t="s">
        <v>30</v>
      </c>
      <c r="BA241" s="100" t="s">
        <v>30</v>
      </c>
      <c r="BB241" s="100" t="s">
        <v>30</v>
      </c>
      <c r="BC241" s="100" t="s">
        <v>30</v>
      </c>
      <c r="BD241" s="100" t="s">
        <v>30</v>
      </c>
      <c r="BE241" s="100" t="s">
        <v>30</v>
      </c>
      <c r="BF241" s="100" t="s">
        <v>30</v>
      </c>
      <c r="BG241" s="100" t="s">
        <v>30</v>
      </c>
      <c r="BH241" s="100" t="s">
        <v>30</v>
      </c>
      <c r="BI241" s="100" t="s">
        <v>30</v>
      </c>
      <c r="BJ241" s="100" t="s">
        <v>30</v>
      </c>
      <c r="BK241" s="100" t="s">
        <v>30</v>
      </c>
      <c r="BL241" s="360"/>
      <c r="BN241" s="412"/>
      <c r="BO241" s="412"/>
      <c r="BP241" s="412"/>
      <c r="BQ241" s="412"/>
      <c r="BR241" s="412"/>
      <c r="BZ241">
        <f t="shared" si="7"/>
        <v>1</v>
      </c>
    </row>
    <row r="242" spans="1:78" hidden="1">
      <c r="A242" s="35" t="str">
        <f t="shared" si="6"/>
        <v>069/2646077</v>
      </c>
      <c r="C242" s="358" t="s">
        <v>24</v>
      </c>
      <c r="D242" s="358">
        <v>239</v>
      </c>
      <c r="E242" s="358" t="s">
        <v>3440</v>
      </c>
      <c r="F242" s="358" t="s">
        <v>374</v>
      </c>
      <c r="G242" s="384">
        <v>46077</v>
      </c>
      <c r="H242" s="358" t="s">
        <v>3441</v>
      </c>
      <c r="I242" s="358">
        <v>19</v>
      </c>
      <c r="J242" s="359" t="str">
        <f>IFERROR(VLOOKUP($A242,#REF!,3,0),"")</f>
        <v/>
      </c>
      <c r="K242" s="359" t="str">
        <f>IFERROR(VLOOKUP($A242,#REF!,4,0),AF242)</f>
        <v>INT</v>
      </c>
      <c r="L242" s="359" t="str">
        <f>IFERROR(VLOOKUP($A242,#REF!,5,0),"")</f>
        <v/>
      </c>
      <c r="M242" s="359" t="str">
        <f>IFERROR(VLOOKUP($A242,#REF!,7,0),"")</f>
        <v/>
      </c>
      <c r="N242" s="359"/>
      <c r="O242" s="359" t="str">
        <f>IFERROR(VLOOKUP($A242,#REF!,6,0),"")</f>
        <v/>
      </c>
      <c r="P242" s="359" t="str">
        <f>IFERROR(VLOOKUP($A242,#REF!,9,0),"")</f>
        <v/>
      </c>
      <c r="Q242" s="359" t="str">
        <f>IFERROR(VLOOKUP($A242,#REF!,10,0),"")</f>
        <v/>
      </c>
      <c r="R242" s="359" t="str">
        <f>IFERROR(VLOOKUP($A242,#REF!,11,0),"")</f>
        <v/>
      </c>
      <c r="S242" s="359" t="str">
        <f>IFERROR(VLOOKUP($A242,#REF!,13,0),"")</f>
        <v/>
      </c>
      <c r="T242" s="359" t="str">
        <f>IFERROR(VLOOKUP($A242,#REF!,14,0),"")</f>
        <v/>
      </c>
      <c r="U242" s="359" t="str">
        <f>IFERROR(VLOOKUP($A242,#REF!,15,0),"")</f>
        <v/>
      </c>
      <c r="V242" s="359" t="str">
        <f>IFERROR(VLOOKUP($A242,#REF!,16,0),"")</f>
        <v/>
      </c>
      <c r="W242" s="359" t="str">
        <f>IFERROR(VLOOKUP($A242,#REF!,17,0),"")</f>
        <v/>
      </c>
      <c r="X242" s="359" t="str">
        <f>IFERROR(VLOOKUP($A242,#REF!,18,0),"")</f>
        <v/>
      </c>
      <c r="Y242" s="359" t="str">
        <f>IFERROR(VLOOKUP($A242,#REF!,19,0),"")</f>
        <v/>
      </c>
      <c r="Z242" s="400" t="str">
        <f>IFERROR(VLOOKUP($A242,#REF!,21,0),"")</f>
        <v/>
      </c>
      <c r="AA242" s="358"/>
      <c r="AB242" s="358"/>
      <c r="AC242" s="358" t="s">
        <v>1076</v>
      </c>
      <c r="AD242" s="358" t="s">
        <v>3357</v>
      </c>
      <c r="AE242" s="265"/>
      <c r="AF242" s="141" t="s">
        <v>3077</v>
      </c>
      <c r="AG242" s="358" t="s">
        <v>2226</v>
      </c>
      <c r="AH242" s="358" t="s">
        <v>3439</v>
      </c>
      <c r="AI242" s="358" t="s">
        <v>3439</v>
      </c>
      <c r="AJ242" s="358" t="s">
        <v>2083</v>
      </c>
      <c r="AK242" s="358"/>
      <c r="AL242" s="358"/>
      <c r="AM242" s="358"/>
      <c r="AN242" s="130" t="s">
        <v>2863</v>
      </c>
      <c r="AO242" s="358" t="s">
        <v>30</v>
      </c>
      <c r="AP242" s="384">
        <v>46090</v>
      </c>
      <c r="AQ242" s="384" t="s">
        <v>3357</v>
      </c>
      <c r="AR242" s="358" t="s">
        <v>32</v>
      </c>
      <c r="AS242" s="358">
        <v>19</v>
      </c>
      <c r="AT242" s="384" t="s">
        <v>3357</v>
      </c>
      <c r="AU242" s="380">
        <v>46090</v>
      </c>
      <c r="AV242" s="100" t="s">
        <v>30</v>
      </c>
      <c r="AW242" s="100" t="s">
        <v>30</v>
      </c>
      <c r="AX242" s="82" t="s">
        <v>30</v>
      </c>
      <c r="AY242" s="100" t="s">
        <v>30</v>
      </c>
      <c r="AZ242" s="100" t="s">
        <v>30</v>
      </c>
      <c r="BA242" s="100" t="s">
        <v>30</v>
      </c>
      <c r="BB242" s="100" t="s">
        <v>30</v>
      </c>
      <c r="BC242" s="100" t="s">
        <v>30</v>
      </c>
      <c r="BD242" s="100" t="s">
        <v>30</v>
      </c>
      <c r="BE242" s="100" t="s">
        <v>30</v>
      </c>
      <c r="BF242" s="100" t="s">
        <v>30</v>
      </c>
      <c r="BG242" s="100" t="s">
        <v>30</v>
      </c>
      <c r="BH242" s="100" t="s">
        <v>30</v>
      </c>
      <c r="BI242" s="100" t="s">
        <v>30</v>
      </c>
      <c r="BJ242" s="100" t="s">
        <v>30</v>
      </c>
      <c r="BK242" s="95"/>
      <c r="BL242" s="360"/>
      <c r="BN242" s="412"/>
      <c r="BO242" s="412"/>
      <c r="BP242" s="412"/>
      <c r="BQ242" s="412"/>
      <c r="BR242" s="412"/>
      <c r="BZ242">
        <f t="shared" si="7"/>
        <v>1</v>
      </c>
    </row>
    <row r="243" spans="1:78" hidden="1">
      <c r="A243" s="35" t="str">
        <f t="shared" si="6"/>
        <v>008/2646079</v>
      </c>
      <c r="C243" s="358" t="s">
        <v>24</v>
      </c>
      <c r="D243" s="358">
        <v>240</v>
      </c>
      <c r="E243" s="358" t="s">
        <v>3442</v>
      </c>
      <c r="F243" s="358" t="s">
        <v>477</v>
      </c>
      <c r="G243" s="384">
        <v>46079</v>
      </c>
      <c r="H243" s="358" t="s">
        <v>2626</v>
      </c>
      <c r="I243" s="358">
        <v>12</v>
      </c>
      <c r="J243" s="359" t="str">
        <f>IFERROR(VLOOKUP($A243,#REF!,3,0),"")</f>
        <v/>
      </c>
      <c r="K243" s="359" t="str">
        <f>IFERROR(VLOOKUP($A243,#REF!,4,0),AF243)</f>
        <v>INT</v>
      </c>
      <c r="L243" s="359" t="str">
        <f>IFERROR(VLOOKUP($A243,#REF!,5,0),"")</f>
        <v/>
      </c>
      <c r="M243" s="359" t="str">
        <f>IFERROR(VLOOKUP($A243,#REF!,7,0),"")</f>
        <v/>
      </c>
      <c r="N243" s="359"/>
      <c r="O243" s="359" t="str">
        <f>IFERROR(VLOOKUP($A243,#REF!,6,0),"")</f>
        <v/>
      </c>
      <c r="P243" s="359" t="str">
        <f>IFERROR(VLOOKUP($A243,#REF!,9,0),"")</f>
        <v/>
      </c>
      <c r="Q243" s="359" t="str">
        <f>IFERROR(VLOOKUP($A243,#REF!,10,0),"")</f>
        <v/>
      </c>
      <c r="R243" s="359" t="str">
        <f>IFERROR(VLOOKUP($A243,#REF!,11,0),"")</f>
        <v/>
      </c>
      <c r="S243" s="359" t="str">
        <f>IFERROR(VLOOKUP($A243,#REF!,13,0),"")</f>
        <v/>
      </c>
      <c r="T243" s="359" t="str">
        <f>IFERROR(VLOOKUP($A243,#REF!,14,0),"")</f>
        <v/>
      </c>
      <c r="U243" s="359" t="str">
        <f>IFERROR(VLOOKUP($A243,#REF!,15,0),"")</f>
        <v/>
      </c>
      <c r="V243" s="359" t="str">
        <f>IFERROR(VLOOKUP($A243,#REF!,16,0),"")</f>
        <v/>
      </c>
      <c r="W243" s="359" t="str">
        <f>IFERROR(VLOOKUP($A243,#REF!,17,0),"")</f>
        <v/>
      </c>
      <c r="X243" s="359" t="str">
        <f>IFERROR(VLOOKUP($A243,#REF!,18,0),"")</f>
        <v/>
      </c>
      <c r="Y243" s="359" t="str">
        <f>IFERROR(VLOOKUP($A243,#REF!,19,0),"")</f>
        <v/>
      </c>
      <c r="Z243" s="400" t="str">
        <f>IFERROR(VLOOKUP($A243,#REF!,21,0),"")</f>
        <v/>
      </c>
      <c r="AA243" s="358"/>
      <c r="AB243" s="358"/>
      <c r="AC243" s="358" t="s">
        <v>127</v>
      </c>
      <c r="AD243" s="359" t="s">
        <v>28</v>
      </c>
      <c r="AE243" s="265"/>
      <c r="AF243" s="141" t="s">
        <v>3077</v>
      </c>
      <c r="AG243" s="358" t="s">
        <v>2092</v>
      </c>
      <c r="AH243" s="358" t="s">
        <v>3443</v>
      </c>
      <c r="AI243" s="358" t="s">
        <v>3443</v>
      </c>
      <c r="AJ243" s="358" t="s">
        <v>2050</v>
      </c>
      <c r="AK243" s="358"/>
      <c r="AL243" s="358"/>
      <c r="AM243" s="358"/>
      <c r="AN243" s="359" t="s">
        <v>32</v>
      </c>
      <c r="AO243" s="358" t="s">
        <v>30</v>
      </c>
      <c r="AP243" s="384">
        <v>46111</v>
      </c>
      <c r="AQ243" s="384" t="s">
        <v>3429</v>
      </c>
      <c r="AR243" s="358" t="s">
        <v>32</v>
      </c>
      <c r="AS243" s="358">
        <v>12</v>
      </c>
      <c r="AT243" s="384" t="s">
        <v>3429</v>
      </c>
      <c r="AU243" s="380">
        <v>46111</v>
      </c>
      <c r="AV243" s="100" t="s">
        <v>30</v>
      </c>
      <c r="AW243" s="100" t="s">
        <v>30</v>
      </c>
      <c r="AX243" s="95" t="s">
        <v>32</v>
      </c>
      <c r="AY243" s="95" t="s">
        <v>32</v>
      </c>
      <c r="AZ243" s="95" t="s">
        <v>32</v>
      </c>
      <c r="BA243" s="95" t="s">
        <v>32</v>
      </c>
      <c r="BB243" s="100" t="s">
        <v>30</v>
      </c>
      <c r="BC243" s="100" t="s">
        <v>30</v>
      </c>
      <c r="BD243" s="100" t="s">
        <v>30</v>
      </c>
      <c r="BE243" s="100" t="s">
        <v>30</v>
      </c>
      <c r="BF243" s="100" t="s">
        <v>30</v>
      </c>
      <c r="BG243" s="100" t="s">
        <v>30</v>
      </c>
      <c r="BH243" s="100" t="s">
        <v>30</v>
      </c>
      <c r="BI243" s="100" t="s">
        <v>30</v>
      </c>
      <c r="BJ243" s="100" t="s">
        <v>30</v>
      </c>
      <c r="BK243" s="95"/>
      <c r="BL243" s="360"/>
      <c r="BN243" s="412"/>
      <c r="BO243" s="412"/>
      <c r="BP243" s="412"/>
      <c r="BQ243" s="412"/>
      <c r="BR243" s="412"/>
      <c r="BZ243">
        <f t="shared" si="7"/>
        <v>1</v>
      </c>
    </row>
    <row r="244" spans="1:78" hidden="1">
      <c r="A244" s="35" t="str">
        <f t="shared" si="6"/>
        <v>M118/2646080</v>
      </c>
      <c r="C244" s="358" t="s">
        <v>24</v>
      </c>
      <c r="D244" s="358">
        <v>241</v>
      </c>
      <c r="E244" s="358" t="s">
        <v>3444</v>
      </c>
      <c r="F244" s="358" t="s">
        <v>43</v>
      </c>
      <c r="G244" s="384">
        <v>46080</v>
      </c>
      <c r="H244" s="358" t="s">
        <v>3445</v>
      </c>
      <c r="I244" s="358">
        <v>16</v>
      </c>
      <c r="J244" s="359" t="str">
        <f>IFERROR(VLOOKUP($A244,#REF!,3,0),"")</f>
        <v/>
      </c>
      <c r="K244" s="359" t="str">
        <f>IFERROR(VLOOKUP($A244,#REF!,4,0),AF244)</f>
        <v>EXT</v>
      </c>
      <c r="L244" s="359" t="str">
        <f>IFERROR(VLOOKUP($A244,#REF!,5,0),"")</f>
        <v/>
      </c>
      <c r="M244" s="359" t="str">
        <f>IFERROR(VLOOKUP($A244,#REF!,7,0),"")</f>
        <v/>
      </c>
      <c r="N244" s="359"/>
      <c r="O244" s="359" t="str">
        <f>IFERROR(VLOOKUP($A244,#REF!,6,0),"")</f>
        <v/>
      </c>
      <c r="P244" s="359" t="str">
        <f>IFERROR(VLOOKUP($A244,#REF!,9,0),"")</f>
        <v/>
      </c>
      <c r="Q244" s="359" t="str">
        <f>IFERROR(VLOOKUP($A244,#REF!,10,0),"")</f>
        <v/>
      </c>
      <c r="R244" s="359" t="str">
        <f>IFERROR(VLOOKUP($A244,#REF!,11,0),"")</f>
        <v/>
      </c>
      <c r="S244" s="359" t="str">
        <f>IFERROR(VLOOKUP($A244,#REF!,13,0),"")</f>
        <v/>
      </c>
      <c r="T244" s="359" t="str">
        <f>IFERROR(VLOOKUP($A244,#REF!,14,0),"")</f>
        <v/>
      </c>
      <c r="U244" s="359" t="str">
        <f>IFERROR(VLOOKUP($A244,#REF!,15,0),"")</f>
        <v/>
      </c>
      <c r="V244" s="359" t="str">
        <f>IFERROR(VLOOKUP($A244,#REF!,16,0),"")</f>
        <v/>
      </c>
      <c r="W244" s="359" t="str">
        <f>IFERROR(VLOOKUP($A244,#REF!,17,0),"")</f>
        <v/>
      </c>
      <c r="X244" s="359" t="str">
        <f>IFERROR(VLOOKUP($A244,#REF!,18,0),"")</f>
        <v/>
      </c>
      <c r="Y244" s="359" t="str">
        <f>IFERROR(VLOOKUP($A244,#REF!,19,0),"")</f>
        <v/>
      </c>
      <c r="Z244" s="400" t="str">
        <f>IFERROR(VLOOKUP($A244,#REF!,21,0),"")</f>
        <v/>
      </c>
      <c r="AA244" s="358"/>
      <c r="AB244" s="358"/>
      <c r="AC244" s="358" t="s">
        <v>1077</v>
      </c>
      <c r="AD244" s="358" t="s">
        <v>1138</v>
      </c>
      <c r="AE244" s="358"/>
      <c r="AF244" s="141" t="s">
        <v>3082</v>
      </c>
      <c r="AG244" s="358" t="s">
        <v>2203</v>
      </c>
      <c r="AH244" s="358" t="s">
        <v>3446</v>
      </c>
      <c r="AI244" s="358" t="s">
        <v>3446</v>
      </c>
      <c r="AJ244" s="358" t="s">
        <v>2050</v>
      </c>
      <c r="AK244" s="358"/>
      <c r="AL244" s="358"/>
      <c r="AM244" s="358"/>
      <c r="AN244" s="130" t="s">
        <v>2863</v>
      </c>
      <c r="AO244" s="358" t="s">
        <v>30</v>
      </c>
      <c r="AP244" s="380">
        <v>46097</v>
      </c>
      <c r="AQ244" s="384" t="s">
        <v>1138</v>
      </c>
      <c r="AR244" s="358" t="s">
        <v>32</v>
      </c>
      <c r="AS244" s="358">
        <v>16</v>
      </c>
      <c r="AT244" s="384" t="s">
        <v>1138</v>
      </c>
      <c r="AU244" s="380">
        <v>46097</v>
      </c>
      <c r="AV244" s="100" t="s">
        <v>30</v>
      </c>
      <c r="AW244" s="100" t="s">
        <v>30</v>
      </c>
      <c r="AX244" s="82" t="s">
        <v>30</v>
      </c>
      <c r="AY244" s="100" t="s">
        <v>30</v>
      </c>
      <c r="AZ244" s="100" t="s">
        <v>30</v>
      </c>
      <c r="BA244" s="100" t="s">
        <v>30</v>
      </c>
      <c r="BB244" s="100" t="s">
        <v>30</v>
      </c>
      <c r="BC244" s="100" t="s">
        <v>30</v>
      </c>
      <c r="BD244" s="100" t="s">
        <v>30</v>
      </c>
      <c r="BE244" s="100" t="s">
        <v>30</v>
      </c>
      <c r="BF244" s="100" t="s">
        <v>30</v>
      </c>
      <c r="BG244" s="100" t="s">
        <v>30</v>
      </c>
      <c r="BH244" s="100" t="s">
        <v>30</v>
      </c>
      <c r="BI244" s="100" t="s">
        <v>30</v>
      </c>
      <c r="BJ244" s="100" t="s">
        <v>30</v>
      </c>
      <c r="BK244" s="100" t="s">
        <v>30</v>
      </c>
      <c r="BL244" s="360"/>
      <c r="BN244" s="412"/>
      <c r="BO244" s="412"/>
      <c r="BP244" s="412"/>
      <c r="BQ244" s="412"/>
      <c r="BR244" s="412"/>
      <c r="BZ244">
        <f t="shared" si="7"/>
        <v>1</v>
      </c>
    </row>
    <row r="245" spans="1:78" hidden="1">
      <c r="A245" s="35" t="str">
        <f t="shared" si="6"/>
        <v>M130/2646081</v>
      </c>
      <c r="C245" s="358" t="s">
        <v>24</v>
      </c>
      <c r="D245" s="358">
        <v>242</v>
      </c>
      <c r="E245" s="358" t="s">
        <v>3447</v>
      </c>
      <c r="F245" s="358" t="s">
        <v>102</v>
      </c>
      <c r="G245" s="384">
        <v>46081</v>
      </c>
      <c r="H245" s="358" t="s">
        <v>494</v>
      </c>
      <c r="I245" s="358">
        <v>10</v>
      </c>
      <c r="J245" s="359" t="str">
        <f>IFERROR(VLOOKUP($A245,#REF!,3,0),"")</f>
        <v/>
      </c>
      <c r="K245" s="359" t="str">
        <f>IFERROR(VLOOKUP($A245,#REF!,4,0),AF245)</f>
        <v>EXT</v>
      </c>
      <c r="L245" s="359" t="str">
        <f>IFERROR(VLOOKUP($A245,#REF!,5,0),"")</f>
        <v/>
      </c>
      <c r="M245" s="359" t="str">
        <f>IFERROR(VLOOKUP($A245,#REF!,7,0),"")</f>
        <v/>
      </c>
      <c r="N245" s="359"/>
      <c r="O245" s="359" t="str">
        <f>IFERROR(VLOOKUP($A245,#REF!,6,0),"")</f>
        <v/>
      </c>
      <c r="P245" s="359" t="str">
        <f>IFERROR(VLOOKUP($A245,#REF!,9,0),"")</f>
        <v/>
      </c>
      <c r="Q245" s="359" t="str">
        <f>IFERROR(VLOOKUP($A245,#REF!,10,0),"")</f>
        <v/>
      </c>
      <c r="R245" s="359" t="str">
        <f>IFERROR(VLOOKUP($A245,#REF!,11,0),"")</f>
        <v/>
      </c>
      <c r="S245" s="359" t="str">
        <f>IFERROR(VLOOKUP($A245,#REF!,13,0),"")</f>
        <v/>
      </c>
      <c r="T245" s="359" t="str">
        <f>IFERROR(VLOOKUP($A245,#REF!,14,0),"")</f>
        <v/>
      </c>
      <c r="U245" s="359" t="str">
        <f>IFERROR(VLOOKUP($A245,#REF!,15,0),"")</f>
        <v/>
      </c>
      <c r="V245" s="359" t="str">
        <f>IFERROR(VLOOKUP($A245,#REF!,16,0),"")</f>
        <v/>
      </c>
      <c r="W245" s="359" t="str">
        <f>IFERROR(VLOOKUP($A245,#REF!,17,0),"")</f>
        <v/>
      </c>
      <c r="X245" s="359" t="str">
        <f>IFERROR(VLOOKUP($A245,#REF!,18,0),"")</f>
        <v/>
      </c>
      <c r="Y245" s="359" t="str">
        <f>IFERROR(VLOOKUP($A245,#REF!,19,0),"")</f>
        <v/>
      </c>
      <c r="Z245" s="400" t="str">
        <f>IFERROR(VLOOKUP($A245,#REF!,21,0),"")</f>
        <v/>
      </c>
      <c r="AA245" s="358"/>
      <c r="AB245" s="358"/>
      <c r="AC245" s="358" t="s">
        <v>1077</v>
      </c>
      <c r="AD245" s="358" t="s">
        <v>1138</v>
      </c>
      <c r="AE245" s="358"/>
      <c r="AF245" s="141" t="s">
        <v>3082</v>
      </c>
      <c r="AG245" s="358" t="s">
        <v>2066</v>
      </c>
      <c r="AH245" s="358" t="s">
        <v>3446</v>
      </c>
      <c r="AI245" s="358" t="s">
        <v>3446</v>
      </c>
      <c r="AJ245" s="358" t="s">
        <v>2050</v>
      </c>
      <c r="AK245" s="358"/>
      <c r="AL245" s="358"/>
      <c r="AM245" s="358"/>
      <c r="AN245" s="359" t="s">
        <v>32</v>
      </c>
      <c r="AO245" s="358" t="s">
        <v>30</v>
      </c>
      <c r="AP245" s="384">
        <v>46100</v>
      </c>
      <c r="AQ245" s="384" t="s">
        <v>1138</v>
      </c>
      <c r="AR245" s="358" t="s">
        <v>32</v>
      </c>
      <c r="AS245" s="358">
        <v>10</v>
      </c>
      <c r="AT245" s="384" t="s">
        <v>1138</v>
      </c>
      <c r="AU245" s="380">
        <v>46100</v>
      </c>
      <c r="AV245" s="100" t="s">
        <v>30</v>
      </c>
      <c r="AW245" s="100" t="s">
        <v>30</v>
      </c>
      <c r="AX245" s="100" t="s">
        <v>30</v>
      </c>
      <c r="AY245" s="100" t="s">
        <v>30</v>
      </c>
      <c r="AZ245" s="100" t="s">
        <v>30</v>
      </c>
      <c r="BA245" s="100" t="s">
        <v>30</v>
      </c>
      <c r="BB245" s="100" t="s">
        <v>30</v>
      </c>
      <c r="BC245" s="100" t="s">
        <v>30</v>
      </c>
      <c r="BD245" s="100" t="s">
        <v>30</v>
      </c>
      <c r="BE245" s="100" t="s">
        <v>30</v>
      </c>
      <c r="BF245" s="100" t="s">
        <v>30</v>
      </c>
      <c r="BG245" s="100" t="s">
        <v>30</v>
      </c>
      <c r="BH245" s="100" t="s">
        <v>30</v>
      </c>
      <c r="BI245" s="100" t="s">
        <v>30</v>
      </c>
      <c r="BJ245" s="100" t="s">
        <v>30</v>
      </c>
      <c r="BK245" s="100" t="s">
        <v>30</v>
      </c>
      <c r="BL245" s="360"/>
      <c r="BN245" s="412"/>
      <c r="BO245" s="412"/>
      <c r="BP245" s="412"/>
      <c r="BQ245" s="412"/>
      <c r="BR245" s="412"/>
      <c r="BZ245">
        <f t="shared" si="7"/>
        <v>1</v>
      </c>
    </row>
    <row r="246" spans="1:78" hidden="1">
      <c r="A246" s="35" t="str">
        <f t="shared" si="6"/>
        <v>M085/2646081</v>
      </c>
      <c r="C246" s="358" t="s">
        <v>24</v>
      </c>
      <c r="D246" s="358">
        <v>243</v>
      </c>
      <c r="E246" s="358" t="s">
        <v>3448</v>
      </c>
      <c r="F246" s="358" t="s">
        <v>99</v>
      </c>
      <c r="G246" s="384">
        <v>46081</v>
      </c>
      <c r="H246" s="358" t="s">
        <v>646</v>
      </c>
      <c r="I246" s="403">
        <v>10</v>
      </c>
      <c r="J246" s="359" t="str">
        <f>IFERROR(VLOOKUP($A246,#REF!,3,0),"")</f>
        <v/>
      </c>
      <c r="K246" s="359" t="str">
        <f>IFERROR(VLOOKUP($A246,#REF!,4,0),AF246)</f>
        <v>INT</v>
      </c>
      <c r="L246" s="359" t="str">
        <f>IFERROR(VLOOKUP($A246,#REF!,5,0),"")</f>
        <v/>
      </c>
      <c r="M246" s="359" t="str">
        <f>IFERROR(VLOOKUP($A246,#REF!,7,0),"")</f>
        <v/>
      </c>
      <c r="N246" s="359"/>
      <c r="O246" s="359" t="str">
        <f>IFERROR(VLOOKUP($A246,#REF!,6,0),"")</f>
        <v/>
      </c>
      <c r="P246" s="359" t="str">
        <f>IFERROR(VLOOKUP($A246,#REF!,9,0),"")</f>
        <v/>
      </c>
      <c r="Q246" s="359" t="str">
        <f>IFERROR(VLOOKUP($A246,#REF!,10,0),"")</f>
        <v/>
      </c>
      <c r="R246" s="359" t="str">
        <f>IFERROR(VLOOKUP($A246,#REF!,11,0),"")</f>
        <v/>
      </c>
      <c r="S246" s="359" t="str">
        <f>IFERROR(VLOOKUP($A246,#REF!,13,0),"")</f>
        <v/>
      </c>
      <c r="T246" s="359" t="str">
        <f>IFERROR(VLOOKUP($A246,#REF!,14,0),"")</f>
        <v/>
      </c>
      <c r="U246" s="359" t="str">
        <f>IFERROR(VLOOKUP($A246,#REF!,15,0),"")</f>
        <v/>
      </c>
      <c r="V246" s="359" t="str">
        <f>IFERROR(VLOOKUP($A246,#REF!,16,0),"")</f>
        <v/>
      </c>
      <c r="W246" s="359" t="str">
        <f>IFERROR(VLOOKUP($A246,#REF!,17,0),"")</f>
        <v/>
      </c>
      <c r="X246" s="359" t="str">
        <f>IFERROR(VLOOKUP($A246,#REF!,18,0),"")</f>
        <v/>
      </c>
      <c r="Y246" s="359" t="str">
        <f>IFERROR(VLOOKUP($A246,#REF!,19,0),"")</f>
        <v/>
      </c>
      <c r="Z246" s="400" t="str">
        <f>IFERROR(VLOOKUP($A246,#REF!,21,0),"")</f>
        <v/>
      </c>
      <c r="AA246" s="358"/>
      <c r="AB246" s="358"/>
      <c r="AC246" s="358" t="s">
        <v>1077</v>
      </c>
      <c r="AD246" s="358" t="s">
        <v>1138</v>
      </c>
      <c r="AE246" s="358"/>
      <c r="AF246" s="141" t="s">
        <v>3077</v>
      </c>
      <c r="AG246" s="358" t="s">
        <v>3385</v>
      </c>
      <c r="AH246" s="358" t="s">
        <v>3449</v>
      </c>
      <c r="AI246" s="358" t="s">
        <v>3449</v>
      </c>
      <c r="AJ246" s="358" t="s">
        <v>2050</v>
      </c>
      <c r="AK246" s="358"/>
      <c r="AL246" s="358"/>
      <c r="AM246" s="358"/>
      <c r="AN246" s="359" t="s">
        <v>32</v>
      </c>
      <c r="AO246" s="358" t="s">
        <v>30</v>
      </c>
      <c r="AP246" s="384">
        <v>46087</v>
      </c>
      <c r="AQ246" s="384" t="s">
        <v>1138</v>
      </c>
      <c r="AR246" s="358" t="s">
        <v>32</v>
      </c>
      <c r="AS246" s="358">
        <v>10</v>
      </c>
      <c r="AT246" s="384" t="s">
        <v>1138</v>
      </c>
      <c r="AU246" s="380">
        <v>46087</v>
      </c>
      <c r="AV246" s="100" t="s">
        <v>30</v>
      </c>
      <c r="AW246" s="100" t="s">
        <v>30</v>
      </c>
      <c r="AX246" s="100" t="s">
        <v>30</v>
      </c>
      <c r="AY246" s="100" t="s">
        <v>30</v>
      </c>
      <c r="AZ246" s="100" t="s">
        <v>30</v>
      </c>
      <c r="BA246" s="100" t="s">
        <v>30</v>
      </c>
      <c r="BB246" s="100" t="s">
        <v>30</v>
      </c>
      <c r="BC246" s="100" t="s">
        <v>30</v>
      </c>
      <c r="BD246" s="100" t="s">
        <v>30</v>
      </c>
      <c r="BE246" s="100" t="s">
        <v>30</v>
      </c>
      <c r="BF246" s="100" t="s">
        <v>30</v>
      </c>
      <c r="BG246" s="100" t="s">
        <v>30</v>
      </c>
      <c r="BH246" s="100" t="s">
        <v>30</v>
      </c>
      <c r="BI246" s="100" t="s">
        <v>30</v>
      </c>
      <c r="BJ246" s="100" t="s">
        <v>30</v>
      </c>
      <c r="BK246" s="100" t="s">
        <v>30</v>
      </c>
      <c r="BL246" s="360"/>
      <c r="BN246" s="412"/>
      <c r="BO246" s="412"/>
      <c r="BP246" s="412"/>
      <c r="BQ246" s="412"/>
      <c r="BR246" s="412"/>
      <c r="BZ246">
        <f t="shared" si="7"/>
        <v>1</v>
      </c>
    </row>
    <row r="247" spans="1:78" hidden="1">
      <c r="A247" s="35" t="str">
        <f t="shared" si="6"/>
        <v>M152/2646081</v>
      </c>
      <c r="C247" s="358" t="s">
        <v>24</v>
      </c>
      <c r="D247" s="358">
        <v>244</v>
      </c>
      <c r="E247" s="358" t="s">
        <v>3450</v>
      </c>
      <c r="F247" s="358" t="s">
        <v>34</v>
      </c>
      <c r="G247" s="384">
        <v>46081</v>
      </c>
      <c r="H247" s="358" t="s">
        <v>3451</v>
      </c>
      <c r="I247" s="358">
        <v>15</v>
      </c>
      <c r="J247" s="359" t="str">
        <f>IFERROR(VLOOKUP($A247,#REF!,3,0),"")</f>
        <v/>
      </c>
      <c r="K247" s="359" t="str">
        <f>IFERROR(VLOOKUP($A247,#REF!,4,0),AF247)</f>
        <v>INT</v>
      </c>
      <c r="L247" s="359" t="str">
        <f>IFERROR(VLOOKUP($A247,#REF!,5,0),"")</f>
        <v/>
      </c>
      <c r="M247" s="359" t="str">
        <f>IFERROR(VLOOKUP($A247,#REF!,7,0),"")</f>
        <v/>
      </c>
      <c r="N247" s="359"/>
      <c r="O247" s="359" t="str">
        <f>IFERROR(VLOOKUP($A247,#REF!,6,0),"")</f>
        <v/>
      </c>
      <c r="P247" s="359" t="str">
        <f>IFERROR(VLOOKUP($A247,#REF!,9,0),"")</f>
        <v/>
      </c>
      <c r="Q247" s="359" t="str">
        <f>IFERROR(VLOOKUP($A247,#REF!,10,0),"")</f>
        <v/>
      </c>
      <c r="R247" s="359" t="str">
        <f>IFERROR(VLOOKUP($A247,#REF!,11,0),"")</f>
        <v/>
      </c>
      <c r="S247" s="359" t="str">
        <f>IFERROR(VLOOKUP($A247,#REF!,13,0),"")</f>
        <v/>
      </c>
      <c r="T247" s="359" t="str">
        <f>IFERROR(VLOOKUP($A247,#REF!,14,0),"")</f>
        <v/>
      </c>
      <c r="U247" s="359" t="str">
        <f>IFERROR(VLOOKUP($A247,#REF!,15,0),"")</f>
        <v/>
      </c>
      <c r="V247" s="359" t="str">
        <f>IFERROR(VLOOKUP($A247,#REF!,16,0),"")</f>
        <v/>
      </c>
      <c r="W247" s="359" t="str">
        <f>IFERROR(VLOOKUP($A247,#REF!,17,0),"")</f>
        <v/>
      </c>
      <c r="X247" s="359" t="str">
        <f>IFERROR(VLOOKUP($A247,#REF!,18,0),"")</f>
        <v/>
      </c>
      <c r="Y247" s="359" t="str">
        <f>IFERROR(VLOOKUP($A247,#REF!,19,0),"")</f>
        <v/>
      </c>
      <c r="Z247" s="400" t="str">
        <f>IFERROR(VLOOKUP($A247,#REF!,21,0),"")</f>
        <v/>
      </c>
      <c r="AA247" s="358"/>
      <c r="AB247" s="358"/>
      <c r="AC247" s="358" t="s">
        <v>1077</v>
      </c>
      <c r="AD247" s="358" t="s">
        <v>1138</v>
      </c>
      <c r="AE247" s="358"/>
      <c r="AF247" s="141" t="s">
        <v>3077</v>
      </c>
      <c r="AG247" s="358" t="s">
        <v>2052</v>
      </c>
      <c r="AH247" s="358" t="s">
        <v>3446</v>
      </c>
      <c r="AI247" s="358" t="s">
        <v>3446</v>
      </c>
      <c r="AJ247" s="358" t="s">
        <v>3452</v>
      </c>
      <c r="AK247" s="358"/>
      <c r="AL247" s="358"/>
      <c r="AM247" s="358"/>
      <c r="AN247" s="130" t="s">
        <v>2863</v>
      </c>
      <c r="AO247" s="358" t="s">
        <v>30</v>
      </c>
      <c r="AP247" s="380">
        <v>46090</v>
      </c>
      <c r="AQ247" s="384" t="s">
        <v>1138</v>
      </c>
      <c r="AR247" s="358" t="s">
        <v>32</v>
      </c>
      <c r="AS247" s="358">
        <v>13</v>
      </c>
      <c r="AT247" s="384" t="s">
        <v>1138</v>
      </c>
      <c r="AU247" s="380">
        <v>46090</v>
      </c>
      <c r="AV247" s="100" t="s">
        <v>30</v>
      </c>
      <c r="AW247" s="100" t="s">
        <v>30</v>
      </c>
      <c r="AX247" s="100" t="s">
        <v>30</v>
      </c>
      <c r="AY247" s="100" t="s">
        <v>30</v>
      </c>
      <c r="AZ247" s="100" t="s">
        <v>30</v>
      </c>
      <c r="BA247" s="100" t="s">
        <v>30</v>
      </c>
      <c r="BB247" s="100" t="s">
        <v>30</v>
      </c>
      <c r="BC247" s="100" t="s">
        <v>30</v>
      </c>
      <c r="BD247" s="100" t="s">
        <v>30</v>
      </c>
      <c r="BE247" s="100" t="s">
        <v>30</v>
      </c>
      <c r="BF247" s="100" t="s">
        <v>30</v>
      </c>
      <c r="BG247" s="100" t="s">
        <v>30</v>
      </c>
      <c r="BH247" s="100" t="s">
        <v>30</v>
      </c>
      <c r="BI247" s="100" t="s">
        <v>30</v>
      </c>
      <c r="BJ247" s="100" t="s">
        <v>30</v>
      </c>
      <c r="BK247" s="100" t="s">
        <v>30</v>
      </c>
      <c r="BL247" s="360"/>
      <c r="BN247" s="412"/>
      <c r="BO247" s="412"/>
      <c r="BP247" s="412"/>
      <c r="BQ247" s="412"/>
      <c r="BR247" s="412"/>
      <c r="BX247" s="96"/>
      <c r="BZ247">
        <f t="shared" si="7"/>
        <v>1</v>
      </c>
    </row>
    <row r="248" spans="1:78" hidden="1">
      <c r="A248" s="35" t="str">
        <f t="shared" si="6"/>
        <v>M132/2646081</v>
      </c>
      <c r="C248" s="358" t="s">
        <v>24</v>
      </c>
      <c r="D248" s="358">
        <v>245</v>
      </c>
      <c r="E248" s="358" t="s">
        <v>3453</v>
      </c>
      <c r="F248" s="358" t="s">
        <v>34</v>
      </c>
      <c r="G248" s="384">
        <v>46081</v>
      </c>
      <c r="H248" s="358" t="s">
        <v>3454</v>
      </c>
      <c r="I248" s="358">
        <v>13</v>
      </c>
      <c r="J248" s="359" t="str">
        <f>IFERROR(VLOOKUP($A248,#REF!,3,0),"")</f>
        <v/>
      </c>
      <c r="K248" s="359" t="str">
        <f>IFERROR(VLOOKUP($A248,#REF!,4,0),AF248)</f>
        <v>INT</v>
      </c>
      <c r="L248" s="359" t="str">
        <f>IFERROR(VLOOKUP($A248,#REF!,5,0),"")</f>
        <v/>
      </c>
      <c r="M248" s="359" t="str">
        <f>IFERROR(VLOOKUP($A248,#REF!,7,0),"")</f>
        <v/>
      </c>
      <c r="N248" s="359"/>
      <c r="O248" s="359" t="str">
        <f>IFERROR(VLOOKUP($A248,#REF!,6,0),"")</f>
        <v/>
      </c>
      <c r="P248" s="359" t="str">
        <f>IFERROR(VLOOKUP($A248,#REF!,9,0),"")</f>
        <v/>
      </c>
      <c r="Q248" s="359" t="str">
        <f>IFERROR(VLOOKUP($A248,#REF!,10,0),"")</f>
        <v/>
      </c>
      <c r="R248" s="359" t="str">
        <f>IFERROR(VLOOKUP($A248,#REF!,11,0),"")</f>
        <v/>
      </c>
      <c r="S248" s="359" t="str">
        <f>IFERROR(VLOOKUP($A248,#REF!,13,0),"")</f>
        <v/>
      </c>
      <c r="T248" s="359" t="str">
        <f>IFERROR(VLOOKUP($A248,#REF!,14,0),"")</f>
        <v/>
      </c>
      <c r="U248" s="359" t="str">
        <f>IFERROR(VLOOKUP($A248,#REF!,15,0),"")</f>
        <v/>
      </c>
      <c r="V248" s="359" t="str">
        <f>IFERROR(VLOOKUP($A248,#REF!,16,0),"")</f>
        <v/>
      </c>
      <c r="W248" s="359" t="str">
        <f>IFERROR(VLOOKUP($A248,#REF!,17,0),"")</f>
        <v/>
      </c>
      <c r="X248" s="359" t="str">
        <f>IFERROR(VLOOKUP($A248,#REF!,18,0),"")</f>
        <v/>
      </c>
      <c r="Y248" s="359" t="str">
        <f>IFERROR(VLOOKUP($A248,#REF!,19,0),"")</f>
        <v/>
      </c>
      <c r="Z248" s="400" t="str">
        <f>IFERROR(VLOOKUP($A248,#REF!,21,0),"")</f>
        <v/>
      </c>
      <c r="AA248" s="358"/>
      <c r="AB248" s="358"/>
      <c r="AC248" s="358" t="s">
        <v>1077</v>
      </c>
      <c r="AD248" s="358" t="s">
        <v>1138</v>
      </c>
      <c r="AE248" s="358"/>
      <c r="AF248" s="141" t="s">
        <v>3077</v>
      </c>
      <c r="AG248" s="358" t="s">
        <v>3198</v>
      </c>
      <c r="AH248" s="358" t="s">
        <v>3455</v>
      </c>
      <c r="AI248" s="358" t="s">
        <v>3455</v>
      </c>
      <c r="AJ248" s="358" t="s">
        <v>2083</v>
      </c>
      <c r="AK248" s="358"/>
      <c r="AL248" s="358"/>
      <c r="AM248" s="358"/>
      <c r="AN248" s="359" t="s">
        <v>32</v>
      </c>
      <c r="AO248" s="358" t="s">
        <v>30</v>
      </c>
      <c r="AP248" s="380">
        <v>46106</v>
      </c>
      <c r="AQ248" s="384" t="s">
        <v>1138</v>
      </c>
      <c r="AR248" s="358" t="s">
        <v>32</v>
      </c>
      <c r="AS248" s="358">
        <v>12</v>
      </c>
      <c r="AT248" s="384" t="s">
        <v>1138</v>
      </c>
      <c r="AU248" s="380">
        <v>46106</v>
      </c>
      <c r="AV248" s="100" t="s">
        <v>30</v>
      </c>
      <c r="AW248" s="100" t="s">
        <v>30</v>
      </c>
      <c r="AX248" s="95" t="s">
        <v>32</v>
      </c>
      <c r="AY248" s="95" t="s">
        <v>32</v>
      </c>
      <c r="AZ248" s="95" t="s">
        <v>32</v>
      </c>
      <c r="BA248" s="95" t="s">
        <v>32</v>
      </c>
      <c r="BB248" s="100" t="s">
        <v>30</v>
      </c>
      <c r="BC248" s="100" t="s">
        <v>30</v>
      </c>
      <c r="BD248" s="100" t="s">
        <v>30</v>
      </c>
      <c r="BE248" s="100" t="s">
        <v>30</v>
      </c>
      <c r="BF248" s="100" t="s">
        <v>30</v>
      </c>
      <c r="BG248" s="114"/>
      <c r="BH248" s="100"/>
      <c r="BI248" s="100"/>
      <c r="BJ248" s="100"/>
      <c r="BK248" s="95"/>
      <c r="BL248" s="360"/>
      <c r="BN248" s="412"/>
      <c r="BO248" s="412"/>
      <c r="BP248" s="412"/>
      <c r="BQ248" s="412"/>
      <c r="BR248" s="412"/>
      <c r="BX248" s="96"/>
      <c r="BZ248">
        <f t="shared" si="7"/>
        <v>1</v>
      </c>
    </row>
    <row r="249" spans="1:78" hidden="1">
      <c r="A249" s="35" t="str">
        <f t="shared" si="6"/>
        <v>M144/2646081</v>
      </c>
      <c r="C249" s="358" t="s">
        <v>24</v>
      </c>
      <c r="D249" s="358">
        <v>246</v>
      </c>
      <c r="E249" s="358" t="s">
        <v>3456</v>
      </c>
      <c r="F249" s="358" t="s">
        <v>34</v>
      </c>
      <c r="G249" s="384">
        <v>46081</v>
      </c>
      <c r="H249" s="358" t="s">
        <v>97</v>
      </c>
      <c r="I249" s="403">
        <v>20</v>
      </c>
      <c r="J249" s="359" t="str">
        <f>IFERROR(VLOOKUP($A249,#REF!,3,0),"")</f>
        <v/>
      </c>
      <c r="K249" s="359" t="str">
        <f>IFERROR(VLOOKUP($A249,#REF!,4,0),AF249)</f>
        <v>EXT</v>
      </c>
      <c r="L249" s="359" t="str">
        <f>IFERROR(VLOOKUP($A249,#REF!,5,0),"")</f>
        <v/>
      </c>
      <c r="M249" s="359" t="str">
        <f>IFERROR(VLOOKUP($A249,#REF!,7,0),"")</f>
        <v/>
      </c>
      <c r="N249" s="359"/>
      <c r="O249" s="359" t="str">
        <f>IFERROR(VLOOKUP($A249,#REF!,6,0),"")</f>
        <v/>
      </c>
      <c r="P249" s="359" t="str">
        <f>IFERROR(VLOOKUP($A249,#REF!,9,0),"")</f>
        <v/>
      </c>
      <c r="Q249" s="359" t="str">
        <f>IFERROR(VLOOKUP($A249,#REF!,10,0),"")</f>
        <v/>
      </c>
      <c r="R249" s="359" t="str">
        <f>IFERROR(VLOOKUP($A249,#REF!,11,0),"")</f>
        <v/>
      </c>
      <c r="S249" s="359" t="str">
        <f>IFERROR(VLOOKUP($A249,#REF!,13,0),"")</f>
        <v/>
      </c>
      <c r="T249" s="359" t="str">
        <f>IFERROR(VLOOKUP($A249,#REF!,14,0),"")</f>
        <v/>
      </c>
      <c r="U249" s="359" t="str">
        <f>IFERROR(VLOOKUP($A249,#REF!,15,0),"")</f>
        <v/>
      </c>
      <c r="V249" s="359" t="str">
        <f>IFERROR(VLOOKUP($A249,#REF!,16,0),"")</f>
        <v/>
      </c>
      <c r="W249" s="359" t="str">
        <f>IFERROR(VLOOKUP($A249,#REF!,17,0),"")</f>
        <v/>
      </c>
      <c r="X249" s="359" t="str">
        <f>IFERROR(VLOOKUP($A249,#REF!,18,0),"")</f>
        <v/>
      </c>
      <c r="Y249" s="359" t="str">
        <f>IFERROR(VLOOKUP($A249,#REF!,19,0),"")</f>
        <v/>
      </c>
      <c r="Z249" s="400" t="str">
        <f>IFERROR(VLOOKUP($A249,#REF!,21,0),"")</f>
        <v/>
      </c>
      <c r="AA249" s="358"/>
      <c r="AB249" s="358"/>
      <c r="AC249" s="358" t="s">
        <v>127</v>
      </c>
      <c r="AD249" s="359" t="s">
        <v>28</v>
      </c>
      <c r="AE249" s="93"/>
      <c r="AF249" s="141" t="s">
        <v>3082</v>
      </c>
      <c r="AG249" s="358" t="s">
        <v>2312</v>
      </c>
      <c r="AH249" s="358" t="s">
        <v>3449</v>
      </c>
      <c r="AI249" s="358" t="s">
        <v>3449</v>
      </c>
      <c r="AJ249" s="358" t="s">
        <v>3457</v>
      </c>
      <c r="AK249" s="358"/>
      <c r="AL249" s="358"/>
      <c r="AM249" s="358"/>
      <c r="AN249" s="130" t="s">
        <v>2863</v>
      </c>
      <c r="AO249" s="358" t="s">
        <v>30</v>
      </c>
      <c r="AP249" s="380">
        <v>46111</v>
      </c>
      <c r="AQ249" s="384" t="s">
        <v>3429</v>
      </c>
      <c r="AR249" s="358" t="s">
        <v>32</v>
      </c>
      <c r="AS249" s="365">
        <v>20</v>
      </c>
      <c r="AT249" s="384" t="s">
        <v>3429</v>
      </c>
      <c r="AU249" s="380">
        <v>46111</v>
      </c>
      <c r="AV249" s="95" t="s">
        <v>32</v>
      </c>
      <c r="AW249" s="100" t="s">
        <v>30</v>
      </c>
      <c r="AX249" s="95" t="s">
        <v>32</v>
      </c>
      <c r="AY249" s="122" t="s">
        <v>30</v>
      </c>
      <c r="AZ249" s="122" t="s">
        <v>30</v>
      </c>
      <c r="BA249" s="122" t="s">
        <v>30</v>
      </c>
      <c r="BB249" s="100" t="s">
        <v>30</v>
      </c>
      <c r="BC249" s="100" t="s">
        <v>30</v>
      </c>
      <c r="BD249" s="100" t="s">
        <v>30</v>
      </c>
      <c r="BE249" s="100" t="s">
        <v>30</v>
      </c>
      <c r="BF249" s="100" t="s">
        <v>30</v>
      </c>
      <c r="BG249" s="114"/>
      <c r="BH249" s="111"/>
      <c r="BI249" s="111"/>
      <c r="BJ249" s="100"/>
      <c r="BK249" s="95"/>
      <c r="BL249" s="360"/>
      <c r="BN249" s="412"/>
      <c r="BO249" s="412"/>
      <c r="BP249" s="412"/>
      <c r="BQ249" s="412"/>
      <c r="BR249" s="412"/>
      <c r="BX249" s="96"/>
      <c r="BZ249">
        <f t="shared" si="7"/>
        <v>1</v>
      </c>
    </row>
    <row r="250" spans="1:78" hidden="1">
      <c r="A250" s="35" t="str">
        <f t="shared" si="6"/>
        <v>070/2646081</v>
      </c>
      <c r="C250" s="358" t="s">
        <v>24</v>
      </c>
      <c r="D250" s="358">
        <v>247</v>
      </c>
      <c r="E250" s="358" t="s">
        <v>3458</v>
      </c>
      <c r="F250" s="358" t="s">
        <v>34</v>
      </c>
      <c r="G250" s="384">
        <v>46081</v>
      </c>
      <c r="H250" s="358" t="s">
        <v>3459</v>
      </c>
      <c r="I250" s="403">
        <v>1</v>
      </c>
      <c r="J250" s="359" t="str">
        <f>IFERROR(VLOOKUP($A250,#REF!,3,0),"")</f>
        <v/>
      </c>
      <c r="K250" s="359" t="str">
        <f>IFERROR(VLOOKUP($A250,#REF!,4,0),AF250)</f>
        <v>EXT</v>
      </c>
      <c r="L250" s="359" t="str">
        <f>IFERROR(VLOOKUP($A250,#REF!,5,0),"")</f>
        <v/>
      </c>
      <c r="M250" s="359" t="str">
        <f>IFERROR(VLOOKUP($A250,#REF!,7,0),"")</f>
        <v/>
      </c>
      <c r="N250" s="359"/>
      <c r="O250" s="359" t="str">
        <f>IFERROR(VLOOKUP($A250,#REF!,6,0),"")</f>
        <v/>
      </c>
      <c r="P250" s="359" t="str">
        <f>IFERROR(VLOOKUP($A250,#REF!,9,0),"")</f>
        <v/>
      </c>
      <c r="Q250" s="359" t="str">
        <f>IFERROR(VLOOKUP($A250,#REF!,10,0),"")</f>
        <v/>
      </c>
      <c r="R250" s="359" t="str">
        <f>IFERROR(VLOOKUP($A250,#REF!,11,0),"")</f>
        <v/>
      </c>
      <c r="S250" s="359" t="str">
        <f>IFERROR(VLOOKUP($A250,#REF!,13,0),"")</f>
        <v/>
      </c>
      <c r="T250" s="359" t="str">
        <f>IFERROR(VLOOKUP($A250,#REF!,14,0),"")</f>
        <v/>
      </c>
      <c r="U250" s="359" t="str">
        <f>IFERROR(VLOOKUP($A250,#REF!,15,0),"")</f>
        <v/>
      </c>
      <c r="V250" s="359" t="str">
        <f>IFERROR(VLOOKUP($A250,#REF!,16,0),"")</f>
        <v/>
      </c>
      <c r="W250" s="359" t="str">
        <f>IFERROR(VLOOKUP($A250,#REF!,17,0),"")</f>
        <v/>
      </c>
      <c r="X250" s="359" t="str">
        <f>IFERROR(VLOOKUP($A250,#REF!,18,0),"")</f>
        <v/>
      </c>
      <c r="Y250" s="359" t="str">
        <f>IFERROR(VLOOKUP($A250,#REF!,19,0),"")</f>
        <v/>
      </c>
      <c r="Z250" s="400" t="str">
        <f>IFERROR(VLOOKUP($A250,#REF!,21,0),"")</f>
        <v/>
      </c>
      <c r="AA250" s="358"/>
      <c r="AB250" s="358"/>
      <c r="AC250" s="359" t="s">
        <v>1076</v>
      </c>
      <c r="AD250" s="358" t="s">
        <v>3357</v>
      </c>
      <c r="AE250" s="93"/>
      <c r="AF250" s="141" t="s">
        <v>3082</v>
      </c>
      <c r="AG250" s="358" t="s">
        <v>3459</v>
      </c>
      <c r="AH250" s="358" t="s">
        <v>3459</v>
      </c>
      <c r="AI250" s="358" t="s">
        <v>3459</v>
      </c>
      <c r="AJ250" s="358" t="s">
        <v>401</v>
      </c>
      <c r="AK250" s="358"/>
      <c r="AL250" s="358"/>
      <c r="AM250" s="358"/>
      <c r="AN250" s="359" t="s">
        <v>32</v>
      </c>
      <c r="AO250" s="358"/>
      <c r="AP250" s="380"/>
      <c r="AQ250" s="384" t="s">
        <v>3357</v>
      </c>
      <c r="AR250" s="358"/>
      <c r="AS250" s="358"/>
      <c r="AT250" s="384"/>
      <c r="AU250" s="380">
        <v>46112</v>
      </c>
      <c r="AV250" s="95" t="s">
        <v>32</v>
      </c>
      <c r="AW250" s="100" t="s">
        <v>30</v>
      </c>
      <c r="AX250" s="95" t="s">
        <v>32</v>
      </c>
      <c r="AY250" s="100"/>
      <c r="AZ250" s="100"/>
      <c r="BA250" s="100"/>
      <c r="BB250" s="100" t="s">
        <v>30</v>
      </c>
      <c r="BC250" s="100" t="s">
        <v>30</v>
      </c>
      <c r="BD250" s="100" t="s">
        <v>30</v>
      </c>
      <c r="BE250" s="100" t="s">
        <v>30</v>
      </c>
      <c r="BF250" s="100" t="s">
        <v>30</v>
      </c>
      <c r="BG250" s="114"/>
      <c r="BH250" s="114"/>
      <c r="BI250" s="114"/>
      <c r="BJ250" s="100"/>
      <c r="BK250" s="95"/>
      <c r="BL250" s="360"/>
      <c r="BN250" s="412"/>
      <c r="BO250" s="412"/>
      <c r="BP250" s="412"/>
      <c r="BQ250" s="412"/>
      <c r="BR250" s="412"/>
      <c r="BX250" s="96"/>
      <c r="BZ250">
        <f t="shared" si="7"/>
        <v>1</v>
      </c>
    </row>
    <row r="251" spans="1:78" hidden="1">
      <c r="A251" s="35" t="str">
        <f t="shared" si="6"/>
        <v>M026/2646081</v>
      </c>
      <c r="C251" s="358" t="s">
        <v>24</v>
      </c>
      <c r="D251" s="358">
        <v>248</v>
      </c>
      <c r="E251" s="358" t="s">
        <v>3460</v>
      </c>
      <c r="F251" s="358" t="s">
        <v>83</v>
      </c>
      <c r="G251" s="384">
        <v>46081</v>
      </c>
      <c r="H251" s="358" t="s">
        <v>202</v>
      </c>
      <c r="I251" s="358">
        <v>11</v>
      </c>
      <c r="J251" s="359" t="str">
        <f>IFERROR(VLOOKUP($A251,#REF!,3,0),"")</f>
        <v/>
      </c>
      <c r="K251" s="359" t="str">
        <f>IFERROR(VLOOKUP($A251,#REF!,4,0),AF251)</f>
        <v>INT</v>
      </c>
      <c r="L251" s="359" t="str">
        <f>IFERROR(VLOOKUP($A251,#REF!,5,0),"")</f>
        <v/>
      </c>
      <c r="M251" s="359" t="str">
        <f>IFERROR(VLOOKUP($A251,#REF!,7,0),"")</f>
        <v/>
      </c>
      <c r="N251" s="359"/>
      <c r="O251" s="359" t="str">
        <f>IFERROR(VLOOKUP($A251,#REF!,6,0),"")</f>
        <v/>
      </c>
      <c r="P251" s="359" t="str">
        <f>IFERROR(VLOOKUP($A251,#REF!,9,0),"")</f>
        <v/>
      </c>
      <c r="Q251" s="359" t="str">
        <f>IFERROR(VLOOKUP($A251,#REF!,10,0),"")</f>
        <v/>
      </c>
      <c r="R251" s="359" t="str">
        <f>IFERROR(VLOOKUP($A251,#REF!,11,0),"")</f>
        <v/>
      </c>
      <c r="S251" s="359" t="str">
        <f>IFERROR(VLOOKUP($A251,#REF!,13,0),"")</f>
        <v/>
      </c>
      <c r="T251" s="359" t="str">
        <f>IFERROR(VLOOKUP($A251,#REF!,14,0),"")</f>
        <v/>
      </c>
      <c r="U251" s="359" t="str">
        <f>IFERROR(VLOOKUP($A251,#REF!,15,0),"")</f>
        <v/>
      </c>
      <c r="V251" s="359" t="str">
        <f>IFERROR(VLOOKUP($A251,#REF!,16,0),"")</f>
        <v/>
      </c>
      <c r="W251" s="359" t="str">
        <f>IFERROR(VLOOKUP($A251,#REF!,17,0),"")</f>
        <v/>
      </c>
      <c r="X251" s="359" t="str">
        <f>IFERROR(VLOOKUP($A251,#REF!,18,0),"")</f>
        <v/>
      </c>
      <c r="Y251" s="359" t="str">
        <f>IFERROR(VLOOKUP($A251,#REF!,19,0),"")</f>
        <v/>
      </c>
      <c r="Z251" s="400" t="str">
        <f>IFERROR(VLOOKUP($A251,#REF!,21,0),"")</f>
        <v/>
      </c>
      <c r="AA251" s="358"/>
      <c r="AB251" s="358"/>
      <c r="AC251" s="358" t="s">
        <v>127</v>
      </c>
      <c r="AD251" s="359" t="s">
        <v>28</v>
      </c>
      <c r="AE251" s="358"/>
      <c r="AF251" s="141" t="s">
        <v>3077</v>
      </c>
      <c r="AG251" s="358" t="s">
        <v>2085</v>
      </c>
      <c r="AH251" s="358" t="s">
        <v>3446</v>
      </c>
      <c r="AI251" s="358" t="s">
        <v>3446</v>
      </c>
      <c r="AJ251" s="358" t="s">
        <v>3461</v>
      </c>
      <c r="AK251" s="358"/>
      <c r="AL251" s="358"/>
      <c r="AM251" s="358"/>
      <c r="AN251" s="359" t="s">
        <v>32</v>
      </c>
      <c r="AO251" s="358" t="s">
        <v>30</v>
      </c>
      <c r="AP251" s="384">
        <v>46090</v>
      </c>
      <c r="AQ251" s="384" t="s">
        <v>28</v>
      </c>
      <c r="AR251" s="358" t="s">
        <v>32</v>
      </c>
      <c r="AS251" s="358">
        <v>11</v>
      </c>
      <c r="AT251" s="384" t="s">
        <v>28</v>
      </c>
      <c r="AU251" s="380">
        <v>46092</v>
      </c>
      <c r="AV251" s="100" t="s">
        <v>30</v>
      </c>
      <c r="AW251" s="100" t="s">
        <v>30</v>
      </c>
      <c r="AX251" s="95" t="s">
        <v>32</v>
      </c>
      <c r="AY251" s="122" t="s">
        <v>30</v>
      </c>
      <c r="AZ251" s="122" t="s">
        <v>30</v>
      </c>
      <c r="BA251" s="122" t="s">
        <v>30</v>
      </c>
      <c r="BB251" s="100" t="s">
        <v>30</v>
      </c>
      <c r="BC251" s="100" t="s">
        <v>30</v>
      </c>
      <c r="BD251" s="100" t="s">
        <v>30</v>
      </c>
      <c r="BE251" s="100" t="s">
        <v>30</v>
      </c>
      <c r="BF251" s="100" t="s">
        <v>30</v>
      </c>
      <c r="BG251" s="114"/>
      <c r="BH251" s="100" t="s">
        <v>30</v>
      </c>
      <c r="BI251" s="100" t="s">
        <v>30</v>
      </c>
      <c r="BJ251" s="100" t="s">
        <v>30</v>
      </c>
      <c r="BK251" s="95"/>
      <c r="BL251" s="360"/>
      <c r="BN251" s="412"/>
      <c r="BO251" s="412"/>
      <c r="BP251" s="412"/>
      <c r="BQ251" s="412"/>
      <c r="BR251" s="412"/>
      <c r="BX251" s="96"/>
      <c r="BZ251">
        <f t="shared" si="7"/>
        <v>1</v>
      </c>
    </row>
    <row r="252" spans="1:78" hidden="1">
      <c r="A252" s="35" t="str">
        <f t="shared" si="6"/>
        <v>056/2646081</v>
      </c>
      <c r="C252" s="358" t="s">
        <v>24</v>
      </c>
      <c r="D252" s="358">
        <v>249</v>
      </c>
      <c r="E252" s="358" t="s">
        <v>3462</v>
      </c>
      <c r="F252" s="358" t="s">
        <v>34</v>
      </c>
      <c r="G252" s="384">
        <v>46081</v>
      </c>
      <c r="H252" s="358" t="s">
        <v>885</v>
      </c>
      <c r="I252" s="358">
        <v>10</v>
      </c>
      <c r="J252" s="359" t="str">
        <f>IFERROR(VLOOKUP($A252,#REF!,3,0),"")</f>
        <v/>
      </c>
      <c r="K252" s="359" t="str">
        <f>IFERROR(VLOOKUP($A252,#REF!,4,0),AF252)</f>
        <v>INT</v>
      </c>
      <c r="L252" s="359" t="str">
        <f>IFERROR(VLOOKUP($A252,#REF!,5,0),"")</f>
        <v/>
      </c>
      <c r="M252" s="359" t="str">
        <f>IFERROR(VLOOKUP($A252,#REF!,7,0),"")</f>
        <v/>
      </c>
      <c r="N252" s="359"/>
      <c r="O252" s="359" t="str">
        <f>IFERROR(VLOOKUP($A252,#REF!,6,0),"")</f>
        <v/>
      </c>
      <c r="P252" s="359" t="str">
        <f>IFERROR(VLOOKUP($A252,#REF!,9,0),"")</f>
        <v/>
      </c>
      <c r="Q252" s="359" t="str">
        <f>IFERROR(VLOOKUP($A252,#REF!,10,0),"")</f>
        <v/>
      </c>
      <c r="R252" s="359" t="str">
        <f>IFERROR(VLOOKUP($A252,#REF!,11,0),"")</f>
        <v/>
      </c>
      <c r="S252" s="359" t="str">
        <f>IFERROR(VLOOKUP($A252,#REF!,13,0),"")</f>
        <v/>
      </c>
      <c r="T252" s="359" t="str">
        <f>IFERROR(VLOOKUP($A252,#REF!,14,0),"")</f>
        <v/>
      </c>
      <c r="U252" s="359" t="str">
        <f>IFERROR(VLOOKUP($A252,#REF!,15,0),"")</f>
        <v/>
      </c>
      <c r="V252" s="359" t="str">
        <f>IFERROR(VLOOKUP($A252,#REF!,16,0),"")</f>
        <v/>
      </c>
      <c r="W252" s="359" t="str">
        <f>IFERROR(VLOOKUP($A252,#REF!,17,0),"")</f>
        <v/>
      </c>
      <c r="X252" s="359" t="str">
        <f>IFERROR(VLOOKUP($A252,#REF!,18,0),"")</f>
        <v/>
      </c>
      <c r="Y252" s="359" t="str">
        <f>IFERROR(VLOOKUP($A252,#REF!,19,0),"")</f>
        <v/>
      </c>
      <c r="Z252" s="400" t="str">
        <f>IFERROR(VLOOKUP($A252,#REF!,21,0),"")</f>
        <v/>
      </c>
      <c r="AA252" s="358"/>
      <c r="AB252" s="358"/>
      <c r="AC252" s="358" t="s">
        <v>1076</v>
      </c>
      <c r="AD252" s="358" t="s">
        <v>3357</v>
      </c>
      <c r="AE252" s="93"/>
      <c r="AF252" s="141" t="s">
        <v>3077</v>
      </c>
      <c r="AG252" s="358" t="s">
        <v>2316</v>
      </c>
      <c r="AH252" s="358" t="s">
        <v>3449</v>
      </c>
      <c r="AI252" s="358" t="s">
        <v>3449</v>
      </c>
      <c r="AJ252" s="358" t="s">
        <v>2050</v>
      </c>
      <c r="AK252" s="358"/>
      <c r="AL252" s="358"/>
      <c r="AM252" s="358"/>
      <c r="AN252" s="359" t="s">
        <v>32</v>
      </c>
      <c r="AO252" s="358" t="s">
        <v>1057</v>
      </c>
      <c r="AP252" s="380">
        <v>46111</v>
      </c>
      <c r="AQ252" s="384" t="s">
        <v>3429</v>
      </c>
      <c r="AR252" s="358" t="s">
        <v>32</v>
      </c>
      <c r="AS252" s="358">
        <v>10</v>
      </c>
      <c r="AT252" s="384" t="s">
        <v>3429</v>
      </c>
      <c r="AU252" s="380">
        <v>46111</v>
      </c>
      <c r="AV252" s="95" t="s">
        <v>32</v>
      </c>
      <c r="AW252" s="100" t="s">
        <v>30</v>
      </c>
      <c r="AX252" s="95" t="s">
        <v>32</v>
      </c>
      <c r="AY252" s="100"/>
      <c r="AZ252" s="100"/>
      <c r="BA252" s="100"/>
      <c r="BB252" s="100" t="s">
        <v>30</v>
      </c>
      <c r="BC252" s="100" t="s">
        <v>30</v>
      </c>
      <c r="BD252" s="100" t="s">
        <v>30</v>
      </c>
      <c r="BE252" s="100" t="s">
        <v>30</v>
      </c>
      <c r="BF252" s="100" t="s">
        <v>30</v>
      </c>
      <c r="BG252" s="114"/>
      <c r="BH252" s="100"/>
      <c r="BI252" s="100"/>
      <c r="BJ252" s="100"/>
      <c r="BK252" s="95"/>
      <c r="BL252" s="360"/>
      <c r="BN252" s="412"/>
      <c r="BO252" s="412"/>
      <c r="BP252" s="412"/>
      <c r="BQ252" s="412"/>
      <c r="BR252" s="412"/>
      <c r="BZ252">
        <f t="shared" si="7"/>
        <v>1</v>
      </c>
    </row>
    <row r="253" spans="1:78" hidden="1">
      <c r="A253" s="35" t="str">
        <f t="shared" si="6"/>
        <v>M149/2646081</v>
      </c>
      <c r="C253" s="358" t="s">
        <v>24</v>
      </c>
      <c r="D253" s="358">
        <v>250</v>
      </c>
      <c r="E253" s="358" t="s">
        <v>3463</v>
      </c>
      <c r="F253" s="358" t="s">
        <v>34</v>
      </c>
      <c r="G253" s="384">
        <v>46081</v>
      </c>
      <c r="H253" s="358" t="s">
        <v>2129</v>
      </c>
      <c r="I253" s="358">
        <v>9</v>
      </c>
      <c r="J253" s="359" t="str">
        <f>IFERROR(VLOOKUP($A253,#REF!,3,0),"")</f>
        <v/>
      </c>
      <c r="K253" s="359" t="str">
        <f>IFERROR(VLOOKUP($A253,#REF!,4,0),AF253)</f>
        <v>INT</v>
      </c>
      <c r="L253" s="359" t="str">
        <f>IFERROR(VLOOKUP($A253,#REF!,5,0),"")</f>
        <v/>
      </c>
      <c r="M253" s="359" t="str">
        <f>IFERROR(VLOOKUP($A253,#REF!,7,0),"")</f>
        <v/>
      </c>
      <c r="N253" s="359"/>
      <c r="O253" s="359" t="str">
        <f>IFERROR(VLOOKUP($A253,#REF!,6,0),"")</f>
        <v/>
      </c>
      <c r="P253" s="359" t="str">
        <f>IFERROR(VLOOKUP($A253,#REF!,9,0),"")</f>
        <v/>
      </c>
      <c r="Q253" s="359" t="str">
        <f>IFERROR(VLOOKUP($A253,#REF!,10,0),"")</f>
        <v/>
      </c>
      <c r="R253" s="359" t="str">
        <f>IFERROR(VLOOKUP($A253,#REF!,11,0),"")</f>
        <v/>
      </c>
      <c r="S253" s="359" t="str">
        <f>IFERROR(VLOOKUP($A253,#REF!,13,0),"")</f>
        <v/>
      </c>
      <c r="T253" s="359" t="str">
        <f>IFERROR(VLOOKUP($A253,#REF!,14,0),"")</f>
        <v/>
      </c>
      <c r="U253" s="359" t="str">
        <f>IFERROR(VLOOKUP($A253,#REF!,15,0),"")</f>
        <v/>
      </c>
      <c r="V253" s="359" t="str">
        <f>IFERROR(VLOOKUP($A253,#REF!,16,0),"")</f>
        <v/>
      </c>
      <c r="W253" s="359" t="str">
        <f>IFERROR(VLOOKUP($A253,#REF!,17,0),"")</f>
        <v/>
      </c>
      <c r="X253" s="359" t="str">
        <f>IFERROR(VLOOKUP($A253,#REF!,18,0),"")</f>
        <v/>
      </c>
      <c r="Y253" s="359" t="str">
        <f>IFERROR(VLOOKUP($A253,#REF!,19,0),"")</f>
        <v/>
      </c>
      <c r="Z253" s="400" t="str">
        <f>IFERROR(VLOOKUP($A253,#REF!,21,0),"")</f>
        <v/>
      </c>
      <c r="AA253" s="358"/>
      <c r="AB253" s="358"/>
      <c r="AC253" s="358" t="s">
        <v>1721</v>
      </c>
      <c r="AD253" s="358" t="s">
        <v>1638</v>
      </c>
      <c r="AE253" s="102"/>
      <c r="AF253" s="141" t="s">
        <v>3077</v>
      </c>
      <c r="AG253" s="358" t="s">
        <v>2102</v>
      </c>
      <c r="AH253" s="358" t="s">
        <v>3449</v>
      </c>
      <c r="AI253" s="358" t="s">
        <v>3449</v>
      </c>
      <c r="AJ253" s="358" t="s">
        <v>3464</v>
      </c>
      <c r="AK253" s="358"/>
      <c r="AL253" s="358"/>
      <c r="AM253" s="358"/>
      <c r="AN253" s="359" t="s">
        <v>32</v>
      </c>
      <c r="AO253" s="358" t="s">
        <v>30</v>
      </c>
      <c r="AP253" s="384">
        <v>46087</v>
      </c>
      <c r="AQ253" s="384" t="s">
        <v>1638</v>
      </c>
      <c r="AR253" s="358" t="s">
        <v>32</v>
      </c>
      <c r="AS253" s="358">
        <v>9</v>
      </c>
      <c r="AT253" s="384" t="s">
        <v>1638</v>
      </c>
      <c r="AU253" s="380">
        <v>46087</v>
      </c>
      <c r="AV253" s="100" t="s">
        <v>30</v>
      </c>
      <c r="AW253" s="100" t="s">
        <v>30</v>
      </c>
      <c r="AX253" s="95" t="s">
        <v>32</v>
      </c>
      <c r="AY253" s="100"/>
      <c r="AZ253" s="100"/>
      <c r="BA253" s="100"/>
      <c r="BB253" s="100" t="s">
        <v>30</v>
      </c>
      <c r="BC253" s="100" t="s">
        <v>30</v>
      </c>
      <c r="BD253" s="100" t="s">
        <v>30</v>
      </c>
      <c r="BE253" s="100" t="s">
        <v>30</v>
      </c>
      <c r="BF253" s="100" t="s">
        <v>30</v>
      </c>
      <c r="BG253" s="114"/>
      <c r="BH253" s="100"/>
      <c r="BI253" s="100"/>
      <c r="BJ253" s="100" t="s">
        <v>30</v>
      </c>
      <c r="BK253" s="95"/>
      <c r="BL253" s="360"/>
      <c r="BN253" s="412"/>
      <c r="BO253" s="412"/>
      <c r="BP253" s="412"/>
      <c r="BQ253" s="412"/>
      <c r="BR253" s="412"/>
      <c r="BZ253">
        <f t="shared" si="7"/>
        <v>1</v>
      </c>
    </row>
    <row r="254" spans="1:78" hidden="1">
      <c r="A254" s="35" t="str">
        <f t="shared" si="6"/>
        <v>068/2646081</v>
      </c>
      <c r="C254" s="358" t="s">
        <v>24</v>
      </c>
      <c r="D254" s="358">
        <v>251</v>
      </c>
      <c r="E254" s="358" t="s">
        <v>3465</v>
      </c>
      <c r="F254" s="358" t="s">
        <v>34</v>
      </c>
      <c r="G254" s="384">
        <v>46081</v>
      </c>
      <c r="H254" s="358" t="s">
        <v>401</v>
      </c>
      <c r="I254" s="403">
        <v>1</v>
      </c>
      <c r="J254" s="359" t="str">
        <f>IFERROR(VLOOKUP($A254,#REF!,3,0),"")</f>
        <v/>
      </c>
      <c r="K254" s="359" t="str">
        <f>IFERROR(VLOOKUP($A254,#REF!,4,0),AF254)</f>
        <v>INT</v>
      </c>
      <c r="L254" s="359" t="str">
        <f>IFERROR(VLOOKUP($A254,#REF!,5,0),"")</f>
        <v/>
      </c>
      <c r="M254" s="359" t="str">
        <f>IFERROR(VLOOKUP($A254,#REF!,7,0),"")</f>
        <v/>
      </c>
      <c r="N254" s="359"/>
      <c r="O254" s="359" t="str">
        <f>IFERROR(VLOOKUP($A254,#REF!,6,0),"")</f>
        <v/>
      </c>
      <c r="P254" s="359" t="str">
        <f>IFERROR(VLOOKUP($A254,#REF!,9,0),"")</f>
        <v/>
      </c>
      <c r="Q254" s="359" t="str">
        <f>IFERROR(VLOOKUP($A254,#REF!,10,0),"")</f>
        <v/>
      </c>
      <c r="R254" s="359" t="str">
        <f>IFERROR(VLOOKUP($A254,#REF!,11,0),"")</f>
        <v/>
      </c>
      <c r="S254" s="359" t="str">
        <f>IFERROR(VLOOKUP($A254,#REF!,13,0),"")</f>
        <v/>
      </c>
      <c r="T254" s="359" t="str">
        <f>IFERROR(VLOOKUP($A254,#REF!,14,0),"")</f>
        <v/>
      </c>
      <c r="U254" s="359" t="str">
        <f>IFERROR(VLOOKUP($A254,#REF!,15,0),"")</f>
        <v/>
      </c>
      <c r="V254" s="359" t="str">
        <f>IFERROR(VLOOKUP($A254,#REF!,16,0),"")</f>
        <v/>
      </c>
      <c r="W254" s="359" t="str">
        <f>IFERROR(VLOOKUP($A254,#REF!,17,0),"")</f>
        <v/>
      </c>
      <c r="X254" s="359" t="str">
        <f>IFERROR(VLOOKUP($A254,#REF!,18,0),"")</f>
        <v/>
      </c>
      <c r="Y254" s="359" t="str">
        <f>IFERROR(VLOOKUP($A254,#REF!,19,0),"")</f>
        <v/>
      </c>
      <c r="Z254" s="400" t="str">
        <f>IFERROR(VLOOKUP($A254,#REF!,21,0),"")</f>
        <v/>
      </c>
      <c r="AA254" s="358"/>
      <c r="AB254" s="358"/>
      <c r="AC254" s="358" t="s">
        <v>1076</v>
      </c>
      <c r="AD254" s="358" t="s">
        <v>3357</v>
      </c>
      <c r="AE254" s="93" t="s">
        <v>3466</v>
      </c>
      <c r="AF254" s="141" t="s">
        <v>3077</v>
      </c>
      <c r="AG254" s="358" t="s">
        <v>401</v>
      </c>
      <c r="AH254" s="358" t="s">
        <v>3459</v>
      </c>
      <c r="AI254" s="358" t="s">
        <v>3459</v>
      </c>
      <c r="AJ254" s="358" t="s">
        <v>401</v>
      </c>
      <c r="AK254" s="358"/>
      <c r="AL254" s="358"/>
      <c r="AM254" s="358"/>
      <c r="AN254" s="359" t="s">
        <v>32</v>
      </c>
      <c r="AO254" s="358"/>
      <c r="AP254" s="358"/>
      <c r="AQ254" s="384" t="s">
        <v>3357</v>
      </c>
      <c r="AR254" s="358"/>
      <c r="AS254" s="358"/>
      <c r="AT254" s="384"/>
      <c r="AU254" s="380"/>
      <c r="AV254" s="95" t="s">
        <v>32</v>
      </c>
      <c r="AW254" s="100" t="s">
        <v>30</v>
      </c>
      <c r="AX254" s="95" t="s">
        <v>32</v>
      </c>
      <c r="AY254" s="100"/>
      <c r="AZ254" s="100"/>
      <c r="BA254" s="100"/>
      <c r="BB254" s="100" t="s">
        <v>30</v>
      </c>
      <c r="BC254" s="100" t="s">
        <v>30</v>
      </c>
      <c r="BD254" s="100" t="s">
        <v>30</v>
      </c>
      <c r="BE254" s="100" t="s">
        <v>30</v>
      </c>
      <c r="BF254" s="100" t="s">
        <v>30</v>
      </c>
      <c r="BG254" s="100"/>
      <c r="BH254" s="100"/>
      <c r="BI254" s="100"/>
      <c r="BJ254" s="95"/>
      <c r="BK254" s="95"/>
      <c r="BL254" s="360" t="s">
        <v>3128</v>
      </c>
      <c r="BN254" s="412"/>
      <c r="BO254" s="412"/>
      <c r="BP254" s="412"/>
      <c r="BQ254" s="412"/>
      <c r="BR254" s="412"/>
      <c r="BZ254">
        <f t="shared" si="7"/>
        <v>1</v>
      </c>
    </row>
    <row r="255" spans="1:78" hidden="1">
      <c r="A255" s="35" t="str">
        <f t="shared" si="6"/>
        <v>065/2646081</v>
      </c>
      <c r="C255" s="358" t="s">
        <v>24</v>
      </c>
      <c r="D255" s="358">
        <v>252</v>
      </c>
      <c r="E255" s="358" t="s">
        <v>3467</v>
      </c>
      <c r="F255" s="358" t="s">
        <v>606</v>
      </c>
      <c r="G255" s="384">
        <v>46081</v>
      </c>
      <c r="H255" s="358" t="s">
        <v>272</v>
      </c>
      <c r="I255" s="358">
        <v>12</v>
      </c>
      <c r="J255" s="359" t="str">
        <f>IFERROR(VLOOKUP($A255,#REF!,3,0),"")</f>
        <v/>
      </c>
      <c r="K255" s="359" t="str">
        <f>IFERROR(VLOOKUP($A255,#REF!,4,0),AF255)</f>
        <v>INT</v>
      </c>
      <c r="L255" s="359" t="str">
        <f>IFERROR(VLOOKUP($A255,#REF!,5,0),"")</f>
        <v/>
      </c>
      <c r="M255" s="359" t="str">
        <f>IFERROR(VLOOKUP($A255,#REF!,7,0),"")</f>
        <v/>
      </c>
      <c r="N255" s="359"/>
      <c r="O255" s="359" t="str">
        <f>IFERROR(VLOOKUP($A255,#REF!,6,0),"")</f>
        <v/>
      </c>
      <c r="P255" s="359" t="str">
        <f>IFERROR(VLOOKUP($A255,#REF!,9,0),"")</f>
        <v/>
      </c>
      <c r="Q255" s="359" t="str">
        <f>IFERROR(VLOOKUP($A255,#REF!,10,0),"")</f>
        <v/>
      </c>
      <c r="R255" s="359" t="str">
        <f>IFERROR(VLOOKUP($A255,#REF!,11,0),"")</f>
        <v/>
      </c>
      <c r="S255" s="359" t="str">
        <f>IFERROR(VLOOKUP($A255,#REF!,13,0),"")</f>
        <v/>
      </c>
      <c r="T255" s="359" t="str">
        <f>IFERROR(VLOOKUP($A255,#REF!,14,0),"")</f>
        <v/>
      </c>
      <c r="U255" s="359" t="str">
        <f>IFERROR(VLOOKUP($A255,#REF!,15,0),"")</f>
        <v/>
      </c>
      <c r="V255" s="359" t="str">
        <f>IFERROR(VLOOKUP($A255,#REF!,16,0),"")</f>
        <v/>
      </c>
      <c r="W255" s="359" t="str">
        <f>IFERROR(VLOOKUP($A255,#REF!,17,0),"")</f>
        <v/>
      </c>
      <c r="X255" s="359" t="str">
        <f>IFERROR(VLOOKUP($A255,#REF!,18,0),"")</f>
        <v/>
      </c>
      <c r="Y255" s="359" t="str">
        <f>IFERROR(VLOOKUP($A255,#REF!,19,0),"")</f>
        <v/>
      </c>
      <c r="Z255" s="400" t="str">
        <f>IFERROR(VLOOKUP($A255,#REF!,21,0),"")</f>
        <v/>
      </c>
      <c r="AA255" s="358"/>
      <c r="AB255" s="358"/>
      <c r="AC255" s="359" t="s">
        <v>1076</v>
      </c>
      <c r="AD255" s="358" t="s">
        <v>3357</v>
      </c>
      <c r="AE255" s="93"/>
      <c r="AF255" s="141" t="s">
        <v>3077</v>
      </c>
      <c r="AG255" s="358" t="s">
        <v>2123</v>
      </c>
      <c r="AH255" s="358" t="s">
        <v>3446</v>
      </c>
      <c r="AI255" s="358" t="s">
        <v>3446</v>
      </c>
      <c r="AJ255" s="358" t="s">
        <v>2050</v>
      </c>
      <c r="AK255" s="358"/>
      <c r="AL255" s="358"/>
      <c r="AM255" s="358"/>
      <c r="AN255" s="359" t="s">
        <v>32</v>
      </c>
      <c r="AO255" s="93"/>
      <c r="AP255" s="358"/>
      <c r="AQ255" s="384" t="s">
        <v>3357</v>
      </c>
      <c r="AR255" s="358"/>
      <c r="AS255" s="358"/>
      <c r="AT255" s="384"/>
      <c r="AU255" s="380"/>
      <c r="AV255" s="95" t="s">
        <v>32</v>
      </c>
      <c r="AW255" s="100" t="s">
        <v>30</v>
      </c>
      <c r="AX255" s="95" t="s">
        <v>32</v>
      </c>
      <c r="AY255" s="100"/>
      <c r="AZ255" s="95"/>
      <c r="BA255" s="100"/>
      <c r="BB255" s="100" t="s">
        <v>30</v>
      </c>
      <c r="BC255" s="100" t="s">
        <v>30</v>
      </c>
      <c r="BD255" s="100" t="s">
        <v>30</v>
      </c>
      <c r="BE255" s="100" t="s">
        <v>30</v>
      </c>
      <c r="BF255" s="100" t="s">
        <v>30</v>
      </c>
      <c r="BG255" s="114"/>
      <c r="BH255" s="100" t="s">
        <v>30</v>
      </c>
      <c r="BI255" s="100" t="s">
        <v>30</v>
      </c>
      <c r="BJ255" s="100" t="s">
        <v>30</v>
      </c>
      <c r="BK255" s="114"/>
      <c r="BL255" s="360"/>
      <c r="BN255" s="412"/>
      <c r="BO255" s="412"/>
      <c r="BP255" s="412"/>
      <c r="BQ255" s="412"/>
      <c r="BR255" s="412"/>
      <c r="BX255" s="72"/>
      <c r="BZ255">
        <f t="shared" si="7"/>
        <v>1</v>
      </c>
    </row>
    <row r="256" spans="1:78" hidden="1">
      <c r="A256" s="35" t="str">
        <f t="shared" si="6"/>
        <v>ELPTTCV_017/2646055</v>
      </c>
      <c r="C256" s="358" t="s">
        <v>2342</v>
      </c>
      <c r="D256" s="358">
        <v>253</v>
      </c>
      <c r="E256" s="358" t="s">
        <v>3468</v>
      </c>
      <c r="F256" s="358" t="s">
        <v>1184</v>
      </c>
      <c r="G256" s="384">
        <v>46055</v>
      </c>
      <c r="H256" s="358" t="s">
        <v>140</v>
      </c>
      <c r="I256" s="358">
        <v>4</v>
      </c>
      <c r="J256" s="359" t="str">
        <f>IFERROR(VLOOKUP($A256,#REF!,3,0),"")</f>
        <v/>
      </c>
      <c r="K256" s="359">
        <f>IFERROR(VLOOKUP($A256,#REF!,4,0),AF256)</f>
        <v>0</v>
      </c>
      <c r="L256" s="359" t="str">
        <f>IFERROR(VLOOKUP($A256,#REF!,5,0),"")</f>
        <v/>
      </c>
      <c r="M256" s="359" t="str">
        <f>IFERROR(VLOOKUP($A256,#REF!,7,0),"")</f>
        <v/>
      </c>
      <c r="N256" s="359"/>
      <c r="O256" s="359" t="str">
        <f>IFERROR(VLOOKUP($A256,#REF!,6,0),"")</f>
        <v/>
      </c>
      <c r="P256" s="359" t="str">
        <f>IFERROR(VLOOKUP($A256,#REF!,9,0),"")</f>
        <v/>
      </c>
      <c r="Q256" s="359" t="str">
        <f>IFERROR(VLOOKUP($A256,#REF!,10,0),"")</f>
        <v/>
      </c>
      <c r="R256" s="359" t="str">
        <f>IFERROR(VLOOKUP($A256,#REF!,11,0),"")</f>
        <v/>
      </c>
      <c r="S256" s="359" t="str">
        <f>IFERROR(VLOOKUP($A256,#REF!,13,0),"")</f>
        <v/>
      </c>
      <c r="T256" s="359" t="str">
        <f>IFERROR(VLOOKUP($A256,#REF!,14,0),"")</f>
        <v/>
      </c>
      <c r="U256" s="359" t="str">
        <f>IFERROR(VLOOKUP($A256,#REF!,15,0),"")</f>
        <v/>
      </c>
      <c r="V256" s="359" t="str">
        <f>IFERROR(VLOOKUP($A256,#REF!,16,0),"")</f>
        <v/>
      </c>
      <c r="W256" s="359" t="str">
        <f>IFERROR(VLOOKUP($A256,#REF!,17,0),"")</f>
        <v/>
      </c>
      <c r="X256" s="359" t="str">
        <f>IFERROR(VLOOKUP($A256,#REF!,18,0),"")</f>
        <v/>
      </c>
      <c r="Y256" s="359" t="str">
        <f>IFERROR(VLOOKUP($A256,#REF!,19,0),"")</f>
        <v/>
      </c>
      <c r="Z256" s="400" t="str">
        <f>IFERROR(VLOOKUP($A256,#REF!,21,0),"")</f>
        <v/>
      </c>
      <c r="AA256" s="358"/>
      <c r="AB256" s="358"/>
      <c r="AC256" s="358" t="s">
        <v>1076</v>
      </c>
      <c r="AD256" s="358"/>
      <c r="AE256" s="358"/>
      <c r="AF256" s="141"/>
      <c r="AG256" s="358"/>
      <c r="AH256" s="358"/>
      <c r="AI256" s="358"/>
      <c r="AJ256" s="358"/>
      <c r="AK256" s="358"/>
      <c r="AL256" s="358"/>
      <c r="AM256" s="358"/>
      <c r="AN256" s="358" t="s">
        <v>113</v>
      </c>
      <c r="AO256" s="380" t="s">
        <v>30</v>
      </c>
      <c r="AP256" s="380">
        <v>46090</v>
      </c>
      <c r="AQ256" s="384" t="s">
        <v>1638</v>
      </c>
      <c r="AR256" s="358" t="s">
        <v>32</v>
      </c>
      <c r="AS256" s="358">
        <v>4</v>
      </c>
      <c r="AT256" s="384" t="s">
        <v>1638</v>
      </c>
      <c r="AU256" s="380">
        <v>46090</v>
      </c>
      <c r="AV256" s="82" t="s">
        <v>113</v>
      </c>
      <c r="AW256" s="82" t="s">
        <v>113</v>
      </c>
      <c r="AX256" s="82" t="s">
        <v>113</v>
      </c>
      <c r="AY256" s="100"/>
      <c r="AZ256" s="100"/>
      <c r="BA256" s="100"/>
      <c r="BB256" s="100"/>
      <c r="BC256" s="100"/>
      <c r="BD256" s="100"/>
      <c r="BE256" s="100"/>
      <c r="BF256" s="100"/>
      <c r="BG256" s="114"/>
      <c r="BH256" s="111"/>
      <c r="BI256" s="111"/>
      <c r="BJ256" s="111"/>
      <c r="BK256" s="114"/>
      <c r="BL256" s="360"/>
      <c r="BN256" s="412"/>
      <c r="BO256" s="412"/>
      <c r="BP256" s="412"/>
      <c r="BQ256" s="412"/>
      <c r="BR256" s="412"/>
      <c r="BZ256">
        <f t="shared" si="7"/>
        <v>1</v>
      </c>
    </row>
    <row r="257" spans="1:78" hidden="1">
      <c r="A257" s="35" t="str">
        <f t="shared" si="6"/>
        <v>ELPTTCV_018/2646055,0416666667</v>
      </c>
      <c r="C257" s="358" t="s">
        <v>2342</v>
      </c>
      <c r="D257" s="358">
        <v>254</v>
      </c>
      <c r="E257" s="358" t="s">
        <v>3469</v>
      </c>
      <c r="F257" s="358" t="s">
        <v>829</v>
      </c>
      <c r="G257" s="384">
        <v>46055.041666666664</v>
      </c>
      <c r="H257" s="358" t="s">
        <v>140</v>
      </c>
      <c r="I257" s="358">
        <v>16</v>
      </c>
      <c r="J257" s="359" t="str">
        <f>IFERROR(VLOOKUP($A257,#REF!,3,0),"")</f>
        <v/>
      </c>
      <c r="K257" s="359">
        <f>IFERROR(VLOOKUP($A257,#REF!,4,0),AF257)</f>
        <v>0</v>
      </c>
      <c r="L257" s="359" t="str">
        <f>IFERROR(VLOOKUP($A257,#REF!,5,0),"")</f>
        <v/>
      </c>
      <c r="M257" s="359" t="str">
        <f>IFERROR(VLOOKUP($A257,#REF!,7,0),"")</f>
        <v/>
      </c>
      <c r="N257" s="359"/>
      <c r="O257" s="359" t="str">
        <f>IFERROR(VLOOKUP($A257,#REF!,6,0),"")</f>
        <v/>
      </c>
      <c r="P257" s="359" t="str">
        <f>IFERROR(VLOOKUP($A257,#REF!,9,0),"")</f>
        <v/>
      </c>
      <c r="Q257" s="359" t="str">
        <f>IFERROR(VLOOKUP($A257,#REF!,10,0),"")</f>
        <v/>
      </c>
      <c r="R257" s="359" t="str">
        <f>IFERROR(VLOOKUP($A257,#REF!,11,0),"")</f>
        <v/>
      </c>
      <c r="S257" s="359" t="str">
        <f>IFERROR(VLOOKUP($A257,#REF!,13,0),"")</f>
        <v/>
      </c>
      <c r="T257" s="359" t="str">
        <f>IFERROR(VLOOKUP($A257,#REF!,14,0),"")</f>
        <v/>
      </c>
      <c r="U257" s="359" t="str">
        <f>IFERROR(VLOOKUP($A257,#REF!,15,0),"")</f>
        <v/>
      </c>
      <c r="V257" s="359" t="str">
        <f>IFERROR(VLOOKUP($A257,#REF!,16,0),"")</f>
        <v/>
      </c>
      <c r="W257" s="359" t="str">
        <f>IFERROR(VLOOKUP($A257,#REF!,17,0),"")</f>
        <v/>
      </c>
      <c r="X257" s="359" t="str">
        <f>IFERROR(VLOOKUP($A257,#REF!,18,0),"")</f>
        <v/>
      </c>
      <c r="Y257" s="359" t="str">
        <f>IFERROR(VLOOKUP($A257,#REF!,19,0),"")</f>
        <v/>
      </c>
      <c r="Z257" s="400" t="str">
        <f>IFERROR(VLOOKUP($A257,#REF!,21,0),"")</f>
        <v/>
      </c>
      <c r="AA257" s="358"/>
      <c r="AB257" s="358"/>
      <c r="AC257" s="359" t="s">
        <v>1076</v>
      </c>
      <c r="AD257" s="358"/>
      <c r="AE257" s="102"/>
      <c r="AF257" s="141"/>
      <c r="AG257" s="358"/>
      <c r="AH257" s="358"/>
      <c r="AI257" s="358"/>
      <c r="AJ257" s="358"/>
      <c r="AK257" s="358"/>
      <c r="AL257" s="358"/>
      <c r="AM257" s="358"/>
      <c r="AN257" s="358" t="s">
        <v>113</v>
      </c>
      <c r="AO257" s="380" t="s">
        <v>30</v>
      </c>
      <c r="AP257" s="380">
        <v>46093</v>
      </c>
      <c r="AQ257" s="384" t="s">
        <v>1638</v>
      </c>
      <c r="AR257" s="358" t="s">
        <v>32</v>
      </c>
      <c r="AS257" s="358">
        <v>16</v>
      </c>
      <c r="AT257" s="384" t="s">
        <v>1638</v>
      </c>
      <c r="AU257" s="380">
        <v>46093</v>
      </c>
      <c r="AV257" s="82" t="s">
        <v>113</v>
      </c>
      <c r="AW257" s="82" t="s">
        <v>113</v>
      </c>
      <c r="AX257" s="82" t="s">
        <v>113</v>
      </c>
      <c r="AY257" s="100"/>
      <c r="AZ257" s="100"/>
      <c r="BA257" s="100"/>
      <c r="BB257" s="100"/>
      <c r="BC257" s="100"/>
      <c r="BD257" s="100"/>
      <c r="BE257" s="100"/>
      <c r="BF257" s="100"/>
      <c r="BG257" s="114"/>
      <c r="BH257" s="111"/>
      <c r="BI257" s="111"/>
      <c r="BJ257" s="100"/>
      <c r="BK257" s="114"/>
      <c r="BL257" s="360"/>
      <c r="BN257" s="412"/>
      <c r="BO257" s="412"/>
      <c r="BP257" s="412"/>
      <c r="BQ257" s="412"/>
      <c r="BR257" s="412"/>
      <c r="BX257" s="140"/>
      <c r="BY257" s="140"/>
      <c r="BZ257">
        <f t="shared" si="7"/>
        <v>1</v>
      </c>
    </row>
    <row r="258" spans="1:78" hidden="1">
      <c r="A258" s="35" t="str">
        <f t="shared" si="6"/>
        <v>ELPTTCV_019/2646055</v>
      </c>
      <c r="C258" s="358" t="s">
        <v>2342</v>
      </c>
      <c r="D258" s="358">
        <v>255</v>
      </c>
      <c r="E258" s="358" t="s">
        <v>3470</v>
      </c>
      <c r="F258" s="358" t="s">
        <v>779</v>
      </c>
      <c r="G258" s="384">
        <v>46055</v>
      </c>
      <c r="H258" s="358" t="s">
        <v>140</v>
      </c>
      <c r="I258" s="358">
        <v>6</v>
      </c>
      <c r="J258" s="359" t="str">
        <f>IFERROR(VLOOKUP($A258,#REF!,3,0),"")</f>
        <v/>
      </c>
      <c r="K258" s="359">
        <f>IFERROR(VLOOKUP($A258,#REF!,4,0),AF258)</f>
        <v>0</v>
      </c>
      <c r="L258" s="359" t="str">
        <f>IFERROR(VLOOKUP($A258,#REF!,5,0),"")</f>
        <v/>
      </c>
      <c r="M258" s="359" t="str">
        <f>IFERROR(VLOOKUP($A258,#REF!,7,0),"")</f>
        <v/>
      </c>
      <c r="N258" s="359"/>
      <c r="O258" s="359" t="str">
        <f>IFERROR(VLOOKUP($A258,#REF!,6,0),"")</f>
        <v/>
      </c>
      <c r="P258" s="359" t="str">
        <f>IFERROR(VLOOKUP($A258,#REF!,9,0),"")</f>
        <v/>
      </c>
      <c r="Q258" s="359" t="str">
        <f>IFERROR(VLOOKUP($A258,#REF!,10,0),"")</f>
        <v/>
      </c>
      <c r="R258" s="359" t="str">
        <f>IFERROR(VLOOKUP($A258,#REF!,11,0),"")</f>
        <v/>
      </c>
      <c r="S258" s="359" t="str">
        <f>IFERROR(VLOOKUP($A258,#REF!,13,0),"")</f>
        <v/>
      </c>
      <c r="T258" s="359" t="str">
        <f>IFERROR(VLOOKUP($A258,#REF!,14,0),"")</f>
        <v/>
      </c>
      <c r="U258" s="359" t="str">
        <f>IFERROR(VLOOKUP($A258,#REF!,15,0),"")</f>
        <v/>
      </c>
      <c r="V258" s="359" t="str">
        <f>IFERROR(VLOOKUP($A258,#REF!,16,0),"")</f>
        <v/>
      </c>
      <c r="W258" s="359" t="str">
        <f>IFERROR(VLOOKUP($A258,#REF!,17,0),"")</f>
        <v/>
      </c>
      <c r="X258" s="359" t="str">
        <f>IFERROR(VLOOKUP($A258,#REF!,18,0),"")</f>
        <v/>
      </c>
      <c r="Y258" s="359" t="str">
        <f>IFERROR(VLOOKUP($A258,#REF!,19,0),"")</f>
        <v/>
      </c>
      <c r="Z258" s="400" t="str">
        <f>IFERROR(VLOOKUP($A258,#REF!,21,0),"")</f>
        <v/>
      </c>
      <c r="AA258" s="358"/>
      <c r="AB258" s="358"/>
      <c r="AC258" s="359" t="s">
        <v>1076</v>
      </c>
      <c r="AD258" s="358"/>
      <c r="AE258" s="358"/>
      <c r="AF258" s="141"/>
      <c r="AG258" s="358"/>
      <c r="AH258" s="358"/>
      <c r="AI258" s="358"/>
      <c r="AJ258" s="358"/>
      <c r="AK258" s="358"/>
      <c r="AL258" s="358"/>
      <c r="AM258" s="358"/>
      <c r="AN258" s="358" t="s">
        <v>113</v>
      </c>
      <c r="AO258" s="380" t="s">
        <v>30</v>
      </c>
      <c r="AP258" s="380">
        <v>46090</v>
      </c>
      <c r="AQ258" s="384" t="s">
        <v>1638</v>
      </c>
      <c r="AR258" s="358" t="s">
        <v>32</v>
      </c>
      <c r="AS258" s="358">
        <v>6</v>
      </c>
      <c r="AT258" s="384" t="s">
        <v>1638</v>
      </c>
      <c r="AU258" s="380">
        <v>46090</v>
      </c>
      <c r="AV258" s="82" t="s">
        <v>113</v>
      </c>
      <c r="AW258" s="82" t="s">
        <v>113</v>
      </c>
      <c r="AX258" s="82" t="s">
        <v>113</v>
      </c>
      <c r="AY258" s="100"/>
      <c r="AZ258" s="100"/>
      <c r="BA258" s="100"/>
      <c r="BB258" s="100"/>
      <c r="BC258" s="100"/>
      <c r="BD258" s="100"/>
      <c r="BE258" s="100"/>
      <c r="BF258" s="100"/>
      <c r="BG258" s="114"/>
      <c r="BH258" s="111"/>
      <c r="BI258" s="111"/>
      <c r="BJ258" s="111"/>
      <c r="BK258" s="114"/>
      <c r="BL258" s="360"/>
      <c r="BN258" s="412"/>
      <c r="BO258" s="412"/>
      <c r="BP258" s="412"/>
      <c r="BQ258" s="412"/>
      <c r="BR258" s="412"/>
      <c r="BY258" s="109"/>
      <c r="BZ258">
        <f t="shared" si="7"/>
        <v>1</v>
      </c>
    </row>
    <row r="259" spans="1:78" hidden="1">
      <c r="A259" s="35" t="str">
        <f t="shared" si="6"/>
        <v>ELPTTCV_020/2646062</v>
      </c>
      <c r="C259" s="358" t="s">
        <v>2342</v>
      </c>
      <c r="D259" s="358">
        <v>256</v>
      </c>
      <c r="E259" s="358" t="s">
        <v>3471</v>
      </c>
      <c r="F259" s="358" t="s">
        <v>1184</v>
      </c>
      <c r="G259" s="384">
        <v>46062</v>
      </c>
      <c r="H259" s="358" t="s">
        <v>140</v>
      </c>
      <c r="I259" s="358">
        <v>5</v>
      </c>
      <c r="J259" s="359" t="str">
        <f>IFERROR(VLOOKUP($A259,#REF!,3,0),"")</f>
        <v/>
      </c>
      <c r="K259" s="359">
        <f>IFERROR(VLOOKUP($A259,#REF!,4,0),AF259)</f>
        <v>0</v>
      </c>
      <c r="L259" s="359" t="str">
        <f>IFERROR(VLOOKUP($A259,#REF!,5,0),"")</f>
        <v/>
      </c>
      <c r="M259" s="359" t="str">
        <f>IFERROR(VLOOKUP($A259,#REF!,7,0),"")</f>
        <v/>
      </c>
      <c r="N259" s="359"/>
      <c r="O259" s="359" t="str">
        <f>IFERROR(VLOOKUP($A259,#REF!,6,0),"")</f>
        <v/>
      </c>
      <c r="P259" s="359" t="str">
        <f>IFERROR(VLOOKUP($A259,#REF!,9,0),"")</f>
        <v/>
      </c>
      <c r="Q259" s="359" t="str">
        <f>IFERROR(VLOOKUP($A259,#REF!,10,0),"")</f>
        <v/>
      </c>
      <c r="R259" s="359" t="str">
        <f>IFERROR(VLOOKUP($A259,#REF!,11,0),"")</f>
        <v/>
      </c>
      <c r="S259" s="359" t="str">
        <f>IFERROR(VLOOKUP($A259,#REF!,13,0),"")</f>
        <v/>
      </c>
      <c r="T259" s="359" t="str">
        <f>IFERROR(VLOOKUP($A259,#REF!,14,0),"")</f>
        <v/>
      </c>
      <c r="U259" s="359" t="str">
        <f>IFERROR(VLOOKUP($A259,#REF!,15,0),"")</f>
        <v/>
      </c>
      <c r="V259" s="359" t="str">
        <f>IFERROR(VLOOKUP($A259,#REF!,16,0),"")</f>
        <v/>
      </c>
      <c r="W259" s="359" t="str">
        <f>IFERROR(VLOOKUP($A259,#REF!,17,0),"")</f>
        <v/>
      </c>
      <c r="X259" s="359" t="str">
        <f>IFERROR(VLOOKUP($A259,#REF!,18,0),"")</f>
        <v/>
      </c>
      <c r="Y259" s="359" t="str">
        <f>IFERROR(VLOOKUP($A259,#REF!,19,0),"")</f>
        <v/>
      </c>
      <c r="Z259" s="400" t="str">
        <f>IFERROR(VLOOKUP($A259,#REF!,21,0),"")</f>
        <v/>
      </c>
      <c r="AA259" s="358"/>
      <c r="AB259" s="358"/>
      <c r="AC259" s="359" t="s">
        <v>1076</v>
      </c>
      <c r="AD259" s="358"/>
      <c r="AE259" s="358"/>
      <c r="AF259" s="141"/>
      <c r="AG259" s="358"/>
      <c r="AH259" s="358"/>
      <c r="AI259" s="358"/>
      <c r="AJ259" s="358"/>
      <c r="AK259" s="358"/>
      <c r="AL259" s="358"/>
      <c r="AM259" s="358"/>
      <c r="AN259" s="358" t="s">
        <v>113</v>
      </c>
      <c r="AO259" s="380" t="s">
        <v>30</v>
      </c>
      <c r="AP259" s="380">
        <v>46087</v>
      </c>
      <c r="AQ259" s="384" t="s">
        <v>1638</v>
      </c>
      <c r="AR259" s="358" t="s">
        <v>32</v>
      </c>
      <c r="AS259" s="358">
        <v>5</v>
      </c>
      <c r="AT259" s="384" t="s">
        <v>1638</v>
      </c>
      <c r="AU259" s="380">
        <v>46087</v>
      </c>
      <c r="AV259" s="82" t="s">
        <v>113</v>
      </c>
      <c r="AW259" s="82" t="s">
        <v>113</v>
      </c>
      <c r="AX259" s="82" t="s">
        <v>113</v>
      </c>
      <c r="AY259" s="100"/>
      <c r="AZ259" s="100"/>
      <c r="BA259" s="100"/>
      <c r="BB259" s="100"/>
      <c r="BC259" s="100"/>
      <c r="BD259" s="100"/>
      <c r="BE259" s="100"/>
      <c r="BF259" s="100"/>
      <c r="BG259" s="114"/>
      <c r="BH259" s="111"/>
      <c r="BI259" s="111"/>
      <c r="BJ259" s="111"/>
      <c r="BK259" s="114"/>
      <c r="BL259" s="360"/>
      <c r="BN259" s="412"/>
      <c r="BO259" s="412"/>
      <c r="BP259" s="412"/>
      <c r="BQ259" s="412"/>
      <c r="BR259" s="412"/>
      <c r="BY259" s="109"/>
      <c r="BZ259">
        <f t="shared" si="7"/>
        <v>1</v>
      </c>
    </row>
    <row r="260" spans="1:78" hidden="1">
      <c r="A260" s="35" t="str">
        <f t="shared" si="6"/>
        <v>ELPTTCV_021/2646062</v>
      </c>
      <c r="C260" s="358" t="s">
        <v>2342</v>
      </c>
      <c r="D260" s="358">
        <v>257</v>
      </c>
      <c r="E260" s="358" t="s">
        <v>3472</v>
      </c>
      <c r="F260" s="358" t="s">
        <v>779</v>
      </c>
      <c r="G260" s="384">
        <v>46062</v>
      </c>
      <c r="H260" s="358" t="s">
        <v>140</v>
      </c>
      <c r="I260" s="358">
        <v>3</v>
      </c>
      <c r="J260" s="359" t="str">
        <f>IFERROR(VLOOKUP($A260,#REF!,3,0),"")</f>
        <v/>
      </c>
      <c r="K260" s="359">
        <f>IFERROR(VLOOKUP($A260,#REF!,4,0),AF260)</f>
        <v>0</v>
      </c>
      <c r="L260" s="359" t="str">
        <f>IFERROR(VLOOKUP($A260,#REF!,5,0),"")</f>
        <v/>
      </c>
      <c r="M260" s="359" t="str">
        <f>IFERROR(VLOOKUP($A260,#REF!,7,0),"")</f>
        <v/>
      </c>
      <c r="N260" s="359"/>
      <c r="O260" s="359" t="str">
        <f>IFERROR(VLOOKUP($A260,#REF!,6,0),"")</f>
        <v/>
      </c>
      <c r="P260" s="359" t="str">
        <f>IFERROR(VLOOKUP($A260,#REF!,9,0),"")</f>
        <v/>
      </c>
      <c r="Q260" s="359" t="str">
        <f>IFERROR(VLOOKUP($A260,#REF!,10,0),"")</f>
        <v/>
      </c>
      <c r="R260" s="359" t="str">
        <f>IFERROR(VLOOKUP($A260,#REF!,11,0),"")</f>
        <v/>
      </c>
      <c r="S260" s="359" t="str">
        <f>IFERROR(VLOOKUP($A260,#REF!,13,0),"")</f>
        <v/>
      </c>
      <c r="T260" s="359" t="str">
        <f>IFERROR(VLOOKUP($A260,#REF!,14,0),"")</f>
        <v/>
      </c>
      <c r="U260" s="359" t="str">
        <f>IFERROR(VLOOKUP($A260,#REF!,15,0),"")</f>
        <v/>
      </c>
      <c r="V260" s="359" t="str">
        <f>IFERROR(VLOOKUP($A260,#REF!,16,0),"")</f>
        <v/>
      </c>
      <c r="W260" s="359" t="str">
        <f>IFERROR(VLOOKUP($A260,#REF!,17,0),"")</f>
        <v/>
      </c>
      <c r="X260" s="359" t="str">
        <f>IFERROR(VLOOKUP($A260,#REF!,18,0),"")</f>
        <v/>
      </c>
      <c r="Y260" s="359" t="str">
        <f>IFERROR(VLOOKUP($A260,#REF!,19,0),"")</f>
        <v/>
      </c>
      <c r="Z260" s="400" t="str">
        <f>IFERROR(VLOOKUP($A260,#REF!,21,0),"")</f>
        <v/>
      </c>
      <c r="AA260" s="358"/>
      <c r="AB260" s="358"/>
      <c r="AC260" s="358" t="s">
        <v>1076</v>
      </c>
      <c r="AD260" s="358"/>
      <c r="AE260" s="358"/>
      <c r="AF260" s="141"/>
      <c r="AG260" s="358"/>
      <c r="AH260" s="358"/>
      <c r="AI260" s="358"/>
      <c r="AJ260" s="358"/>
      <c r="AK260" s="358"/>
      <c r="AL260" s="358"/>
      <c r="AM260" s="358"/>
      <c r="AN260" s="358" t="s">
        <v>113</v>
      </c>
      <c r="AO260" s="358" t="s">
        <v>30</v>
      </c>
      <c r="AP260" s="380">
        <v>46093</v>
      </c>
      <c r="AQ260" s="384" t="s">
        <v>1638</v>
      </c>
      <c r="AR260" s="358" t="s">
        <v>32</v>
      </c>
      <c r="AS260" s="358">
        <v>3</v>
      </c>
      <c r="AT260" s="384" t="s">
        <v>1638</v>
      </c>
      <c r="AU260" s="380">
        <v>46093</v>
      </c>
      <c r="AV260" s="82" t="s">
        <v>113</v>
      </c>
      <c r="AW260" s="82" t="s">
        <v>113</v>
      </c>
      <c r="AX260" s="82" t="s">
        <v>113</v>
      </c>
      <c r="AY260" s="100"/>
      <c r="AZ260" s="100"/>
      <c r="BA260" s="100"/>
      <c r="BB260" s="100"/>
      <c r="BC260" s="100"/>
      <c r="BD260" s="100"/>
      <c r="BE260" s="100"/>
      <c r="BF260" s="100"/>
      <c r="BG260" s="114"/>
      <c r="BH260" s="114"/>
      <c r="BI260" s="114"/>
      <c r="BJ260" s="111"/>
      <c r="BK260" s="114"/>
      <c r="BL260" s="360"/>
      <c r="BN260" s="412"/>
      <c r="BO260" s="412"/>
      <c r="BP260" s="412"/>
      <c r="BQ260" s="412"/>
      <c r="BR260" s="412"/>
      <c r="BX260" s="96"/>
      <c r="BY260" s="109"/>
      <c r="BZ260">
        <f t="shared" ref="BZ260:BZ322" si="8">IF(G260&gt;1,1,"")</f>
        <v>1</v>
      </c>
    </row>
    <row r="261" spans="1:78" hidden="1">
      <c r="A261" s="35" t="str">
        <f t="shared" ref="A261:A324" si="9">E261&amp;G261</f>
        <v>ELPTTCV_022/2646062</v>
      </c>
      <c r="C261" s="358" t="s">
        <v>2342</v>
      </c>
      <c r="D261" s="358">
        <v>258</v>
      </c>
      <c r="E261" s="358" t="s">
        <v>3473</v>
      </c>
      <c r="F261" s="358" t="s">
        <v>1250</v>
      </c>
      <c r="G261" s="384">
        <v>46062</v>
      </c>
      <c r="H261" s="358" t="s">
        <v>140</v>
      </c>
      <c r="I261" s="358">
        <v>5</v>
      </c>
      <c r="J261" s="359" t="str">
        <f>IFERROR(VLOOKUP($A261,#REF!,3,0),"")</f>
        <v/>
      </c>
      <c r="K261" s="359">
        <f>IFERROR(VLOOKUP($A261,#REF!,4,0),AF261)</f>
        <v>0</v>
      </c>
      <c r="L261" s="359" t="str">
        <f>IFERROR(VLOOKUP($A261,#REF!,5,0),"")</f>
        <v/>
      </c>
      <c r="M261" s="359" t="str">
        <f>IFERROR(VLOOKUP($A261,#REF!,7,0),"")</f>
        <v/>
      </c>
      <c r="N261" s="359"/>
      <c r="O261" s="359" t="str">
        <f>IFERROR(VLOOKUP($A261,#REF!,6,0),"")</f>
        <v/>
      </c>
      <c r="P261" s="359" t="str">
        <f>IFERROR(VLOOKUP($A261,#REF!,9,0),"")</f>
        <v/>
      </c>
      <c r="Q261" s="359" t="str">
        <f>IFERROR(VLOOKUP($A261,#REF!,10,0),"")</f>
        <v/>
      </c>
      <c r="R261" s="359" t="str">
        <f>IFERROR(VLOOKUP($A261,#REF!,11,0),"")</f>
        <v/>
      </c>
      <c r="S261" s="359" t="str">
        <f>IFERROR(VLOOKUP($A261,#REF!,13,0),"")</f>
        <v/>
      </c>
      <c r="T261" s="359" t="str">
        <f>IFERROR(VLOOKUP($A261,#REF!,14,0),"")</f>
        <v/>
      </c>
      <c r="U261" s="359" t="str">
        <f>IFERROR(VLOOKUP($A261,#REF!,15,0),"")</f>
        <v/>
      </c>
      <c r="V261" s="359" t="str">
        <f>IFERROR(VLOOKUP($A261,#REF!,16,0),"")</f>
        <v/>
      </c>
      <c r="W261" s="359" t="str">
        <f>IFERROR(VLOOKUP($A261,#REF!,17,0),"")</f>
        <v/>
      </c>
      <c r="X261" s="359" t="str">
        <f>IFERROR(VLOOKUP($A261,#REF!,18,0),"")</f>
        <v/>
      </c>
      <c r="Y261" s="359" t="str">
        <f>IFERROR(VLOOKUP($A261,#REF!,19,0),"")</f>
        <v/>
      </c>
      <c r="Z261" s="400" t="str">
        <f>IFERROR(VLOOKUP($A261,#REF!,21,0),"")</f>
        <v/>
      </c>
      <c r="AA261" s="358"/>
      <c r="AB261" s="358"/>
      <c r="AC261" s="358" t="s">
        <v>1076</v>
      </c>
      <c r="AD261" s="358"/>
      <c r="AE261" s="358"/>
      <c r="AF261" s="141"/>
      <c r="AG261" s="358"/>
      <c r="AH261" s="358"/>
      <c r="AI261" s="358"/>
      <c r="AJ261" s="358"/>
      <c r="AK261" s="358"/>
      <c r="AL261" s="358"/>
      <c r="AM261" s="358"/>
      <c r="AN261" s="358" t="s">
        <v>113</v>
      </c>
      <c r="AO261" s="358" t="s">
        <v>30</v>
      </c>
      <c r="AP261" s="380">
        <v>46090</v>
      </c>
      <c r="AQ261" s="384" t="s">
        <v>1638</v>
      </c>
      <c r="AR261" s="358" t="s">
        <v>32</v>
      </c>
      <c r="AS261" s="358">
        <v>5</v>
      </c>
      <c r="AT261" s="384" t="s">
        <v>1638</v>
      </c>
      <c r="AU261" s="380">
        <v>46090</v>
      </c>
      <c r="AV261" s="82" t="s">
        <v>113</v>
      </c>
      <c r="AW261" s="82" t="s">
        <v>113</v>
      </c>
      <c r="AX261" s="82" t="s">
        <v>113</v>
      </c>
      <c r="AY261" s="100"/>
      <c r="AZ261" s="107"/>
      <c r="BA261" s="100"/>
      <c r="BB261" s="100"/>
      <c r="BC261" s="100"/>
      <c r="BD261" s="100"/>
      <c r="BE261" s="100"/>
      <c r="BF261" s="100"/>
      <c r="BG261" s="114"/>
      <c r="BH261" s="111"/>
      <c r="BI261" s="111"/>
      <c r="BJ261" s="111"/>
      <c r="BK261" s="114"/>
      <c r="BL261" s="360"/>
      <c r="BN261" s="412"/>
      <c r="BO261" s="412"/>
      <c r="BP261" s="412"/>
      <c r="BQ261" s="412"/>
      <c r="BR261" s="412"/>
      <c r="BY261" s="109"/>
      <c r="BZ261">
        <f t="shared" si="8"/>
        <v>1</v>
      </c>
    </row>
    <row r="262" spans="1:78" hidden="1">
      <c r="A262" s="35" t="str">
        <f t="shared" si="9"/>
        <v>ELPTTCV_023/2646062,0833333333</v>
      </c>
      <c r="C262" s="358" t="s">
        <v>2342</v>
      </c>
      <c r="D262" s="358">
        <v>259</v>
      </c>
      <c r="E262" s="358" t="s">
        <v>3474</v>
      </c>
      <c r="F262" s="358" t="s">
        <v>3475</v>
      </c>
      <c r="G262" s="384">
        <v>46062.083333333336</v>
      </c>
      <c r="H262" s="358" t="s">
        <v>140</v>
      </c>
      <c r="I262" s="358">
        <v>12</v>
      </c>
      <c r="J262" s="359" t="str">
        <f>IFERROR(VLOOKUP($A262,#REF!,3,0),"")</f>
        <v/>
      </c>
      <c r="K262" s="359">
        <f>IFERROR(VLOOKUP($A262,#REF!,4,0),AF262)</f>
        <v>0</v>
      </c>
      <c r="L262" s="359" t="str">
        <f>IFERROR(VLOOKUP($A262,#REF!,5,0),"")</f>
        <v/>
      </c>
      <c r="M262" s="359" t="str">
        <f>IFERROR(VLOOKUP($A262,#REF!,7,0),"")</f>
        <v/>
      </c>
      <c r="N262" s="359"/>
      <c r="O262" s="359" t="str">
        <f>IFERROR(VLOOKUP($A262,#REF!,6,0),"")</f>
        <v/>
      </c>
      <c r="P262" s="359" t="str">
        <f>IFERROR(VLOOKUP($A262,#REF!,9,0),"")</f>
        <v/>
      </c>
      <c r="Q262" s="359" t="str">
        <f>IFERROR(VLOOKUP($A262,#REF!,10,0),"")</f>
        <v/>
      </c>
      <c r="R262" s="359" t="str">
        <f>IFERROR(VLOOKUP($A262,#REF!,11,0),"")</f>
        <v/>
      </c>
      <c r="S262" s="359" t="str">
        <f>IFERROR(VLOOKUP($A262,#REF!,13,0),"")</f>
        <v/>
      </c>
      <c r="T262" s="359" t="str">
        <f>IFERROR(VLOOKUP($A262,#REF!,14,0),"")</f>
        <v/>
      </c>
      <c r="U262" s="359" t="str">
        <f>IFERROR(VLOOKUP($A262,#REF!,15,0),"")</f>
        <v/>
      </c>
      <c r="V262" s="359" t="str">
        <f>IFERROR(VLOOKUP($A262,#REF!,16,0),"")</f>
        <v/>
      </c>
      <c r="W262" s="359" t="str">
        <f>IFERROR(VLOOKUP($A262,#REF!,17,0),"")</f>
        <v/>
      </c>
      <c r="X262" s="359" t="str">
        <f>IFERROR(VLOOKUP($A262,#REF!,18,0),"")</f>
        <v/>
      </c>
      <c r="Y262" s="359" t="str">
        <f>IFERROR(VLOOKUP($A262,#REF!,19,0),"")</f>
        <v/>
      </c>
      <c r="Z262" s="400" t="str">
        <f>IFERROR(VLOOKUP($A262,#REF!,21,0),"")</f>
        <v/>
      </c>
      <c r="AA262" s="358"/>
      <c r="AB262" s="358"/>
      <c r="AC262" s="358" t="s">
        <v>1076</v>
      </c>
      <c r="AD262" s="358"/>
      <c r="AE262" s="358"/>
      <c r="AF262" s="141"/>
      <c r="AG262" s="358"/>
      <c r="AH262" s="358"/>
      <c r="AI262" s="358"/>
      <c r="AJ262" s="358"/>
      <c r="AK262" s="358"/>
      <c r="AL262" s="358"/>
      <c r="AM262" s="358"/>
      <c r="AN262" s="358" t="s">
        <v>113</v>
      </c>
      <c r="AO262" s="380" t="s">
        <v>30</v>
      </c>
      <c r="AP262" s="380">
        <v>46093</v>
      </c>
      <c r="AQ262" s="384" t="s">
        <v>1638</v>
      </c>
      <c r="AR262" s="358" t="s">
        <v>32</v>
      </c>
      <c r="AS262" s="358">
        <v>12</v>
      </c>
      <c r="AT262" s="384" t="s">
        <v>1638</v>
      </c>
      <c r="AU262" s="380">
        <v>46093</v>
      </c>
      <c r="AV262" s="82" t="s">
        <v>113</v>
      </c>
      <c r="AW262" s="82" t="s">
        <v>113</v>
      </c>
      <c r="AX262" s="82" t="s">
        <v>113</v>
      </c>
      <c r="AY262" s="100"/>
      <c r="AZ262" s="107"/>
      <c r="BA262" s="100"/>
      <c r="BB262" s="100"/>
      <c r="BC262" s="100"/>
      <c r="BD262" s="100"/>
      <c r="BE262" s="100"/>
      <c r="BF262" s="100"/>
      <c r="BG262" s="114"/>
      <c r="BH262" s="114"/>
      <c r="BI262" s="114"/>
      <c r="BJ262" s="111"/>
      <c r="BK262" s="114"/>
      <c r="BL262" s="360"/>
      <c r="BN262" s="412"/>
      <c r="BO262" s="412"/>
      <c r="BP262" s="412"/>
      <c r="BQ262" s="412"/>
      <c r="BR262" s="412"/>
      <c r="BX262" s="109"/>
      <c r="BY262" s="109"/>
      <c r="BZ262">
        <f t="shared" si="8"/>
        <v>1</v>
      </c>
    </row>
    <row r="263" spans="1:78" hidden="1">
      <c r="A263" s="35" t="str">
        <f t="shared" si="9"/>
        <v>ELPTTCV_024/2646062</v>
      </c>
      <c r="C263" s="358" t="s">
        <v>2342</v>
      </c>
      <c r="D263" s="358">
        <v>260</v>
      </c>
      <c r="E263" s="358" t="s">
        <v>3476</v>
      </c>
      <c r="F263" s="358" t="s">
        <v>937</v>
      </c>
      <c r="G263" s="384">
        <v>46062</v>
      </c>
      <c r="H263" s="358" t="s">
        <v>140</v>
      </c>
      <c r="I263" s="358">
        <v>2</v>
      </c>
      <c r="J263" s="359" t="str">
        <f>IFERROR(VLOOKUP($A263,#REF!,3,0),"")</f>
        <v/>
      </c>
      <c r="K263" s="359">
        <f>IFERROR(VLOOKUP($A263,#REF!,4,0),AF263)</f>
        <v>0</v>
      </c>
      <c r="L263" s="359" t="str">
        <f>IFERROR(VLOOKUP($A263,#REF!,5,0),"")</f>
        <v/>
      </c>
      <c r="M263" s="359" t="str">
        <f>IFERROR(VLOOKUP($A263,#REF!,7,0),"")</f>
        <v/>
      </c>
      <c r="N263" s="359"/>
      <c r="O263" s="359" t="str">
        <f>IFERROR(VLOOKUP($A263,#REF!,6,0),"")</f>
        <v/>
      </c>
      <c r="P263" s="359" t="str">
        <f>IFERROR(VLOOKUP($A263,#REF!,9,0),"")</f>
        <v/>
      </c>
      <c r="Q263" s="359" t="str">
        <f>IFERROR(VLOOKUP($A263,#REF!,10,0),"")</f>
        <v/>
      </c>
      <c r="R263" s="359" t="str">
        <f>IFERROR(VLOOKUP($A263,#REF!,11,0),"")</f>
        <v/>
      </c>
      <c r="S263" s="359" t="str">
        <f>IFERROR(VLOOKUP($A263,#REF!,13,0),"")</f>
        <v/>
      </c>
      <c r="T263" s="359" t="str">
        <f>IFERROR(VLOOKUP($A263,#REF!,14,0),"")</f>
        <v/>
      </c>
      <c r="U263" s="359" t="str">
        <f>IFERROR(VLOOKUP($A263,#REF!,15,0),"")</f>
        <v/>
      </c>
      <c r="V263" s="359" t="str">
        <f>IFERROR(VLOOKUP($A263,#REF!,16,0),"")</f>
        <v/>
      </c>
      <c r="W263" s="359" t="str">
        <f>IFERROR(VLOOKUP($A263,#REF!,17,0),"")</f>
        <v/>
      </c>
      <c r="X263" s="359" t="str">
        <f>IFERROR(VLOOKUP($A263,#REF!,18,0),"")</f>
        <v/>
      </c>
      <c r="Y263" s="359" t="str">
        <f>IFERROR(VLOOKUP($A263,#REF!,19,0),"")</f>
        <v/>
      </c>
      <c r="Z263" s="400" t="str">
        <f>IFERROR(VLOOKUP($A263,#REF!,21,0),"")</f>
        <v/>
      </c>
      <c r="AA263" s="358"/>
      <c r="AB263" s="358"/>
      <c r="AC263" s="358" t="s">
        <v>1076</v>
      </c>
      <c r="AD263" s="358"/>
      <c r="AE263" s="358"/>
      <c r="AF263" s="141"/>
      <c r="AG263" s="358"/>
      <c r="AH263" s="358"/>
      <c r="AI263" s="358"/>
      <c r="AJ263" s="358"/>
      <c r="AK263" s="358"/>
      <c r="AL263" s="358"/>
      <c r="AM263" s="358"/>
      <c r="AN263" s="358" t="s">
        <v>113</v>
      </c>
      <c r="AO263" s="358" t="s">
        <v>30</v>
      </c>
      <c r="AP263" s="380">
        <v>46090</v>
      </c>
      <c r="AQ263" s="384" t="s">
        <v>1638</v>
      </c>
      <c r="AR263" s="358" t="s">
        <v>32</v>
      </c>
      <c r="AS263" s="358">
        <v>2</v>
      </c>
      <c r="AT263" s="384" t="s">
        <v>1638</v>
      </c>
      <c r="AU263" s="380">
        <v>46090</v>
      </c>
      <c r="AV263" s="82" t="s">
        <v>113</v>
      </c>
      <c r="AW263" s="82" t="s">
        <v>113</v>
      </c>
      <c r="AX263" s="82" t="s">
        <v>113</v>
      </c>
      <c r="AY263" s="100"/>
      <c r="AZ263" s="100"/>
      <c r="BA263" s="100"/>
      <c r="BB263" s="100"/>
      <c r="BC263" s="100"/>
      <c r="BD263" s="100"/>
      <c r="BE263" s="100"/>
      <c r="BF263" s="100"/>
      <c r="BG263" s="114"/>
      <c r="BH263" s="111"/>
      <c r="BI263" s="111"/>
      <c r="BJ263" s="111"/>
      <c r="BK263" s="114"/>
      <c r="BL263" s="360"/>
      <c r="BN263" s="412"/>
      <c r="BO263" s="412"/>
      <c r="BP263" s="412"/>
      <c r="BQ263" s="412"/>
      <c r="BR263" s="412"/>
      <c r="BY263" s="109"/>
      <c r="BZ263">
        <f t="shared" si="8"/>
        <v>1</v>
      </c>
    </row>
    <row r="264" spans="1:78" hidden="1">
      <c r="A264" s="35" t="str">
        <f t="shared" si="9"/>
        <v>ELPTTCV_025/2646069</v>
      </c>
      <c r="C264" s="358" t="s">
        <v>2342</v>
      </c>
      <c r="D264" s="358">
        <v>261</v>
      </c>
      <c r="E264" s="358" t="s">
        <v>3477</v>
      </c>
      <c r="F264" s="358" t="s">
        <v>779</v>
      </c>
      <c r="G264" s="384">
        <v>46069</v>
      </c>
      <c r="H264" s="358" t="s">
        <v>140</v>
      </c>
      <c r="I264" s="358">
        <v>25</v>
      </c>
      <c r="J264" s="359" t="str">
        <f>IFERROR(VLOOKUP($A264,#REF!,3,0),"")</f>
        <v/>
      </c>
      <c r="K264" s="359">
        <f>IFERROR(VLOOKUP($A264,#REF!,4,0),AF264)</f>
        <v>0</v>
      </c>
      <c r="L264" s="359" t="str">
        <f>IFERROR(VLOOKUP($A264,#REF!,5,0),"")</f>
        <v/>
      </c>
      <c r="M264" s="359" t="str">
        <f>IFERROR(VLOOKUP($A264,#REF!,7,0),"")</f>
        <v/>
      </c>
      <c r="N264" s="359"/>
      <c r="O264" s="359" t="str">
        <f>IFERROR(VLOOKUP($A264,#REF!,6,0),"")</f>
        <v/>
      </c>
      <c r="P264" s="359" t="str">
        <f>IFERROR(VLOOKUP($A264,#REF!,9,0),"")</f>
        <v/>
      </c>
      <c r="Q264" s="359" t="str">
        <f>IFERROR(VLOOKUP($A264,#REF!,10,0),"")</f>
        <v/>
      </c>
      <c r="R264" s="359" t="str">
        <f>IFERROR(VLOOKUP($A264,#REF!,11,0),"")</f>
        <v/>
      </c>
      <c r="S264" s="359" t="str">
        <f>IFERROR(VLOOKUP($A264,#REF!,13,0),"")</f>
        <v/>
      </c>
      <c r="T264" s="359" t="str">
        <f>IFERROR(VLOOKUP($A264,#REF!,14,0),"")</f>
        <v/>
      </c>
      <c r="U264" s="359" t="str">
        <f>IFERROR(VLOOKUP($A264,#REF!,15,0),"")</f>
        <v/>
      </c>
      <c r="V264" s="359" t="str">
        <f>IFERROR(VLOOKUP($A264,#REF!,16,0),"")</f>
        <v/>
      </c>
      <c r="W264" s="359" t="str">
        <f>IFERROR(VLOOKUP($A264,#REF!,17,0),"")</f>
        <v/>
      </c>
      <c r="X264" s="359" t="str">
        <f>IFERROR(VLOOKUP($A264,#REF!,18,0),"")</f>
        <v/>
      </c>
      <c r="Y264" s="359" t="str">
        <f>IFERROR(VLOOKUP($A264,#REF!,19,0),"")</f>
        <v/>
      </c>
      <c r="Z264" s="400" t="str">
        <f>IFERROR(VLOOKUP($A264,#REF!,21,0),"")</f>
        <v/>
      </c>
      <c r="AA264" s="358"/>
      <c r="AB264" s="358"/>
      <c r="AC264" s="358" t="s">
        <v>1076</v>
      </c>
      <c r="AD264" s="358"/>
      <c r="AE264" s="358"/>
      <c r="AF264" s="141"/>
      <c r="AG264" s="358"/>
      <c r="AH264" s="358"/>
      <c r="AI264" s="358"/>
      <c r="AJ264" s="358"/>
      <c r="AK264" s="358"/>
      <c r="AL264" s="358"/>
      <c r="AM264" s="358"/>
      <c r="AN264" s="358" t="s">
        <v>113</v>
      </c>
      <c r="AO264" s="94" t="s">
        <v>30</v>
      </c>
      <c r="AP264" s="23">
        <v>46111</v>
      </c>
      <c r="AQ264" s="384" t="s">
        <v>3429</v>
      </c>
      <c r="AR264" s="358"/>
      <c r="AS264" s="358"/>
      <c r="AT264" s="384"/>
      <c r="AU264" s="380"/>
      <c r="AV264" s="82" t="s">
        <v>113</v>
      </c>
      <c r="AW264" s="82" t="s">
        <v>113</v>
      </c>
      <c r="AX264" s="82" t="s">
        <v>113</v>
      </c>
      <c r="AY264" s="95"/>
      <c r="AZ264" s="95"/>
      <c r="BA264" s="95"/>
      <c r="BB264" s="100"/>
      <c r="BC264" s="100"/>
      <c r="BD264" s="100"/>
      <c r="BE264" s="100"/>
      <c r="BF264" s="100"/>
      <c r="BG264" s="114"/>
      <c r="BH264" s="111"/>
      <c r="BI264" s="111"/>
      <c r="BJ264" s="111"/>
      <c r="BK264" s="114"/>
      <c r="BL264" s="360"/>
      <c r="BN264" s="412"/>
      <c r="BO264" s="412"/>
      <c r="BP264" s="412"/>
      <c r="BQ264" s="412"/>
      <c r="BR264" s="412"/>
      <c r="BX264" s="140"/>
      <c r="BY264" s="140"/>
      <c r="BZ264">
        <f t="shared" si="8"/>
        <v>1</v>
      </c>
    </row>
    <row r="265" spans="1:78" hidden="1">
      <c r="A265" s="35" t="str">
        <f t="shared" si="9"/>
        <v>ELPTTCV_026/2646069</v>
      </c>
      <c r="C265" s="358" t="s">
        <v>2342</v>
      </c>
      <c r="D265" s="358">
        <v>262</v>
      </c>
      <c r="E265" s="358" t="s">
        <v>3478</v>
      </c>
      <c r="F265" s="358" t="s">
        <v>1184</v>
      </c>
      <c r="G265" s="384">
        <v>46069</v>
      </c>
      <c r="H265" s="358" t="s">
        <v>140</v>
      </c>
      <c r="I265" s="358">
        <v>2</v>
      </c>
      <c r="J265" s="359" t="str">
        <f>IFERROR(VLOOKUP($A265,#REF!,3,0),"")</f>
        <v/>
      </c>
      <c r="K265" s="359">
        <f>IFERROR(VLOOKUP($A265,#REF!,4,0),AF265)</f>
        <v>0</v>
      </c>
      <c r="L265" s="359" t="str">
        <f>IFERROR(VLOOKUP($A265,#REF!,5,0),"")</f>
        <v/>
      </c>
      <c r="M265" s="359" t="str">
        <f>IFERROR(VLOOKUP($A265,#REF!,7,0),"")</f>
        <v/>
      </c>
      <c r="N265" s="359"/>
      <c r="O265" s="359" t="str">
        <f>IFERROR(VLOOKUP($A265,#REF!,6,0),"")</f>
        <v/>
      </c>
      <c r="P265" s="359" t="str">
        <f>IFERROR(VLOOKUP($A265,#REF!,9,0),"")</f>
        <v/>
      </c>
      <c r="Q265" s="359" t="str">
        <f>IFERROR(VLOOKUP($A265,#REF!,10,0),"")</f>
        <v/>
      </c>
      <c r="R265" s="359" t="str">
        <f>IFERROR(VLOOKUP($A265,#REF!,11,0),"")</f>
        <v/>
      </c>
      <c r="S265" s="359" t="str">
        <f>IFERROR(VLOOKUP($A265,#REF!,13,0),"")</f>
        <v/>
      </c>
      <c r="T265" s="359" t="str">
        <f>IFERROR(VLOOKUP($A265,#REF!,14,0),"")</f>
        <v/>
      </c>
      <c r="U265" s="359" t="str">
        <f>IFERROR(VLOOKUP($A265,#REF!,15,0),"")</f>
        <v/>
      </c>
      <c r="V265" s="359" t="str">
        <f>IFERROR(VLOOKUP($A265,#REF!,16,0),"")</f>
        <v/>
      </c>
      <c r="W265" s="359" t="str">
        <f>IFERROR(VLOOKUP($A265,#REF!,17,0),"")</f>
        <v/>
      </c>
      <c r="X265" s="359" t="str">
        <f>IFERROR(VLOOKUP($A265,#REF!,18,0),"")</f>
        <v/>
      </c>
      <c r="Y265" s="359" t="str">
        <f>IFERROR(VLOOKUP($A265,#REF!,19,0),"")</f>
        <v/>
      </c>
      <c r="Z265" s="400" t="str">
        <f>IFERROR(VLOOKUP($A265,#REF!,21,0),"")</f>
        <v/>
      </c>
      <c r="AA265" s="358"/>
      <c r="AB265" s="358"/>
      <c r="AC265" s="358" t="s">
        <v>1076</v>
      </c>
      <c r="AD265" s="358"/>
      <c r="AE265" s="358"/>
      <c r="AF265" s="141"/>
      <c r="AG265" s="358"/>
      <c r="AH265" s="358"/>
      <c r="AI265" s="358"/>
      <c r="AJ265" s="358"/>
      <c r="AK265" s="358"/>
      <c r="AL265" s="358"/>
      <c r="AM265" s="358"/>
      <c r="AN265" s="358" t="s">
        <v>113</v>
      </c>
      <c r="AO265" s="380" t="s">
        <v>30</v>
      </c>
      <c r="AP265" s="380">
        <v>46097</v>
      </c>
      <c r="AQ265" s="384" t="s">
        <v>1638</v>
      </c>
      <c r="AR265" s="358" t="s">
        <v>32</v>
      </c>
      <c r="AS265" s="358">
        <v>2</v>
      </c>
      <c r="AT265" s="384" t="s">
        <v>1638</v>
      </c>
      <c r="AU265" s="380">
        <v>46097</v>
      </c>
      <c r="AV265" s="82" t="s">
        <v>113</v>
      </c>
      <c r="AW265" s="82" t="s">
        <v>113</v>
      </c>
      <c r="AX265" s="82" t="s">
        <v>113</v>
      </c>
      <c r="AY265" s="95"/>
      <c r="AZ265" s="95"/>
      <c r="BA265" s="95"/>
      <c r="BB265" s="100"/>
      <c r="BC265" s="100"/>
      <c r="BD265" s="100"/>
      <c r="BE265" s="100"/>
      <c r="BF265" s="100"/>
      <c r="BG265" s="114"/>
      <c r="BH265" s="111"/>
      <c r="BI265" s="111"/>
      <c r="BJ265" s="111"/>
      <c r="BK265" s="114"/>
      <c r="BL265" s="360"/>
      <c r="BN265" s="412"/>
      <c r="BO265" s="412"/>
      <c r="BP265" s="412"/>
      <c r="BQ265" s="412"/>
      <c r="BR265" s="412"/>
      <c r="BY265" s="109"/>
      <c r="BZ265">
        <f t="shared" si="8"/>
        <v>1</v>
      </c>
    </row>
    <row r="266" spans="1:78" hidden="1">
      <c r="A266" s="35" t="str">
        <f t="shared" si="9"/>
        <v>ELPTTCV_027/2646069</v>
      </c>
      <c r="C266" s="358" t="s">
        <v>2342</v>
      </c>
      <c r="D266" s="358">
        <v>263</v>
      </c>
      <c r="E266" s="358" t="s">
        <v>3479</v>
      </c>
      <c r="F266" s="358" t="s">
        <v>846</v>
      </c>
      <c r="G266" s="384">
        <v>46069</v>
      </c>
      <c r="H266" s="358" t="s">
        <v>140</v>
      </c>
      <c r="I266" s="358">
        <v>2</v>
      </c>
      <c r="J266" s="359" t="str">
        <f>IFERROR(VLOOKUP($A266,#REF!,3,0),"")</f>
        <v/>
      </c>
      <c r="K266" s="359">
        <f>IFERROR(VLOOKUP($A266,#REF!,4,0),AF266)</f>
        <v>0</v>
      </c>
      <c r="L266" s="359" t="str">
        <f>IFERROR(VLOOKUP($A266,#REF!,5,0),"")</f>
        <v/>
      </c>
      <c r="M266" s="359" t="str">
        <f>IFERROR(VLOOKUP($A266,#REF!,7,0),"")</f>
        <v/>
      </c>
      <c r="N266" s="359"/>
      <c r="O266" s="359" t="str">
        <f>IFERROR(VLOOKUP($A266,#REF!,6,0),"")</f>
        <v/>
      </c>
      <c r="P266" s="359" t="str">
        <f>IFERROR(VLOOKUP($A266,#REF!,9,0),"")</f>
        <v/>
      </c>
      <c r="Q266" s="359" t="str">
        <f>IFERROR(VLOOKUP($A266,#REF!,10,0),"")</f>
        <v/>
      </c>
      <c r="R266" s="359" t="str">
        <f>IFERROR(VLOOKUP($A266,#REF!,11,0),"")</f>
        <v/>
      </c>
      <c r="S266" s="359" t="str">
        <f>IFERROR(VLOOKUP($A266,#REF!,13,0),"")</f>
        <v/>
      </c>
      <c r="T266" s="359" t="str">
        <f>IFERROR(VLOOKUP($A266,#REF!,14,0),"")</f>
        <v/>
      </c>
      <c r="U266" s="359" t="str">
        <f>IFERROR(VLOOKUP($A266,#REF!,15,0),"")</f>
        <v/>
      </c>
      <c r="V266" s="359" t="str">
        <f>IFERROR(VLOOKUP($A266,#REF!,16,0),"")</f>
        <v/>
      </c>
      <c r="W266" s="359" t="str">
        <f>IFERROR(VLOOKUP($A266,#REF!,17,0),"")</f>
        <v/>
      </c>
      <c r="X266" s="359" t="str">
        <f>IFERROR(VLOOKUP($A266,#REF!,18,0),"")</f>
        <v/>
      </c>
      <c r="Y266" s="359" t="str">
        <f>IFERROR(VLOOKUP($A266,#REF!,19,0),"")</f>
        <v/>
      </c>
      <c r="Z266" s="400" t="str">
        <f>IFERROR(VLOOKUP($A266,#REF!,21,0),"")</f>
        <v/>
      </c>
      <c r="AA266" s="358"/>
      <c r="AB266" s="358"/>
      <c r="AC266" s="358" t="s">
        <v>1076</v>
      </c>
      <c r="AD266" s="358"/>
      <c r="AE266" s="358"/>
      <c r="AF266" s="141"/>
      <c r="AG266" s="358"/>
      <c r="AH266" s="358"/>
      <c r="AI266" s="358"/>
      <c r="AJ266" s="358"/>
      <c r="AK266" s="358"/>
      <c r="AL266" s="358"/>
      <c r="AM266" s="358"/>
      <c r="AN266" s="358" t="s">
        <v>113</v>
      </c>
      <c r="AO266" s="380" t="s">
        <v>30</v>
      </c>
      <c r="AP266" s="380">
        <v>46097</v>
      </c>
      <c r="AQ266" s="384" t="s">
        <v>1638</v>
      </c>
      <c r="AR266" s="358" t="s">
        <v>32</v>
      </c>
      <c r="AS266" s="358">
        <v>2</v>
      </c>
      <c r="AT266" s="384" t="s">
        <v>1638</v>
      </c>
      <c r="AU266" s="380">
        <v>46097</v>
      </c>
      <c r="AV266" s="82" t="s">
        <v>113</v>
      </c>
      <c r="AW266" s="82" t="s">
        <v>113</v>
      </c>
      <c r="AX266" s="82" t="s">
        <v>113</v>
      </c>
      <c r="AY266" s="100"/>
      <c r="AZ266" s="100"/>
      <c r="BA266" s="100"/>
      <c r="BB266" s="100"/>
      <c r="BC266" s="100"/>
      <c r="BD266" s="100"/>
      <c r="BE266" s="95"/>
      <c r="BF266" s="100"/>
      <c r="BG266" s="114"/>
      <c r="BH266" s="111"/>
      <c r="BI266" s="111"/>
      <c r="BJ266" s="111"/>
      <c r="BK266" s="114"/>
      <c r="BL266" s="360"/>
      <c r="BN266" s="412"/>
      <c r="BO266" s="412"/>
      <c r="BP266" s="412"/>
      <c r="BQ266" s="412"/>
      <c r="BR266" s="412"/>
      <c r="BY266" s="109"/>
      <c r="BZ266">
        <f t="shared" si="8"/>
        <v>1</v>
      </c>
    </row>
    <row r="267" spans="1:78" hidden="1">
      <c r="A267" s="35" t="str">
        <f t="shared" si="9"/>
        <v>ELPTTCV_028/2646076,0833333333</v>
      </c>
      <c r="C267" s="358" t="s">
        <v>2342</v>
      </c>
      <c r="D267" s="358">
        <v>264</v>
      </c>
      <c r="E267" s="358" t="s">
        <v>3480</v>
      </c>
      <c r="F267" s="358" t="s">
        <v>1250</v>
      </c>
      <c r="G267" s="384">
        <v>46076.083333333336</v>
      </c>
      <c r="H267" s="358" t="s">
        <v>140</v>
      </c>
      <c r="I267" s="358">
        <v>3</v>
      </c>
      <c r="J267" s="359" t="str">
        <f>IFERROR(VLOOKUP($A267,#REF!,3,0),"")</f>
        <v/>
      </c>
      <c r="K267" s="359">
        <f>IFERROR(VLOOKUP($A267,#REF!,4,0),AF267)</f>
        <v>0</v>
      </c>
      <c r="L267" s="359" t="str">
        <f>IFERROR(VLOOKUP($A267,#REF!,5,0),"")</f>
        <v/>
      </c>
      <c r="M267" s="359" t="str">
        <f>IFERROR(VLOOKUP($A267,#REF!,7,0),"")</f>
        <v/>
      </c>
      <c r="N267" s="359"/>
      <c r="O267" s="359" t="str">
        <f>IFERROR(VLOOKUP($A267,#REF!,6,0),"")</f>
        <v/>
      </c>
      <c r="P267" s="359" t="str">
        <f>IFERROR(VLOOKUP($A267,#REF!,9,0),"")</f>
        <v/>
      </c>
      <c r="Q267" s="359" t="str">
        <f>IFERROR(VLOOKUP($A267,#REF!,10,0),"")</f>
        <v/>
      </c>
      <c r="R267" s="359" t="str">
        <f>IFERROR(VLOOKUP($A267,#REF!,11,0),"")</f>
        <v/>
      </c>
      <c r="S267" s="359" t="str">
        <f>IFERROR(VLOOKUP($A267,#REF!,13,0),"")</f>
        <v/>
      </c>
      <c r="T267" s="359" t="str">
        <f>IFERROR(VLOOKUP($A267,#REF!,14,0),"")</f>
        <v/>
      </c>
      <c r="U267" s="359" t="str">
        <f>IFERROR(VLOOKUP($A267,#REF!,15,0),"")</f>
        <v/>
      </c>
      <c r="V267" s="359" t="str">
        <f>IFERROR(VLOOKUP($A267,#REF!,16,0),"")</f>
        <v/>
      </c>
      <c r="W267" s="359" t="str">
        <f>IFERROR(VLOOKUP($A267,#REF!,17,0),"")</f>
        <v/>
      </c>
      <c r="X267" s="359" t="str">
        <f>IFERROR(VLOOKUP($A267,#REF!,18,0),"")</f>
        <v/>
      </c>
      <c r="Y267" s="359" t="str">
        <f>IFERROR(VLOOKUP($A267,#REF!,19,0),"")</f>
        <v/>
      </c>
      <c r="Z267" s="400" t="str">
        <f>IFERROR(VLOOKUP($A267,#REF!,21,0),"")</f>
        <v/>
      </c>
      <c r="AA267" s="358"/>
      <c r="AB267" s="358"/>
      <c r="AC267" s="358" t="s">
        <v>1076</v>
      </c>
      <c r="AD267" s="358"/>
      <c r="AE267" s="358"/>
      <c r="AF267" s="141"/>
      <c r="AG267" s="358"/>
      <c r="AH267" s="358"/>
      <c r="AI267" s="358"/>
      <c r="AJ267" s="358"/>
      <c r="AK267" s="358"/>
      <c r="AL267" s="358"/>
      <c r="AM267" s="358"/>
      <c r="AN267" s="358" t="s">
        <v>113</v>
      </c>
      <c r="AO267" s="380" t="s">
        <v>30</v>
      </c>
      <c r="AP267" s="380">
        <v>46097</v>
      </c>
      <c r="AQ267" s="384" t="s">
        <v>1638</v>
      </c>
      <c r="AR267" s="358" t="s">
        <v>32</v>
      </c>
      <c r="AS267" s="358">
        <v>3</v>
      </c>
      <c r="AT267" s="384" t="s">
        <v>1638</v>
      </c>
      <c r="AU267" s="380">
        <v>46097</v>
      </c>
      <c r="AV267" s="82" t="s">
        <v>113</v>
      </c>
      <c r="AW267" s="82" t="s">
        <v>113</v>
      </c>
      <c r="AX267" s="82" t="s">
        <v>113</v>
      </c>
      <c r="AY267" s="100"/>
      <c r="AZ267" s="100"/>
      <c r="BA267" s="100"/>
      <c r="BB267" s="100"/>
      <c r="BC267" s="100"/>
      <c r="BD267" s="100"/>
      <c r="BE267" s="100"/>
      <c r="BF267" s="100"/>
      <c r="BG267" s="114"/>
      <c r="BH267" s="100"/>
      <c r="BI267" s="100"/>
      <c r="BJ267" s="100"/>
      <c r="BK267" s="114"/>
      <c r="BL267" s="360"/>
      <c r="BN267" s="412"/>
      <c r="BO267" s="412"/>
      <c r="BP267" s="412"/>
      <c r="BQ267" s="412"/>
      <c r="BR267" s="412"/>
      <c r="BX267" s="96"/>
      <c r="BY267" s="109"/>
      <c r="BZ267">
        <f t="shared" si="8"/>
        <v>1</v>
      </c>
    </row>
    <row r="268" spans="1:78" hidden="1">
      <c r="A268" s="35" t="str">
        <f t="shared" si="9"/>
        <v>ELPTTCV_029/2646076</v>
      </c>
      <c r="C268" s="358" t="s">
        <v>2342</v>
      </c>
      <c r="D268" s="358">
        <v>265</v>
      </c>
      <c r="E268" s="358" t="s">
        <v>3481</v>
      </c>
      <c r="F268" s="358" t="s">
        <v>3482</v>
      </c>
      <c r="G268" s="384">
        <v>46076</v>
      </c>
      <c r="H268" s="358" t="s">
        <v>140</v>
      </c>
      <c r="I268" s="358">
        <v>1</v>
      </c>
      <c r="J268" s="359" t="str">
        <f>IFERROR(VLOOKUP($A268,#REF!,3,0),"")</f>
        <v/>
      </c>
      <c r="K268" s="359">
        <f>IFERROR(VLOOKUP($A268,#REF!,4,0),AF268)</f>
        <v>0</v>
      </c>
      <c r="L268" s="359" t="str">
        <f>IFERROR(VLOOKUP($A268,#REF!,5,0),"")</f>
        <v/>
      </c>
      <c r="M268" s="359" t="str">
        <f>IFERROR(VLOOKUP($A268,#REF!,7,0),"")</f>
        <v/>
      </c>
      <c r="N268" s="359"/>
      <c r="O268" s="359" t="str">
        <f>IFERROR(VLOOKUP($A268,#REF!,6,0),"")</f>
        <v/>
      </c>
      <c r="P268" s="359" t="str">
        <f>IFERROR(VLOOKUP($A268,#REF!,9,0),"")</f>
        <v/>
      </c>
      <c r="Q268" s="359" t="str">
        <f>IFERROR(VLOOKUP($A268,#REF!,10,0),"")</f>
        <v/>
      </c>
      <c r="R268" s="359" t="str">
        <f>IFERROR(VLOOKUP($A268,#REF!,11,0),"")</f>
        <v/>
      </c>
      <c r="S268" s="359" t="str">
        <f>IFERROR(VLOOKUP($A268,#REF!,13,0),"")</f>
        <v/>
      </c>
      <c r="T268" s="359" t="str">
        <f>IFERROR(VLOOKUP($A268,#REF!,14,0),"")</f>
        <v/>
      </c>
      <c r="U268" s="359" t="str">
        <f>IFERROR(VLOOKUP($A268,#REF!,15,0),"")</f>
        <v/>
      </c>
      <c r="V268" s="359" t="str">
        <f>IFERROR(VLOOKUP($A268,#REF!,16,0),"")</f>
        <v/>
      </c>
      <c r="W268" s="359" t="str">
        <f>IFERROR(VLOOKUP($A268,#REF!,17,0),"")</f>
        <v/>
      </c>
      <c r="X268" s="359" t="str">
        <f>IFERROR(VLOOKUP($A268,#REF!,18,0),"")</f>
        <v/>
      </c>
      <c r="Y268" s="359" t="str">
        <f>IFERROR(VLOOKUP($A268,#REF!,19,0),"")</f>
        <v/>
      </c>
      <c r="Z268" s="400" t="str">
        <f>IFERROR(VLOOKUP($A268,#REF!,21,0),"")</f>
        <v/>
      </c>
      <c r="AA268" s="358"/>
      <c r="AB268" s="358"/>
      <c r="AC268" s="358" t="s">
        <v>1076</v>
      </c>
      <c r="AD268" s="358"/>
      <c r="AE268" s="102"/>
      <c r="AF268" s="141"/>
      <c r="AG268" s="358"/>
      <c r="AH268" s="358"/>
      <c r="AI268" s="358"/>
      <c r="AJ268" s="358"/>
      <c r="AK268" s="358"/>
      <c r="AL268" s="358"/>
      <c r="AM268" s="358"/>
      <c r="AN268" s="358" t="s">
        <v>113</v>
      </c>
      <c r="AO268" s="380" t="s">
        <v>30</v>
      </c>
      <c r="AP268" s="380">
        <v>46097</v>
      </c>
      <c r="AQ268" s="384" t="s">
        <v>1638</v>
      </c>
      <c r="AR268" s="358" t="s">
        <v>32</v>
      </c>
      <c r="AS268" s="358">
        <v>1</v>
      </c>
      <c r="AT268" s="384" t="s">
        <v>1638</v>
      </c>
      <c r="AU268" s="380">
        <v>46097</v>
      </c>
      <c r="AV268" s="82" t="s">
        <v>113</v>
      </c>
      <c r="AW268" s="82" t="s">
        <v>113</v>
      </c>
      <c r="AX268" s="82" t="s">
        <v>113</v>
      </c>
      <c r="AY268" s="94"/>
      <c r="AZ268" s="94"/>
      <c r="BA268" s="94"/>
      <c r="BB268" s="100"/>
      <c r="BC268" s="100"/>
      <c r="BD268" s="100"/>
      <c r="BE268" s="100"/>
      <c r="BF268" s="100"/>
      <c r="BG268" s="114"/>
      <c r="BH268" s="111"/>
      <c r="BI268" s="111"/>
      <c r="BJ268" s="111"/>
      <c r="BK268" s="114"/>
      <c r="BL268" s="360"/>
      <c r="BN268" s="412"/>
      <c r="BO268" s="412"/>
      <c r="BP268" s="412"/>
      <c r="BQ268" s="412"/>
      <c r="BR268" s="412"/>
      <c r="BX268" s="96"/>
      <c r="BY268" s="109"/>
      <c r="BZ268">
        <f t="shared" si="8"/>
        <v>1</v>
      </c>
    </row>
    <row r="269" spans="1:78" hidden="1">
      <c r="A269" s="35" t="str">
        <f t="shared" si="9"/>
        <v>ELPTTCV_030/2646076</v>
      </c>
      <c r="C269" s="358" t="s">
        <v>2342</v>
      </c>
      <c r="D269" s="358">
        <v>266</v>
      </c>
      <c r="E269" s="358" t="s">
        <v>3483</v>
      </c>
      <c r="F269" s="358" t="s">
        <v>829</v>
      </c>
      <c r="G269" s="384">
        <v>46076</v>
      </c>
      <c r="H269" s="358" t="s">
        <v>140</v>
      </c>
      <c r="I269" s="358">
        <v>3</v>
      </c>
      <c r="J269" s="359" t="str">
        <f>IFERROR(VLOOKUP($A269,#REF!,3,0),"")</f>
        <v/>
      </c>
      <c r="K269" s="359">
        <f>IFERROR(VLOOKUP($A269,#REF!,4,0),AF269)</f>
        <v>0</v>
      </c>
      <c r="L269" s="359" t="str">
        <f>IFERROR(VLOOKUP($A269,#REF!,5,0),"")</f>
        <v/>
      </c>
      <c r="M269" s="359" t="str">
        <f>IFERROR(VLOOKUP($A269,#REF!,7,0),"")</f>
        <v/>
      </c>
      <c r="N269" s="359"/>
      <c r="O269" s="359" t="str">
        <f>IFERROR(VLOOKUP($A269,#REF!,6,0),"")</f>
        <v/>
      </c>
      <c r="P269" s="359" t="str">
        <f>IFERROR(VLOOKUP($A269,#REF!,9,0),"")</f>
        <v/>
      </c>
      <c r="Q269" s="359" t="str">
        <f>IFERROR(VLOOKUP($A269,#REF!,10,0),"")</f>
        <v/>
      </c>
      <c r="R269" s="359" t="str">
        <f>IFERROR(VLOOKUP($A269,#REF!,11,0),"")</f>
        <v/>
      </c>
      <c r="S269" s="359" t="str">
        <f>IFERROR(VLOOKUP($A269,#REF!,13,0),"")</f>
        <v/>
      </c>
      <c r="T269" s="359" t="str">
        <f>IFERROR(VLOOKUP($A269,#REF!,14,0),"")</f>
        <v/>
      </c>
      <c r="U269" s="359" t="str">
        <f>IFERROR(VLOOKUP($A269,#REF!,15,0),"")</f>
        <v/>
      </c>
      <c r="V269" s="359" t="str">
        <f>IFERROR(VLOOKUP($A269,#REF!,16,0),"")</f>
        <v/>
      </c>
      <c r="W269" s="359" t="str">
        <f>IFERROR(VLOOKUP($A269,#REF!,17,0),"")</f>
        <v/>
      </c>
      <c r="X269" s="359" t="str">
        <f>IFERROR(VLOOKUP($A269,#REF!,18,0),"")</f>
        <v/>
      </c>
      <c r="Y269" s="359" t="str">
        <f>IFERROR(VLOOKUP($A269,#REF!,19,0),"")</f>
        <v/>
      </c>
      <c r="Z269" s="400" t="str">
        <f>IFERROR(VLOOKUP($A269,#REF!,21,0),"")</f>
        <v/>
      </c>
      <c r="AA269" s="358"/>
      <c r="AB269" s="358"/>
      <c r="AC269" s="358" t="s">
        <v>1076</v>
      </c>
      <c r="AD269" s="358"/>
      <c r="AE269" s="358"/>
      <c r="AF269" s="141"/>
      <c r="AG269" s="358"/>
      <c r="AH269" s="358"/>
      <c r="AI269" s="358"/>
      <c r="AJ269" s="358"/>
      <c r="AK269" s="358"/>
      <c r="AL269" s="358"/>
      <c r="AM269" s="358"/>
      <c r="AN269" s="358" t="s">
        <v>113</v>
      </c>
      <c r="AO269" s="380" t="s">
        <v>30</v>
      </c>
      <c r="AP269" s="380">
        <v>46097</v>
      </c>
      <c r="AQ269" s="384" t="s">
        <v>1638</v>
      </c>
      <c r="AR269" s="358" t="s">
        <v>32</v>
      </c>
      <c r="AS269" s="358">
        <v>3</v>
      </c>
      <c r="AT269" s="384" t="s">
        <v>1638</v>
      </c>
      <c r="AU269" s="380">
        <v>46097</v>
      </c>
      <c r="AV269" s="82" t="s">
        <v>113</v>
      </c>
      <c r="AW269" s="82" t="s">
        <v>113</v>
      </c>
      <c r="AX269" s="82" t="s">
        <v>113</v>
      </c>
      <c r="AY269" s="94"/>
      <c r="AZ269" s="94"/>
      <c r="BA269" s="94"/>
      <c r="BB269" s="100"/>
      <c r="BC269" s="100"/>
      <c r="BD269" s="100"/>
      <c r="BE269" s="100"/>
      <c r="BF269" s="100"/>
      <c r="BG269" s="114"/>
      <c r="BH269" s="114"/>
      <c r="BI269" s="114"/>
      <c r="BJ269" s="100"/>
      <c r="BK269" s="114"/>
      <c r="BL269" s="360"/>
      <c r="BN269" s="412"/>
      <c r="BO269" s="412"/>
      <c r="BP269" s="412"/>
      <c r="BQ269" s="412"/>
      <c r="BR269" s="412"/>
      <c r="BY269" s="109"/>
      <c r="BZ269">
        <f t="shared" si="8"/>
        <v>1</v>
      </c>
    </row>
    <row r="270" spans="1:78" hidden="1">
      <c r="A270" s="35" t="str">
        <f t="shared" si="9"/>
        <v>ELPTMED_053/2646055</v>
      </c>
      <c r="C270" s="358" t="s">
        <v>2342</v>
      </c>
      <c r="D270" s="358">
        <v>267</v>
      </c>
      <c r="E270" s="358" t="s">
        <v>3484</v>
      </c>
      <c r="F270" s="358" t="s">
        <v>1184</v>
      </c>
      <c r="G270" s="384">
        <v>46055</v>
      </c>
      <c r="H270" s="358" t="s">
        <v>140</v>
      </c>
      <c r="I270" s="358">
        <v>5</v>
      </c>
      <c r="J270" s="359" t="str">
        <f>IFERROR(VLOOKUP($A270,#REF!,3,0),"")</f>
        <v/>
      </c>
      <c r="K270" s="359">
        <f>IFERROR(VLOOKUP($A270,#REF!,4,0),AF270)</f>
        <v>0</v>
      </c>
      <c r="L270" s="359" t="str">
        <f>IFERROR(VLOOKUP($A270,#REF!,5,0),"")</f>
        <v/>
      </c>
      <c r="M270" s="359" t="str">
        <f>IFERROR(VLOOKUP($A270,#REF!,7,0),"")</f>
        <v/>
      </c>
      <c r="N270" s="359"/>
      <c r="O270" s="359" t="str">
        <f>IFERROR(VLOOKUP($A270,#REF!,6,0),"")</f>
        <v/>
      </c>
      <c r="P270" s="359" t="str">
        <f>IFERROR(VLOOKUP($A270,#REF!,9,0),"")</f>
        <v/>
      </c>
      <c r="Q270" s="359" t="str">
        <f>IFERROR(VLOOKUP($A270,#REF!,10,0),"")</f>
        <v/>
      </c>
      <c r="R270" s="359" t="str">
        <f>IFERROR(VLOOKUP($A270,#REF!,11,0),"")</f>
        <v/>
      </c>
      <c r="S270" s="359" t="str">
        <f>IFERROR(VLOOKUP($A270,#REF!,13,0),"")</f>
        <v/>
      </c>
      <c r="T270" s="359" t="str">
        <f>IFERROR(VLOOKUP($A270,#REF!,14,0),"")</f>
        <v/>
      </c>
      <c r="U270" s="359" t="str">
        <f>IFERROR(VLOOKUP($A270,#REF!,15,0),"")</f>
        <v/>
      </c>
      <c r="V270" s="359" t="str">
        <f>IFERROR(VLOOKUP($A270,#REF!,16,0),"")</f>
        <v/>
      </c>
      <c r="W270" s="359" t="str">
        <f>IFERROR(VLOOKUP($A270,#REF!,17,0),"")</f>
        <v/>
      </c>
      <c r="X270" s="359" t="str">
        <f>IFERROR(VLOOKUP($A270,#REF!,18,0),"")</f>
        <v/>
      </c>
      <c r="Y270" s="359" t="str">
        <f>IFERROR(VLOOKUP($A270,#REF!,19,0),"")</f>
        <v/>
      </c>
      <c r="Z270" s="400" t="str">
        <f>IFERROR(VLOOKUP($A270,#REF!,21,0),"")</f>
        <v/>
      </c>
      <c r="AA270" s="358"/>
      <c r="AB270" s="358"/>
      <c r="AC270" s="358" t="s">
        <v>3485</v>
      </c>
      <c r="AD270" s="358"/>
      <c r="AE270" s="358"/>
      <c r="AF270" s="141"/>
      <c r="AG270" s="358"/>
      <c r="AH270" s="358"/>
      <c r="AI270" s="358"/>
      <c r="AJ270" s="358"/>
      <c r="AK270" s="358"/>
      <c r="AL270" s="358"/>
      <c r="AM270" s="358"/>
      <c r="AN270" s="358" t="s">
        <v>113</v>
      </c>
      <c r="AO270" s="380" t="s">
        <v>30</v>
      </c>
      <c r="AP270" s="380">
        <v>46098</v>
      </c>
      <c r="AQ270" s="384" t="s">
        <v>1638</v>
      </c>
      <c r="AR270" s="358" t="s">
        <v>32</v>
      </c>
      <c r="AS270" s="358">
        <v>5</v>
      </c>
      <c r="AT270" s="384" t="s">
        <v>1638</v>
      </c>
      <c r="AU270" s="380">
        <v>46098</v>
      </c>
      <c r="AV270" s="82" t="s">
        <v>113</v>
      </c>
      <c r="AW270" s="82" t="s">
        <v>113</v>
      </c>
      <c r="AX270" s="82" t="s">
        <v>113</v>
      </c>
      <c r="AY270" s="100"/>
      <c r="AZ270" s="100"/>
      <c r="BA270" s="100"/>
      <c r="BB270" s="100"/>
      <c r="BC270" s="100"/>
      <c r="BD270" s="100"/>
      <c r="BE270" s="100"/>
      <c r="BF270" s="100"/>
      <c r="BG270" s="114"/>
      <c r="BH270" s="111"/>
      <c r="BI270" s="111"/>
      <c r="BJ270" s="111"/>
      <c r="BK270" s="114"/>
      <c r="BL270" s="360"/>
      <c r="BN270" s="412"/>
      <c r="BO270" s="412"/>
      <c r="BP270" s="412"/>
      <c r="BQ270" s="412"/>
      <c r="BR270" s="412"/>
      <c r="BX270" s="72"/>
      <c r="BY270" s="109"/>
      <c r="BZ270">
        <f t="shared" si="8"/>
        <v>1</v>
      </c>
    </row>
    <row r="271" spans="1:78" hidden="1">
      <c r="A271" s="35" t="str">
        <f t="shared" si="9"/>
        <v>ELPTMED_072/2646055,125</v>
      </c>
      <c r="C271" s="358" t="s">
        <v>2342</v>
      </c>
      <c r="D271" s="358">
        <v>268</v>
      </c>
      <c r="E271" s="358" t="s">
        <v>3486</v>
      </c>
      <c r="F271" s="358" t="s">
        <v>955</v>
      </c>
      <c r="G271" s="384">
        <v>46055.125</v>
      </c>
      <c r="H271" s="358" t="s">
        <v>140</v>
      </c>
      <c r="I271" s="358">
        <v>11</v>
      </c>
      <c r="J271" s="359" t="str">
        <f>IFERROR(VLOOKUP($A271,#REF!,3,0),"")</f>
        <v/>
      </c>
      <c r="K271" s="359">
        <f>IFERROR(VLOOKUP($A271,#REF!,4,0),AF271)</f>
        <v>0</v>
      </c>
      <c r="L271" s="359" t="str">
        <f>IFERROR(VLOOKUP($A271,#REF!,5,0),"")</f>
        <v/>
      </c>
      <c r="M271" s="359" t="str">
        <f>IFERROR(VLOOKUP($A271,#REF!,7,0),"")</f>
        <v/>
      </c>
      <c r="N271" s="359"/>
      <c r="O271" s="359" t="str">
        <f>IFERROR(VLOOKUP($A271,#REF!,6,0),"")</f>
        <v/>
      </c>
      <c r="P271" s="359" t="str">
        <f>IFERROR(VLOOKUP($A271,#REF!,9,0),"")</f>
        <v/>
      </c>
      <c r="Q271" s="359" t="str">
        <f>IFERROR(VLOOKUP($A271,#REF!,10,0),"")</f>
        <v/>
      </c>
      <c r="R271" s="359" t="str">
        <f>IFERROR(VLOOKUP($A271,#REF!,11,0),"")</f>
        <v/>
      </c>
      <c r="S271" s="359" t="str">
        <f>IFERROR(VLOOKUP($A271,#REF!,13,0),"")</f>
        <v/>
      </c>
      <c r="T271" s="359" t="str">
        <f>IFERROR(VLOOKUP($A271,#REF!,14,0),"")</f>
        <v/>
      </c>
      <c r="U271" s="359" t="str">
        <f>IFERROR(VLOOKUP($A271,#REF!,15,0),"")</f>
        <v/>
      </c>
      <c r="V271" s="359" t="str">
        <f>IFERROR(VLOOKUP($A271,#REF!,16,0),"")</f>
        <v/>
      </c>
      <c r="W271" s="359" t="str">
        <f>IFERROR(VLOOKUP($A271,#REF!,17,0),"")</f>
        <v/>
      </c>
      <c r="X271" s="359" t="str">
        <f>IFERROR(VLOOKUP($A271,#REF!,18,0),"")</f>
        <v/>
      </c>
      <c r="Y271" s="359" t="str">
        <f>IFERROR(VLOOKUP($A271,#REF!,19,0),"")</f>
        <v/>
      </c>
      <c r="Z271" s="400" t="str">
        <f>IFERROR(VLOOKUP($A271,#REF!,21,0),"")</f>
        <v/>
      </c>
      <c r="AA271" s="358"/>
      <c r="AB271" s="358"/>
      <c r="AC271" s="358" t="s">
        <v>3243</v>
      </c>
      <c r="AD271" s="358"/>
      <c r="AE271" s="102"/>
      <c r="AF271" s="141"/>
      <c r="AG271" s="358"/>
      <c r="AH271" s="358"/>
      <c r="AI271" s="358"/>
      <c r="AJ271" s="358"/>
      <c r="AK271" s="358"/>
      <c r="AL271" s="358"/>
      <c r="AM271" s="358"/>
      <c r="AN271" s="358" t="s">
        <v>113</v>
      </c>
      <c r="AO271" s="380" t="s">
        <v>30</v>
      </c>
      <c r="AP271" s="128">
        <v>46106</v>
      </c>
      <c r="AQ271" s="384" t="s">
        <v>1638</v>
      </c>
      <c r="AR271" s="358" t="s">
        <v>32</v>
      </c>
      <c r="AS271" s="358">
        <v>11</v>
      </c>
      <c r="AT271" s="384" t="s">
        <v>1638</v>
      </c>
      <c r="AU271" s="128">
        <v>46106</v>
      </c>
      <c r="AV271" s="82" t="s">
        <v>113</v>
      </c>
      <c r="AW271" s="82" t="s">
        <v>113</v>
      </c>
      <c r="AX271" s="82" t="s">
        <v>113</v>
      </c>
      <c r="AY271" s="100"/>
      <c r="AZ271" s="100"/>
      <c r="BA271" s="100"/>
      <c r="BB271" s="100"/>
      <c r="BC271" s="100"/>
      <c r="BD271" s="100"/>
      <c r="BE271" s="100"/>
      <c r="BF271" s="100"/>
      <c r="BG271" s="114"/>
      <c r="BH271" s="100"/>
      <c r="BI271" s="100"/>
      <c r="BJ271" s="100"/>
      <c r="BK271" s="114"/>
      <c r="BL271" s="360"/>
      <c r="BN271" s="412"/>
      <c r="BO271" s="412"/>
      <c r="BP271" s="412"/>
      <c r="BQ271" s="412"/>
      <c r="BR271" s="412"/>
      <c r="BY271" s="109"/>
      <c r="BZ271">
        <f t="shared" si="8"/>
        <v>1</v>
      </c>
    </row>
    <row r="272" spans="1:78" hidden="1">
      <c r="A272" s="35" t="str">
        <f t="shared" si="9"/>
        <v>ELPTMED_073/2646055,375</v>
      </c>
      <c r="C272" s="358" t="s">
        <v>2342</v>
      </c>
      <c r="D272" s="358">
        <v>269</v>
      </c>
      <c r="E272" s="358" t="s">
        <v>3487</v>
      </c>
      <c r="F272" s="358" t="s">
        <v>937</v>
      </c>
      <c r="G272" s="384">
        <v>46055.375</v>
      </c>
      <c r="H272" s="358" t="s">
        <v>140</v>
      </c>
      <c r="I272" s="358">
        <v>2</v>
      </c>
      <c r="J272" s="359" t="str">
        <f>IFERROR(VLOOKUP($A272,#REF!,3,0),"")</f>
        <v/>
      </c>
      <c r="K272" s="359">
        <f>IFERROR(VLOOKUP($A272,#REF!,4,0),AF272)</f>
        <v>0</v>
      </c>
      <c r="L272" s="359" t="str">
        <f>IFERROR(VLOOKUP($A272,#REF!,5,0),"")</f>
        <v/>
      </c>
      <c r="M272" s="359" t="str">
        <f>IFERROR(VLOOKUP($A272,#REF!,7,0),"")</f>
        <v/>
      </c>
      <c r="N272" s="359"/>
      <c r="O272" s="359" t="str">
        <f>IFERROR(VLOOKUP($A272,#REF!,6,0),"")</f>
        <v/>
      </c>
      <c r="P272" s="359" t="str">
        <f>IFERROR(VLOOKUP($A272,#REF!,9,0),"")</f>
        <v/>
      </c>
      <c r="Q272" s="359" t="str">
        <f>IFERROR(VLOOKUP($A272,#REF!,10,0),"")</f>
        <v/>
      </c>
      <c r="R272" s="359" t="str">
        <f>IFERROR(VLOOKUP($A272,#REF!,11,0),"")</f>
        <v/>
      </c>
      <c r="S272" s="359" t="str">
        <f>IFERROR(VLOOKUP($A272,#REF!,13,0),"")</f>
        <v/>
      </c>
      <c r="T272" s="359" t="str">
        <f>IFERROR(VLOOKUP($A272,#REF!,14,0),"")</f>
        <v/>
      </c>
      <c r="U272" s="359" t="str">
        <f>IFERROR(VLOOKUP($A272,#REF!,15,0),"")</f>
        <v/>
      </c>
      <c r="V272" s="359" t="str">
        <f>IFERROR(VLOOKUP($A272,#REF!,16,0),"")</f>
        <v/>
      </c>
      <c r="W272" s="359" t="str">
        <f>IFERROR(VLOOKUP($A272,#REF!,17,0),"")</f>
        <v/>
      </c>
      <c r="X272" s="359" t="str">
        <f>IFERROR(VLOOKUP($A272,#REF!,18,0),"")</f>
        <v/>
      </c>
      <c r="Y272" s="359" t="str">
        <f>IFERROR(VLOOKUP($A272,#REF!,19,0),"")</f>
        <v/>
      </c>
      <c r="Z272" s="400" t="str">
        <f>IFERROR(VLOOKUP($A272,#REF!,21,0),"")</f>
        <v/>
      </c>
      <c r="AA272" s="358"/>
      <c r="AB272" s="358"/>
      <c r="AC272" s="358" t="s">
        <v>3075</v>
      </c>
      <c r="AD272" s="358"/>
      <c r="AE272" s="102"/>
      <c r="AF272" s="141"/>
      <c r="AG272" s="358"/>
      <c r="AH272" s="358"/>
      <c r="AI272" s="358"/>
      <c r="AJ272" s="358"/>
      <c r="AK272" s="358"/>
      <c r="AL272" s="358"/>
      <c r="AM272" s="358"/>
      <c r="AN272" s="358" t="s">
        <v>113</v>
      </c>
      <c r="AO272" s="380" t="s">
        <v>30</v>
      </c>
      <c r="AP272" s="380">
        <v>46105</v>
      </c>
      <c r="AQ272" s="384" t="s">
        <v>1638</v>
      </c>
      <c r="AR272" s="358" t="s">
        <v>32</v>
      </c>
      <c r="AS272" s="358">
        <v>2</v>
      </c>
      <c r="AT272" s="384" t="s">
        <v>1638</v>
      </c>
      <c r="AU272" s="380">
        <v>46105</v>
      </c>
      <c r="AV272" s="82" t="s">
        <v>113</v>
      </c>
      <c r="AW272" s="82" t="s">
        <v>113</v>
      </c>
      <c r="AX272" s="82" t="s">
        <v>113</v>
      </c>
      <c r="AY272" s="100"/>
      <c r="AZ272" s="100"/>
      <c r="BA272" s="100"/>
      <c r="BB272" s="100"/>
      <c r="BC272" s="100"/>
      <c r="BD272" s="100"/>
      <c r="BE272" s="100"/>
      <c r="BF272" s="100"/>
      <c r="BG272" s="114"/>
      <c r="BH272" s="100"/>
      <c r="BI272" s="100"/>
      <c r="BJ272" s="100"/>
      <c r="BK272" s="114"/>
      <c r="BL272" s="360"/>
      <c r="BN272" s="412"/>
      <c r="BO272" s="412"/>
      <c r="BP272" s="412"/>
      <c r="BQ272" s="412"/>
      <c r="BR272" s="412"/>
      <c r="BY272" s="109"/>
      <c r="BZ272">
        <f t="shared" si="8"/>
        <v>1</v>
      </c>
    </row>
    <row r="273" spans="1:78" hidden="1">
      <c r="A273" s="35" t="str">
        <f t="shared" si="9"/>
        <v>ELPTMED_074/2646055</v>
      </c>
      <c r="C273" s="358" t="s">
        <v>2342</v>
      </c>
      <c r="D273" s="358">
        <v>270</v>
      </c>
      <c r="E273" s="401" t="s">
        <v>3488</v>
      </c>
      <c r="F273" s="401" t="s">
        <v>1198</v>
      </c>
      <c r="G273" s="402">
        <v>46055</v>
      </c>
      <c r="H273" s="401" t="s">
        <v>140</v>
      </c>
      <c r="I273" s="401">
        <v>39</v>
      </c>
      <c r="J273" s="359" t="str">
        <f>IFERROR(VLOOKUP($A273,#REF!,3,0),"")</f>
        <v/>
      </c>
      <c r="K273" s="359">
        <f>IFERROR(VLOOKUP($A273,#REF!,4,0),AF273)</f>
        <v>0</v>
      </c>
      <c r="L273" s="359" t="str">
        <f>IFERROR(VLOOKUP($A273,#REF!,5,0),"")</f>
        <v/>
      </c>
      <c r="M273" s="359" t="str">
        <f>IFERROR(VLOOKUP($A273,#REF!,7,0),"")</f>
        <v/>
      </c>
      <c r="N273" s="359"/>
      <c r="O273" s="359" t="str">
        <f>IFERROR(VLOOKUP($A273,#REF!,6,0),"")</f>
        <v/>
      </c>
      <c r="P273" s="359" t="str">
        <f>IFERROR(VLOOKUP($A273,#REF!,9,0),"")</f>
        <v/>
      </c>
      <c r="Q273" s="359" t="str">
        <f>IFERROR(VLOOKUP($A273,#REF!,10,0),"")</f>
        <v/>
      </c>
      <c r="R273" s="359" t="str">
        <f>IFERROR(VLOOKUP($A273,#REF!,11,0),"")</f>
        <v/>
      </c>
      <c r="S273" s="359" t="str">
        <f>IFERROR(VLOOKUP($A273,#REF!,13,0),"")</f>
        <v/>
      </c>
      <c r="T273" s="359" t="str">
        <f>IFERROR(VLOOKUP($A273,#REF!,14,0),"")</f>
        <v/>
      </c>
      <c r="U273" s="359" t="str">
        <f>IFERROR(VLOOKUP($A273,#REF!,15,0),"")</f>
        <v/>
      </c>
      <c r="V273" s="359" t="str">
        <f>IFERROR(VLOOKUP($A273,#REF!,16,0),"")</f>
        <v/>
      </c>
      <c r="W273" s="359" t="str">
        <f>IFERROR(VLOOKUP($A273,#REF!,17,0),"")</f>
        <v/>
      </c>
      <c r="X273" s="359" t="str">
        <f>IFERROR(VLOOKUP($A273,#REF!,18,0),"")</f>
        <v/>
      </c>
      <c r="Y273" s="359" t="str">
        <f>IFERROR(VLOOKUP($A273,#REF!,19,0),"")</f>
        <v/>
      </c>
      <c r="Z273" s="400" t="str">
        <f>IFERROR(VLOOKUP($A273,#REF!,21,0),"")</f>
        <v/>
      </c>
      <c r="AA273" s="401"/>
      <c r="AB273" s="401"/>
      <c r="AC273" s="359" t="s">
        <v>3075</v>
      </c>
      <c r="AD273" s="358"/>
      <c r="AE273" s="358"/>
      <c r="AF273" s="141"/>
      <c r="AG273" s="358"/>
      <c r="AH273" s="358"/>
      <c r="AI273" s="358"/>
      <c r="AJ273" s="358"/>
      <c r="AK273" s="358"/>
      <c r="AL273" s="358"/>
      <c r="AM273" s="358"/>
      <c r="AN273" s="358" t="s">
        <v>113</v>
      </c>
      <c r="AO273" s="94" t="s">
        <v>30</v>
      </c>
      <c r="AP273" s="23">
        <v>46112</v>
      </c>
      <c r="AQ273" s="384" t="s">
        <v>28</v>
      </c>
      <c r="AR273" s="358"/>
      <c r="AS273" s="358"/>
      <c r="AT273" s="384"/>
      <c r="AU273" s="380"/>
      <c r="AV273" s="82" t="s">
        <v>113</v>
      </c>
      <c r="AW273" s="82" t="s">
        <v>113</v>
      </c>
      <c r="AX273" s="82" t="s">
        <v>113</v>
      </c>
      <c r="AY273" s="100"/>
      <c r="AZ273" s="100"/>
      <c r="BA273" s="100"/>
      <c r="BB273" s="100"/>
      <c r="BC273" s="100"/>
      <c r="BD273" s="100"/>
      <c r="BE273" s="100"/>
      <c r="BF273" s="100"/>
      <c r="BG273" s="114"/>
      <c r="BH273" s="111"/>
      <c r="BI273" s="111"/>
      <c r="BJ273" s="111"/>
      <c r="BK273" s="114"/>
      <c r="BL273" s="360"/>
      <c r="BN273" s="412"/>
      <c r="BO273" s="412"/>
      <c r="BP273" s="412"/>
      <c r="BQ273" s="412"/>
      <c r="BR273" s="412"/>
      <c r="BX273" s="140"/>
      <c r="BY273" s="140"/>
      <c r="BZ273">
        <f t="shared" si="8"/>
        <v>1</v>
      </c>
    </row>
    <row r="274" spans="1:78" hidden="1">
      <c r="A274" s="35" t="str">
        <f t="shared" si="9"/>
        <v>ELPTMED_075/2646055,0416666667</v>
      </c>
      <c r="C274" s="358" t="s">
        <v>2342</v>
      </c>
      <c r="D274" s="358">
        <v>271</v>
      </c>
      <c r="E274" s="358" t="s">
        <v>3489</v>
      </c>
      <c r="F274" s="358" t="s">
        <v>992</v>
      </c>
      <c r="G274" s="384">
        <v>46055.041666666664</v>
      </c>
      <c r="H274" s="358" t="s">
        <v>140</v>
      </c>
      <c r="I274" s="358">
        <v>1</v>
      </c>
      <c r="J274" s="359" t="str">
        <f>IFERROR(VLOOKUP($A274,#REF!,3,0),"")</f>
        <v/>
      </c>
      <c r="K274" s="359">
        <f>IFERROR(VLOOKUP($A274,#REF!,4,0),AF274)</f>
        <v>0</v>
      </c>
      <c r="L274" s="359" t="str">
        <f>IFERROR(VLOOKUP($A274,#REF!,5,0),"")</f>
        <v/>
      </c>
      <c r="M274" s="359" t="str">
        <f>IFERROR(VLOOKUP($A274,#REF!,7,0),"")</f>
        <v/>
      </c>
      <c r="N274" s="359"/>
      <c r="O274" s="359" t="str">
        <f>IFERROR(VLOOKUP($A274,#REF!,6,0),"")</f>
        <v/>
      </c>
      <c r="P274" s="359" t="str">
        <f>IFERROR(VLOOKUP($A274,#REF!,9,0),"")</f>
        <v/>
      </c>
      <c r="Q274" s="359" t="str">
        <f>IFERROR(VLOOKUP($A274,#REF!,10,0),"")</f>
        <v/>
      </c>
      <c r="R274" s="359" t="str">
        <f>IFERROR(VLOOKUP($A274,#REF!,11,0),"")</f>
        <v/>
      </c>
      <c r="S274" s="359" t="str">
        <f>IFERROR(VLOOKUP($A274,#REF!,13,0),"")</f>
        <v/>
      </c>
      <c r="T274" s="359" t="str">
        <f>IFERROR(VLOOKUP($A274,#REF!,14,0),"")</f>
        <v/>
      </c>
      <c r="U274" s="359" t="str">
        <f>IFERROR(VLOOKUP($A274,#REF!,15,0),"")</f>
        <v/>
      </c>
      <c r="V274" s="359" t="str">
        <f>IFERROR(VLOOKUP($A274,#REF!,16,0),"")</f>
        <v/>
      </c>
      <c r="W274" s="359" t="str">
        <f>IFERROR(VLOOKUP($A274,#REF!,17,0),"")</f>
        <v/>
      </c>
      <c r="X274" s="359" t="str">
        <f>IFERROR(VLOOKUP($A274,#REF!,18,0),"")</f>
        <v/>
      </c>
      <c r="Y274" s="359" t="str">
        <f>IFERROR(VLOOKUP($A274,#REF!,19,0),"")</f>
        <v/>
      </c>
      <c r="Z274" s="400" t="str">
        <f>IFERROR(VLOOKUP($A274,#REF!,21,0),"")</f>
        <v/>
      </c>
      <c r="AA274" s="358"/>
      <c r="AB274" s="358"/>
      <c r="AC274" s="359" t="s">
        <v>127</v>
      </c>
      <c r="AD274" s="358"/>
      <c r="AE274" s="358"/>
      <c r="AF274" s="141"/>
      <c r="AG274" s="358"/>
      <c r="AH274" s="358"/>
      <c r="AI274" s="358"/>
      <c r="AJ274" s="358"/>
      <c r="AK274" s="358"/>
      <c r="AL274" s="358"/>
      <c r="AM274" s="358"/>
      <c r="AN274" s="358" t="s">
        <v>113</v>
      </c>
      <c r="AO274" s="380" t="s">
        <v>30</v>
      </c>
      <c r="AP274" s="380">
        <v>46100</v>
      </c>
      <c r="AQ274" s="384" t="s">
        <v>3357</v>
      </c>
      <c r="AR274" s="358" t="s">
        <v>32</v>
      </c>
      <c r="AS274" s="358">
        <v>1</v>
      </c>
      <c r="AT274" s="384" t="s">
        <v>3357</v>
      </c>
      <c r="AU274" s="380">
        <v>46100</v>
      </c>
      <c r="AV274" s="82" t="s">
        <v>113</v>
      </c>
      <c r="AW274" s="82" t="s">
        <v>113</v>
      </c>
      <c r="AX274" s="82" t="s">
        <v>113</v>
      </c>
      <c r="AY274" s="95"/>
      <c r="AZ274" s="95"/>
      <c r="BA274" s="100"/>
      <c r="BB274" s="100"/>
      <c r="BC274" s="100"/>
      <c r="BD274" s="100"/>
      <c r="BE274" s="100"/>
      <c r="BF274" s="100"/>
      <c r="BG274" s="114"/>
      <c r="BH274" s="111"/>
      <c r="BI274" s="111"/>
      <c r="BJ274" s="111"/>
      <c r="BK274" s="114"/>
      <c r="BL274" s="360"/>
      <c r="BN274" s="412"/>
      <c r="BO274" s="412"/>
      <c r="BP274" s="412"/>
      <c r="BQ274" s="412"/>
      <c r="BR274" s="412"/>
      <c r="BY274" s="109"/>
      <c r="BZ274">
        <f t="shared" si="8"/>
        <v>1</v>
      </c>
    </row>
    <row r="275" spans="1:78" hidden="1">
      <c r="A275" s="35" t="str">
        <f t="shared" si="9"/>
        <v>ELPTMED_076/2646055,0416666667</v>
      </c>
      <c r="C275" s="358" t="s">
        <v>2342</v>
      </c>
      <c r="D275" s="358">
        <v>272</v>
      </c>
      <c r="E275" s="358" t="s">
        <v>3490</v>
      </c>
      <c r="F275" s="358" t="s">
        <v>1424</v>
      </c>
      <c r="G275" s="384">
        <v>46055.041666666664</v>
      </c>
      <c r="H275" s="358" t="s">
        <v>140</v>
      </c>
      <c r="I275" s="358">
        <v>2</v>
      </c>
      <c r="J275" s="359" t="str">
        <f>IFERROR(VLOOKUP($A275,#REF!,3,0),"")</f>
        <v/>
      </c>
      <c r="K275" s="359">
        <f>IFERROR(VLOOKUP($A275,#REF!,4,0),AF275)</f>
        <v>0</v>
      </c>
      <c r="L275" s="359" t="str">
        <f>IFERROR(VLOOKUP($A275,#REF!,5,0),"")</f>
        <v/>
      </c>
      <c r="M275" s="359" t="str">
        <f>IFERROR(VLOOKUP($A275,#REF!,7,0),"")</f>
        <v/>
      </c>
      <c r="N275" s="359"/>
      <c r="O275" s="359" t="str">
        <f>IFERROR(VLOOKUP($A275,#REF!,6,0),"")</f>
        <v/>
      </c>
      <c r="P275" s="359" t="str">
        <f>IFERROR(VLOOKUP($A275,#REF!,9,0),"")</f>
        <v/>
      </c>
      <c r="Q275" s="359" t="str">
        <f>IFERROR(VLOOKUP($A275,#REF!,10,0),"")</f>
        <v/>
      </c>
      <c r="R275" s="359" t="str">
        <f>IFERROR(VLOOKUP($A275,#REF!,11,0),"")</f>
        <v/>
      </c>
      <c r="S275" s="359" t="str">
        <f>IFERROR(VLOOKUP($A275,#REF!,13,0),"")</f>
        <v/>
      </c>
      <c r="T275" s="359" t="str">
        <f>IFERROR(VLOOKUP($A275,#REF!,14,0),"")</f>
        <v/>
      </c>
      <c r="U275" s="359" t="str">
        <f>IFERROR(VLOOKUP($A275,#REF!,15,0),"")</f>
        <v/>
      </c>
      <c r="V275" s="359" t="str">
        <f>IFERROR(VLOOKUP($A275,#REF!,16,0),"")</f>
        <v/>
      </c>
      <c r="W275" s="359" t="str">
        <f>IFERROR(VLOOKUP($A275,#REF!,17,0),"")</f>
        <v/>
      </c>
      <c r="X275" s="359" t="str">
        <f>IFERROR(VLOOKUP($A275,#REF!,18,0),"")</f>
        <v/>
      </c>
      <c r="Y275" s="359" t="str">
        <f>IFERROR(VLOOKUP($A275,#REF!,19,0),"")</f>
        <v/>
      </c>
      <c r="Z275" s="400" t="str">
        <f>IFERROR(VLOOKUP($A275,#REF!,21,0),"")</f>
        <v/>
      </c>
      <c r="AA275" s="358"/>
      <c r="AB275" s="358"/>
      <c r="AC275" s="359" t="s">
        <v>3075</v>
      </c>
      <c r="AD275" s="358"/>
      <c r="AE275" s="358"/>
      <c r="AF275" s="141"/>
      <c r="AG275" s="358"/>
      <c r="AH275" s="358"/>
      <c r="AI275" s="358"/>
      <c r="AJ275" s="358"/>
      <c r="AK275" s="358"/>
      <c r="AL275" s="358"/>
      <c r="AM275" s="358"/>
      <c r="AN275" s="358" t="s">
        <v>113</v>
      </c>
      <c r="AO275" s="380" t="s">
        <v>30</v>
      </c>
      <c r="AP275" s="380">
        <v>46104</v>
      </c>
      <c r="AQ275" s="384" t="s">
        <v>3357</v>
      </c>
      <c r="AR275" s="358" t="s">
        <v>32</v>
      </c>
      <c r="AS275" s="358">
        <v>2</v>
      </c>
      <c r="AT275" s="384" t="s">
        <v>3357</v>
      </c>
      <c r="AU275" s="380">
        <v>46104</v>
      </c>
      <c r="AV275" s="82" t="s">
        <v>113</v>
      </c>
      <c r="AW275" s="82" t="s">
        <v>113</v>
      </c>
      <c r="AX275" s="82" t="s">
        <v>113</v>
      </c>
      <c r="AY275" s="95"/>
      <c r="AZ275" s="95"/>
      <c r="BA275" s="95"/>
      <c r="BB275" s="100"/>
      <c r="BC275" s="100"/>
      <c r="BD275" s="100"/>
      <c r="BE275" s="100"/>
      <c r="BF275" s="100"/>
      <c r="BG275" s="114"/>
      <c r="BH275" s="100"/>
      <c r="BI275" s="100"/>
      <c r="BJ275" s="100"/>
      <c r="BK275" s="114"/>
      <c r="BL275" s="360"/>
      <c r="BN275" s="412"/>
      <c r="BO275" s="412"/>
      <c r="BP275" s="412"/>
      <c r="BQ275" s="412"/>
      <c r="BR275" s="412"/>
      <c r="BX275" s="96"/>
      <c r="BY275" s="109"/>
      <c r="BZ275">
        <f t="shared" si="8"/>
        <v>1</v>
      </c>
    </row>
    <row r="276" spans="1:78" hidden="1">
      <c r="A276" s="35" t="str">
        <f t="shared" si="9"/>
        <v>ELPTMED_077/2646055,0416666667</v>
      </c>
      <c r="C276" s="358" t="s">
        <v>2342</v>
      </c>
      <c r="D276" s="358">
        <v>273</v>
      </c>
      <c r="E276" s="358" t="s">
        <v>3491</v>
      </c>
      <c r="F276" s="358" t="s">
        <v>829</v>
      </c>
      <c r="G276" s="384">
        <v>46055.041666666664</v>
      </c>
      <c r="H276" s="358" t="s">
        <v>140</v>
      </c>
      <c r="I276" s="358">
        <v>49</v>
      </c>
      <c r="J276" s="359" t="str">
        <f>IFERROR(VLOOKUP($A276,#REF!,3,0),"")</f>
        <v/>
      </c>
      <c r="K276" s="359">
        <f>IFERROR(VLOOKUP($A276,#REF!,4,0),AF276)</f>
        <v>0</v>
      </c>
      <c r="L276" s="359" t="str">
        <f>IFERROR(VLOOKUP($A276,#REF!,5,0),"")</f>
        <v/>
      </c>
      <c r="M276" s="359" t="str">
        <f>IFERROR(VLOOKUP($A276,#REF!,7,0),"")</f>
        <v/>
      </c>
      <c r="N276" s="359"/>
      <c r="O276" s="359" t="str">
        <f>IFERROR(VLOOKUP($A276,#REF!,6,0),"")</f>
        <v/>
      </c>
      <c r="P276" s="359" t="str">
        <f>IFERROR(VLOOKUP($A276,#REF!,9,0),"")</f>
        <v/>
      </c>
      <c r="Q276" s="359" t="str">
        <f>IFERROR(VLOOKUP($A276,#REF!,10,0),"")</f>
        <v/>
      </c>
      <c r="R276" s="359" t="str">
        <f>IFERROR(VLOOKUP($A276,#REF!,11,0),"")</f>
        <v/>
      </c>
      <c r="S276" s="359" t="str">
        <f>IFERROR(VLOOKUP($A276,#REF!,13,0),"")</f>
        <v/>
      </c>
      <c r="T276" s="359" t="str">
        <f>IFERROR(VLOOKUP($A276,#REF!,14,0),"")</f>
        <v/>
      </c>
      <c r="U276" s="359" t="str">
        <f>IFERROR(VLOOKUP($A276,#REF!,15,0),"")</f>
        <v/>
      </c>
      <c r="V276" s="359" t="str">
        <f>IFERROR(VLOOKUP($A276,#REF!,16,0),"")</f>
        <v/>
      </c>
      <c r="W276" s="359" t="str">
        <f>IFERROR(VLOOKUP($A276,#REF!,17,0),"")</f>
        <v/>
      </c>
      <c r="X276" s="359" t="str">
        <f>IFERROR(VLOOKUP($A276,#REF!,18,0),"")</f>
        <v/>
      </c>
      <c r="Y276" s="359" t="str">
        <f>IFERROR(VLOOKUP($A276,#REF!,19,0),"")</f>
        <v/>
      </c>
      <c r="Z276" s="400" t="str">
        <f>IFERROR(VLOOKUP($A276,#REF!,21,0),"")</f>
        <v/>
      </c>
      <c r="AA276" s="358"/>
      <c r="AB276" s="358"/>
      <c r="AC276" s="359" t="s">
        <v>3492</v>
      </c>
      <c r="AD276" s="358"/>
      <c r="AE276" s="102"/>
      <c r="AF276" s="141"/>
      <c r="AG276" s="358"/>
      <c r="AH276" s="358"/>
      <c r="AI276" s="358"/>
      <c r="AJ276" s="358"/>
      <c r="AK276" s="358"/>
      <c r="AL276" s="358"/>
      <c r="AM276" s="358"/>
      <c r="AN276" s="358" t="s">
        <v>113</v>
      </c>
      <c r="AO276" s="380" t="s">
        <v>30</v>
      </c>
      <c r="AP276" s="380">
        <v>46108</v>
      </c>
      <c r="AQ276" s="384" t="s">
        <v>47</v>
      </c>
      <c r="AR276" s="358" t="s">
        <v>32</v>
      </c>
      <c r="AS276" s="358">
        <v>48</v>
      </c>
      <c r="AT276" s="384" t="s">
        <v>47</v>
      </c>
      <c r="AU276" s="380">
        <v>46108</v>
      </c>
      <c r="AV276" s="82" t="s">
        <v>113</v>
      </c>
      <c r="AW276" s="82" t="s">
        <v>113</v>
      </c>
      <c r="AX276" s="82" t="s">
        <v>113</v>
      </c>
      <c r="AY276" s="100"/>
      <c r="AZ276" s="100"/>
      <c r="BA276" s="100"/>
      <c r="BB276" s="100"/>
      <c r="BC276" s="100"/>
      <c r="BD276" s="100"/>
      <c r="BE276" s="100"/>
      <c r="BF276" s="100"/>
      <c r="BG276" s="114"/>
      <c r="BH276" s="100"/>
      <c r="BI276" s="100"/>
      <c r="BJ276" s="100"/>
      <c r="BK276" s="114"/>
      <c r="BL276" s="360"/>
      <c r="BN276" s="412"/>
      <c r="BO276" s="412"/>
      <c r="BP276" s="412"/>
      <c r="BQ276" s="412"/>
      <c r="BR276" s="412"/>
      <c r="BX276" s="140"/>
      <c r="BY276" s="140"/>
      <c r="BZ276">
        <f t="shared" si="8"/>
        <v>1</v>
      </c>
    </row>
    <row r="277" spans="1:78" hidden="1">
      <c r="A277" s="35" t="str">
        <f t="shared" si="9"/>
        <v>ELPTMED_078/2646055,0416666667</v>
      </c>
      <c r="C277" s="358" t="s">
        <v>2342</v>
      </c>
      <c r="D277" s="358">
        <v>274</v>
      </c>
      <c r="E277" s="358" t="s">
        <v>3493</v>
      </c>
      <c r="F277" s="358" t="s">
        <v>818</v>
      </c>
      <c r="G277" s="384">
        <v>46055.041666666664</v>
      </c>
      <c r="H277" s="358" t="s">
        <v>140</v>
      </c>
      <c r="I277" s="358">
        <v>4</v>
      </c>
      <c r="J277" s="359" t="str">
        <f>IFERROR(VLOOKUP($A277,#REF!,3,0),"")</f>
        <v/>
      </c>
      <c r="K277" s="359">
        <f>IFERROR(VLOOKUP($A277,#REF!,4,0),AF277)</f>
        <v>0</v>
      </c>
      <c r="L277" s="359" t="str">
        <f>IFERROR(VLOOKUP($A277,#REF!,5,0),"")</f>
        <v/>
      </c>
      <c r="M277" s="359" t="str">
        <f>IFERROR(VLOOKUP($A277,#REF!,7,0),"")</f>
        <v/>
      </c>
      <c r="N277" s="359"/>
      <c r="O277" s="359" t="str">
        <f>IFERROR(VLOOKUP($A277,#REF!,6,0),"")</f>
        <v/>
      </c>
      <c r="P277" s="359" t="str">
        <f>IFERROR(VLOOKUP($A277,#REF!,9,0),"")</f>
        <v/>
      </c>
      <c r="Q277" s="359" t="str">
        <f>IFERROR(VLOOKUP($A277,#REF!,10,0),"")</f>
        <v/>
      </c>
      <c r="R277" s="359" t="str">
        <f>IFERROR(VLOOKUP($A277,#REF!,11,0),"")</f>
        <v/>
      </c>
      <c r="S277" s="359" t="str">
        <f>IFERROR(VLOOKUP($A277,#REF!,13,0),"")</f>
        <v/>
      </c>
      <c r="T277" s="359" t="str">
        <f>IFERROR(VLOOKUP($A277,#REF!,14,0),"")</f>
        <v/>
      </c>
      <c r="U277" s="359" t="str">
        <f>IFERROR(VLOOKUP($A277,#REF!,15,0),"")</f>
        <v/>
      </c>
      <c r="V277" s="359" t="str">
        <f>IFERROR(VLOOKUP($A277,#REF!,16,0),"")</f>
        <v/>
      </c>
      <c r="W277" s="359" t="str">
        <f>IFERROR(VLOOKUP($A277,#REF!,17,0),"")</f>
        <v/>
      </c>
      <c r="X277" s="359" t="str">
        <f>IFERROR(VLOOKUP($A277,#REF!,18,0),"")</f>
        <v/>
      </c>
      <c r="Y277" s="359" t="str">
        <f>IFERROR(VLOOKUP($A277,#REF!,19,0),"")</f>
        <v/>
      </c>
      <c r="Z277" s="400" t="str">
        <f>IFERROR(VLOOKUP($A277,#REF!,21,0),"")</f>
        <v/>
      </c>
      <c r="AA277" s="358"/>
      <c r="AB277" s="358"/>
      <c r="AC277" s="359" t="s">
        <v>3075</v>
      </c>
      <c r="AD277" s="358"/>
      <c r="AE277" s="358"/>
      <c r="AF277" s="141"/>
      <c r="AG277" s="358"/>
      <c r="AH277" s="358"/>
      <c r="AI277" s="358"/>
      <c r="AJ277" s="358"/>
      <c r="AK277" s="358"/>
      <c r="AL277" s="358"/>
      <c r="AM277" s="358"/>
      <c r="AN277" s="358" t="s">
        <v>113</v>
      </c>
      <c r="AO277" s="380" t="s">
        <v>30</v>
      </c>
      <c r="AP277" s="380">
        <v>46105</v>
      </c>
      <c r="AQ277" s="384" t="s">
        <v>1638</v>
      </c>
      <c r="AR277" s="358" t="s">
        <v>32</v>
      </c>
      <c r="AS277" s="358">
        <v>4</v>
      </c>
      <c r="AT277" s="384" t="s">
        <v>1638</v>
      </c>
      <c r="AU277" s="380">
        <v>46105</v>
      </c>
      <c r="AV277" s="82" t="s">
        <v>113</v>
      </c>
      <c r="AW277" s="82" t="s">
        <v>113</v>
      </c>
      <c r="AX277" s="82" t="s">
        <v>113</v>
      </c>
      <c r="AY277" s="100"/>
      <c r="AZ277" s="100"/>
      <c r="BA277" s="100"/>
      <c r="BB277" s="100"/>
      <c r="BC277" s="100"/>
      <c r="BD277" s="100"/>
      <c r="BE277" s="100"/>
      <c r="BF277" s="100"/>
      <c r="BG277" s="114"/>
      <c r="BH277" s="100"/>
      <c r="BI277" s="100"/>
      <c r="BJ277" s="100"/>
      <c r="BK277" s="114"/>
      <c r="BL277" s="360"/>
      <c r="BN277" s="412"/>
      <c r="BO277" s="412"/>
      <c r="BP277" s="412"/>
      <c r="BQ277" s="412"/>
      <c r="BR277" s="412"/>
      <c r="BY277" s="109"/>
      <c r="BZ277">
        <f t="shared" si="8"/>
        <v>1</v>
      </c>
    </row>
    <row r="278" spans="1:78" hidden="1">
      <c r="A278" s="35" t="str">
        <f t="shared" si="9"/>
        <v>ELPTMED_079/2646055,375</v>
      </c>
      <c r="C278" s="358" t="s">
        <v>2342</v>
      </c>
      <c r="D278" s="358">
        <v>275</v>
      </c>
      <c r="E278" s="358" t="s">
        <v>3494</v>
      </c>
      <c r="F278" s="358" t="s">
        <v>3495</v>
      </c>
      <c r="G278" s="384">
        <v>46055.375</v>
      </c>
      <c r="H278" s="358" t="s">
        <v>140</v>
      </c>
      <c r="I278" s="358">
        <v>8</v>
      </c>
      <c r="J278" s="359" t="str">
        <f>IFERROR(VLOOKUP($A278,#REF!,3,0),"")</f>
        <v/>
      </c>
      <c r="K278" s="359">
        <f>IFERROR(VLOOKUP($A278,#REF!,4,0),AF278)</f>
        <v>0</v>
      </c>
      <c r="L278" s="359" t="str">
        <f>IFERROR(VLOOKUP($A278,#REF!,5,0),"")</f>
        <v/>
      </c>
      <c r="M278" s="359" t="str">
        <f>IFERROR(VLOOKUP($A278,#REF!,7,0),"")</f>
        <v/>
      </c>
      <c r="N278" s="359"/>
      <c r="O278" s="359" t="str">
        <f>IFERROR(VLOOKUP($A278,#REF!,6,0),"")</f>
        <v/>
      </c>
      <c r="P278" s="359" t="str">
        <f>IFERROR(VLOOKUP($A278,#REF!,9,0),"")</f>
        <v/>
      </c>
      <c r="Q278" s="359" t="str">
        <f>IFERROR(VLOOKUP($A278,#REF!,10,0),"")</f>
        <v/>
      </c>
      <c r="R278" s="359" t="str">
        <f>IFERROR(VLOOKUP($A278,#REF!,11,0),"")</f>
        <v/>
      </c>
      <c r="S278" s="359" t="str">
        <f>IFERROR(VLOOKUP($A278,#REF!,13,0),"")</f>
        <v/>
      </c>
      <c r="T278" s="359" t="str">
        <f>IFERROR(VLOOKUP($A278,#REF!,14,0),"")</f>
        <v/>
      </c>
      <c r="U278" s="359" t="str">
        <f>IFERROR(VLOOKUP($A278,#REF!,15,0),"")</f>
        <v/>
      </c>
      <c r="V278" s="359" t="str">
        <f>IFERROR(VLOOKUP($A278,#REF!,16,0),"")</f>
        <v/>
      </c>
      <c r="W278" s="359" t="str">
        <f>IFERROR(VLOOKUP($A278,#REF!,17,0),"")</f>
        <v/>
      </c>
      <c r="X278" s="359" t="str">
        <f>IFERROR(VLOOKUP($A278,#REF!,18,0),"")</f>
        <v/>
      </c>
      <c r="Y278" s="359" t="str">
        <f>IFERROR(VLOOKUP($A278,#REF!,19,0),"")</f>
        <v/>
      </c>
      <c r="Z278" s="400" t="str">
        <f>IFERROR(VLOOKUP($A278,#REF!,21,0),"")</f>
        <v/>
      </c>
      <c r="AA278" s="358"/>
      <c r="AB278" s="358"/>
      <c r="AC278" s="359" t="s">
        <v>1721</v>
      </c>
      <c r="AD278" s="358"/>
      <c r="AE278" s="358"/>
      <c r="AF278" s="141"/>
      <c r="AG278" s="358"/>
      <c r="AH278" s="358"/>
      <c r="AI278" s="358"/>
      <c r="AJ278" s="358"/>
      <c r="AK278" s="358"/>
      <c r="AL278" s="358"/>
      <c r="AM278" s="358"/>
      <c r="AN278" s="358" t="s">
        <v>113</v>
      </c>
      <c r="AO278" s="380" t="s">
        <v>30</v>
      </c>
      <c r="AP278" s="380">
        <v>46105</v>
      </c>
      <c r="AQ278" s="384" t="s">
        <v>1638</v>
      </c>
      <c r="AR278" s="358" t="s">
        <v>32</v>
      </c>
      <c r="AS278" s="358">
        <v>8</v>
      </c>
      <c r="AT278" s="384" t="s">
        <v>1638</v>
      </c>
      <c r="AU278" s="380">
        <v>46105</v>
      </c>
      <c r="AV278" s="82" t="s">
        <v>113</v>
      </c>
      <c r="AW278" s="82" t="s">
        <v>113</v>
      </c>
      <c r="AX278" s="82" t="s">
        <v>113</v>
      </c>
      <c r="AY278" s="95"/>
      <c r="AZ278" s="95"/>
      <c r="BA278" s="95"/>
      <c r="BB278" s="100"/>
      <c r="BC278" s="100"/>
      <c r="BD278" s="100"/>
      <c r="BE278" s="100"/>
      <c r="BF278" s="100"/>
      <c r="BG278" s="114"/>
      <c r="BH278" s="111"/>
      <c r="BI278" s="111"/>
      <c r="BJ278" s="111"/>
      <c r="BK278" s="114"/>
      <c r="BL278" s="360"/>
      <c r="BN278" s="412"/>
      <c r="BO278" s="412"/>
      <c r="BP278" s="412"/>
      <c r="BQ278" s="412"/>
      <c r="BR278" s="412"/>
      <c r="BX278" s="109"/>
      <c r="BY278" s="109"/>
      <c r="BZ278">
        <f t="shared" si="8"/>
        <v>1</v>
      </c>
    </row>
    <row r="279" spans="1:78" hidden="1">
      <c r="A279" s="35" t="str">
        <f t="shared" si="9"/>
        <v>ELPTMED_080/2646055</v>
      </c>
      <c r="C279" s="358" t="s">
        <v>2342</v>
      </c>
      <c r="D279" s="358">
        <v>276</v>
      </c>
      <c r="E279" s="358" t="s">
        <v>3496</v>
      </c>
      <c r="F279" s="358" t="s">
        <v>969</v>
      </c>
      <c r="G279" s="384">
        <v>46055</v>
      </c>
      <c r="H279" s="358" t="s">
        <v>140</v>
      </c>
      <c r="I279" s="358">
        <v>9</v>
      </c>
      <c r="J279" s="359" t="str">
        <f>IFERROR(VLOOKUP($A279,#REF!,3,0),"")</f>
        <v/>
      </c>
      <c r="K279" s="359">
        <f>IFERROR(VLOOKUP($A279,#REF!,4,0),AF279)</f>
        <v>0</v>
      </c>
      <c r="L279" s="359" t="str">
        <f>IFERROR(VLOOKUP($A279,#REF!,5,0),"")</f>
        <v/>
      </c>
      <c r="M279" s="359" t="str">
        <f>IFERROR(VLOOKUP($A279,#REF!,7,0),"")</f>
        <v/>
      </c>
      <c r="N279" s="359"/>
      <c r="O279" s="359" t="str">
        <f>IFERROR(VLOOKUP($A279,#REF!,6,0),"")</f>
        <v/>
      </c>
      <c r="P279" s="359" t="str">
        <f>IFERROR(VLOOKUP($A279,#REF!,9,0),"")</f>
        <v/>
      </c>
      <c r="Q279" s="359" t="str">
        <f>IFERROR(VLOOKUP($A279,#REF!,10,0),"")</f>
        <v/>
      </c>
      <c r="R279" s="359" t="str">
        <f>IFERROR(VLOOKUP($A279,#REF!,11,0),"")</f>
        <v/>
      </c>
      <c r="S279" s="359" t="str">
        <f>IFERROR(VLOOKUP($A279,#REF!,13,0),"")</f>
        <v/>
      </c>
      <c r="T279" s="359" t="str">
        <f>IFERROR(VLOOKUP($A279,#REF!,14,0),"")</f>
        <v/>
      </c>
      <c r="U279" s="359" t="str">
        <f>IFERROR(VLOOKUP($A279,#REF!,15,0),"")</f>
        <v/>
      </c>
      <c r="V279" s="359" t="str">
        <f>IFERROR(VLOOKUP($A279,#REF!,16,0),"")</f>
        <v/>
      </c>
      <c r="W279" s="359" t="str">
        <f>IFERROR(VLOOKUP($A279,#REF!,17,0),"")</f>
        <v/>
      </c>
      <c r="X279" s="359" t="str">
        <f>IFERROR(VLOOKUP($A279,#REF!,18,0),"")</f>
        <v/>
      </c>
      <c r="Y279" s="359" t="str">
        <f>IFERROR(VLOOKUP($A279,#REF!,19,0),"")</f>
        <v/>
      </c>
      <c r="Z279" s="400" t="str">
        <f>IFERROR(VLOOKUP($A279,#REF!,21,0),"")</f>
        <v/>
      </c>
      <c r="AA279" s="358"/>
      <c r="AB279" s="358"/>
      <c r="AC279" s="359" t="s">
        <v>1721</v>
      </c>
      <c r="AD279" s="358"/>
      <c r="AE279" s="358"/>
      <c r="AF279" s="141"/>
      <c r="AG279" s="358"/>
      <c r="AH279" s="358"/>
      <c r="AI279" s="358"/>
      <c r="AJ279" s="358"/>
      <c r="AK279" s="358"/>
      <c r="AL279" s="358"/>
      <c r="AM279" s="358"/>
      <c r="AN279" s="358" t="s">
        <v>113</v>
      </c>
      <c r="AO279" s="380" t="s">
        <v>30</v>
      </c>
      <c r="AP279" s="380">
        <v>46097</v>
      </c>
      <c r="AQ279" s="384" t="s">
        <v>3357</v>
      </c>
      <c r="AR279" s="358" t="s">
        <v>32</v>
      </c>
      <c r="AS279" s="358">
        <v>9</v>
      </c>
      <c r="AT279" s="384" t="s">
        <v>3357</v>
      </c>
      <c r="AU279" s="380">
        <v>46097</v>
      </c>
      <c r="AV279" s="82" t="s">
        <v>113</v>
      </c>
      <c r="AW279" s="82" t="s">
        <v>113</v>
      </c>
      <c r="AX279" s="82" t="s">
        <v>113</v>
      </c>
      <c r="AY279" s="100"/>
      <c r="AZ279" s="100"/>
      <c r="BA279" s="100"/>
      <c r="BB279" s="100"/>
      <c r="BC279" s="100"/>
      <c r="BD279" s="100"/>
      <c r="BE279" s="100"/>
      <c r="BF279" s="100"/>
      <c r="BG279" s="114"/>
      <c r="BH279" s="100"/>
      <c r="BI279" s="100"/>
      <c r="BJ279" s="100"/>
      <c r="BK279" s="114"/>
      <c r="BL279" s="360" t="s">
        <v>3497</v>
      </c>
      <c r="BN279" s="412"/>
      <c r="BO279" s="412"/>
      <c r="BP279" s="412"/>
      <c r="BQ279" s="412"/>
      <c r="BR279" s="412"/>
      <c r="BX279" s="109"/>
      <c r="BY279" s="109"/>
      <c r="BZ279">
        <f t="shared" si="8"/>
        <v>1</v>
      </c>
    </row>
    <row r="280" spans="1:78" hidden="1">
      <c r="A280" s="35" t="str">
        <f t="shared" si="9"/>
        <v>ELPTMED_081/2646055</v>
      </c>
      <c r="C280" s="358" t="s">
        <v>2342</v>
      </c>
      <c r="D280" s="358">
        <v>277</v>
      </c>
      <c r="E280" s="358" t="s">
        <v>3498</v>
      </c>
      <c r="F280" s="358" t="s">
        <v>1025</v>
      </c>
      <c r="G280" s="384">
        <v>46055</v>
      </c>
      <c r="H280" s="358" t="s">
        <v>140</v>
      </c>
      <c r="I280" s="358">
        <v>1</v>
      </c>
      <c r="J280" s="359" t="str">
        <f>IFERROR(VLOOKUP($A280,#REF!,3,0),"")</f>
        <v/>
      </c>
      <c r="K280" s="359">
        <f>IFERROR(VLOOKUP($A280,#REF!,4,0),AF280)</f>
        <v>0</v>
      </c>
      <c r="L280" s="359" t="str">
        <f>IFERROR(VLOOKUP($A280,#REF!,5,0),"")</f>
        <v/>
      </c>
      <c r="M280" s="359" t="str">
        <f>IFERROR(VLOOKUP($A280,#REF!,7,0),"")</f>
        <v/>
      </c>
      <c r="N280" s="359"/>
      <c r="O280" s="359" t="str">
        <f>IFERROR(VLOOKUP($A280,#REF!,6,0),"")</f>
        <v/>
      </c>
      <c r="P280" s="359" t="str">
        <f>IFERROR(VLOOKUP($A280,#REF!,9,0),"")</f>
        <v/>
      </c>
      <c r="Q280" s="359" t="str">
        <f>IFERROR(VLOOKUP($A280,#REF!,10,0),"")</f>
        <v/>
      </c>
      <c r="R280" s="359" t="str">
        <f>IFERROR(VLOOKUP($A280,#REF!,11,0),"")</f>
        <v/>
      </c>
      <c r="S280" s="359" t="str">
        <f>IFERROR(VLOOKUP($A280,#REF!,13,0),"")</f>
        <v/>
      </c>
      <c r="T280" s="359" t="str">
        <f>IFERROR(VLOOKUP($A280,#REF!,14,0),"")</f>
        <v/>
      </c>
      <c r="U280" s="359" t="str">
        <f>IFERROR(VLOOKUP($A280,#REF!,15,0),"")</f>
        <v/>
      </c>
      <c r="V280" s="359" t="str">
        <f>IFERROR(VLOOKUP($A280,#REF!,16,0),"")</f>
        <v/>
      </c>
      <c r="W280" s="359" t="str">
        <f>IFERROR(VLOOKUP($A280,#REF!,17,0),"")</f>
        <v/>
      </c>
      <c r="X280" s="359" t="str">
        <f>IFERROR(VLOOKUP($A280,#REF!,18,0),"")</f>
        <v/>
      </c>
      <c r="Y280" s="359" t="str">
        <f>IFERROR(VLOOKUP($A280,#REF!,19,0),"")</f>
        <v/>
      </c>
      <c r="Z280" s="400" t="str">
        <f>IFERROR(VLOOKUP($A280,#REF!,21,0),"")</f>
        <v/>
      </c>
      <c r="AA280" s="358"/>
      <c r="AB280" s="358"/>
      <c r="AC280" s="359" t="s">
        <v>1077</v>
      </c>
      <c r="AD280" s="358"/>
      <c r="AE280" s="102"/>
      <c r="AF280" s="141"/>
      <c r="AG280" s="358"/>
      <c r="AH280" s="358"/>
      <c r="AI280" s="358"/>
      <c r="AJ280" s="358"/>
      <c r="AK280" s="358"/>
      <c r="AL280" s="358"/>
      <c r="AM280" s="358"/>
      <c r="AN280" s="358" t="s">
        <v>113</v>
      </c>
      <c r="AO280" s="380" t="s">
        <v>30</v>
      </c>
      <c r="AP280" s="380">
        <v>46104</v>
      </c>
      <c r="AQ280" s="384" t="s">
        <v>3357</v>
      </c>
      <c r="AR280" s="358" t="s">
        <v>32</v>
      </c>
      <c r="AS280" s="358">
        <v>1</v>
      </c>
      <c r="AT280" s="384" t="s">
        <v>3357</v>
      </c>
      <c r="AU280" s="380">
        <v>46104</v>
      </c>
      <c r="AV280" s="82" t="s">
        <v>113</v>
      </c>
      <c r="AW280" s="82" t="s">
        <v>113</v>
      </c>
      <c r="AX280" s="82" t="s">
        <v>113</v>
      </c>
      <c r="AY280" s="100"/>
      <c r="AZ280" s="95"/>
      <c r="BA280" s="100"/>
      <c r="BB280" s="100"/>
      <c r="BC280" s="100"/>
      <c r="BD280" s="100"/>
      <c r="BE280" s="100"/>
      <c r="BF280" s="100"/>
      <c r="BG280" s="114"/>
      <c r="BH280" s="111"/>
      <c r="BI280" s="111"/>
      <c r="BJ280" s="95"/>
      <c r="BK280" s="114"/>
      <c r="BL280" s="360" t="s">
        <v>3499</v>
      </c>
      <c r="BN280" s="412"/>
      <c r="BO280" s="412"/>
      <c r="BP280" s="412"/>
      <c r="BQ280" s="412"/>
      <c r="BR280" s="412"/>
      <c r="BY280" s="109"/>
      <c r="BZ280">
        <f t="shared" si="8"/>
        <v>1</v>
      </c>
    </row>
    <row r="281" spans="1:78" hidden="1">
      <c r="A281" s="35" t="str">
        <f t="shared" si="9"/>
        <v>ELPTMED_082/2646055</v>
      </c>
      <c r="C281" s="358" t="s">
        <v>2342</v>
      </c>
      <c r="D281" s="358">
        <v>278</v>
      </c>
      <c r="E281" s="358" t="s">
        <v>3500</v>
      </c>
      <c r="F281" s="358" t="s">
        <v>1025</v>
      </c>
      <c r="G281" s="384">
        <v>46055</v>
      </c>
      <c r="H281" s="358" t="s">
        <v>140</v>
      </c>
      <c r="I281" s="358">
        <v>1</v>
      </c>
      <c r="J281" s="359" t="str">
        <f>IFERROR(VLOOKUP($A281,#REF!,3,0),"")</f>
        <v/>
      </c>
      <c r="K281" s="359">
        <f>IFERROR(VLOOKUP($A281,#REF!,4,0),AF281)</f>
        <v>0</v>
      </c>
      <c r="L281" s="359" t="str">
        <f>IFERROR(VLOOKUP($A281,#REF!,5,0),"")</f>
        <v/>
      </c>
      <c r="M281" s="359" t="str">
        <f>IFERROR(VLOOKUP($A281,#REF!,7,0),"")</f>
        <v/>
      </c>
      <c r="N281" s="359"/>
      <c r="O281" s="359" t="str">
        <f>IFERROR(VLOOKUP($A281,#REF!,6,0),"")</f>
        <v/>
      </c>
      <c r="P281" s="359" t="str">
        <f>IFERROR(VLOOKUP($A281,#REF!,9,0),"")</f>
        <v/>
      </c>
      <c r="Q281" s="359" t="str">
        <f>IFERROR(VLOOKUP($A281,#REF!,10,0),"")</f>
        <v/>
      </c>
      <c r="R281" s="359" t="str">
        <f>IFERROR(VLOOKUP($A281,#REF!,11,0),"")</f>
        <v/>
      </c>
      <c r="S281" s="359" t="str">
        <f>IFERROR(VLOOKUP($A281,#REF!,13,0),"")</f>
        <v/>
      </c>
      <c r="T281" s="359" t="str">
        <f>IFERROR(VLOOKUP($A281,#REF!,14,0),"")</f>
        <v/>
      </c>
      <c r="U281" s="359" t="str">
        <f>IFERROR(VLOOKUP($A281,#REF!,15,0),"")</f>
        <v/>
      </c>
      <c r="V281" s="359" t="str">
        <f>IFERROR(VLOOKUP($A281,#REF!,16,0),"")</f>
        <v/>
      </c>
      <c r="W281" s="359" t="str">
        <f>IFERROR(VLOOKUP($A281,#REF!,17,0),"")</f>
        <v/>
      </c>
      <c r="X281" s="359" t="str">
        <f>IFERROR(VLOOKUP($A281,#REF!,18,0),"")</f>
        <v/>
      </c>
      <c r="Y281" s="359" t="str">
        <f>IFERROR(VLOOKUP($A281,#REF!,19,0),"")</f>
        <v/>
      </c>
      <c r="Z281" s="400" t="str">
        <f>IFERROR(VLOOKUP($A281,#REF!,21,0),"")</f>
        <v/>
      </c>
      <c r="AA281" s="358"/>
      <c r="AB281" s="358"/>
      <c r="AC281" s="359" t="s">
        <v>1077</v>
      </c>
      <c r="AD281" s="358"/>
      <c r="AE281" s="358"/>
      <c r="AF281" s="141"/>
      <c r="AG281" s="358"/>
      <c r="AH281" s="358"/>
      <c r="AI281" s="358"/>
      <c r="AJ281" s="358"/>
      <c r="AK281" s="358"/>
      <c r="AL281" s="358"/>
      <c r="AM281" s="358"/>
      <c r="AN281" s="358" t="s">
        <v>113</v>
      </c>
      <c r="AO281" s="380" t="s">
        <v>30</v>
      </c>
      <c r="AP281" s="380">
        <v>46104</v>
      </c>
      <c r="AQ281" s="384" t="s">
        <v>3357</v>
      </c>
      <c r="AR281" s="358" t="s">
        <v>32</v>
      </c>
      <c r="AS281" s="358">
        <v>1</v>
      </c>
      <c r="AT281" s="384" t="s">
        <v>3357</v>
      </c>
      <c r="AU281" s="380">
        <v>46104</v>
      </c>
      <c r="AV281" s="82" t="s">
        <v>113</v>
      </c>
      <c r="AW281" s="82" t="s">
        <v>113</v>
      </c>
      <c r="AX281" s="82" t="s">
        <v>113</v>
      </c>
      <c r="AY281" s="95"/>
      <c r="AZ281" s="95"/>
      <c r="BA281" s="95"/>
      <c r="BB281" s="100"/>
      <c r="BC281" s="100"/>
      <c r="BD281" s="95"/>
      <c r="BE281" s="95"/>
      <c r="BF281" s="95"/>
      <c r="BG281" s="95"/>
      <c r="BH281" s="95"/>
      <c r="BI281" s="95"/>
      <c r="BJ281" s="95"/>
      <c r="BK281" s="114"/>
      <c r="BL281" s="360" t="s">
        <v>3501</v>
      </c>
      <c r="BN281" s="412"/>
      <c r="BO281" s="412"/>
      <c r="BP281" s="412"/>
      <c r="BQ281" s="412"/>
      <c r="BR281" s="412"/>
      <c r="BX281" s="96"/>
      <c r="BY281" s="109"/>
      <c r="BZ281">
        <f t="shared" si="8"/>
        <v>1</v>
      </c>
    </row>
    <row r="282" spans="1:78" hidden="1">
      <c r="A282" s="35" t="str">
        <f t="shared" si="9"/>
        <v>ELPTMED_083/2646055,0416666667</v>
      </c>
      <c r="C282" s="358" t="s">
        <v>2342</v>
      </c>
      <c r="D282" s="358">
        <v>279</v>
      </c>
      <c r="E282" s="358" t="s">
        <v>3502</v>
      </c>
      <c r="F282" s="358" t="s">
        <v>1025</v>
      </c>
      <c r="G282" s="384">
        <v>46055.041666666664</v>
      </c>
      <c r="H282" s="358" t="s">
        <v>140</v>
      </c>
      <c r="I282" s="358">
        <v>1</v>
      </c>
      <c r="J282" s="359" t="str">
        <f>IFERROR(VLOOKUP($A282,#REF!,3,0),"")</f>
        <v/>
      </c>
      <c r="K282" s="359">
        <f>IFERROR(VLOOKUP($A282,#REF!,4,0),AF282)</f>
        <v>0</v>
      </c>
      <c r="L282" s="359" t="str">
        <f>IFERROR(VLOOKUP($A282,#REF!,5,0),"")</f>
        <v/>
      </c>
      <c r="M282" s="359" t="str">
        <f>IFERROR(VLOOKUP($A282,#REF!,7,0),"")</f>
        <v/>
      </c>
      <c r="N282" s="359"/>
      <c r="O282" s="359" t="str">
        <f>IFERROR(VLOOKUP($A282,#REF!,6,0),"")</f>
        <v/>
      </c>
      <c r="P282" s="359" t="str">
        <f>IFERROR(VLOOKUP($A282,#REF!,9,0),"")</f>
        <v/>
      </c>
      <c r="Q282" s="359" t="str">
        <f>IFERROR(VLOOKUP($A282,#REF!,10,0),"")</f>
        <v/>
      </c>
      <c r="R282" s="359" t="str">
        <f>IFERROR(VLOOKUP($A282,#REF!,11,0),"")</f>
        <v/>
      </c>
      <c r="S282" s="359" t="str">
        <f>IFERROR(VLOOKUP($A282,#REF!,13,0),"")</f>
        <v/>
      </c>
      <c r="T282" s="359" t="str">
        <f>IFERROR(VLOOKUP($A282,#REF!,14,0),"")</f>
        <v/>
      </c>
      <c r="U282" s="359" t="str">
        <f>IFERROR(VLOOKUP($A282,#REF!,15,0),"")</f>
        <v/>
      </c>
      <c r="V282" s="359" t="str">
        <f>IFERROR(VLOOKUP($A282,#REF!,16,0),"")</f>
        <v/>
      </c>
      <c r="W282" s="359" t="str">
        <f>IFERROR(VLOOKUP($A282,#REF!,17,0),"")</f>
        <v/>
      </c>
      <c r="X282" s="359" t="str">
        <f>IFERROR(VLOOKUP($A282,#REF!,18,0),"")</f>
        <v/>
      </c>
      <c r="Y282" s="359" t="str">
        <f>IFERROR(VLOOKUP($A282,#REF!,19,0),"")</f>
        <v/>
      </c>
      <c r="Z282" s="400" t="str">
        <f>IFERROR(VLOOKUP($A282,#REF!,21,0),"")</f>
        <v/>
      </c>
      <c r="AA282" s="358"/>
      <c r="AB282" s="358"/>
      <c r="AC282" s="358" t="s">
        <v>127</v>
      </c>
      <c r="AD282" s="358"/>
      <c r="AE282" s="358"/>
      <c r="AF282" s="141"/>
      <c r="AG282" s="358"/>
      <c r="AH282" s="358"/>
      <c r="AI282" s="358"/>
      <c r="AJ282" s="358"/>
      <c r="AK282" s="358"/>
      <c r="AL282" s="358"/>
      <c r="AM282" s="358"/>
      <c r="AN282" s="358" t="s">
        <v>113</v>
      </c>
      <c r="AO282" s="380" t="s">
        <v>30</v>
      </c>
      <c r="AP282" s="380">
        <v>46104</v>
      </c>
      <c r="AQ282" s="384" t="s">
        <v>3357</v>
      </c>
      <c r="AR282" s="358" t="s">
        <v>32</v>
      </c>
      <c r="AS282" s="358">
        <v>1</v>
      </c>
      <c r="AT282" s="384" t="s">
        <v>3357</v>
      </c>
      <c r="AU282" s="380">
        <v>46104</v>
      </c>
      <c r="AV282" s="82" t="s">
        <v>113</v>
      </c>
      <c r="AW282" s="82" t="s">
        <v>113</v>
      </c>
      <c r="AX282" s="82" t="s">
        <v>113</v>
      </c>
      <c r="AY282" s="100"/>
      <c r="AZ282" s="100"/>
      <c r="BA282" s="100"/>
      <c r="BB282" s="100"/>
      <c r="BC282" s="100"/>
      <c r="BD282" s="100"/>
      <c r="BE282" s="100"/>
      <c r="BF282" s="100"/>
      <c r="BG282" s="114"/>
      <c r="BH282" s="100"/>
      <c r="BI282" s="100"/>
      <c r="BJ282" s="100"/>
      <c r="BK282" s="114"/>
      <c r="BL282" s="360"/>
      <c r="BN282" s="412"/>
      <c r="BO282" s="412"/>
      <c r="BP282" s="412"/>
      <c r="BQ282" s="412"/>
      <c r="BR282" s="412"/>
      <c r="BX282" s="96"/>
      <c r="BY282" s="109"/>
      <c r="BZ282">
        <f t="shared" si="8"/>
        <v>1</v>
      </c>
    </row>
    <row r="283" spans="1:78" hidden="1">
      <c r="A283" s="35" t="str">
        <f t="shared" si="9"/>
        <v>ELPTMED_085/2646055</v>
      </c>
      <c r="C283" s="358" t="s">
        <v>2342</v>
      </c>
      <c r="D283" s="358">
        <v>280</v>
      </c>
      <c r="E283" s="358" t="s">
        <v>3503</v>
      </c>
      <c r="F283" s="358" t="s">
        <v>846</v>
      </c>
      <c r="G283" s="384">
        <v>46055</v>
      </c>
      <c r="H283" s="358" t="s">
        <v>140</v>
      </c>
      <c r="I283" s="358">
        <v>1</v>
      </c>
      <c r="J283" s="359" t="str">
        <f>IFERROR(VLOOKUP($A283,#REF!,3,0),"")</f>
        <v/>
      </c>
      <c r="K283" s="359">
        <f>IFERROR(VLOOKUP($A283,#REF!,4,0),AF283)</f>
        <v>0</v>
      </c>
      <c r="L283" s="359" t="str">
        <f>IFERROR(VLOOKUP($A283,#REF!,5,0),"")</f>
        <v/>
      </c>
      <c r="M283" s="359" t="str">
        <f>IFERROR(VLOOKUP($A283,#REF!,7,0),"")</f>
        <v/>
      </c>
      <c r="N283" s="359"/>
      <c r="O283" s="359" t="str">
        <f>IFERROR(VLOOKUP($A283,#REF!,6,0),"")</f>
        <v/>
      </c>
      <c r="P283" s="359" t="str">
        <f>IFERROR(VLOOKUP($A283,#REF!,9,0),"")</f>
        <v/>
      </c>
      <c r="Q283" s="359" t="str">
        <f>IFERROR(VLOOKUP($A283,#REF!,10,0),"")</f>
        <v/>
      </c>
      <c r="R283" s="359" t="str">
        <f>IFERROR(VLOOKUP($A283,#REF!,11,0),"")</f>
        <v/>
      </c>
      <c r="S283" s="359" t="str">
        <f>IFERROR(VLOOKUP($A283,#REF!,13,0),"")</f>
        <v/>
      </c>
      <c r="T283" s="359" t="str">
        <f>IFERROR(VLOOKUP($A283,#REF!,14,0),"")</f>
        <v/>
      </c>
      <c r="U283" s="359" t="str">
        <f>IFERROR(VLOOKUP($A283,#REF!,15,0),"")</f>
        <v/>
      </c>
      <c r="V283" s="359" t="str">
        <f>IFERROR(VLOOKUP($A283,#REF!,16,0),"")</f>
        <v/>
      </c>
      <c r="W283" s="359" t="str">
        <f>IFERROR(VLOOKUP($A283,#REF!,17,0),"")</f>
        <v/>
      </c>
      <c r="X283" s="359" t="str">
        <f>IFERROR(VLOOKUP($A283,#REF!,18,0),"")</f>
        <v/>
      </c>
      <c r="Y283" s="359" t="str">
        <f>IFERROR(VLOOKUP($A283,#REF!,19,0),"")</f>
        <v/>
      </c>
      <c r="Z283" s="400" t="str">
        <f>IFERROR(VLOOKUP($A283,#REF!,21,0),"")</f>
        <v/>
      </c>
      <c r="AA283" s="358"/>
      <c r="AB283" s="358"/>
      <c r="AC283" s="358" t="s">
        <v>3075</v>
      </c>
      <c r="AD283" s="358"/>
      <c r="AE283" s="358"/>
      <c r="AF283" s="141"/>
      <c r="AG283" s="358"/>
      <c r="AH283" s="358"/>
      <c r="AI283" s="358"/>
      <c r="AJ283" s="358"/>
      <c r="AK283" s="358"/>
      <c r="AL283" s="358"/>
      <c r="AM283" s="358"/>
      <c r="AN283" s="358" t="s">
        <v>113</v>
      </c>
      <c r="AO283" s="380" t="s">
        <v>30</v>
      </c>
      <c r="AP283" s="380">
        <v>46104</v>
      </c>
      <c r="AQ283" s="384" t="s">
        <v>3357</v>
      </c>
      <c r="AR283" s="358" t="s">
        <v>32</v>
      </c>
      <c r="AS283" s="358">
        <v>1</v>
      </c>
      <c r="AT283" s="384" t="s">
        <v>3357</v>
      </c>
      <c r="AU283" s="380">
        <v>46104</v>
      </c>
      <c r="AV283" s="82" t="s">
        <v>113</v>
      </c>
      <c r="AW283" s="82" t="s">
        <v>113</v>
      </c>
      <c r="AX283" s="82" t="s">
        <v>113</v>
      </c>
      <c r="AY283" s="100"/>
      <c r="AZ283" s="100"/>
      <c r="BA283" s="100"/>
      <c r="BB283" s="100"/>
      <c r="BC283" s="100"/>
      <c r="BD283" s="100"/>
      <c r="BE283" s="100"/>
      <c r="BF283" s="100"/>
      <c r="BG283" s="114"/>
      <c r="BH283" s="114"/>
      <c r="BI283" s="114"/>
      <c r="BJ283" s="111"/>
      <c r="BK283" s="114"/>
      <c r="BL283" s="360"/>
      <c r="BN283" s="412"/>
      <c r="BO283" s="412"/>
      <c r="BP283" s="412"/>
      <c r="BQ283" s="412"/>
      <c r="BR283" s="412"/>
      <c r="BX283" s="96"/>
      <c r="BY283" s="109"/>
      <c r="BZ283">
        <f t="shared" si="8"/>
        <v>1</v>
      </c>
    </row>
    <row r="284" spans="1:78" hidden="1">
      <c r="A284" s="35" t="str">
        <f t="shared" si="9"/>
        <v>ELPTMED_086/2646055,0833333333</v>
      </c>
      <c r="C284" s="358" t="s">
        <v>2342</v>
      </c>
      <c r="D284" s="358">
        <v>281</v>
      </c>
      <c r="E284" s="358" t="s">
        <v>3504</v>
      </c>
      <c r="F284" s="358" t="s">
        <v>1516</v>
      </c>
      <c r="G284" s="384">
        <v>46055.083333333336</v>
      </c>
      <c r="H284" s="358" t="s">
        <v>140</v>
      </c>
      <c r="I284" s="358">
        <v>5</v>
      </c>
      <c r="J284" s="359" t="str">
        <f>IFERROR(VLOOKUP($A284,#REF!,3,0),"")</f>
        <v/>
      </c>
      <c r="K284" s="359">
        <f>IFERROR(VLOOKUP($A284,#REF!,4,0),AF284)</f>
        <v>0</v>
      </c>
      <c r="L284" s="359" t="str">
        <f>IFERROR(VLOOKUP($A284,#REF!,5,0),"")</f>
        <v/>
      </c>
      <c r="M284" s="359" t="str">
        <f>IFERROR(VLOOKUP($A284,#REF!,7,0),"")</f>
        <v/>
      </c>
      <c r="N284" s="359"/>
      <c r="O284" s="359" t="str">
        <f>IFERROR(VLOOKUP($A284,#REF!,6,0),"")</f>
        <v/>
      </c>
      <c r="P284" s="359" t="str">
        <f>IFERROR(VLOOKUP($A284,#REF!,9,0),"")</f>
        <v/>
      </c>
      <c r="Q284" s="359" t="str">
        <f>IFERROR(VLOOKUP($A284,#REF!,10,0),"")</f>
        <v/>
      </c>
      <c r="R284" s="359" t="str">
        <f>IFERROR(VLOOKUP($A284,#REF!,11,0),"")</f>
        <v/>
      </c>
      <c r="S284" s="359" t="str">
        <f>IFERROR(VLOOKUP($A284,#REF!,13,0),"")</f>
        <v/>
      </c>
      <c r="T284" s="359" t="str">
        <f>IFERROR(VLOOKUP($A284,#REF!,14,0),"")</f>
        <v/>
      </c>
      <c r="U284" s="359" t="str">
        <f>IFERROR(VLOOKUP($A284,#REF!,15,0),"")</f>
        <v/>
      </c>
      <c r="V284" s="359" t="str">
        <f>IFERROR(VLOOKUP($A284,#REF!,16,0),"")</f>
        <v/>
      </c>
      <c r="W284" s="359" t="str">
        <f>IFERROR(VLOOKUP($A284,#REF!,17,0),"")</f>
        <v/>
      </c>
      <c r="X284" s="359" t="str">
        <f>IFERROR(VLOOKUP($A284,#REF!,18,0),"")</f>
        <v/>
      </c>
      <c r="Y284" s="359" t="str">
        <f>IFERROR(VLOOKUP($A284,#REF!,19,0),"")</f>
        <v/>
      </c>
      <c r="Z284" s="400" t="str">
        <f>IFERROR(VLOOKUP($A284,#REF!,21,0),"")</f>
        <v/>
      </c>
      <c r="AA284" s="358"/>
      <c r="AB284" s="358"/>
      <c r="AC284" s="358" t="s">
        <v>3075</v>
      </c>
      <c r="AD284" s="358"/>
      <c r="AE284" s="358"/>
      <c r="AF284" s="141"/>
      <c r="AG284" s="358"/>
      <c r="AH284" s="358"/>
      <c r="AI284" s="358"/>
      <c r="AJ284" s="358"/>
      <c r="AK284" s="358"/>
      <c r="AL284" s="358"/>
      <c r="AM284" s="358"/>
      <c r="AN284" s="358" t="s">
        <v>113</v>
      </c>
      <c r="AO284" s="380" t="s">
        <v>30</v>
      </c>
      <c r="AP284" s="380">
        <v>46105</v>
      </c>
      <c r="AQ284" s="384" t="s">
        <v>3357</v>
      </c>
      <c r="AR284" s="358" t="s">
        <v>32</v>
      </c>
      <c r="AS284" s="358">
        <v>5</v>
      </c>
      <c r="AT284" s="384" t="s">
        <v>3357</v>
      </c>
      <c r="AU284" s="380">
        <v>46104</v>
      </c>
      <c r="AV284" s="82" t="s">
        <v>113</v>
      </c>
      <c r="AW284" s="82" t="s">
        <v>113</v>
      </c>
      <c r="AX284" s="82" t="s">
        <v>113</v>
      </c>
      <c r="AY284" s="100"/>
      <c r="AZ284" s="100"/>
      <c r="BA284" s="100"/>
      <c r="BB284" s="100"/>
      <c r="BC284" s="100"/>
      <c r="BD284" s="100"/>
      <c r="BE284" s="100"/>
      <c r="BF284" s="100"/>
      <c r="BG284" s="114"/>
      <c r="BH284" s="111"/>
      <c r="BI284" s="111"/>
      <c r="BJ284" s="111"/>
      <c r="BK284" s="114"/>
      <c r="BL284" s="360"/>
      <c r="BN284" s="412"/>
      <c r="BO284" s="412"/>
      <c r="BP284" s="412"/>
      <c r="BQ284" s="412"/>
      <c r="BR284" s="412"/>
      <c r="BX284" s="96"/>
      <c r="BY284" s="109"/>
      <c r="BZ284">
        <f t="shared" si="8"/>
        <v>1</v>
      </c>
    </row>
    <row r="285" spans="1:78" hidden="1">
      <c r="A285" s="35" t="str">
        <f t="shared" si="9"/>
        <v>ELPTMED_087/2646055</v>
      </c>
      <c r="C285" s="358" t="s">
        <v>2342</v>
      </c>
      <c r="D285" s="358">
        <v>282</v>
      </c>
      <c r="E285" s="358" t="s">
        <v>3505</v>
      </c>
      <c r="F285" s="358" t="s">
        <v>798</v>
      </c>
      <c r="G285" s="384">
        <v>46055</v>
      </c>
      <c r="H285" s="358" t="s">
        <v>140</v>
      </c>
      <c r="I285" s="358">
        <v>4</v>
      </c>
      <c r="J285" s="359" t="str">
        <f>IFERROR(VLOOKUP($A285,#REF!,3,0),"")</f>
        <v/>
      </c>
      <c r="K285" s="359">
        <f>IFERROR(VLOOKUP($A285,#REF!,4,0),AF285)</f>
        <v>0</v>
      </c>
      <c r="L285" s="359" t="str">
        <f>IFERROR(VLOOKUP($A285,#REF!,5,0),"")</f>
        <v/>
      </c>
      <c r="M285" s="359" t="str">
        <f>IFERROR(VLOOKUP($A285,#REF!,7,0),"")</f>
        <v/>
      </c>
      <c r="N285" s="359"/>
      <c r="O285" s="359" t="str">
        <f>IFERROR(VLOOKUP($A285,#REF!,6,0),"")</f>
        <v/>
      </c>
      <c r="P285" s="359" t="str">
        <f>IFERROR(VLOOKUP($A285,#REF!,9,0),"")</f>
        <v/>
      </c>
      <c r="Q285" s="359" t="str">
        <f>IFERROR(VLOOKUP($A285,#REF!,10,0),"")</f>
        <v/>
      </c>
      <c r="R285" s="359" t="str">
        <f>IFERROR(VLOOKUP($A285,#REF!,11,0),"")</f>
        <v/>
      </c>
      <c r="S285" s="359" t="str">
        <f>IFERROR(VLOOKUP($A285,#REF!,13,0),"")</f>
        <v/>
      </c>
      <c r="T285" s="359" t="str">
        <f>IFERROR(VLOOKUP($A285,#REF!,14,0),"")</f>
        <v/>
      </c>
      <c r="U285" s="359" t="str">
        <f>IFERROR(VLOOKUP($A285,#REF!,15,0),"")</f>
        <v/>
      </c>
      <c r="V285" s="359" t="str">
        <f>IFERROR(VLOOKUP($A285,#REF!,16,0),"")</f>
        <v/>
      </c>
      <c r="W285" s="359" t="str">
        <f>IFERROR(VLOOKUP($A285,#REF!,17,0),"")</f>
        <v/>
      </c>
      <c r="X285" s="359" t="str">
        <f>IFERROR(VLOOKUP($A285,#REF!,18,0),"")</f>
        <v/>
      </c>
      <c r="Y285" s="359" t="str">
        <f>IFERROR(VLOOKUP($A285,#REF!,19,0),"")</f>
        <v/>
      </c>
      <c r="Z285" s="400" t="str">
        <f>IFERROR(VLOOKUP($A285,#REF!,21,0),"")</f>
        <v/>
      </c>
      <c r="AA285" s="358"/>
      <c r="AB285" s="358"/>
      <c r="AC285" s="358" t="s">
        <v>127</v>
      </c>
      <c r="AD285" s="358"/>
      <c r="AE285" s="358"/>
      <c r="AF285" s="141"/>
      <c r="AG285" s="358"/>
      <c r="AH285" s="358"/>
      <c r="AI285" s="358"/>
      <c r="AJ285" s="358"/>
      <c r="AK285" s="358"/>
      <c r="AL285" s="358"/>
      <c r="AM285" s="358"/>
      <c r="AN285" s="358" t="s">
        <v>113</v>
      </c>
      <c r="AO285" s="380" t="s">
        <v>30</v>
      </c>
      <c r="AP285" s="380">
        <v>46059</v>
      </c>
      <c r="AQ285" s="384" t="s">
        <v>67</v>
      </c>
      <c r="AR285" s="358" t="s">
        <v>32</v>
      </c>
      <c r="AS285" s="358">
        <v>4</v>
      </c>
      <c r="AT285" s="384" t="s">
        <v>67</v>
      </c>
      <c r="AU285" s="380">
        <v>46059</v>
      </c>
      <c r="AV285" s="82" t="s">
        <v>113</v>
      </c>
      <c r="AW285" s="82" t="s">
        <v>113</v>
      </c>
      <c r="AX285" s="82" t="s">
        <v>113</v>
      </c>
      <c r="AY285" s="100"/>
      <c r="AZ285" s="95"/>
      <c r="BA285" s="100"/>
      <c r="BB285" s="100"/>
      <c r="BC285" s="100"/>
      <c r="BD285" s="100"/>
      <c r="BE285" s="100"/>
      <c r="BF285" s="100"/>
      <c r="BG285" s="114"/>
      <c r="BH285" s="114"/>
      <c r="BI285" s="114"/>
      <c r="BJ285" s="114"/>
      <c r="BK285" s="114"/>
      <c r="BL285" s="360"/>
      <c r="BN285" s="412"/>
      <c r="BO285" s="412"/>
      <c r="BP285" s="412"/>
      <c r="BQ285" s="412"/>
      <c r="BR285" s="412"/>
      <c r="BX285" s="109"/>
      <c r="BY285" s="109"/>
      <c r="BZ285">
        <f t="shared" si="8"/>
        <v>1</v>
      </c>
    </row>
    <row r="286" spans="1:78" hidden="1">
      <c r="A286" s="35" t="str">
        <f t="shared" si="9"/>
        <v>ELPTMED_088/2646062,0416666667</v>
      </c>
      <c r="C286" s="358" t="s">
        <v>2342</v>
      </c>
      <c r="D286" s="358">
        <v>283</v>
      </c>
      <c r="E286" s="358" t="s">
        <v>3506</v>
      </c>
      <c r="F286" s="358" t="s">
        <v>1008</v>
      </c>
      <c r="G286" s="384">
        <v>46062.041666666664</v>
      </c>
      <c r="H286" s="358" t="s">
        <v>140</v>
      </c>
      <c r="I286" s="358">
        <v>4</v>
      </c>
      <c r="J286" s="359" t="str">
        <f>IFERROR(VLOOKUP($A286,#REF!,3,0),"")</f>
        <v/>
      </c>
      <c r="K286" s="359">
        <f>IFERROR(VLOOKUP($A286,#REF!,4,0),AF286)</f>
        <v>0</v>
      </c>
      <c r="L286" s="359" t="str">
        <f>IFERROR(VLOOKUP($A286,#REF!,5,0),"")</f>
        <v/>
      </c>
      <c r="M286" s="359" t="str">
        <f>IFERROR(VLOOKUP($A286,#REF!,7,0),"")</f>
        <v/>
      </c>
      <c r="N286" s="359"/>
      <c r="O286" s="359" t="str">
        <f>IFERROR(VLOOKUP($A286,#REF!,6,0),"")</f>
        <v/>
      </c>
      <c r="P286" s="359" t="str">
        <f>IFERROR(VLOOKUP($A286,#REF!,9,0),"")</f>
        <v/>
      </c>
      <c r="Q286" s="359" t="str">
        <f>IFERROR(VLOOKUP($A286,#REF!,10,0),"")</f>
        <v/>
      </c>
      <c r="R286" s="359" t="str">
        <f>IFERROR(VLOOKUP($A286,#REF!,11,0),"")</f>
        <v/>
      </c>
      <c r="S286" s="359" t="str">
        <f>IFERROR(VLOOKUP($A286,#REF!,13,0),"")</f>
        <v/>
      </c>
      <c r="T286" s="359" t="str">
        <f>IFERROR(VLOOKUP($A286,#REF!,14,0),"")</f>
        <v/>
      </c>
      <c r="U286" s="359" t="str">
        <f>IFERROR(VLOOKUP($A286,#REF!,15,0),"")</f>
        <v/>
      </c>
      <c r="V286" s="359" t="str">
        <f>IFERROR(VLOOKUP($A286,#REF!,16,0),"")</f>
        <v/>
      </c>
      <c r="W286" s="359" t="str">
        <f>IFERROR(VLOOKUP($A286,#REF!,17,0),"")</f>
        <v/>
      </c>
      <c r="X286" s="359" t="str">
        <f>IFERROR(VLOOKUP($A286,#REF!,18,0),"")</f>
        <v/>
      </c>
      <c r="Y286" s="359" t="str">
        <f>IFERROR(VLOOKUP($A286,#REF!,19,0),"")</f>
        <v/>
      </c>
      <c r="Z286" s="400" t="str">
        <f>IFERROR(VLOOKUP($A286,#REF!,21,0),"")</f>
        <v/>
      </c>
      <c r="AA286" s="358"/>
      <c r="AB286" s="358"/>
      <c r="AC286" s="358" t="s">
        <v>127</v>
      </c>
      <c r="AD286" s="358"/>
      <c r="AE286" s="358"/>
      <c r="AF286" s="141"/>
      <c r="AG286" s="358"/>
      <c r="AH286" s="358"/>
      <c r="AI286" s="358"/>
      <c r="AJ286" s="358"/>
      <c r="AK286" s="358"/>
      <c r="AL286" s="358"/>
      <c r="AM286" s="358"/>
      <c r="AN286" s="358" t="s">
        <v>113</v>
      </c>
      <c r="AO286" s="380" t="s">
        <v>30</v>
      </c>
      <c r="AP286" s="380">
        <v>46106</v>
      </c>
      <c r="AQ286" s="384" t="s">
        <v>3357</v>
      </c>
      <c r="AR286" s="358" t="s">
        <v>32</v>
      </c>
      <c r="AS286" s="358">
        <v>4</v>
      </c>
      <c r="AT286" s="384" t="s">
        <v>3357</v>
      </c>
      <c r="AU286" s="380">
        <v>46106</v>
      </c>
      <c r="AV286" s="82" t="s">
        <v>113</v>
      </c>
      <c r="AW286" s="82" t="s">
        <v>113</v>
      </c>
      <c r="AX286" s="82" t="s">
        <v>113</v>
      </c>
      <c r="AY286" s="100"/>
      <c r="AZ286" s="100"/>
      <c r="BA286" s="100"/>
      <c r="BB286" s="100"/>
      <c r="BC286" s="100"/>
      <c r="BD286" s="100"/>
      <c r="BE286" s="100"/>
      <c r="BF286" s="100"/>
      <c r="BG286" s="114"/>
      <c r="BH286" s="114"/>
      <c r="BI286" s="111"/>
      <c r="BJ286" s="111"/>
      <c r="BK286" s="114"/>
      <c r="BL286" s="360"/>
      <c r="BN286" s="412"/>
      <c r="BO286" s="412"/>
      <c r="BP286" s="412"/>
      <c r="BQ286" s="412"/>
      <c r="BR286" s="412"/>
      <c r="BY286" s="109"/>
      <c r="BZ286">
        <f t="shared" si="8"/>
        <v>1</v>
      </c>
    </row>
    <row r="287" spans="1:78" hidden="1">
      <c r="A287" s="35" t="str">
        <f t="shared" si="9"/>
        <v>ELPTMED_089/2646062</v>
      </c>
      <c r="C287" s="358" t="s">
        <v>2342</v>
      </c>
      <c r="D287" s="358">
        <v>284</v>
      </c>
      <c r="E287" s="401" t="s">
        <v>3507</v>
      </c>
      <c r="F287" s="401" t="s">
        <v>829</v>
      </c>
      <c r="G287" s="402">
        <v>46062</v>
      </c>
      <c r="H287" s="401" t="s">
        <v>140</v>
      </c>
      <c r="I287" s="401">
        <v>24</v>
      </c>
      <c r="J287" s="359" t="str">
        <f>IFERROR(VLOOKUP($A287,#REF!,3,0),"")</f>
        <v/>
      </c>
      <c r="K287" s="359">
        <f>IFERROR(VLOOKUP($A287,#REF!,4,0),AF287)</f>
        <v>0</v>
      </c>
      <c r="L287" s="359" t="str">
        <f>IFERROR(VLOOKUP($A287,#REF!,5,0),"")</f>
        <v/>
      </c>
      <c r="M287" s="359" t="str">
        <f>IFERROR(VLOOKUP($A287,#REF!,7,0),"")</f>
        <v/>
      </c>
      <c r="N287" s="359"/>
      <c r="O287" s="359" t="str">
        <f>IFERROR(VLOOKUP($A287,#REF!,6,0),"")</f>
        <v/>
      </c>
      <c r="P287" s="359" t="str">
        <f>IFERROR(VLOOKUP($A287,#REF!,9,0),"")</f>
        <v/>
      </c>
      <c r="Q287" s="359" t="str">
        <f>IFERROR(VLOOKUP($A287,#REF!,10,0),"")</f>
        <v/>
      </c>
      <c r="R287" s="359" t="str">
        <f>IFERROR(VLOOKUP($A287,#REF!,11,0),"")</f>
        <v/>
      </c>
      <c r="S287" s="359" t="str">
        <f>IFERROR(VLOOKUP($A287,#REF!,13,0),"")</f>
        <v/>
      </c>
      <c r="T287" s="359" t="str">
        <f>IFERROR(VLOOKUP($A287,#REF!,14,0),"")</f>
        <v/>
      </c>
      <c r="U287" s="359" t="str">
        <f>IFERROR(VLOOKUP($A287,#REF!,15,0),"")</f>
        <v/>
      </c>
      <c r="V287" s="359" t="str">
        <f>IFERROR(VLOOKUP($A287,#REF!,16,0),"")</f>
        <v/>
      </c>
      <c r="W287" s="359" t="str">
        <f>IFERROR(VLOOKUP($A287,#REF!,17,0),"")</f>
        <v/>
      </c>
      <c r="X287" s="359" t="str">
        <f>IFERROR(VLOOKUP($A287,#REF!,18,0),"")</f>
        <v/>
      </c>
      <c r="Y287" s="359" t="str">
        <f>IFERROR(VLOOKUP($A287,#REF!,19,0),"")</f>
        <v/>
      </c>
      <c r="Z287" s="400" t="str">
        <f>IFERROR(VLOOKUP($A287,#REF!,21,0),"")</f>
        <v/>
      </c>
      <c r="AA287" s="401"/>
      <c r="AB287" s="401"/>
      <c r="AC287" s="358" t="s">
        <v>3508</v>
      </c>
      <c r="AD287" s="358"/>
      <c r="AE287" s="358"/>
      <c r="AF287" s="141"/>
      <c r="AG287" s="358"/>
      <c r="AH287" s="358"/>
      <c r="AI287" s="358"/>
      <c r="AJ287" s="358"/>
      <c r="AK287" s="358"/>
      <c r="AL287" s="358"/>
      <c r="AM287" s="358"/>
      <c r="AN287" s="358" t="s">
        <v>113</v>
      </c>
      <c r="AO287" s="94" t="s">
        <v>30</v>
      </c>
      <c r="AP287" s="23">
        <v>46112</v>
      </c>
      <c r="AQ287" s="384" t="s">
        <v>47</v>
      </c>
      <c r="AR287" s="358"/>
      <c r="AS287" s="358"/>
      <c r="AT287" s="384"/>
      <c r="AU287" s="380"/>
      <c r="AV287" s="82" t="s">
        <v>113</v>
      </c>
      <c r="AW287" s="82" t="s">
        <v>113</v>
      </c>
      <c r="AX287" s="82" t="s">
        <v>113</v>
      </c>
      <c r="AY287" s="100"/>
      <c r="AZ287" s="95"/>
      <c r="BA287" s="100"/>
      <c r="BB287" s="100"/>
      <c r="BC287" s="100"/>
      <c r="BD287" s="100"/>
      <c r="BE287" s="100"/>
      <c r="BF287" s="100"/>
      <c r="BG287" s="114"/>
      <c r="BH287" s="114"/>
      <c r="BI287" s="114"/>
      <c r="BJ287" s="111"/>
      <c r="BK287" s="114"/>
      <c r="BL287" s="360"/>
      <c r="BN287" s="412"/>
      <c r="BO287" s="412"/>
      <c r="BP287" s="412"/>
      <c r="BQ287" s="412"/>
      <c r="BR287" s="412"/>
      <c r="BX287" s="140"/>
      <c r="BY287" s="140"/>
      <c r="BZ287">
        <f t="shared" si="8"/>
        <v>1</v>
      </c>
    </row>
    <row r="288" spans="1:78" hidden="1">
      <c r="A288" s="35" t="str">
        <f t="shared" si="9"/>
        <v>ELPTMED_090/2646062,0416666667</v>
      </c>
      <c r="C288" s="358" t="s">
        <v>2342</v>
      </c>
      <c r="D288" s="358">
        <v>285</v>
      </c>
      <c r="E288" s="358" t="s">
        <v>3509</v>
      </c>
      <c r="F288" s="358" t="s">
        <v>937</v>
      </c>
      <c r="G288" s="384">
        <v>46062.041666666664</v>
      </c>
      <c r="H288" s="358" t="s">
        <v>140</v>
      </c>
      <c r="I288" s="358">
        <v>13</v>
      </c>
      <c r="J288" s="359" t="str">
        <f>IFERROR(VLOOKUP($A288,#REF!,3,0),"")</f>
        <v/>
      </c>
      <c r="K288" s="359">
        <f>IFERROR(VLOOKUP($A288,#REF!,4,0),AF288)</f>
        <v>0</v>
      </c>
      <c r="L288" s="359" t="str">
        <f>IFERROR(VLOOKUP($A288,#REF!,5,0),"")</f>
        <v/>
      </c>
      <c r="M288" s="359" t="str">
        <f>IFERROR(VLOOKUP($A288,#REF!,7,0),"")</f>
        <v/>
      </c>
      <c r="N288" s="359"/>
      <c r="O288" s="359" t="str">
        <f>IFERROR(VLOOKUP($A288,#REF!,6,0),"")</f>
        <v/>
      </c>
      <c r="P288" s="359" t="str">
        <f>IFERROR(VLOOKUP($A288,#REF!,9,0),"")</f>
        <v/>
      </c>
      <c r="Q288" s="359" t="str">
        <f>IFERROR(VLOOKUP($A288,#REF!,10,0),"")</f>
        <v/>
      </c>
      <c r="R288" s="359" t="str">
        <f>IFERROR(VLOOKUP($A288,#REF!,11,0),"")</f>
        <v/>
      </c>
      <c r="S288" s="359" t="str">
        <f>IFERROR(VLOOKUP($A288,#REF!,13,0),"")</f>
        <v/>
      </c>
      <c r="T288" s="359" t="str">
        <f>IFERROR(VLOOKUP($A288,#REF!,14,0),"")</f>
        <v/>
      </c>
      <c r="U288" s="359" t="str">
        <f>IFERROR(VLOOKUP($A288,#REF!,15,0),"")</f>
        <v/>
      </c>
      <c r="V288" s="359" t="str">
        <f>IFERROR(VLOOKUP($A288,#REF!,16,0),"")</f>
        <v/>
      </c>
      <c r="W288" s="359" t="str">
        <f>IFERROR(VLOOKUP($A288,#REF!,17,0),"")</f>
        <v/>
      </c>
      <c r="X288" s="359" t="str">
        <f>IFERROR(VLOOKUP($A288,#REF!,18,0),"")</f>
        <v/>
      </c>
      <c r="Y288" s="359" t="str">
        <f>IFERROR(VLOOKUP($A288,#REF!,19,0),"")</f>
        <v/>
      </c>
      <c r="Z288" s="400" t="str">
        <f>IFERROR(VLOOKUP($A288,#REF!,21,0),"")</f>
        <v/>
      </c>
      <c r="AA288" s="358"/>
      <c r="AB288" s="358"/>
      <c r="AC288" s="358" t="s">
        <v>3508</v>
      </c>
      <c r="AD288" s="358"/>
      <c r="AE288" s="358"/>
      <c r="AF288" s="141"/>
      <c r="AG288" s="358"/>
      <c r="AH288" s="358"/>
      <c r="AI288" s="358"/>
      <c r="AJ288" s="358"/>
      <c r="AK288" s="358"/>
      <c r="AL288" s="358"/>
      <c r="AM288" s="358"/>
      <c r="AN288" s="358" t="s">
        <v>113</v>
      </c>
      <c r="AO288" s="380" t="s">
        <v>30</v>
      </c>
      <c r="AP288" s="380">
        <v>46078</v>
      </c>
      <c r="AQ288" s="384" t="s">
        <v>47</v>
      </c>
      <c r="AR288" s="358" t="s">
        <v>32</v>
      </c>
      <c r="AS288" s="358">
        <v>10</v>
      </c>
      <c r="AT288" s="384" t="s">
        <v>47</v>
      </c>
      <c r="AU288" s="380">
        <v>46078</v>
      </c>
      <c r="AV288" s="82" t="s">
        <v>113</v>
      </c>
      <c r="AW288" s="82" t="s">
        <v>113</v>
      </c>
      <c r="AX288" s="82" t="s">
        <v>113</v>
      </c>
      <c r="AY288" s="100"/>
      <c r="AZ288" s="100"/>
      <c r="BA288" s="100"/>
      <c r="BB288" s="100"/>
      <c r="BC288" s="100"/>
      <c r="BD288" s="100"/>
      <c r="BE288" s="100"/>
      <c r="BF288" s="100"/>
      <c r="BG288" s="114"/>
      <c r="BH288" s="114"/>
      <c r="BI288" s="114"/>
      <c r="BJ288" s="111"/>
      <c r="BK288" s="114"/>
      <c r="BL288" s="360"/>
      <c r="BN288" s="412"/>
      <c r="BO288" s="412"/>
      <c r="BP288" s="412"/>
      <c r="BQ288" s="412"/>
      <c r="BR288" s="412"/>
      <c r="BX288" s="109"/>
      <c r="BY288" s="109"/>
      <c r="BZ288">
        <f t="shared" si="8"/>
        <v>1</v>
      </c>
    </row>
    <row r="289" spans="1:78" hidden="1">
      <c r="A289" s="35" t="str">
        <f t="shared" si="9"/>
        <v>ELPTMED_091/2646062</v>
      </c>
      <c r="C289" s="358" t="s">
        <v>2342</v>
      </c>
      <c r="D289" s="358">
        <v>286</v>
      </c>
      <c r="E289" s="358" t="s">
        <v>3510</v>
      </c>
      <c r="F289" s="358" t="s">
        <v>779</v>
      </c>
      <c r="G289" s="384">
        <v>46062</v>
      </c>
      <c r="H289" s="358" t="s">
        <v>140</v>
      </c>
      <c r="I289" s="358">
        <v>2</v>
      </c>
      <c r="J289" s="359" t="str">
        <f>IFERROR(VLOOKUP($A289,#REF!,3,0),"")</f>
        <v/>
      </c>
      <c r="K289" s="359">
        <f>IFERROR(VLOOKUP($A289,#REF!,4,0),AF289)</f>
        <v>0</v>
      </c>
      <c r="L289" s="359" t="str">
        <f>IFERROR(VLOOKUP($A289,#REF!,5,0),"")</f>
        <v/>
      </c>
      <c r="M289" s="359" t="str">
        <f>IFERROR(VLOOKUP($A289,#REF!,7,0),"")</f>
        <v/>
      </c>
      <c r="N289" s="359"/>
      <c r="O289" s="359" t="str">
        <f>IFERROR(VLOOKUP($A289,#REF!,6,0),"")</f>
        <v/>
      </c>
      <c r="P289" s="359" t="str">
        <f>IFERROR(VLOOKUP($A289,#REF!,9,0),"")</f>
        <v/>
      </c>
      <c r="Q289" s="359" t="str">
        <f>IFERROR(VLOOKUP($A289,#REF!,10,0),"")</f>
        <v/>
      </c>
      <c r="R289" s="359" t="str">
        <f>IFERROR(VLOOKUP($A289,#REF!,11,0),"")</f>
        <v/>
      </c>
      <c r="S289" s="359" t="str">
        <f>IFERROR(VLOOKUP($A289,#REF!,13,0),"")</f>
        <v/>
      </c>
      <c r="T289" s="359" t="str">
        <f>IFERROR(VLOOKUP($A289,#REF!,14,0),"")</f>
        <v/>
      </c>
      <c r="U289" s="359" t="str">
        <f>IFERROR(VLOOKUP($A289,#REF!,15,0),"")</f>
        <v/>
      </c>
      <c r="V289" s="359" t="str">
        <f>IFERROR(VLOOKUP($A289,#REF!,16,0),"")</f>
        <v/>
      </c>
      <c r="W289" s="359" t="str">
        <f>IFERROR(VLOOKUP($A289,#REF!,17,0),"")</f>
        <v/>
      </c>
      <c r="X289" s="359" t="str">
        <f>IFERROR(VLOOKUP($A289,#REF!,18,0),"")</f>
        <v/>
      </c>
      <c r="Y289" s="359" t="str">
        <f>IFERROR(VLOOKUP($A289,#REF!,19,0),"")</f>
        <v/>
      </c>
      <c r="Z289" s="400" t="str">
        <f>IFERROR(VLOOKUP($A289,#REF!,21,0),"")</f>
        <v/>
      </c>
      <c r="AA289" s="358"/>
      <c r="AB289" s="358"/>
      <c r="AC289" s="358" t="s">
        <v>127</v>
      </c>
      <c r="AD289" s="358"/>
      <c r="AE289" s="358"/>
      <c r="AF289" s="141"/>
      <c r="AG289" s="358"/>
      <c r="AH289" s="358"/>
      <c r="AI289" s="358"/>
      <c r="AJ289" s="358"/>
      <c r="AK289" s="358"/>
      <c r="AL289" s="358"/>
      <c r="AM289" s="358"/>
      <c r="AN289" s="358" t="s">
        <v>113</v>
      </c>
      <c r="AO289" s="380" t="s">
        <v>30</v>
      </c>
      <c r="AP289" s="380">
        <v>46097</v>
      </c>
      <c r="AQ289" s="384" t="s">
        <v>47</v>
      </c>
      <c r="AR289" s="358" t="s">
        <v>32</v>
      </c>
      <c r="AS289" s="358">
        <v>2</v>
      </c>
      <c r="AT289" s="384" t="s">
        <v>47</v>
      </c>
      <c r="AU289" s="380">
        <v>46097</v>
      </c>
      <c r="AV289" s="82" t="s">
        <v>113</v>
      </c>
      <c r="AW289" s="82" t="s">
        <v>113</v>
      </c>
      <c r="AX289" s="82" t="s">
        <v>113</v>
      </c>
      <c r="AY289" s="100"/>
      <c r="AZ289" s="100"/>
      <c r="BA289" s="100"/>
      <c r="BB289" s="100"/>
      <c r="BC289" s="100"/>
      <c r="BD289" s="100"/>
      <c r="BE289" s="100"/>
      <c r="BF289" s="100"/>
      <c r="BG289" s="114"/>
      <c r="BH289" s="114"/>
      <c r="BI289" s="114"/>
      <c r="BJ289" s="111"/>
      <c r="BK289" s="114"/>
      <c r="BL289" s="360"/>
      <c r="BN289" s="412"/>
      <c r="BO289" s="412"/>
      <c r="BP289" s="412"/>
      <c r="BQ289" s="412"/>
      <c r="BR289" s="412"/>
      <c r="BX289" s="109"/>
      <c r="BY289" s="109"/>
      <c r="BZ289">
        <f t="shared" si="8"/>
        <v>1</v>
      </c>
    </row>
    <row r="290" spans="1:78" hidden="1">
      <c r="A290" s="35" t="str">
        <f t="shared" si="9"/>
        <v>ELPTMED_092/2646062,0416666667</v>
      </c>
      <c r="C290" s="358" t="s">
        <v>2342</v>
      </c>
      <c r="D290" s="358">
        <v>287</v>
      </c>
      <c r="E290" s="358" t="s">
        <v>3511</v>
      </c>
      <c r="F290" s="358" t="s">
        <v>3512</v>
      </c>
      <c r="G290" s="384">
        <v>46062.041666666664</v>
      </c>
      <c r="H290" s="358" t="s">
        <v>140</v>
      </c>
      <c r="I290" s="358">
        <v>5</v>
      </c>
      <c r="J290" s="359" t="str">
        <f>IFERROR(VLOOKUP($A290,#REF!,3,0),"")</f>
        <v/>
      </c>
      <c r="K290" s="359">
        <f>IFERROR(VLOOKUP($A290,#REF!,4,0),AF290)</f>
        <v>0</v>
      </c>
      <c r="L290" s="359" t="str">
        <f>IFERROR(VLOOKUP($A290,#REF!,5,0),"")</f>
        <v/>
      </c>
      <c r="M290" s="359" t="str">
        <f>IFERROR(VLOOKUP($A290,#REF!,7,0),"")</f>
        <v/>
      </c>
      <c r="N290" s="359"/>
      <c r="O290" s="359" t="str">
        <f>IFERROR(VLOOKUP($A290,#REF!,6,0),"")</f>
        <v/>
      </c>
      <c r="P290" s="359" t="str">
        <f>IFERROR(VLOOKUP($A290,#REF!,9,0),"")</f>
        <v/>
      </c>
      <c r="Q290" s="359" t="str">
        <f>IFERROR(VLOOKUP($A290,#REF!,10,0),"")</f>
        <v/>
      </c>
      <c r="R290" s="359" t="str">
        <f>IFERROR(VLOOKUP($A290,#REF!,11,0),"")</f>
        <v/>
      </c>
      <c r="S290" s="359" t="str">
        <f>IFERROR(VLOOKUP($A290,#REF!,13,0),"")</f>
        <v/>
      </c>
      <c r="T290" s="359" t="str">
        <f>IFERROR(VLOOKUP($A290,#REF!,14,0),"")</f>
        <v/>
      </c>
      <c r="U290" s="359" t="str">
        <f>IFERROR(VLOOKUP($A290,#REF!,15,0),"")</f>
        <v/>
      </c>
      <c r="V290" s="359" t="str">
        <f>IFERROR(VLOOKUP($A290,#REF!,16,0),"")</f>
        <v/>
      </c>
      <c r="W290" s="359" t="str">
        <f>IFERROR(VLOOKUP($A290,#REF!,17,0),"")</f>
        <v/>
      </c>
      <c r="X290" s="359" t="str">
        <f>IFERROR(VLOOKUP($A290,#REF!,18,0),"")</f>
        <v/>
      </c>
      <c r="Y290" s="359" t="str">
        <f>IFERROR(VLOOKUP($A290,#REF!,19,0),"")</f>
        <v/>
      </c>
      <c r="Z290" s="400" t="str">
        <f>IFERROR(VLOOKUP($A290,#REF!,21,0),"")</f>
        <v/>
      </c>
      <c r="AA290" s="358"/>
      <c r="AB290" s="358"/>
      <c r="AC290" s="358" t="s">
        <v>3513</v>
      </c>
      <c r="AD290" s="358"/>
      <c r="AE290" s="358"/>
      <c r="AF290" s="141"/>
      <c r="AG290" s="358"/>
      <c r="AH290" s="358"/>
      <c r="AI290" s="358"/>
      <c r="AJ290" s="358"/>
      <c r="AK290" s="358"/>
      <c r="AL290" s="358"/>
      <c r="AM290" s="358"/>
      <c r="AN290" s="358" t="s">
        <v>113</v>
      </c>
      <c r="AO290" s="380" t="s">
        <v>30</v>
      </c>
      <c r="AP290" s="380">
        <v>46107</v>
      </c>
      <c r="AQ290" s="384" t="s">
        <v>3357</v>
      </c>
      <c r="AR290" s="358" t="s">
        <v>32</v>
      </c>
      <c r="AS290" s="358">
        <v>5</v>
      </c>
      <c r="AT290" s="384" t="s">
        <v>3357</v>
      </c>
      <c r="AU290" s="380">
        <v>46107</v>
      </c>
      <c r="AV290" s="82" t="s">
        <v>113</v>
      </c>
      <c r="AW290" s="82" t="s">
        <v>113</v>
      </c>
      <c r="AX290" s="82" t="s">
        <v>113</v>
      </c>
      <c r="AY290" s="95"/>
      <c r="AZ290" s="95"/>
      <c r="BA290" s="95"/>
      <c r="BB290" s="100"/>
      <c r="BC290" s="100"/>
      <c r="BD290" s="100"/>
      <c r="BE290" s="100"/>
      <c r="BF290" s="100"/>
      <c r="BG290" s="114"/>
      <c r="BH290" s="100"/>
      <c r="BI290" s="100"/>
      <c r="BJ290" s="100"/>
      <c r="BK290" s="114"/>
      <c r="BL290" s="360"/>
      <c r="BN290" s="412"/>
      <c r="BO290" s="412"/>
      <c r="BP290" s="412"/>
      <c r="BQ290" s="412"/>
      <c r="BR290" s="412"/>
      <c r="BY290" s="109"/>
      <c r="BZ290">
        <f t="shared" si="8"/>
        <v>1</v>
      </c>
    </row>
    <row r="291" spans="1:78" hidden="1">
      <c r="A291" s="35" t="str">
        <f t="shared" si="9"/>
        <v>ELPTMED_093/2646062,0416666667</v>
      </c>
      <c r="C291" s="358" t="s">
        <v>2342</v>
      </c>
      <c r="D291" s="358">
        <v>288</v>
      </c>
      <c r="E291" s="358" t="s">
        <v>3514</v>
      </c>
      <c r="F291" s="358" t="s">
        <v>1887</v>
      </c>
      <c r="G291" s="384">
        <v>46062.041666666664</v>
      </c>
      <c r="H291" s="358" t="s">
        <v>140</v>
      </c>
      <c r="I291" s="358">
        <v>4</v>
      </c>
      <c r="J291" s="359" t="str">
        <f>IFERROR(VLOOKUP($A291,#REF!,3,0),"")</f>
        <v/>
      </c>
      <c r="K291" s="359">
        <f>IFERROR(VLOOKUP($A291,#REF!,4,0),AF291)</f>
        <v>0</v>
      </c>
      <c r="L291" s="359" t="str">
        <f>IFERROR(VLOOKUP($A291,#REF!,5,0),"")</f>
        <v/>
      </c>
      <c r="M291" s="359" t="str">
        <f>IFERROR(VLOOKUP($A291,#REF!,7,0),"")</f>
        <v/>
      </c>
      <c r="N291" s="359"/>
      <c r="O291" s="359" t="str">
        <f>IFERROR(VLOOKUP($A291,#REF!,6,0),"")</f>
        <v/>
      </c>
      <c r="P291" s="359" t="str">
        <f>IFERROR(VLOOKUP($A291,#REF!,9,0),"")</f>
        <v/>
      </c>
      <c r="Q291" s="359" t="str">
        <f>IFERROR(VLOOKUP($A291,#REF!,10,0),"")</f>
        <v/>
      </c>
      <c r="R291" s="359" t="str">
        <f>IFERROR(VLOOKUP($A291,#REF!,11,0),"")</f>
        <v/>
      </c>
      <c r="S291" s="359" t="str">
        <f>IFERROR(VLOOKUP($A291,#REF!,13,0),"")</f>
        <v/>
      </c>
      <c r="T291" s="359" t="str">
        <f>IFERROR(VLOOKUP($A291,#REF!,14,0),"")</f>
        <v/>
      </c>
      <c r="U291" s="359" t="str">
        <f>IFERROR(VLOOKUP($A291,#REF!,15,0),"")</f>
        <v/>
      </c>
      <c r="V291" s="359" t="str">
        <f>IFERROR(VLOOKUP($A291,#REF!,16,0),"")</f>
        <v/>
      </c>
      <c r="W291" s="359" t="str">
        <f>IFERROR(VLOOKUP($A291,#REF!,17,0),"")</f>
        <v/>
      </c>
      <c r="X291" s="359" t="str">
        <f>IFERROR(VLOOKUP($A291,#REF!,18,0),"")</f>
        <v/>
      </c>
      <c r="Y291" s="359" t="str">
        <f>IFERROR(VLOOKUP($A291,#REF!,19,0),"")</f>
        <v/>
      </c>
      <c r="Z291" s="400" t="str">
        <f>IFERROR(VLOOKUP($A291,#REF!,21,0),"")</f>
        <v/>
      </c>
      <c r="AA291" s="358"/>
      <c r="AB291" s="358"/>
      <c r="AC291" s="358" t="s">
        <v>127</v>
      </c>
      <c r="AD291" s="358"/>
      <c r="AE291" s="358"/>
      <c r="AF291" s="141"/>
      <c r="AG291" s="358"/>
      <c r="AH291" s="358"/>
      <c r="AI291" s="358"/>
      <c r="AJ291" s="358"/>
      <c r="AK291" s="358"/>
      <c r="AL291" s="358"/>
      <c r="AM291" s="358"/>
      <c r="AN291" s="358" t="s">
        <v>113</v>
      </c>
      <c r="AO291" s="380" t="s">
        <v>30</v>
      </c>
      <c r="AP291" s="380">
        <v>46106</v>
      </c>
      <c r="AQ291" s="384" t="s">
        <v>47</v>
      </c>
      <c r="AR291" s="358" t="s">
        <v>32</v>
      </c>
      <c r="AS291" s="358">
        <v>4</v>
      </c>
      <c r="AT291" s="384" t="s">
        <v>47</v>
      </c>
      <c r="AU291" s="380">
        <v>46106</v>
      </c>
      <c r="AV291" s="82" t="s">
        <v>113</v>
      </c>
      <c r="AW291" s="82" t="s">
        <v>113</v>
      </c>
      <c r="AX291" s="82" t="s">
        <v>113</v>
      </c>
      <c r="AY291" s="100"/>
      <c r="AZ291" s="100"/>
      <c r="BA291" s="100"/>
      <c r="BB291" s="100"/>
      <c r="BC291" s="100"/>
      <c r="BD291" s="100"/>
      <c r="BE291" s="100"/>
      <c r="BF291" s="100"/>
      <c r="BG291" s="114"/>
      <c r="BH291" s="111"/>
      <c r="BI291" s="111"/>
      <c r="BJ291" s="111"/>
      <c r="BK291" s="114"/>
      <c r="BL291" s="360"/>
      <c r="BN291" s="412"/>
      <c r="BO291" s="412"/>
      <c r="BP291" s="412"/>
      <c r="BQ291" s="412"/>
      <c r="BR291" s="412"/>
      <c r="BX291" s="72"/>
      <c r="BY291" s="109"/>
      <c r="BZ291">
        <f t="shared" si="8"/>
        <v>1</v>
      </c>
    </row>
    <row r="292" spans="1:78" hidden="1">
      <c r="A292" s="35" t="str">
        <f t="shared" si="9"/>
        <v>ELPTMED_094/2646062,0416666667</v>
      </c>
      <c r="C292" s="358" t="s">
        <v>2342</v>
      </c>
      <c r="D292" s="358">
        <v>289</v>
      </c>
      <c r="E292" s="358" t="s">
        <v>3515</v>
      </c>
      <c r="F292" s="358" t="s">
        <v>3516</v>
      </c>
      <c r="G292" s="384">
        <v>46062.041666666664</v>
      </c>
      <c r="H292" s="358" t="s">
        <v>140</v>
      </c>
      <c r="I292" s="358">
        <v>8</v>
      </c>
      <c r="J292" s="359" t="str">
        <f>IFERROR(VLOOKUP($A292,#REF!,3,0),"")</f>
        <v/>
      </c>
      <c r="K292" s="359">
        <f>IFERROR(VLOOKUP($A292,#REF!,4,0),AF292)</f>
        <v>0</v>
      </c>
      <c r="L292" s="359" t="str">
        <f>IFERROR(VLOOKUP($A292,#REF!,5,0),"")</f>
        <v/>
      </c>
      <c r="M292" s="359" t="str">
        <f>IFERROR(VLOOKUP($A292,#REF!,7,0),"")</f>
        <v/>
      </c>
      <c r="N292" s="359"/>
      <c r="O292" s="359" t="str">
        <f>IFERROR(VLOOKUP($A292,#REF!,6,0),"")</f>
        <v/>
      </c>
      <c r="P292" s="359" t="str">
        <f>IFERROR(VLOOKUP($A292,#REF!,9,0),"")</f>
        <v/>
      </c>
      <c r="Q292" s="359" t="str">
        <f>IFERROR(VLOOKUP($A292,#REF!,10,0),"")</f>
        <v/>
      </c>
      <c r="R292" s="359" t="str">
        <f>IFERROR(VLOOKUP($A292,#REF!,11,0),"")</f>
        <v/>
      </c>
      <c r="S292" s="359" t="str">
        <f>IFERROR(VLOOKUP($A292,#REF!,13,0),"")</f>
        <v/>
      </c>
      <c r="T292" s="359" t="str">
        <f>IFERROR(VLOOKUP($A292,#REF!,14,0),"")</f>
        <v/>
      </c>
      <c r="U292" s="359" t="str">
        <f>IFERROR(VLOOKUP($A292,#REF!,15,0),"")</f>
        <v/>
      </c>
      <c r="V292" s="359" t="str">
        <f>IFERROR(VLOOKUP($A292,#REF!,16,0),"")</f>
        <v/>
      </c>
      <c r="W292" s="359" t="str">
        <f>IFERROR(VLOOKUP($A292,#REF!,17,0),"")</f>
        <v/>
      </c>
      <c r="X292" s="359" t="str">
        <f>IFERROR(VLOOKUP($A292,#REF!,18,0),"")</f>
        <v/>
      </c>
      <c r="Y292" s="359" t="str">
        <f>IFERROR(VLOOKUP($A292,#REF!,19,0),"")</f>
        <v/>
      </c>
      <c r="Z292" s="400" t="str">
        <f>IFERROR(VLOOKUP($A292,#REF!,21,0),"")</f>
        <v/>
      </c>
      <c r="AA292" s="358"/>
      <c r="AB292" s="358"/>
      <c r="AC292" s="359" t="s">
        <v>3513</v>
      </c>
      <c r="AD292" s="358"/>
      <c r="AE292" s="358"/>
      <c r="AF292" s="141"/>
      <c r="AG292" s="358"/>
      <c r="AH292" s="358"/>
      <c r="AI292" s="358"/>
      <c r="AJ292" s="358"/>
      <c r="AK292" s="358"/>
      <c r="AL292" s="358"/>
      <c r="AM292" s="358"/>
      <c r="AN292" s="358" t="s">
        <v>113</v>
      </c>
      <c r="AO292" s="380" t="s">
        <v>30</v>
      </c>
      <c r="AP292" s="384">
        <v>46106</v>
      </c>
      <c r="AQ292" s="384" t="s">
        <v>47</v>
      </c>
      <c r="AR292" s="358" t="s">
        <v>32</v>
      </c>
      <c r="AS292" s="358">
        <v>8</v>
      </c>
      <c r="AT292" s="384" t="s">
        <v>47</v>
      </c>
      <c r="AU292" s="380">
        <v>46106</v>
      </c>
      <c r="AV292" s="82" t="s">
        <v>113</v>
      </c>
      <c r="AW292" s="82" t="s">
        <v>113</v>
      </c>
      <c r="AX292" s="82" t="s">
        <v>113</v>
      </c>
      <c r="AY292" s="100"/>
      <c r="AZ292" s="100"/>
      <c r="BA292" s="100"/>
      <c r="BB292" s="100"/>
      <c r="BC292" s="100"/>
      <c r="BD292" s="100"/>
      <c r="BE292" s="100"/>
      <c r="BF292" s="100"/>
      <c r="BG292" s="114"/>
      <c r="BH292" s="114"/>
      <c r="BI292" s="114"/>
      <c r="BJ292" s="114"/>
      <c r="BK292" s="114"/>
      <c r="BL292" s="360"/>
      <c r="BN292" s="412"/>
      <c r="BO292" s="412"/>
      <c r="BP292" s="412"/>
      <c r="BQ292" s="412"/>
      <c r="BR292" s="412"/>
      <c r="BX292" s="96"/>
      <c r="BY292" s="109"/>
      <c r="BZ292">
        <f t="shared" si="8"/>
        <v>1</v>
      </c>
    </row>
    <row r="293" spans="1:78" hidden="1">
      <c r="A293" s="35" t="str">
        <f t="shared" si="9"/>
        <v>ELPTMED_095/2646062,0833333333</v>
      </c>
      <c r="C293" s="358" t="s">
        <v>2342</v>
      </c>
      <c r="D293" s="358">
        <v>290</v>
      </c>
      <c r="E293" s="358" t="s">
        <v>3517</v>
      </c>
      <c r="F293" s="358" t="s">
        <v>1245</v>
      </c>
      <c r="G293" s="384">
        <v>46062.083333333336</v>
      </c>
      <c r="H293" s="358" t="s">
        <v>140</v>
      </c>
      <c r="I293" s="358">
        <v>7</v>
      </c>
      <c r="J293" s="359" t="str">
        <f>IFERROR(VLOOKUP($A293,#REF!,3,0),"")</f>
        <v/>
      </c>
      <c r="K293" s="359">
        <f>IFERROR(VLOOKUP($A293,#REF!,4,0),AF293)</f>
        <v>0</v>
      </c>
      <c r="L293" s="359" t="str">
        <f>IFERROR(VLOOKUP($A293,#REF!,5,0),"")</f>
        <v/>
      </c>
      <c r="M293" s="359" t="str">
        <f>IFERROR(VLOOKUP($A293,#REF!,7,0),"")</f>
        <v/>
      </c>
      <c r="N293" s="359"/>
      <c r="O293" s="359" t="str">
        <f>IFERROR(VLOOKUP($A293,#REF!,6,0),"")</f>
        <v/>
      </c>
      <c r="P293" s="359" t="str">
        <f>IFERROR(VLOOKUP($A293,#REF!,9,0),"")</f>
        <v/>
      </c>
      <c r="Q293" s="359" t="str">
        <f>IFERROR(VLOOKUP($A293,#REF!,10,0),"")</f>
        <v/>
      </c>
      <c r="R293" s="359" t="str">
        <f>IFERROR(VLOOKUP($A293,#REF!,11,0),"")</f>
        <v/>
      </c>
      <c r="S293" s="359" t="str">
        <f>IFERROR(VLOOKUP($A293,#REF!,13,0),"")</f>
        <v/>
      </c>
      <c r="T293" s="359" t="str">
        <f>IFERROR(VLOOKUP($A293,#REF!,14,0),"")</f>
        <v/>
      </c>
      <c r="U293" s="359" t="str">
        <f>IFERROR(VLOOKUP($A293,#REF!,15,0),"")</f>
        <v/>
      </c>
      <c r="V293" s="359" t="str">
        <f>IFERROR(VLOOKUP($A293,#REF!,16,0),"")</f>
        <v/>
      </c>
      <c r="W293" s="359" t="str">
        <f>IFERROR(VLOOKUP($A293,#REF!,17,0),"")</f>
        <v/>
      </c>
      <c r="X293" s="359" t="str">
        <f>IFERROR(VLOOKUP($A293,#REF!,18,0),"")</f>
        <v/>
      </c>
      <c r="Y293" s="359" t="str">
        <f>IFERROR(VLOOKUP($A293,#REF!,19,0),"")</f>
        <v/>
      </c>
      <c r="Z293" s="400" t="str">
        <f>IFERROR(VLOOKUP($A293,#REF!,21,0),"")</f>
        <v/>
      </c>
      <c r="AA293" s="358"/>
      <c r="AB293" s="358"/>
      <c r="AC293" s="358" t="s">
        <v>1077</v>
      </c>
      <c r="AD293" s="358"/>
      <c r="AE293" s="358"/>
      <c r="AF293" s="141"/>
      <c r="AG293" s="358"/>
      <c r="AH293" s="358"/>
      <c r="AI293" s="358"/>
      <c r="AJ293" s="358"/>
      <c r="AK293" s="358"/>
      <c r="AL293" s="358"/>
      <c r="AM293" s="358"/>
      <c r="AN293" s="358" t="s">
        <v>113</v>
      </c>
      <c r="AO293" s="380" t="s">
        <v>30</v>
      </c>
      <c r="AP293" s="380">
        <v>46106</v>
      </c>
      <c r="AQ293" s="384" t="s">
        <v>47</v>
      </c>
      <c r="AR293" s="358" t="s">
        <v>32</v>
      </c>
      <c r="AS293" s="358">
        <v>7</v>
      </c>
      <c r="AT293" s="384" t="s">
        <v>47</v>
      </c>
      <c r="AU293" s="380">
        <v>46106</v>
      </c>
      <c r="AV293" s="82" t="s">
        <v>113</v>
      </c>
      <c r="AW293" s="82" t="s">
        <v>113</v>
      </c>
      <c r="AX293" s="82" t="s">
        <v>113</v>
      </c>
      <c r="AY293" s="100"/>
      <c r="AZ293" s="100"/>
      <c r="BA293" s="100"/>
      <c r="BB293" s="100"/>
      <c r="BC293" s="100"/>
      <c r="BD293" s="100"/>
      <c r="BE293" s="100"/>
      <c r="BF293" s="100"/>
      <c r="BG293" s="114"/>
      <c r="BH293" s="100"/>
      <c r="BI293" s="100"/>
      <c r="BJ293" s="100"/>
      <c r="BK293" s="114"/>
      <c r="BL293" s="360"/>
      <c r="BN293" s="412"/>
      <c r="BO293" s="412"/>
      <c r="BP293" s="412"/>
      <c r="BQ293" s="412"/>
      <c r="BR293" s="412"/>
      <c r="BY293" s="109"/>
      <c r="BZ293">
        <f t="shared" si="8"/>
        <v>1</v>
      </c>
    </row>
    <row r="294" spans="1:78" hidden="1">
      <c r="A294" s="35" t="str">
        <f t="shared" si="9"/>
        <v>ELPTMED_097/2646062,0416666667</v>
      </c>
      <c r="C294" s="358" t="s">
        <v>2342</v>
      </c>
      <c r="D294" s="358">
        <v>291</v>
      </c>
      <c r="E294" s="358" t="s">
        <v>3518</v>
      </c>
      <c r="F294" s="358" t="s">
        <v>3519</v>
      </c>
      <c r="G294" s="384">
        <v>46062.041666666664</v>
      </c>
      <c r="H294" s="358" t="s">
        <v>140</v>
      </c>
      <c r="I294" s="358">
        <v>1</v>
      </c>
      <c r="J294" s="359" t="str">
        <f>IFERROR(VLOOKUP($A294,#REF!,3,0),"")</f>
        <v/>
      </c>
      <c r="K294" s="359">
        <f>IFERROR(VLOOKUP($A294,#REF!,4,0),AF294)</f>
        <v>0</v>
      </c>
      <c r="L294" s="359" t="str">
        <f>IFERROR(VLOOKUP($A294,#REF!,5,0),"")</f>
        <v/>
      </c>
      <c r="M294" s="359" t="str">
        <f>IFERROR(VLOOKUP($A294,#REF!,7,0),"")</f>
        <v/>
      </c>
      <c r="N294" s="359"/>
      <c r="O294" s="359" t="str">
        <f>IFERROR(VLOOKUP($A294,#REF!,6,0),"")</f>
        <v/>
      </c>
      <c r="P294" s="359" t="str">
        <f>IFERROR(VLOOKUP($A294,#REF!,9,0),"")</f>
        <v/>
      </c>
      <c r="Q294" s="359" t="str">
        <f>IFERROR(VLOOKUP($A294,#REF!,10,0),"")</f>
        <v/>
      </c>
      <c r="R294" s="359" t="str">
        <f>IFERROR(VLOOKUP($A294,#REF!,11,0),"")</f>
        <v/>
      </c>
      <c r="S294" s="359" t="str">
        <f>IFERROR(VLOOKUP($A294,#REF!,13,0),"")</f>
        <v/>
      </c>
      <c r="T294" s="359" t="str">
        <f>IFERROR(VLOOKUP($A294,#REF!,14,0),"")</f>
        <v/>
      </c>
      <c r="U294" s="359" t="str">
        <f>IFERROR(VLOOKUP($A294,#REF!,15,0),"")</f>
        <v/>
      </c>
      <c r="V294" s="359" t="str">
        <f>IFERROR(VLOOKUP($A294,#REF!,16,0),"")</f>
        <v/>
      </c>
      <c r="W294" s="359" t="str">
        <f>IFERROR(VLOOKUP($A294,#REF!,17,0),"")</f>
        <v/>
      </c>
      <c r="X294" s="359" t="str">
        <f>IFERROR(VLOOKUP($A294,#REF!,18,0),"")</f>
        <v/>
      </c>
      <c r="Y294" s="359" t="str">
        <f>IFERROR(VLOOKUP($A294,#REF!,19,0),"")</f>
        <v/>
      </c>
      <c r="Z294" s="400" t="str">
        <f>IFERROR(VLOOKUP($A294,#REF!,21,0),"")</f>
        <v/>
      </c>
      <c r="AA294" s="358"/>
      <c r="AB294" s="358"/>
      <c r="AC294" s="359" t="s">
        <v>3075</v>
      </c>
      <c r="AD294" s="358"/>
      <c r="AE294" s="358"/>
      <c r="AF294" s="141"/>
      <c r="AG294" s="358"/>
      <c r="AH294" s="358"/>
      <c r="AI294" s="358"/>
      <c r="AJ294" s="358"/>
      <c r="AK294" s="358"/>
      <c r="AL294" s="358"/>
      <c r="AM294" s="358"/>
      <c r="AN294" s="358" t="s">
        <v>113</v>
      </c>
      <c r="AO294" s="380" t="s">
        <v>30</v>
      </c>
      <c r="AP294" s="380">
        <v>46107</v>
      </c>
      <c r="AQ294" s="384" t="s">
        <v>47</v>
      </c>
      <c r="AR294" s="358" t="s">
        <v>32</v>
      </c>
      <c r="AS294" s="358">
        <v>1</v>
      </c>
      <c r="AT294" s="384" t="s">
        <v>47</v>
      </c>
      <c r="AU294" s="380">
        <v>46107</v>
      </c>
      <c r="AV294" s="82" t="s">
        <v>113</v>
      </c>
      <c r="AW294" s="82" t="s">
        <v>113</v>
      </c>
      <c r="AX294" s="82" t="s">
        <v>113</v>
      </c>
      <c r="AY294" s="100"/>
      <c r="AZ294" s="100"/>
      <c r="BA294" s="100"/>
      <c r="BB294" s="100"/>
      <c r="BC294" s="100"/>
      <c r="BD294" s="100"/>
      <c r="BE294" s="100"/>
      <c r="BF294" s="100"/>
      <c r="BG294" s="114"/>
      <c r="BH294" s="111"/>
      <c r="BI294" s="111"/>
      <c r="BJ294" s="111"/>
      <c r="BK294" s="114"/>
      <c r="BL294" s="360"/>
      <c r="BN294" s="412"/>
      <c r="BO294" s="412"/>
      <c r="BP294" s="412"/>
      <c r="BQ294" s="412"/>
      <c r="BR294" s="412"/>
      <c r="BY294" s="109"/>
      <c r="BZ294">
        <f t="shared" si="8"/>
        <v>1</v>
      </c>
    </row>
    <row r="295" spans="1:78" hidden="1">
      <c r="A295" s="35" t="str">
        <f t="shared" si="9"/>
        <v>ELPTMED_098/2646062</v>
      </c>
      <c r="C295" s="358" t="s">
        <v>2342</v>
      </c>
      <c r="D295" s="358">
        <v>292</v>
      </c>
      <c r="E295" s="358" t="s">
        <v>3520</v>
      </c>
      <c r="F295" s="358" t="s">
        <v>798</v>
      </c>
      <c r="G295" s="384">
        <v>46062</v>
      </c>
      <c r="H295" s="358" t="s">
        <v>140</v>
      </c>
      <c r="I295" s="358">
        <v>1</v>
      </c>
      <c r="J295" s="359" t="str">
        <f>IFERROR(VLOOKUP($A295,#REF!,3,0),"")</f>
        <v/>
      </c>
      <c r="K295" s="359">
        <f>IFERROR(VLOOKUP($A295,#REF!,4,0),AF295)</f>
        <v>0</v>
      </c>
      <c r="L295" s="359" t="str">
        <f>IFERROR(VLOOKUP($A295,#REF!,5,0),"")</f>
        <v/>
      </c>
      <c r="M295" s="359" t="str">
        <f>IFERROR(VLOOKUP($A295,#REF!,7,0),"")</f>
        <v/>
      </c>
      <c r="N295" s="359"/>
      <c r="O295" s="359" t="str">
        <f>IFERROR(VLOOKUP($A295,#REF!,6,0),"")</f>
        <v/>
      </c>
      <c r="P295" s="359" t="str">
        <f>IFERROR(VLOOKUP($A295,#REF!,9,0),"")</f>
        <v/>
      </c>
      <c r="Q295" s="359" t="str">
        <f>IFERROR(VLOOKUP($A295,#REF!,10,0),"")</f>
        <v/>
      </c>
      <c r="R295" s="359" t="str">
        <f>IFERROR(VLOOKUP($A295,#REF!,11,0),"")</f>
        <v/>
      </c>
      <c r="S295" s="359" t="str">
        <f>IFERROR(VLOOKUP($A295,#REF!,13,0),"")</f>
        <v/>
      </c>
      <c r="T295" s="359" t="str">
        <f>IFERROR(VLOOKUP($A295,#REF!,14,0),"")</f>
        <v/>
      </c>
      <c r="U295" s="359" t="str">
        <f>IFERROR(VLOOKUP($A295,#REF!,15,0),"")</f>
        <v/>
      </c>
      <c r="V295" s="359" t="str">
        <f>IFERROR(VLOOKUP($A295,#REF!,16,0),"")</f>
        <v/>
      </c>
      <c r="W295" s="359" t="str">
        <f>IFERROR(VLOOKUP($A295,#REF!,17,0),"")</f>
        <v/>
      </c>
      <c r="X295" s="359" t="str">
        <f>IFERROR(VLOOKUP($A295,#REF!,18,0),"")</f>
        <v/>
      </c>
      <c r="Y295" s="359" t="str">
        <f>IFERROR(VLOOKUP($A295,#REF!,19,0),"")</f>
        <v/>
      </c>
      <c r="Z295" s="400" t="str">
        <f>IFERROR(VLOOKUP($A295,#REF!,21,0),"")</f>
        <v/>
      </c>
      <c r="AA295" s="358"/>
      <c r="AB295" s="358"/>
      <c r="AC295" s="359" t="s">
        <v>1077</v>
      </c>
      <c r="AD295" s="358"/>
      <c r="AE295" s="358"/>
      <c r="AF295" s="141"/>
      <c r="AG295" s="358"/>
      <c r="AH295" s="358"/>
      <c r="AI295" s="358"/>
      <c r="AJ295" s="358"/>
      <c r="AK295" s="358"/>
      <c r="AL295" s="358"/>
      <c r="AM295" s="358"/>
      <c r="AN295" s="358" t="s">
        <v>113</v>
      </c>
      <c r="AO295" s="380" t="s">
        <v>30</v>
      </c>
      <c r="AP295" s="380">
        <v>46107</v>
      </c>
      <c r="AQ295" s="384" t="s">
        <v>47</v>
      </c>
      <c r="AR295" s="358" t="s">
        <v>32</v>
      </c>
      <c r="AS295" s="358">
        <v>1</v>
      </c>
      <c r="AT295" s="384" t="s">
        <v>47</v>
      </c>
      <c r="AU295" s="380">
        <v>46107</v>
      </c>
      <c r="AV295" s="82" t="s">
        <v>113</v>
      </c>
      <c r="AW295" s="82" t="s">
        <v>113</v>
      </c>
      <c r="AX295" s="82" t="s">
        <v>113</v>
      </c>
      <c r="AY295" s="100"/>
      <c r="AZ295" s="100"/>
      <c r="BA295" s="100"/>
      <c r="BB295" s="100"/>
      <c r="BC295" s="100"/>
      <c r="BD295" s="100"/>
      <c r="BE295" s="100"/>
      <c r="BF295" s="100"/>
      <c r="BG295" s="114"/>
      <c r="BH295" s="100"/>
      <c r="BI295" s="100"/>
      <c r="BJ295" s="100"/>
      <c r="BK295" s="114"/>
      <c r="BL295" s="360"/>
      <c r="BN295" s="412"/>
      <c r="BO295" s="412"/>
      <c r="BP295" s="412"/>
      <c r="BQ295" s="412"/>
      <c r="BR295" s="412"/>
      <c r="BY295" s="109"/>
      <c r="BZ295">
        <f t="shared" si="8"/>
        <v>1</v>
      </c>
    </row>
    <row r="296" spans="1:78" hidden="1">
      <c r="A296" s="35" t="str">
        <f t="shared" si="9"/>
        <v>ELPTMED_100/2646062,0416666667</v>
      </c>
      <c r="C296" s="358" t="s">
        <v>2342</v>
      </c>
      <c r="D296" s="358">
        <v>293</v>
      </c>
      <c r="E296" s="358" t="s">
        <v>3521</v>
      </c>
      <c r="F296" s="358" t="s">
        <v>3522</v>
      </c>
      <c r="G296" s="384">
        <v>46062.041666666664</v>
      </c>
      <c r="H296" s="358" t="s">
        <v>140</v>
      </c>
      <c r="I296" s="358">
        <v>2</v>
      </c>
      <c r="J296" s="359" t="str">
        <f>IFERROR(VLOOKUP($A296,#REF!,3,0),"")</f>
        <v/>
      </c>
      <c r="K296" s="359">
        <f>IFERROR(VLOOKUP($A296,#REF!,4,0),AF296)</f>
        <v>0</v>
      </c>
      <c r="L296" s="359" t="str">
        <f>IFERROR(VLOOKUP($A296,#REF!,5,0),"")</f>
        <v/>
      </c>
      <c r="M296" s="359" t="str">
        <f>IFERROR(VLOOKUP($A296,#REF!,7,0),"")</f>
        <v/>
      </c>
      <c r="N296" s="359"/>
      <c r="O296" s="359" t="str">
        <f>IFERROR(VLOOKUP($A296,#REF!,6,0),"")</f>
        <v/>
      </c>
      <c r="P296" s="359" t="str">
        <f>IFERROR(VLOOKUP($A296,#REF!,9,0),"")</f>
        <v/>
      </c>
      <c r="Q296" s="359" t="str">
        <f>IFERROR(VLOOKUP($A296,#REF!,10,0),"")</f>
        <v/>
      </c>
      <c r="R296" s="359" t="str">
        <f>IFERROR(VLOOKUP($A296,#REF!,11,0),"")</f>
        <v/>
      </c>
      <c r="S296" s="359" t="str">
        <f>IFERROR(VLOOKUP($A296,#REF!,13,0),"")</f>
        <v/>
      </c>
      <c r="T296" s="359" t="str">
        <f>IFERROR(VLOOKUP($A296,#REF!,14,0),"")</f>
        <v/>
      </c>
      <c r="U296" s="359" t="str">
        <f>IFERROR(VLOOKUP($A296,#REF!,15,0),"")</f>
        <v/>
      </c>
      <c r="V296" s="359" t="str">
        <f>IFERROR(VLOOKUP($A296,#REF!,16,0),"")</f>
        <v/>
      </c>
      <c r="W296" s="359" t="str">
        <f>IFERROR(VLOOKUP($A296,#REF!,17,0),"")</f>
        <v/>
      </c>
      <c r="X296" s="359" t="str">
        <f>IFERROR(VLOOKUP($A296,#REF!,18,0),"")</f>
        <v/>
      </c>
      <c r="Y296" s="359" t="str">
        <f>IFERROR(VLOOKUP($A296,#REF!,19,0),"")</f>
        <v/>
      </c>
      <c r="Z296" s="400" t="str">
        <f>IFERROR(VLOOKUP($A296,#REF!,21,0),"")</f>
        <v/>
      </c>
      <c r="AA296" s="358"/>
      <c r="AB296" s="358"/>
      <c r="AC296" s="359" t="s">
        <v>3075</v>
      </c>
      <c r="AD296" s="358"/>
      <c r="AE296" s="358"/>
      <c r="AF296" s="141"/>
      <c r="AG296" s="358"/>
      <c r="AH296" s="358"/>
      <c r="AI296" s="358"/>
      <c r="AJ296" s="358"/>
      <c r="AK296" s="358"/>
      <c r="AL296" s="358"/>
      <c r="AM296" s="358"/>
      <c r="AN296" s="358" t="s">
        <v>113</v>
      </c>
      <c r="AO296" s="380" t="s">
        <v>30</v>
      </c>
      <c r="AP296" s="380">
        <v>46107</v>
      </c>
      <c r="AQ296" s="384" t="s">
        <v>47</v>
      </c>
      <c r="AR296" s="358" t="s">
        <v>32</v>
      </c>
      <c r="AS296" s="358">
        <v>2</v>
      </c>
      <c r="AT296" s="384" t="s">
        <v>47</v>
      </c>
      <c r="AU296" s="380">
        <v>46107</v>
      </c>
      <c r="AV296" s="82" t="s">
        <v>113</v>
      </c>
      <c r="AW296" s="82" t="s">
        <v>113</v>
      </c>
      <c r="AX296" s="82" t="s">
        <v>113</v>
      </c>
      <c r="AY296" s="100"/>
      <c r="AZ296" s="100"/>
      <c r="BA296" s="100"/>
      <c r="BB296" s="100"/>
      <c r="BC296" s="100"/>
      <c r="BD296" s="100"/>
      <c r="BE296" s="100"/>
      <c r="BF296" s="100"/>
      <c r="BG296" s="114"/>
      <c r="BH296" s="114"/>
      <c r="BI296" s="114"/>
      <c r="BJ296" s="114"/>
      <c r="BK296" s="114"/>
      <c r="BL296" s="360"/>
      <c r="BN296" s="412"/>
      <c r="BO296" s="412"/>
      <c r="BP296" s="412"/>
      <c r="BQ296" s="412"/>
      <c r="BR296" s="412"/>
      <c r="BX296" s="96"/>
      <c r="BY296" s="109"/>
      <c r="BZ296">
        <f t="shared" si="8"/>
        <v>1</v>
      </c>
    </row>
    <row r="297" spans="1:78" hidden="1">
      <c r="A297" s="35" t="str">
        <f t="shared" si="9"/>
        <v>ELPTMED_101/2646062</v>
      </c>
      <c r="C297" s="358" t="s">
        <v>2342</v>
      </c>
      <c r="D297" s="358">
        <v>294</v>
      </c>
      <c r="E297" s="401" t="s">
        <v>3523</v>
      </c>
      <c r="F297" s="401" t="s">
        <v>3524</v>
      </c>
      <c r="G297" s="402">
        <v>46062</v>
      </c>
      <c r="H297" s="401" t="s">
        <v>140</v>
      </c>
      <c r="I297" s="401">
        <v>1</v>
      </c>
      <c r="J297" s="359" t="str">
        <f>IFERROR(VLOOKUP($A297,#REF!,3,0),"")</f>
        <v/>
      </c>
      <c r="K297" s="359">
        <f>IFERROR(VLOOKUP($A297,#REF!,4,0),AF297)</f>
        <v>0</v>
      </c>
      <c r="L297" s="359" t="str">
        <f>IFERROR(VLOOKUP($A297,#REF!,5,0),"")</f>
        <v/>
      </c>
      <c r="M297" s="359" t="str">
        <f>IFERROR(VLOOKUP($A297,#REF!,7,0),"")</f>
        <v/>
      </c>
      <c r="N297" s="359"/>
      <c r="O297" s="359" t="str">
        <f>IFERROR(VLOOKUP($A297,#REF!,6,0),"")</f>
        <v/>
      </c>
      <c r="P297" s="359" t="str">
        <f>IFERROR(VLOOKUP($A297,#REF!,9,0),"")</f>
        <v/>
      </c>
      <c r="Q297" s="359" t="str">
        <f>IFERROR(VLOOKUP($A297,#REF!,10,0),"")</f>
        <v/>
      </c>
      <c r="R297" s="359" t="str">
        <f>IFERROR(VLOOKUP($A297,#REF!,11,0),"")</f>
        <v/>
      </c>
      <c r="S297" s="359" t="str">
        <f>IFERROR(VLOOKUP($A297,#REF!,13,0),"")</f>
        <v/>
      </c>
      <c r="T297" s="359" t="str">
        <f>IFERROR(VLOOKUP($A297,#REF!,14,0),"")</f>
        <v/>
      </c>
      <c r="U297" s="359" t="str">
        <f>IFERROR(VLOOKUP($A297,#REF!,15,0),"")</f>
        <v/>
      </c>
      <c r="V297" s="359" t="str">
        <f>IFERROR(VLOOKUP($A297,#REF!,16,0),"")</f>
        <v/>
      </c>
      <c r="W297" s="359" t="str">
        <f>IFERROR(VLOOKUP($A297,#REF!,17,0),"")</f>
        <v/>
      </c>
      <c r="X297" s="359" t="str">
        <f>IFERROR(VLOOKUP($A297,#REF!,18,0),"")</f>
        <v/>
      </c>
      <c r="Y297" s="359" t="str">
        <f>IFERROR(VLOOKUP($A297,#REF!,19,0),"")</f>
        <v/>
      </c>
      <c r="Z297" s="400" t="str">
        <f>IFERROR(VLOOKUP($A297,#REF!,21,0),"")</f>
        <v/>
      </c>
      <c r="AA297" s="401"/>
      <c r="AB297" s="401"/>
      <c r="AC297" s="359" t="s">
        <v>1721</v>
      </c>
      <c r="AD297" s="358"/>
      <c r="AE297" s="358"/>
      <c r="AF297" s="141"/>
      <c r="AG297" s="358"/>
      <c r="AH297" s="358"/>
      <c r="AI297" s="358"/>
      <c r="AJ297" s="358"/>
      <c r="AK297" s="358"/>
      <c r="AL297" s="358"/>
      <c r="AM297" s="358"/>
      <c r="AN297" s="358" t="s">
        <v>113</v>
      </c>
      <c r="AO297" s="94" t="s">
        <v>30</v>
      </c>
      <c r="AP297" s="23">
        <v>46112</v>
      </c>
      <c r="AQ297" s="384" t="s">
        <v>47</v>
      </c>
      <c r="AR297" s="358"/>
      <c r="AS297" s="358"/>
      <c r="AT297" s="384"/>
      <c r="AU297" s="380"/>
      <c r="AV297" s="82" t="s">
        <v>113</v>
      </c>
      <c r="AW297" s="82" t="s">
        <v>113</v>
      </c>
      <c r="AX297" s="82" t="s">
        <v>113</v>
      </c>
      <c r="AY297" s="100"/>
      <c r="AZ297" s="100"/>
      <c r="BA297" s="100"/>
      <c r="BB297" s="100"/>
      <c r="BC297" s="100"/>
      <c r="BD297" s="100"/>
      <c r="BE297" s="100"/>
      <c r="BF297" s="100"/>
      <c r="BG297" s="114"/>
      <c r="BH297" s="100"/>
      <c r="BI297" s="100"/>
      <c r="BJ297" s="100"/>
      <c r="BK297" s="114"/>
      <c r="BL297" s="360"/>
      <c r="BN297" s="412"/>
      <c r="BO297" s="412"/>
      <c r="BP297" s="412"/>
      <c r="BQ297" s="412"/>
      <c r="BR297" s="412"/>
      <c r="BY297" s="109"/>
      <c r="BZ297">
        <f t="shared" si="8"/>
        <v>1</v>
      </c>
    </row>
    <row r="298" spans="1:78" hidden="1">
      <c r="A298" s="35" t="str">
        <f t="shared" si="9"/>
        <v>ELPTMED_102/2646062,0416666667</v>
      </c>
      <c r="C298" s="358" t="s">
        <v>2342</v>
      </c>
      <c r="D298" s="358">
        <v>295</v>
      </c>
      <c r="E298" s="358" t="s">
        <v>3525</v>
      </c>
      <c r="F298" s="358" t="s">
        <v>3526</v>
      </c>
      <c r="G298" s="384">
        <v>46062.041666666664</v>
      </c>
      <c r="H298" s="358" t="s">
        <v>140</v>
      </c>
      <c r="I298" s="358">
        <v>12</v>
      </c>
      <c r="J298" s="359" t="str">
        <f>IFERROR(VLOOKUP($A298,#REF!,3,0),"")</f>
        <v/>
      </c>
      <c r="K298" s="359">
        <f>IFERROR(VLOOKUP($A298,#REF!,4,0),AF298)</f>
        <v>0</v>
      </c>
      <c r="L298" s="359" t="str">
        <f>IFERROR(VLOOKUP($A298,#REF!,5,0),"")</f>
        <v/>
      </c>
      <c r="M298" s="359" t="str">
        <f>IFERROR(VLOOKUP($A298,#REF!,7,0),"")</f>
        <v/>
      </c>
      <c r="N298" s="359"/>
      <c r="O298" s="359" t="str">
        <f>IFERROR(VLOOKUP($A298,#REF!,6,0),"")</f>
        <v/>
      </c>
      <c r="P298" s="359" t="str">
        <f>IFERROR(VLOOKUP($A298,#REF!,9,0),"")</f>
        <v/>
      </c>
      <c r="Q298" s="359" t="str">
        <f>IFERROR(VLOOKUP($A298,#REF!,10,0),"")</f>
        <v/>
      </c>
      <c r="R298" s="359" t="str">
        <f>IFERROR(VLOOKUP($A298,#REF!,11,0),"")</f>
        <v/>
      </c>
      <c r="S298" s="359" t="str">
        <f>IFERROR(VLOOKUP($A298,#REF!,13,0),"")</f>
        <v/>
      </c>
      <c r="T298" s="359" t="str">
        <f>IFERROR(VLOOKUP($A298,#REF!,14,0),"")</f>
        <v/>
      </c>
      <c r="U298" s="359" t="str">
        <f>IFERROR(VLOOKUP($A298,#REF!,15,0),"")</f>
        <v/>
      </c>
      <c r="V298" s="359" t="str">
        <f>IFERROR(VLOOKUP($A298,#REF!,16,0),"")</f>
        <v/>
      </c>
      <c r="W298" s="359" t="str">
        <f>IFERROR(VLOOKUP($A298,#REF!,17,0),"")</f>
        <v/>
      </c>
      <c r="X298" s="359" t="str">
        <f>IFERROR(VLOOKUP($A298,#REF!,18,0),"")</f>
        <v/>
      </c>
      <c r="Y298" s="359" t="str">
        <f>IFERROR(VLOOKUP($A298,#REF!,19,0),"")</f>
        <v/>
      </c>
      <c r="Z298" s="400" t="str">
        <f>IFERROR(VLOOKUP($A298,#REF!,21,0),"")</f>
        <v/>
      </c>
      <c r="AA298" s="358"/>
      <c r="AB298" s="358"/>
      <c r="AC298" s="359" t="s">
        <v>3075</v>
      </c>
      <c r="AD298" s="358"/>
      <c r="AE298" s="358"/>
      <c r="AF298" s="141"/>
      <c r="AG298" s="358"/>
      <c r="AH298" s="358"/>
      <c r="AI298" s="358"/>
      <c r="AJ298" s="358"/>
      <c r="AK298" s="358"/>
      <c r="AL298" s="358"/>
      <c r="AM298" s="358"/>
      <c r="AN298" s="358" t="s">
        <v>113</v>
      </c>
      <c r="AO298" s="380" t="s">
        <v>30</v>
      </c>
      <c r="AP298" s="380">
        <v>46107</v>
      </c>
      <c r="AQ298" s="384" t="s">
        <v>47</v>
      </c>
      <c r="AR298" s="358" t="s">
        <v>32</v>
      </c>
      <c r="AS298" s="358">
        <v>12</v>
      </c>
      <c r="AT298" s="384" t="s">
        <v>47</v>
      </c>
      <c r="AU298" s="380">
        <v>46107</v>
      </c>
      <c r="AV298" s="82" t="s">
        <v>113</v>
      </c>
      <c r="AW298" s="82" t="s">
        <v>113</v>
      </c>
      <c r="AX298" s="82" t="s">
        <v>113</v>
      </c>
      <c r="AY298" s="100"/>
      <c r="AZ298" s="100"/>
      <c r="BA298" s="100"/>
      <c r="BB298" s="100"/>
      <c r="BC298" s="100"/>
      <c r="BD298" s="100"/>
      <c r="BE298" s="100"/>
      <c r="BF298" s="100"/>
      <c r="BG298" s="114"/>
      <c r="BH298" s="114"/>
      <c r="BI298" s="114"/>
      <c r="BJ298" s="114"/>
      <c r="BK298" s="114"/>
      <c r="BL298" s="360"/>
      <c r="BN298" s="412"/>
      <c r="BO298" s="412"/>
      <c r="BP298" s="412"/>
      <c r="BQ298" s="412"/>
      <c r="BR298" s="412"/>
      <c r="BY298" s="109"/>
      <c r="BZ298">
        <f t="shared" si="8"/>
        <v>1</v>
      </c>
    </row>
    <row r="299" spans="1:78" hidden="1">
      <c r="A299" s="35" t="str">
        <f t="shared" si="9"/>
        <v>ELPTMED_103/2646062,375</v>
      </c>
      <c r="C299" s="358" t="s">
        <v>2342</v>
      </c>
      <c r="D299" s="358">
        <v>296</v>
      </c>
      <c r="E299" s="358" t="s">
        <v>3527</v>
      </c>
      <c r="F299" s="358" t="s">
        <v>3528</v>
      </c>
      <c r="G299" s="384">
        <v>46062.375</v>
      </c>
      <c r="H299" s="358" t="s">
        <v>140</v>
      </c>
      <c r="I299" s="358">
        <v>7</v>
      </c>
      <c r="J299" s="359" t="str">
        <f>IFERROR(VLOOKUP($A299,#REF!,3,0),"")</f>
        <v/>
      </c>
      <c r="K299" s="359">
        <f>IFERROR(VLOOKUP($A299,#REF!,4,0),AF299)</f>
        <v>0</v>
      </c>
      <c r="L299" s="359" t="str">
        <f>IFERROR(VLOOKUP($A299,#REF!,5,0),"")</f>
        <v/>
      </c>
      <c r="M299" s="359" t="str">
        <f>IFERROR(VLOOKUP($A299,#REF!,7,0),"")</f>
        <v/>
      </c>
      <c r="N299" s="359"/>
      <c r="O299" s="359" t="str">
        <f>IFERROR(VLOOKUP($A299,#REF!,6,0),"")</f>
        <v/>
      </c>
      <c r="P299" s="359" t="str">
        <f>IFERROR(VLOOKUP($A299,#REF!,9,0),"")</f>
        <v/>
      </c>
      <c r="Q299" s="359" t="str">
        <f>IFERROR(VLOOKUP($A299,#REF!,10,0),"")</f>
        <v/>
      </c>
      <c r="R299" s="359" t="str">
        <f>IFERROR(VLOOKUP($A299,#REF!,11,0),"")</f>
        <v/>
      </c>
      <c r="S299" s="359" t="str">
        <f>IFERROR(VLOOKUP($A299,#REF!,13,0),"")</f>
        <v/>
      </c>
      <c r="T299" s="359" t="str">
        <f>IFERROR(VLOOKUP($A299,#REF!,14,0),"")</f>
        <v/>
      </c>
      <c r="U299" s="359" t="str">
        <f>IFERROR(VLOOKUP($A299,#REF!,15,0),"")</f>
        <v/>
      </c>
      <c r="V299" s="359" t="str">
        <f>IFERROR(VLOOKUP($A299,#REF!,16,0),"")</f>
        <v/>
      </c>
      <c r="W299" s="359" t="str">
        <f>IFERROR(VLOOKUP($A299,#REF!,17,0),"")</f>
        <v/>
      </c>
      <c r="X299" s="359" t="str">
        <f>IFERROR(VLOOKUP($A299,#REF!,18,0),"")</f>
        <v/>
      </c>
      <c r="Y299" s="359" t="str">
        <f>IFERROR(VLOOKUP($A299,#REF!,19,0),"")</f>
        <v/>
      </c>
      <c r="Z299" s="400" t="str">
        <f>IFERROR(VLOOKUP($A299,#REF!,21,0),"")</f>
        <v/>
      </c>
      <c r="AA299" s="358"/>
      <c r="AB299" s="358"/>
      <c r="AC299" s="359" t="s">
        <v>1077</v>
      </c>
      <c r="AD299" s="358"/>
      <c r="AE299" s="358"/>
      <c r="AF299" s="141"/>
      <c r="AG299" s="358"/>
      <c r="AH299" s="358"/>
      <c r="AI299" s="358"/>
      <c r="AJ299" s="358"/>
      <c r="AK299" s="358"/>
      <c r="AL299" s="358"/>
      <c r="AM299" s="358"/>
      <c r="AN299" s="358" t="s">
        <v>113</v>
      </c>
      <c r="AO299" s="358" t="s">
        <v>30</v>
      </c>
      <c r="AP299" s="380">
        <v>46107</v>
      </c>
      <c r="AQ299" s="384" t="s">
        <v>47</v>
      </c>
      <c r="AR299" s="358" t="s">
        <v>32</v>
      </c>
      <c r="AS299" s="358">
        <v>7</v>
      </c>
      <c r="AT299" s="384" t="s">
        <v>47</v>
      </c>
      <c r="AU299" s="380">
        <v>46107</v>
      </c>
      <c r="AV299" s="82" t="s">
        <v>113</v>
      </c>
      <c r="AW299" s="82" t="s">
        <v>113</v>
      </c>
      <c r="AX299" s="82" t="s">
        <v>113</v>
      </c>
      <c r="AY299" s="100"/>
      <c r="AZ299" s="100"/>
      <c r="BA299" s="100"/>
      <c r="BB299" s="100"/>
      <c r="BC299" s="100"/>
      <c r="BD299" s="100"/>
      <c r="BE299" s="100"/>
      <c r="BF299" s="100"/>
      <c r="BG299" s="114"/>
      <c r="BH299" s="114"/>
      <c r="BI299" s="114"/>
      <c r="BJ299" s="114"/>
      <c r="BK299" s="114"/>
      <c r="BL299" s="360"/>
      <c r="BN299" s="412"/>
      <c r="BO299" s="412"/>
      <c r="BP299" s="412"/>
      <c r="BQ299" s="412"/>
      <c r="BR299" s="412"/>
      <c r="BY299" s="109"/>
      <c r="BZ299">
        <f t="shared" si="8"/>
        <v>1</v>
      </c>
    </row>
    <row r="300" spans="1:78" hidden="1">
      <c r="A300" s="35" t="str">
        <f t="shared" si="9"/>
        <v>ELPTMED_104/2646062,125</v>
      </c>
      <c r="C300" s="358" t="s">
        <v>2342</v>
      </c>
      <c r="D300" s="358">
        <v>297</v>
      </c>
      <c r="E300" s="358" t="s">
        <v>3529</v>
      </c>
      <c r="F300" s="358" t="s">
        <v>1366</v>
      </c>
      <c r="G300" s="384">
        <v>46062.125</v>
      </c>
      <c r="H300" s="358" t="s">
        <v>140</v>
      </c>
      <c r="I300" s="358">
        <v>6</v>
      </c>
      <c r="J300" s="359" t="str">
        <f>IFERROR(VLOOKUP($A300,#REF!,3,0),"")</f>
        <v/>
      </c>
      <c r="K300" s="359">
        <f>IFERROR(VLOOKUP($A300,#REF!,4,0),AF300)</f>
        <v>0</v>
      </c>
      <c r="L300" s="359" t="str">
        <f>IFERROR(VLOOKUP($A300,#REF!,5,0),"")</f>
        <v/>
      </c>
      <c r="M300" s="359" t="str">
        <f>IFERROR(VLOOKUP($A300,#REF!,7,0),"")</f>
        <v/>
      </c>
      <c r="N300" s="359"/>
      <c r="O300" s="359" t="str">
        <f>IFERROR(VLOOKUP($A300,#REF!,6,0),"")</f>
        <v/>
      </c>
      <c r="P300" s="359" t="str">
        <f>IFERROR(VLOOKUP($A300,#REF!,9,0),"")</f>
        <v/>
      </c>
      <c r="Q300" s="359" t="str">
        <f>IFERROR(VLOOKUP($A300,#REF!,10,0),"")</f>
        <v/>
      </c>
      <c r="R300" s="359" t="str">
        <f>IFERROR(VLOOKUP($A300,#REF!,11,0),"")</f>
        <v/>
      </c>
      <c r="S300" s="359" t="str">
        <f>IFERROR(VLOOKUP($A300,#REF!,13,0),"")</f>
        <v/>
      </c>
      <c r="T300" s="359" t="str">
        <f>IFERROR(VLOOKUP($A300,#REF!,14,0),"")</f>
        <v/>
      </c>
      <c r="U300" s="359" t="str">
        <f>IFERROR(VLOOKUP($A300,#REF!,15,0),"")</f>
        <v/>
      </c>
      <c r="V300" s="359" t="str">
        <f>IFERROR(VLOOKUP($A300,#REF!,16,0),"")</f>
        <v/>
      </c>
      <c r="W300" s="359" t="str">
        <f>IFERROR(VLOOKUP($A300,#REF!,17,0),"")</f>
        <v/>
      </c>
      <c r="X300" s="359" t="str">
        <f>IFERROR(VLOOKUP($A300,#REF!,18,0),"")</f>
        <v/>
      </c>
      <c r="Y300" s="359" t="str">
        <f>IFERROR(VLOOKUP($A300,#REF!,19,0),"")</f>
        <v/>
      </c>
      <c r="Z300" s="400" t="str">
        <f>IFERROR(VLOOKUP($A300,#REF!,21,0),"")</f>
        <v/>
      </c>
      <c r="AA300" s="358"/>
      <c r="AB300" s="358"/>
      <c r="AC300" s="359" t="s">
        <v>3075</v>
      </c>
      <c r="AD300" s="358"/>
      <c r="AE300" s="358"/>
      <c r="AF300" s="141"/>
      <c r="AG300" s="358"/>
      <c r="AH300" s="358"/>
      <c r="AI300" s="358"/>
      <c r="AJ300" s="358"/>
      <c r="AK300" s="358"/>
      <c r="AL300" s="358"/>
      <c r="AM300" s="358"/>
      <c r="AN300" s="358" t="s">
        <v>113</v>
      </c>
      <c r="AO300" s="358" t="s">
        <v>30</v>
      </c>
      <c r="AP300" s="380">
        <v>46106</v>
      </c>
      <c r="AQ300" s="384" t="s">
        <v>3357</v>
      </c>
      <c r="AR300" s="358" t="s">
        <v>32</v>
      </c>
      <c r="AS300" s="358">
        <v>6</v>
      </c>
      <c r="AT300" s="384" t="s">
        <v>3357</v>
      </c>
      <c r="AU300" s="380">
        <v>46106</v>
      </c>
      <c r="AV300" s="82" t="s">
        <v>113</v>
      </c>
      <c r="AW300" s="82" t="s">
        <v>113</v>
      </c>
      <c r="AX300" s="82" t="s">
        <v>113</v>
      </c>
      <c r="AY300" s="100"/>
      <c r="AZ300" s="100"/>
      <c r="BA300" s="100"/>
      <c r="BB300" s="100"/>
      <c r="BC300" s="100"/>
      <c r="BD300" s="100"/>
      <c r="BE300" s="100"/>
      <c r="BF300" s="100"/>
      <c r="BG300" s="114"/>
      <c r="BH300" s="111"/>
      <c r="BI300" s="111"/>
      <c r="BJ300" s="111"/>
      <c r="BK300" s="114"/>
      <c r="BL300" s="360"/>
      <c r="BN300" s="412"/>
      <c r="BO300" s="412"/>
      <c r="BP300" s="412"/>
      <c r="BQ300" s="412"/>
      <c r="BR300" s="412"/>
      <c r="BY300" s="109"/>
      <c r="BZ300">
        <f t="shared" si="8"/>
        <v>1</v>
      </c>
    </row>
    <row r="301" spans="1:78" hidden="1">
      <c r="A301" s="35" t="str">
        <f t="shared" si="9"/>
        <v>ELPTMED_105/2646062</v>
      </c>
      <c r="C301" s="358" t="s">
        <v>2342</v>
      </c>
      <c r="D301" s="358">
        <v>298</v>
      </c>
      <c r="E301" s="358" t="s">
        <v>3530</v>
      </c>
      <c r="F301" s="358" t="s">
        <v>3531</v>
      </c>
      <c r="G301" s="384">
        <v>46062</v>
      </c>
      <c r="H301" s="358" t="s">
        <v>140</v>
      </c>
      <c r="I301" s="358">
        <v>6</v>
      </c>
      <c r="J301" s="359" t="str">
        <f>IFERROR(VLOOKUP($A301,#REF!,3,0),"")</f>
        <v/>
      </c>
      <c r="K301" s="359">
        <f>IFERROR(VLOOKUP($A301,#REF!,4,0),AF301)</f>
        <v>0</v>
      </c>
      <c r="L301" s="359" t="str">
        <f>IFERROR(VLOOKUP($A301,#REF!,5,0),"")</f>
        <v/>
      </c>
      <c r="M301" s="359" t="str">
        <f>IFERROR(VLOOKUP($A301,#REF!,7,0),"")</f>
        <v/>
      </c>
      <c r="N301" s="359"/>
      <c r="O301" s="359" t="str">
        <f>IFERROR(VLOOKUP($A301,#REF!,6,0),"")</f>
        <v/>
      </c>
      <c r="P301" s="359" t="str">
        <f>IFERROR(VLOOKUP($A301,#REF!,9,0),"")</f>
        <v/>
      </c>
      <c r="Q301" s="359" t="str">
        <f>IFERROR(VLOOKUP($A301,#REF!,10,0),"")</f>
        <v/>
      </c>
      <c r="R301" s="359" t="str">
        <f>IFERROR(VLOOKUP($A301,#REF!,11,0),"")</f>
        <v/>
      </c>
      <c r="S301" s="359" t="str">
        <f>IFERROR(VLOOKUP($A301,#REF!,13,0),"")</f>
        <v/>
      </c>
      <c r="T301" s="359" t="str">
        <f>IFERROR(VLOOKUP($A301,#REF!,14,0),"")</f>
        <v/>
      </c>
      <c r="U301" s="359" t="str">
        <f>IFERROR(VLOOKUP($A301,#REF!,15,0),"")</f>
        <v/>
      </c>
      <c r="V301" s="359" t="str">
        <f>IFERROR(VLOOKUP($A301,#REF!,16,0),"")</f>
        <v/>
      </c>
      <c r="W301" s="359" t="str">
        <f>IFERROR(VLOOKUP($A301,#REF!,17,0),"")</f>
        <v/>
      </c>
      <c r="X301" s="359" t="str">
        <f>IFERROR(VLOOKUP($A301,#REF!,18,0),"")</f>
        <v/>
      </c>
      <c r="Y301" s="359" t="str">
        <f>IFERROR(VLOOKUP($A301,#REF!,19,0),"")</f>
        <v/>
      </c>
      <c r="Z301" s="400" t="str">
        <f>IFERROR(VLOOKUP($A301,#REF!,21,0),"")</f>
        <v/>
      </c>
      <c r="AA301" s="358"/>
      <c r="AB301" s="358"/>
      <c r="AC301" s="359" t="s">
        <v>1721</v>
      </c>
      <c r="AD301" s="358"/>
      <c r="AE301" s="358"/>
      <c r="AF301" s="141"/>
      <c r="AG301" s="358"/>
      <c r="AH301" s="358"/>
      <c r="AI301" s="358"/>
      <c r="AJ301" s="358"/>
      <c r="AK301" s="358"/>
      <c r="AL301" s="358"/>
      <c r="AM301" s="358"/>
      <c r="AN301" s="358" t="s">
        <v>113</v>
      </c>
      <c r="AO301" s="358" t="s">
        <v>30</v>
      </c>
      <c r="AP301" s="380">
        <v>46107</v>
      </c>
      <c r="AQ301" s="384" t="s">
        <v>3357</v>
      </c>
      <c r="AR301" s="358" t="s">
        <v>32</v>
      </c>
      <c r="AS301" s="358">
        <v>6</v>
      </c>
      <c r="AT301" s="384" t="s">
        <v>3357</v>
      </c>
      <c r="AU301" s="380">
        <v>46107</v>
      </c>
      <c r="AV301" s="82" t="s">
        <v>113</v>
      </c>
      <c r="AW301" s="82" t="s">
        <v>113</v>
      </c>
      <c r="AX301" s="82" t="s">
        <v>113</v>
      </c>
      <c r="AY301" s="100"/>
      <c r="AZ301" s="100"/>
      <c r="BA301" s="100"/>
      <c r="BB301" s="100"/>
      <c r="BC301" s="100"/>
      <c r="BD301" s="100"/>
      <c r="BE301" s="100"/>
      <c r="BF301" s="100"/>
      <c r="BG301" s="114"/>
      <c r="BH301" s="111"/>
      <c r="BI301" s="111"/>
      <c r="BJ301" s="111"/>
      <c r="BK301" s="114"/>
      <c r="BL301" s="360"/>
      <c r="BN301" s="412"/>
      <c r="BO301" s="412"/>
      <c r="BP301" s="412"/>
      <c r="BQ301" s="412"/>
      <c r="BR301" s="412"/>
      <c r="BX301" s="109"/>
      <c r="BY301" s="109"/>
      <c r="BZ301">
        <f t="shared" si="8"/>
        <v>1</v>
      </c>
    </row>
    <row r="302" spans="1:78" hidden="1">
      <c r="A302" s="35" t="str">
        <f t="shared" si="9"/>
        <v>ELPTMED_106/2646069,375</v>
      </c>
      <c r="C302" s="358" t="s">
        <v>2342</v>
      </c>
      <c r="D302" s="358">
        <v>299</v>
      </c>
      <c r="E302" s="358" t="s">
        <v>3532</v>
      </c>
      <c r="F302" s="358" t="s">
        <v>3533</v>
      </c>
      <c r="G302" s="384">
        <v>46069.375</v>
      </c>
      <c r="H302" s="358" t="s">
        <v>140</v>
      </c>
      <c r="I302" s="358">
        <v>8</v>
      </c>
      <c r="J302" s="359" t="str">
        <f>IFERROR(VLOOKUP($A302,#REF!,3,0),"")</f>
        <v/>
      </c>
      <c r="K302" s="359">
        <f>IFERROR(VLOOKUP($A302,#REF!,4,0),AF302)</f>
        <v>0</v>
      </c>
      <c r="L302" s="359" t="str">
        <f>IFERROR(VLOOKUP($A302,#REF!,5,0),"")</f>
        <v/>
      </c>
      <c r="M302" s="359" t="str">
        <f>IFERROR(VLOOKUP($A302,#REF!,7,0),"")</f>
        <v/>
      </c>
      <c r="N302" s="359"/>
      <c r="O302" s="359" t="str">
        <f>IFERROR(VLOOKUP($A302,#REF!,6,0),"")</f>
        <v/>
      </c>
      <c r="P302" s="359" t="str">
        <f>IFERROR(VLOOKUP($A302,#REF!,9,0),"")</f>
        <v/>
      </c>
      <c r="Q302" s="359" t="str">
        <f>IFERROR(VLOOKUP($A302,#REF!,10,0),"")</f>
        <v/>
      </c>
      <c r="R302" s="359" t="str">
        <f>IFERROR(VLOOKUP($A302,#REF!,11,0),"")</f>
        <v/>
      </c>
      <c r="S302" s="359" t="str">
        <f>IFERROR(VLOOKUP($A302,#REF!,13,0),"")</f>
        <v/>
      </c>
      <c r="T302" s="359" t="str">
        <f>IFERROR(VLOOKUP($A302,#REF!,14,0),"")</f>
        <v/>
      </c>
      <c r="U302" s="359" t="str">
        <f>IFERROR(VLOOKUP($A302,#REF!,15,0),"")</f>
        <v/>
      </c>
      <c r="V302" s="359" t="str">
        <f>IFERROR(VLOOKUP($A302,#REF!,16,0),"")</f>
        <v/>
      </c>
      <c r="W302" s="359" t="str">
        <f>IFERROR(VLOOKUP($A302,#REF!,17,0),"")</f>
        <v/>
      </c>
      <c r="X302" s="359" t="str">
        <f>IFERROR(VLOOKUP($A302,#REF!,18,0),"")</f>
        <v/>
      </c>
      <c r="Y302" s="359" t="str">
        <f>IFERROR(VLOOKUP($A302,#REF!,19,0),"")</f>
        <v/>
      </c>
      <c r="Z302" s="400" t="str">
        <f>IFERROR(VLOOKUP($A302,#REF!,21,0),"")</f>
        <v/>
      </c>
      <c r="AA302" s="358"/>
      <c r="AB302" s="358"/>
      <c r="AC302" s="358" t="s">
        <v>1721</v>
      </c>
      <c r="AD302" s="358"/>
      <c r="AE302" s="358"/>
      <c r="AF302" s="141"/>
      <c r="AG302" s="358"/>
      <c r="AH302" s="358"/>
      <c r="AI302" s="358"/>
      <c r="AJ302" s="358"/>
      <c r="AK302" s="358"/>
      <c r="AL302" s="358"/>
      <c r="AM302" s="358"/>
      <c r="AN302" s="358" t="s">
        <v>113</v>
      </c>
      <c r="AO302" s="358" t="s">
        <v>30</v>
      </c>
      <c r="AP302" s="380">
        <v>46107</v>
      </c>
      <c r="AQ302" s="384" t="s">
        <v>3357</v>
      </c>
      <c r="AR302" s="358" t="s">
        <v>32</v>
      </c>
      <c r="AS302" s="358">
        <v>8</v>
      </c>
      <c r="AT302" s="384" t="s">
        <v>3357</v>
      </c>
      <c r="AU302" s="380">
        <v>46107</v>
      </c>
      <c r="AV302" s="82" t="s">
        <v>113</v>
      </c>
      <c r="AW302" s="82" t="s">
        <v>113</v>
      </c>
      <c r="AX302" s="82" t="s">
        <v>113</v>
      </c>
      <c r="AY302" s="100"/>
      <c r="AZ302" s="95"/>
      <c r="BA302" s="100"/>
      <c r="BB302" s="100"/>
      <c r="BC302" s="100"/>
      <c r="BD302" s="100"/>
      <c r="BE302" s="100"/>
      <c r="BF302" s="100"/>
      <c r="BG302" s="114"/>
      <c r="BH302" s="111"/>
      <c r="BI302" s="111"/>
      <c r="BJ302" s="111"/>
      <c r="BK302" s="114"/>
      <c r="BL302" s="360"/>
      <c r="BN302" s="412"/>
      <c r="BO302" s="412"/>
      <c r="BP302" s="412"/>
      <c r="BQ302" s="412"/>
      <c r="BR302" s="412"/>
      <c r="BY302" s="109"/>
      <c r="BZ302">
        <f t="shared" si="8"/>
        <v>1</v>
      </c>
    </row>
    <row r="303" spans="1:78" hidden="1">
      <c r="A303" s="35" t="str">
        <f t="shared" si="9"/>
        <v>ELPTMED_107/2646069</v>
      </c>
      <c r="C303" s="358" t="s">
        <v>2342</v>
      </c>
      <c r="D303" s="358">
        <v>300</v>
      </c>
      <c r="E303" s="358" t="s">
        <v>3534</v>
      </c>
      <c r="F303" s="358" t="s">
        <v>846</v>
      </c>
      <c r="G303" s="384">
        <v>46069</v>
      </c>
      <c r="H303" s="358" t="s">
        <v>140</v>
      </c>
      <c r="I303" s="358">
        <v>2</v>
      </c>
      <c r="J303" s="359" t="str">
        <f>IFERROR(VLOOKUP($A303,#REF!,3,0),"")</f>
        <v/>
      </c>
      <c r="K303" s="359">
        <f>IFERROR(VLOOKUP($A303,#REF!,4,0),AF303)</f>
        <v>0</v>
      </c>
      <c r="L303" s="359" t="str">
        <f>IFERROR(VLOOKUP($A303,#REF!,5,0),"")</f>
        <v/>
      </c>
      <c r="M303" s="359" t="str">
        <f>IFERROR(VLOOKUP($A303,#REF!,7,0),"")</f>
        <v/>
      </c>
      <c r="N303" s="359"/>
      <c r="O303" s="359" t="str">
        <f>IFERROR(VLOOKUP($A303,#REF!,6,0),"")</f>
        <v/>
      </c>
      <c r="P303" s="359" t="str">
        <f>IFERROR(VLOOKUP($A303,#REF!,9,0),"")</f>
        <v/>
      </c>
      <c r="Q303" s="359" t="str">
        <f>IFERROR(VLOOKUP($A303,#REF!,10,0),"")</f>
        <v/>
      </c>
      <c r="R303" s="359" t="str">
        <f>IFERROR(VLOOKUP($A303,#REF!,11,0),"")</f>
        <v/>
      </c>
      <c r="S303" s="359" t="str">
        <f>IFERROR(VLOOKUP($A303,#REF!,13,0),"")</f>
        <v/>
      </c>
      <c r="T303" s="359" t="str">
        <f>IFERROR(VLOOKUP($A303,#REF!,14,0),"")</f>
        <v/>
      </c>
      <c r="U303" s="359" t="str">
        <f>IFERROR(VLOOKUP($A303,#REF!,15,0),"")</f>
        <v/>
      </c>
      <c r="V303" s="359" t="str">
        <f>IFERROR(VLOOKUP($A303,#REF!,16,0),"")</f>
        <v/>
      </c>
      <c r="W303" s="359" t="str">
        <f>IFERROR(VLOOKUP($A303,#REF!,17,0),"")</f>
        <v/>
      </c>
      <c r="X303" s="359" t="str">
        <f>IFERROR(VLOOKUP($A303,#REF!,18,0),"")</f>
        <v/>
      </c>
      <c r="Y303" s="359" t="str">
        <f>IFERROR(VLOOKUP($A303,#REF!,19,0),"")</f>
        <v/>
      </c>
      <c r="Z303" s="400" t="str">
        <f>IFERROR(VLOOKUP($A303,#REF!,21,0),"")</f>
        <v/>
      </c>
      <c r="AA303" s="358"/>
      <c r="AB303" s="358"/>
      <c r="AC303" s="358" t="s">
        <v>127</v>
      </c>
      <c r="AD303" s="358"/>
      <c r="AE303" s="358"/>
      <c r="AF303" s="141"/>
      <c r="AG303" s="358"/>
      <c r="AH303" s="358"/>
      <c r="AI303" s="380"/>
      <c r="AJ303" s="358"/>
      <c r="AK303" s="358"/>
      <c r="AL303" s="358"/>
      <c r="AM303" s="358"/>
      <c r="AN303" s="358" t="s">
        <v>113</v>
      </c>
      <c r="AO303" s="380" t="s">
        <v>30</v>
      </c>
      <c r="AP303" s="380">
        <v>46070</v>
      </c>
      <c r="AQ303" s="384" t="s">
        <v>3357</v>
      </c>
      <c r="AR303" s="358" t="s">
        <v>32</v>
      </c>
      <c r="AS303" s="358">
        <v>2</v>
      </c>
      <c r="AT303" s="384" t="s">
        <v>3357</v>
      </c>
      <c r="AU303" s="380">
        <v>46070</v>
      </c>
      <c r="AV303" s="82" t="s">
        <v>113</v>
      </c>
      <c r="AW303" s="82" t="s">
        <v>113</v>
      </c>
      <c r="AX303" s="82" t="s">
        <v>113</v>
      </c>
      <c r="AY303" s="100"/>
      <c r="AZ303" s="100"/>
      <c r="BA303" s="100"/>
      <c r="BB303" s="100"/>
      <c r="BC303" s="100"/>
      <c r="BD303" s="100"/>
      <c r="BE303" s="100"/>
      <c r="BF303" s="100"/>
      <c r="BG303" s="114"/>
      <c r="BH303" s="100"/>
      <c r="BI303" s="100"/>
      <c r="BJ303" s="100"/>
      <c r="BK303" s="114"/>
      <c r="BL303" s="360"/>
      <c r="BN303" s="412"/>
      <c r="BO303" s="412"/>
      <c r="BP303" s="412"/>
      <c r="BQ303" s="412"/>
      <c r="BR303" s="412"/>
      <c r="BX303" s="96"/>
      <c r="BY303" s="109"/>
      <c r="BZ303">
        <f t="shared" si="8"/>
        <v>1</v>
      </c>
    </row>
    <row r="304" spans="1:78" hidden="1">
      <c r="A304" s="35" t="str">
        <f t="shared" si="9"/>
        <v>ELPTMED_108/2646069,375</v>
      </c>
      <c r="C304" s="358" t="s">
        <v>2342</v>
      </c>
      <c r="D304" s="358">
        <v>301</v>
      </c>
      <c r="E304" s="358" t="s">
        <v>3535</v>
      </c>
      <c r="F304" s="358" t="s">
        <v>523</v>
      </c>
      <c r="G304" s="384">
        <v>46069.375</v>
      </c>
      <c r="H304" s="358" t="s">
        <v>140</v>
      </c>
      <c r="I304" s="358">
        <v>3</v>
      </c>
      <c r="J304" s="359" t="str">
        <f>IFERROR(VLOOKUP($A304,#REF!,3,0),"")</f>
        <v/>
      </c>
      <c r="K304" s="359">
        <f>IFERROR(VLOOKUP($A304,#REF!,4,0),AF304)</f>
        <v>0</v>
      </c>
      <c r="L304" s="359" t="str">
        <f>IFERROR(VLOOKUP($A304,#REF!,5,0),"")</f>
        <v/>
      </c>
      <c r="M304" s="359" t="str">
        <f>IFERROR(VLOOKUP($A304,#REF!,7,0),"")</f>
        <v/>
      </c>
      <c r="N304" s="359"/>
      <c r="O304" s="359" t="str">
        <f>IFERROR(VLOOKUP($A304,#REF!,6,0),"")</f>
        <v/>
      </c>
      <c r="P304" s="359" t="str">
        <f>IFERROR(VLOOKUP($A304,#REF!,9,0),"")</f>
        <v/>
      </c>
      <c r="Q304" s="359" t="str">
        <f>IFERROR(VLOOKUP($A304,#REF!,10,0),"")</f>
        <v/>
      </c>
      <c r="R304" s="359" t="str">
        <f>IFERROR(VLOOKUP($A304,#REF!,11,0),"")</f>
        <v/>
      </c>
      <c r="S304" s="359" t="str">
        <f>IFERROR(VLOOKUP($A304,#REF!,13,0),"")</f>
        <v/>
      </c>
      <c r="T304" s="359" t="str">
        <f>IFERROR(VLOOKUP($A304,#REF!,14,0),"")</f>
        <v/>
      </c>
      <c r="U304" s="359" t="str">
        <f>IFERROR(VLOOKUP($A304,#REF!,15,0),"")</f>
        <v/>
      </c>
      <c r="V304" s="359" t="str">
        <f>IFERROR(VLOOKUP($A304,#REF!,16,0),"")</f>
        <v/>
      </c>
      <c r="W304" s="359" t="str">
        <f>IFERROR(VLOOKUP($A304,#REF!,17,0),"")</f>
        <v/>
      </c>
      <c r="X304" s="359" t="str">
        <f>IFERROR(VLOOKUP($A304,#REF!,18,0),"")</f>
        <v/>
      </c>
      <c r="Y304" s="359" t="str">
        <f>IFERROR(VLOOKUP($A304,#REF!,19,0),"")</f>
        <v/>
      </c>
      <c r="Z304" s="400" t="str">
        <f>IFERROR(VLOOKUP($A304,#REF!,21,0),"")</f>
        <v/>
      </c>
      <c r="AA304" s="358"/>
      <c r="AB304" s="358"/>
      <c r="AC304" s="358" t="s">
        <v>3075</v>
      </c>
      <c r="AD304" s="358"/>
      <c r="AE304" s="358"/>
      <c r="AF304" s="141"/>
      <c r="AG304" s="358"/>
      <c r="AH304" s="358"/>
      <c r="AI304" s="380"/>
      <c r="AJ304" s="358"/>
      <c r="AK304" s="358"/>
      <c r="AL304" s="358"/>
      <c r="AM304" s="358"/>
      <c r="AN304" s="358" t="s">
        <v>113</v>
      </c>
      <c r="AO304" s="380" t="s">
        <v>30</v>
      </c>
      <c r="AP304" s="380">
        <v>46108</v>
      </c>
      <c r="AQ304" s="384" t="s">
        <v>3357</v>
      </c>
      <c r="AR304" s="358" t="s">
        <v>32</v>
      </c>
      <c r="AS304" s="358">
        <v>3</v>
      </c>
      <c r="AT304" s="384" t="s">
        <v>3357</v>
      </c>
      <c r="AU304" s="380">
        <v>46108</v>
      </c>
      <c r="AV304" s="82" t="s">
        <v>113</v>
      </c>
      <c r="AW304" s="82" t="s">
        <v>113</v>
      </c>
      <c r="AX304" s="82" t="s">
        <v>113</v>
      </c>
      <c r="AY304" s="100"/>
      <c r="AZ304" s="100"/>
      <c r="BA304" s="100"/>
      <c r="BB304" s="100"/>
      <c r="BC304" s="100"/>
      <c r="BD304" s="100"/>
      <c r="BE304" s="100"/>
      <c r="BF304" s="100"/>
      <c r="BG304" s="114"/>
      <c r="BH304" s="114"/>
      <c r="BI304" s="114"/>
      <c r="BJ304" s="111"/>
      <c r="BK304" s="114"/>
      <c r="BL304" s="360"/>
      <c r="BN304" s="412"/>
      <c r="BO304" s="412"/>
      <c r="BP304" s="412"/>
      <c r="BQ304" s="412"/>
      <c r="BR304" s="412"/>
      <c r="BX304" s="96"/>
      <c r="BY304" s="109"/>
      <c r="BZ304">
        <f t="shared" si="8"/>
        <v>1</v>
      </c>
    </row>
    <row r="305" spans="1:78" hidden="1">
      <c r="A305" s="35" t="str">
        <f t="shared" si="9"/>
        <v>ELPTMED_109/2646069,0833333333</v>
      </c>
      <c r="C305" s="358" t="s">
        <v>2342</v>
      </c>
      <c r="D305" s="358">
        <v>302</v>
      </c>
      <c r="E305" s="358" t="s">
        <v>3536</v>
      </c>
      <c r="F305" s="358" t="s">
        <v>1516</v>
      </c>
      <c r="G305" s="384">
        <v>46069.083333333336</v>
      </c>
      <c r="H305" s="358" t="s">
        <v>140</v>
      </c>
      <c r="I305" s="358">
        <v>2</v>
      </c>
      <c r="J305" s="359" t="str">
        <f>IFERROR(VLOOKUP($A305,#REF!,3,0),"")</f>
        <v/>
      </c>
      <c r="K305" s="359">
        <f>IFERROR(VLOOKUP($A305,#REF!,4,0),AF305)</f>
        <v>0</v>
      </c>
      <c r="L305" s="359" t="str">
        <f>IFERROR(VLOOKUP($A305,#REF!,5,0),"")</f>
        <v/>
      </c>
      <c r="M305" s="359" t="str">
        <f>IFERROR(VLOOKUP($A305,#REF!,7,0),"")</f>
        <v/>
      </c>
      <c r="N305" s="359"/>
      <c r="O305" s="359" t="str">
        <f>IFERROR(VLOOKUP($A305,#REF!,6,0),"")</f>
        <v/>
      </c>
      <c r="P305" s="359" t="str">
        <f>IFERROR(VLOOKUP($A305,#REF!,9,0),"")</f>
        <v/>
      </c>
      <c r="Q305" s="359" t="str">
        <f>IFERROR(VLOOKUP($A305,#REF!,10,0),"")</f>
        <v/>
      </c>
      <c r="R305" s="359" t="str">
        <f>IFERROR(VLOOKUP($A305,#REF!,11,0),"")</f>
        <v/>
      </c>
      <c r="S305" s="359" t="str">
        <f>IFERROR(VLOOKUP($A305,#REF!,13,0),"")</f>
        <v/>
      </c>
      <c r="T305" s="359" t="str">
        <f>IFERROR(VLOOKUP($A305,#REF!,14,0),"")</f>
        <v/>
      </c>
      <c r="U305" s="359" t="str">
        <f>IFERROR(VLOOKUP($A305,#REF!,15,0),"")</f>
        <v/>
      </c>
      <c r="V305" s="359" t="str">
        <f>IFERROR(VLOOKUP($A305,#REF!,16,0),"")</f>
        <v/>
      </c>
      <c r="W305" s="359" t="str">
        <f>IFERROR(VLOOKUP($A305,#REF!,17,0),"")</f>
        <v/>
      </c>
      <c r="X305" s="359" t="str">
        <f>IFERROR(VLOOKUP($A305,#REF!,18,0),"")</f>
        <v/>
      </c>
      <c r="Y305" s="359" t="str">
        <f>IFERROR(VLOOKUP($A305,#REF!,19,0),"")</f>
        <v/>
      </c>
      <c r="Z305" s="400" t="str">
        <f>IFERROR(VLOOKUP($A305,#REF!,21,0),"")</f>
        <v/>
      </c>
      <c r="AA305" s="358"/>
      <c r="AB305" s="358"/>
      <c r="AC305" s="358" t="s">
        <v>3075</v>
      </c>
      <c r="AD305" s="358"/>
      <c r="AE305" s="358"/>
      <c r="AF305" s="141"/>
      <c r="AG305" s="358"/>
      <c r="AH305" s="358"/>
      <c r="AI305" s="358"/>
      <c r="AJ305" s="358"/>
      <c r="AK305" s="358"/>
      <c r="AL305" s="358"/>
      <c r="AM305" s="358"/>
      <c r="AN305" s="358" t="s">
        <v>113</v>
      </c>
      <c r="AO305" s="380" t="s">
        <v>30</v>
      </c>
      <c r="AP305" s="380">
        <v>46108</v>
      </c>
      <c r="AQ305" s="384" t="s">
        <v>3357</v>
      </c>
      <c r="AR305" s="358" t="s">
        <v>32</v>
      </c>
      <c r="AS305" s="358">
        <v>2</v>
      </c>
      <c r="AT305" s="384" t="s">
        <v>3357</v>
      </c>
      <c r="AU305" s="380">
        <v>46108</v>
      </c>
      <c r="AV305" s="82" t="s">
        <v>113</v>
      </c>
      <c r="AW305" s="82" t="s">
        <v>113</v>
      </c>
      <c r="AX305" s="82" t="s">
        <v>113</v>
      </c>
      <c r="AY305" s="100"/>
      <c r="AZ305" s="95"/>
      <c r="BA305" s="100"/>
      <c r="BB305" s="100"/>
      <c r="BC305" s="100"/>
      <c r="BD305" s="100"/>
      <c r="BE305" s="100"/>
      <c r="BF305" s="100"/>
      <c r="BG305" s="114"/>
      <c r="BH305" s="100"/>
      <c r="BI305" s="100"/>
      <c r="BJ305" s="100"/>
      <c r="BK305" s="114"/>
      <c r="BL305" s="360"/>
      <c r="BN305" s="412"/>
      <c r="BO305" s="412"/>
      <c r="BP305" s="412"/>
      <c r="BQ305" s="412"/>
      <c r="BR305" s="412"/>
      <c r="BX305" s="96"/>
      <c r="BY305" s="109"/>
      <c r="BZ305">
        <f t="shared" si="8"/>
        <v>1</v>
      </c>
    </row>
    <row r="306" spans="1:78" hidden="1">
      <c r="A306" s="35" t="str">
        <f t="shared" si="9"/>
        <v>ELPTMED_110/2646069,0416666667</v>
      </c>
      <c r="C306" s="358" t="s">
        <v>2342</v>
      </c>
      <c r="D306" s="358">
        <v>303</v>
      </c>
      <c r="E306" s="358" t="s">
        <v>3537</v>
      </c>
      <c r="F306" s="358" t="s">
        <v>3538</v>
      </c>
      <c r="G306" s="384">
        <v>46069.041666666664</v>
      </c>
      <c r="H306" s="358" t="s">
        <v>140</v>
      </c>
      <c r="I306" s="358">
        <v>30</v>
      </c>
      <c r="J306" s="359" t="str">
        <f>IFERROR(VLOOKUP($A306,#REF!,3,0),"")</f>
        <v/>
      </c>
      <c r="K306" s="359">
        <f>IFERROR(VLOOKUP($A306,#REF!,4,0),AF306)</f>
        <v>0</v>
      </c>
      <c r="L306" s="359" t="str">
        <f>IFERROR(VLOOKUP($A306,#REF!,5,0),"")</f>
        <v/>
      </c>
      <c r="M306" s="359" t="str">
        <f>IFERROR(VLOOKUP($A306,#REF!,7,0),"")</f>
        <v/>
      </c>
      <c r="N306" s="359"/>
      <c r="O306" s="359" t="str">
        <f>IFERROR(VLOOKUP($A306,#REF!,6,0),"")</f>
        <v/>
      </c>
      <c r="P306" s="359" t="str">
        <f>IFERROR(VLOOKUP($A306,#REF!,9,0),"")</f>
        <v/>
      </c>
      <c r="Q306" s="359" t="str">
        <f>IFERROR(VLOOKUP($A306,#REF!,10,0),"")</f>
        <v/>
      </c>
      <c r="R306" s="359" t="str">
        <f>IFERROR(VLOOKUP($A306,#REF!,11,0),"")</f>
        <v/>
      </c>
      <c r="S306" s="359" t="str">
        <f>IFERROR(VLOOKUP($A306,#REF!,13,0),"")</f>
        <v/>
      </c>
      <c r="T306" s="359" t="str">
        <f>IFERROR(VLOOKUP($A306,#REF!,14,0),"")</f>
        <v/>
      </c>
      <c r="U306" s="359" t="str">
        <f>IFERROR(VLOOKUP($A306,#REF!,15,0),"")</f>
        <v/>
      </c>
      <c r="V306" s="359" t="str">
        <f>IFERROR(VLOOKUP($A306,#REF!,16,0),"")</f>
        <v/>
      </c>
      <c r="W306" s="359" t="str">
        <f>IFERROR(VLOOKUP($A306,#REF!,17,0),"")</f>
        <v/>
      </c>
      <c r="X306" s="359" t="str">
        <f>IFERROR(VLOOKUP($A306,#REF!,18,0),"")</f>
        <v/>
      </c>
      <c r="Y306" s="359" t="str">
        <f>IFERROR(VLOOKUP($A306,#REF!,19,0),"")</f>
        <v/>
      </c>
      <c r="Z306" s="400" t="str">
        <f>IFERROR(VLOOKUP($A306,#REF!,21,0),"")</f>
        <v/>
      </c>
      <c r="AA306" s="358"/>
      <c r="AB306" s="358"/>
      <c r="AC306" s="358" t="s">
        <v>1786</v>
      </c>
      <c r="AD306" s="358"/>
      <c r="AE306" s="358"/>
      <c r="AF306" s="141"/>
      <c r="AG306" s="358"/>
      <c r="AH306" s="358"/>
      <c r="AI306" s="358"/>
      <c r="AJ306" s="358"/>
      <c r="AK306" s="358"/>
      <c r="AL306" s="358"/>
      <c r="AM306" s="358"/>
      <c r="AN306" s="358" t="s">
        <v>113</v>
      </c>
      <c r="AO306" s="380" t="s">
        <v>30</v>
      </c>
      <c r="AP306" s="380">
        <v>46099</v>
      </c>
      <c r="AQ306" s="384" t="s">
        <v>1638</v>
      </c>
      <c r="AR306" s="358" t="s">
        <v>32</v>
      </c>
      <c r="AS306" s="358">
        <v>30</v>
      </c>
      <c r="AT306" s="384" t="s">
        <v>1638</v>
      </c>
      <c r="AU306" s="380">
        <v>46099</v>
      </c>
      <c r="AV306" s="82" t="s">
        <v>113</v>
      </c>
      <c r="AW306" s="82" t="s">
        <v>113</v>
      </c>
      <c r="AX306" s="82" t="s">
        <v>113</v>
      </c>
      <c r="AY306" s="100"/>
      <c r="AZ306" s="100"/>
      <c r="BA306" s="100"/>
      <c r="BB306" s="100"/>
      <c r="BC306" s="100"/>
      <c r="BD306" s="100"/>
      <c r="BE306" s="100"/>
      <c r="BF306" s="100"/>
      <c r="BG306" s="114"/>
      <c r="BH306" s="111"/>
      <c r="BI306" s="111"/>
      <c r="BJ306" s="111"/>
      <c r="BK306" s="114"/>
      <c r="BL306" s="360"/>
      <c r="BN306" s="412"/>
      <c r="BO306" s="412"/>
      <c r="BP306" s="412"/>
      <c r="BQ306" s="412"/>
      <c r="BR306" s="412"/>
      <c r="BX306" s="140"/>
      <c r="BY306" s="140"/>
      <c r="BZ306">
        <f t="shared" si="8"/>
        <v>1</v>
      </c>
    </row>
    <row r="307" spans="1:78" hidden="1">
      <c r="A307" s="35" t="str">
        <f t="shared" si="9"/>
        <v>ELPTMED_111/2646069,125</v>
      </c>
      <c r="C307" s="358" t="s">
        <v>2342</v>
      </c>
      <c r="D307" s="358">
        <v>304</v>
      </c>
      <c r="E307" s="358" t="s">
        <v>3539</v>
      </c>
      <c r="F307" s="358" t="s">
        <v>955</v>
      </c>
      <c r="G307" s="384">
        <v>46069.125</v>
      </c>
      <c r="H307" s="358" t="s">
        <v>140</v>
      </c>
      <c r="I307" s="358">
        <v>2</v>
      </c>
      <c r="J307" s="359" t="str">
        <f>IFERROR(VLOOKUP($A307,#REF!,3,0),"")</f>
        <v/>
      </c>
      <c r="K307" s="359">
        <f>IFERROR(VLOOKUP($A307,#REF!,4,0),AF307)</f>
        <v>0</v>
      </c>
      <c r="L307" s="359" t="str">
        <f>IFERROR(VLOOKUP($A307,#REF!,5,0),"")</f>
        <v/>
      </c>
      <c r="M307" s="359" t="str">
        <f>IFERROR(VLOOKUP($A307,#REF!,7,0),"")</f>
        <v/>
      </c>
      <c r="N307" s="359"/>
      <c r="O307" s="359" t="str">
        <f>IFERROR(VLOOKUP($A307,#REF!,6,0),"")</f>
        <v/>
      </c>
      <c r="P307" s="359" t="str">
        <f>IFERROR(VLOOKUP($A307,#REF!,9,0),"")</f>
        <v/>
      </c>
      <c r="Q307" s="359" t="str">
        <f>IFERROR(VLOOKUP($A307,#REF!,10,0),"")</f>
        <v/>
      </c>
      <c r="R307" s="359" t="str">
        <f>IFERROR(VLOOKUP($A307,#REF!,11,0),"")</f>
        <v/>
      </c>
      <c r="S307" s="359" t="str">
        <f>IFERROR(VLOOKUP($A307,#REF!,13,0),"")</f>
        <v/>
      </c>
      <c r="T307" s="359" t="str">
        <f>IFERROR(VLOOKUP($A307,#REF!,14,0),"")</f>
        <v/>
      </c>
      <c r="U307" s="359" t="str">
        <f>IFERROR(VLOOKUP($A307,#REF!,15,0),"")</f>
        <v/>
      </c>
      <c r="V307" s="359" t="str">
        <f>IFERROR(VLOOKUP($A307,#REF!,16,0),"")</f>
        <v/>
      </c>
      <c r="W307" s="359" t="str">
        <f>IFERROR(VLOOKUP($A307,#REF!,17,0),"")</f>
        <v/>
      </c>
      <c r="X307" s="359" t="str">
        <f>IFERROR(VLOOKUP($A307,#REF!,18,0),"")</f>
        <v/>
      </c>
      <c r="Y307" s="359" t="str">
        <f>IFERROR(VLOOKUP($A307,#REF!,19,0),"")</f>
        <v/>
      </c>
      <c r="Z307" s="400" t="str">
        <f>IFERROR(VLOOKUP($A307,#REF!,21,0),"")</f>
        <v/>
      </c>
      <c r="AA307" s="358"/>
      <c r="AB307" s="358"/>
      <c r="AC307" s="358" t="s">
        <v>1077</v>
      </c>
      <c r="AD307" s="358"/>
      <c r="AE307" s="358"/>
      <c r="AF307" s="141"/>
      <c r="AG307" s="358"/>
      <c r="AH307" s="358"/>
      <c r="AI307" s="358"/>
      <c r="AJ307" s="358"/>
      <c r="AK307" s="358"/>
      <c r="AL307" s="358"/>
      <c r="AM307" s="358"/>
      <c r="AN307" s="358" t="s">
        <v>113</v>
      </c>
      <c r="AO307" s="380" t="s">
        <v>30</v>
      </c>
      <c r="AP307" s="380">
        <v>46108</v>
      </c>
      <c r="AQ307" s="384" t="s">
        <v>3357</v>
      </c>
      <c r="AR307" s="358" t="s">
        <v>32</v>
      </c>
      <c r="AS307" s="358">
        <v>2</v>
      </c>
      <c r="AT307" s="384" t="s">
        <v>3357</v>
      </c>
      <c r="AU307" s="380">
        <v>46108</v>
      </c>
      <c r="AV307" s="82" t="s">
        <v>113</v>
      </c>
      <c r="AW307" s="82" t="s">
        <v>113</v>
      </c>
      <c r="AX307" s="82" t="s">
        <v>113</v>
      </c>
      <c r="AY307" s="100"/>
      <c r="AZ307" s="100"/>
      <c r="BA307" s="100"/>
      <c r="BB307" s="100"/>
      <c r="BC307" s="100"/>
      <c r="BD307" s="100"/>
      <c r="BE307" s="100"/>
      <c r="BF307" s="100"/>
      <c r="BG307" s="114"/>
      <c r="BH307" s="122"/>
      <c r="BI307" s="122"/>
      <c r="BJ307" s="122"/>
      <c r="BK307" s="114"/>
      <c r="BL307" s="360"/>
      <c r="BN307" s="412"/>
      <c r="BO307" s="412"/>
      <c r="BP307" s="412"/>
      <c r="BQ307" s="412"/>
      <c r="BR307" s="412"/>
      <c r="BY307" s="109"/>
      <c r="BZ307">
        <f t="shared" si="8"/>
        <v>1</v>
      </c>
    </row>
    <row r="308" spans="1:78" hidden="1">
      <c r="A308" s="35" t="str">
        <f t="shared" si="9"/>
        <v>ELPTMED_112/2646069</v>
      </c>
      <c r="C308" s="358" t="s">
        <v>2342</v>
      </c>
      <c r="D308" s="358">
        <v>305</v>
      </c>
      <c r="E308" s="358" t="s">
        <v>3540</v>
      </c>
      <c r="F308" s="358" t="s">
        <v>1184</v>
      </c>
      <c r="G308" s="384">
        <v>46069</v>
      </c>
      <c r="H308" s="358" t="s">
        <v>140</v>
      </c>
      <c r="I308" s="358">
        <v>8</v>
      </c>
      <c r="J308" s="359" t="str">
        <f>IFERROR(VLOOKUP($A308,#REF!,3,0),"")</f>
        <v/>
      </c>
      <c r="K308" s="359">
        <f>IFERROR(VLOOKUP($A308,#REF!,4,0),AF308)</f>
        <v>0</v>
      </c>
      <c r="L308" s="359" t="str">
        <f>IFERROR(VLOOKUP($A308,#REF!,5,0),"")</f>
        <v/>
      </c>
      <c r="M308" s="359" t="str">
        <f>IFERROR(VLOOKUP($A308,#REF!,7,0),"")</f>
        <v/>
      </c>
      <c r="N308" s="359"/>
      <c r="O308" s="359" t="str">
        <f>IFERROR(VLOOKUP($A308,#REF!,6,0),"")</f>
        <v/>
      </c>
      <c r="P308" s="359" t="str">
        <f>IFERROR(VLOOKUP($A308,#REF!,9,0),"")</f>
        <v/>
      </c>
      <c r="Q308" s="359" t="str">
        <f>IFERROR(VLOOKUP($A308,#REF!,10,0),"")</f>
        <v/>
      </c>
      <c r="R308" s="359" t="str">
        <f>IFERROR(VLOOKUP($A308,#REF!,11,0),"")</f>
        <v/>
      </c>
      <c r="S308" s="359" t="str">
        <f>IFERROR(VLOOKUP($A308,#REF!,13,0),"")</f>
        <v/>
      </c>
      <c r="T308" s="359" t="str">
        <f>IFERROR(VLOOKUP($A308,#REF!,14,0),"")</f>
        <v/>
      </c>
      <c r="U308" s="359" t="str">
        <f>IFERROR(VLOOKUP($A308,#REF!,15,0),"")</f>
        <v/>
      </c>
      <c r="V308" s="359" t="str">
        <f>IFERROR(VLOOKUP($A308,#REF!,16,0),"")</f>
        <v/>
      </c>
      <c r="W308" s="359" t="str">
        <f>IFERROR(VLOOKUP($A308,#REF!,17,0),"")</f>
        <v/>
      </c>
      <c r="X308" s="359" t="str">
        <f>IFERROR(VLOOKUP($A308,#REF!,18,0),"")</f>
        <v/>
      </c>
      <c r="Y308" s="359" t="str">
        <f>IFERROR(VLOOKUP($A308,#REF!,19,0),"")</f>
        <v/>
      </c>
      <c r="Z308" s="400" t="str">
        <f>IFERROR(VLOOKUP($A308,#REF!,21,0),"")</f>
        <v/>
      </c>
      <c r="AA308" s="358"/>
      <c r="AB308" s="358"/>
      <c r="AC308" s="359" t="s">
        <v>3513</v>
      </c>
      <c r="AD308" s="358"/>
      <c r="AE308" s="358"/>
      <c r="AF308" s="141"/>
      <c r="AG308" s="358"/>
      <c r="AH308" s="358"/>
      <c r="AI308" s="358"/>
      <c r="AJ308" s="358"/>
      <c r="AK308" s="358"/>
      <c r="AL308" s="358"/>
      <c r="AM308" s="358"/>
      <c r="AN308" s="358" t="s">
        <v>113</v>
      </c>
      <c r="AO308" s="358" t="s">
        <v>30</v>
      </c>
      <c r="AP308" s="380">
        <v>46107</v>
      </c>
      <c r="AQ308" s="384" t="s">
        <v>3357</v>
      </c>
      <c r="AR308" s="358" t="s">
        <v>32</v>
      </c>
      <c r="AS308" s="358">
        <v>8</v>
      </c>
      <c r="AT308" s="384" t="s">
        <v>3357</v>
      </c>
      <c r="AU308" s="380">
        <v>46107</v>
      </c>
      <c r="AV308" s="82" t="s">
        <v>113</v>
      </c>
      <c r="AW308" s="82" t="s">
        <v>113</v>
      </c>
      <c r="AX308" s="82" t="s">
        <v>113</v>
      </c>
      <c r="AY308" s="100"/>
      <c r="AZ308" s="95"/>
      <c r="BA308" s="100"/>
      <c r="BB308" s="100"/>
      <c r="BC308" s="100"/>
      <c r="BD308" s="100"/>
      <c r="BE308" s="100"/>
      <c r="BF308" s="100"/>
      <c r="BG308" s="114"/>
      <c r="BH308" s="122"/>
      <c r="BI308" s="122"/>
      <c r="BJ308" s="122"/>
      <c r="BK308" s="114"/>
      <c r="BL308" s="360"/>
      <c r="BN308" s="412"/>
      <c r="BO308" s="412"/>
      <c r="BP308" s="412"/>
      <c r="BQ308" s="412"/>
      <c r="BR308" s="412"/>
      <c r="BX308" s="96"/>
      <c r="BY308" s="109"/>
      <c r="BZ308">
        <f t="shared" si="8"/>
        <v>1</v>
      </c>
    </row>
    <row r="309" spans="1:78" hidden="1">
      <c r="A309" s="35" t="str">
        <f t="shared" si="9"/>
        <v>ELPTMED_113/2646069</v>
      </c>
      <c r="C309" s="358" t="s">
        <v>2342</v>
      </c>
      <c r="D309" s="358">
        <v>306</v>
      </c>
      <c r="E309" s="358" t="s">
        <v>3541</v>
      </c>
      <c r="F309" s="358" t="s">
        <v>818</v>
      </c>
      <c r="G309" s="384">
        <v>46069</v>
      </c>
      <c r="H309" s="358" t="s">
        <v>140</v>
      </c>
      <c r="I309" s="358">
        <v>4</v>
      </c>
      <c r="J309" s="359" t="str">
        <f>IFERROR(VLOOKUP($A309,#REF!,3,0),"")</f>
        <v/>
      </c>
      <c r="K309" s="359">
        <f>IFERROR(VLOOKUP($A309,#REF!,4,0),AF309)</f>
        <v>0</v>
      </c>
      <c r="L309" s="359" t="str">
        <f>IFERROR(VLOOKUP($A309,#REF!,5,0),"")</f>
        <v/>
      </c>
      <c r="M309" s="359" t="str">
        <f>IFERROR(VLOOKUP($A309,#REF!,7,0),"")</f>
        <v/>
      </c>
      <c r="N309" s="359"/>
      <c r="O309" s="359" t="str">
        <f>IFERROR(VLOOKUP($A309,#REF!,6,0),"")</f>
        <v/>
      </c>
      <c r="P309" s="359" t="str">
        <f>IFERROR(VLOOKUP($A309,#REF!,9,0),"")</f>
        <v/>
      </c>
      <c r="Q309" s="359" t="str">
        <f>IFERROR(VLOOKUP($A309,#REF!,10,0),"")</f>
        <v/>
      </c>
      <c r="R309" s="359" t="str">
        <f>IFERROR(VLOOKUP($A309,#REF!,11,0),"")</f>
        <v/>
      </c>
      <c r="S309" s="359" t="str">
        <f>IFERROR(VLOOKUP($A309,#REF!,13,0),"")</f>
        <v/>
      </c>
      <c r="T309" s="359" t="str">
        <f>IFERROR(VLOOKUP($A309,#REF!,14,0),"")</f>
        <v/>
      </c>
      <c r="U309" s="359" t="str">
        <f>IFERROR(VLOOKUP($A309,#REF!,15,0),"")</f>
        <v/>
      </c>
      <c r="V309" s="359" t="str">
        <f>IFERROR(VLOOKUP($A309,#REF!,16,0),"")</f>
        <v/>
      </c>
      <c r="W309" s="359" t="str">
        <f>IFERROR(VLOOKUP($A309,#REF!,17,0),"")</f>
        <v/>
      </c>
      <c r="X309" s="359" t="str">
        <f>IFERROR(VLOOKUP($A309,#REF!,18,0),"")</f>
        <v/>
      </c>
      <c r="Y309" s="359" t="str">
        <f>IFERROR(VLOOKUP($A309,#REF!,19,0),"")</f>
        <v/>
      </c>
      <c r="Z309" s="400" t="str">
        <f>IFERROR(VLOOKUP($A309,#REF!,21,0),"")</f>
        <v/>
      </c>
      <c r="AA309" s="358"/>
      <c r="AB309" s="358"/>
      <c r="AC309" s="359" t="s">
        <v>3075</v>
      </c>
      <c r="AD309" s="358"/>
      <c r="AE309" s="358"/>
      <c r="AF309" s="141"/>
      <c r="AG309" s="358"/>
      <c r="AH309" s="358"/>
      <c r="AI309" s="358"/>
      <c r="AJ309" s="358"/>
      <c r="AK309" s="358"/>
      <c r="AL309" s="358"/>
      <c r="AM309" s="358"/>
      <c r="AN309" s="358" t="s">
        <v>113</v>
      </c>
      <c r="AO309" s="380" t="s">
        <v>30</v>
      </c>
      <c r="AP309" s="380">
        <v>46108</v>
      </c>
      <c r="AQ309" s="384" t="s">
        <v>3357</v>
      </c>
      <c r="AR309" s="358" t="s">
        <v>32</v>
      </c>
      <c r="AS309" s="358">
        <v>4</v>
      </c>
      <c r="AT309" s="384" t="s">
        <v>3357</v>
      </c>
      <c r="AU309" s="380">
        <v>46108</v>
      </c>
      <c r="AV309" s="82" t="s">
        <v>113</v>
      </c>
      <c r="AW309" s="82" t="s">
        <v>113</v>
      </c>
      <c r="AX309" s="82" t="s">
        <v>113</v>
      </c>
      <c r="AY309" s="107"/>
      <c r="AZ309" s="107"/>
      <c r="BA309" s="107"/>
      <c r="BB309" s="100"/>
      <c r="BC309" s="100"/>
      <c r="BD309" s="100"/>
      <c r="BE309" s="100"/>
      <c r="BF309" s="100"/>
      <c r="BG309" s="114"/>
      <c r="BH309" s="111"/>
      <c r="BI309" s="111"/>
      <c r="BJ309" s="111"/>
      <c r="BK309" s="114"/>
      <c r="BL309" s="360"/>
      <c r="BN309" s="412"/>
      <c r="BO309" s="412"/>
      <c r="BP309" s="412"/>
      <c r="BQ309" s="412"/>
      <c r="BR309" s="412"/>
      <c r="BX309" s="96"/>
      <c r="BY309" s="109"/>
      <c r="BZ309">
        <f t="shared" si="8"/>
        <v>1</v>
      </c>
    </row>
    <row r="310" spans="1:78" hidden="1">
      <c r="A310" s="35" t="str">
        <f t="shared" si="9"/>
        <v>ELPTMED_114/2646069,375</v>
      </c>
      <c r="C310" s="358" t="s">
        <v>2342</v>
      </c>
      <c r="D310" s="358">
        <v>307</v>
      </c>
      <c r="E310" s="358" t="s">
        <v>3542</v>
      </c>
      <c r="F310" s="358" t="s">
        <v>539</v>
      </c>
      <c r="G310" s="384">
        <v>46069.375</v>
      </c>
      <c r="H310" s="358" t="s">
        <v>140</v>
      </c>
      <c r="I310" s="358">
        <v>2</v>
      </c>
      <c r="J310" s="359" t="str">
        <f>IFERROR(VLOOKUP($A310,#REF!,3,0),"")</f>
        <v/>
      </c>
      <c r="K310" s="359">
        <f>IFERROR(VLOOKUP($A310,#REF!,4,0),AF310)</f>
        <v>0</v>
      </c>
      <c r="L310" s="359" t="str">
        <f>IFERROR(VLOOKUP($A310,#REF!,5,0),"")</f>
        <v/>
      </c>
      <c r="M310" s="359" t="str">
        <f>IFERROR(VLOOKUP($A310,#REF!,7,0),"")</f>
        <v/>
      </c>
      <c r="N310" s="359"/>
      <c r="O310" s="359" t="str">
        <f>IFERROR(VLOOKUP($A310,#REF!,6,0),"")</f>
        <v/>
      </c>
      <c r="P310" s="359" t="str">
        <f>IFERROR(VLOOKUP($A310,#REF!,9,0),"")</f>
        <v/>
      </c>
      <c r="Q310" s="359" t="str">
        <f>IFERROR(VLOOKUP($A310,#REF!,10,0),"")</f>
        <v/>
      </c>
      <c r="R310" s="359" t="str">
        <f>IFERROR(VLOOKUP($A310,#REF!,11,0),"")</f>
        <v/>
      </c>
      <c r="S310" s="359" t="str">
        <f>IFERROR(VLOOKUP($A310,#REF!,13,0),"")</f>
        <v/>
      </c>
      <c r="T310" s="359" t="str">
        <f>IFERROR(VLOOKUP($A310,#REF!,14,0),"")</f>
        <v/>
      </c>
      <c r="U310" s="359" t="str">
        <f>IFERROR(VLOOKUP($A310,#REF!,15,0),"")</f>
        <v/>
      </c>
      <c r="V310" s="359" t="str">
        <f>IFERROR(VLOOKUP($A310,#REF!,16,0),"")</f>
        <v/>
      </c>
      <c r="W310" s="359" t="str">
        <f>IFERROR(VLOOKUP($A310,#REF!,17,0),"")</f>
        <v/>
      </c>
      <c r="X310" s="359" t="str">
        <f>IFERROR(VLOOKUP($A310,#REF!,18,0),"")</f>
        <v/>
      </c>
      <c r="Y310" s="359" t="str">
        <f>IFERROR(VLOOKUP($A310,#REF!,19,0),"")</f>
        <v/>
      </c>
      <c r="Z310" s="400" t="str">
        <f>IFERROR(VLOOKUP($A310,#REF!,21,0),"")</f>
        <v/>
      </c>
      <c r="AA310" s="358"/>
      <c r="AB310" s="358"/>
      <c r="AC310" s="359" t="s">
        <v>1721</v>
      </c>
      <c r="AD310" s="358"/>
      <c r="AE310" s="358"/>
      <c r="AF310" s="141"/>
      <c r="AG310" s="358"/>
      <c r="AH310" s="358"/>
      <c r="AI310" s="358"/>
      <c r="AJ310" s="358"/>
      <c r="AK310" s="358"/>
      <c r="AL310" s="358"/>
      <c r="AM310" s="358"/>
      <c r="AN310" s="358" t="s">
        <v>113</v>
      </c>
      <c r="AO310" s="358" t="s">
        <v>30</v>
      </c>
      <c r="AP310" s="380">
        <v>46107</v>
      </c>
      <c r="AQ310" s="384" t="s">
        <v>3357</v>
      </c>
      <c r="AR310" s="358" t="s">
        <v>32</v>
      </c>
      <c r="AS310" s="358">
        <v>2</v>
      </c>
      <c r="AT310" s="384" t="s">
        <v>3357</v>
      </c>
      <c r="AU310" s="380">
        <v>46107</v>
      </c>
      <c r="AV310" s="82" t="s">
        <v>113</v>
      </c>
      <c r="AW310" s="82" t="s">
        <v>113</v>
      </c>
      <c r="AX310" s="82" t="s">
        <v>113</v>
      </c>
      <c r="AY310" s="100"/>
      <c r="AZ310" s="100"/>
      <c r="BA310" s="100"/>
      <c r="BB310" s="100"/>
      <c r="BC310" s="100"/>
      <c r="BD310" s="100"/>
      <c r="BE310" s="100"/>
      <c r="BF310" s="100"/>
      <c r="BG310" s="114"/>
      <c r="BH310" s="114"/>
      <c r="BI310" s="114"/>
      <c r="BJ310" s="114"/>
      <c r="BK310" s="114"/>
      <c r="BL310" s="360"/>
      <c r="BN310" s="412"/>
      <c r="BO310" s="412"/>
      <c r="BP310" s="412"/>
      <c r="BQ310" s="412"/>
      <c r="BR310" s="412"/>
      <c r="BX310" s="96"/>
      <c r="BY310" s="109"/>
      <c r="BZ310">
        <f t="shared" si="8"/>
        <v>1</v>
      </c>
    </row>
    <row r="311" spans="1:78" hidden="1">
      <c r="A311" s="35" t="str">
        <f t="shared" si="9"/>
        <v>ELPTMED_115/2646069,125</v>
      </c>
      <c r="C311" s="358" t="s">
        <v>2342</v>
      </c>
      <c r="D311" s="358">
        <v>308</v>
      </c>
      <c r="E311" s="358" t="s">
        <v>3543</v>
      </c>
      <c r="F311" s="358" t="s">
        <v>1567</v>
      </c>
      <c r="G311" s="384">
        <v>46069.125</v>
      </c>
      <c r="H311" s="358" t="s">
        <v>140</v>
      </c>
      <c r="I311" s="358">
        <v>3</v>
      </c>
      <c r="J311" s="359" t="str">
        <f>IFERROR(VLOOKUP($A311,#REF!,3,0),"")</f>
        <v/>
      </c>
      <c r="K311" s="359">
        <f>IFERROR(VLOOKUP($A311,#REF!,4,0),AF311)</f>
        <v>0</v>
      </c>
      <c r="L311" s="359" t="str">
        <f>IFERROR(VLOOKUP($A311,#REF!,5,0),"")</f>
        <v/>
      </c>
      <c r="M311" s="359" t="str">
        <f>IFERROR(VLOOKUP($A311,#REF!,7,0),"")</f>
        <v/>
      </c>
      <c r="N311" s="359"/>
      <c r="O311" s="359" t="str">
        <f>IFERROR(VLOOKUP($A311,#REF!,6,0),"")</f>
        <v/>
      </c>
      <c r="P311" s="359" t="str">
        <f>IFERROR(VLOOKUP($A311,#REF!,9,0),"")</f>
        <v/>
      </c>
      <c r="Q311" s="359" t="str">
        <f>IFERROR(VLOOKUP($A311,#REF!,10,0),"")</f>
        <v/>
      </c>
      <c r="R311" s="359" t="str">
        <f>IFERROR(VLOOKUP($A311,#REF!,11,0),"")</f>
        <v/>
      </c>
      <c r="S311" s="359" t="str">
        <f>IFERROR(VLOOKUP($A311,#REF!,13,0),"")</f>
        <v/>
      </c>
      <c r="T311" s="359" t="str">
        <f>IFERROR(VLOOKUP($A311,#REF!,14,0),"")</f>
        <v/>
      </c>
      <c r="U311" s="359" t="str">
        <f>IFERROR(VLOOKUP($A311,#REF!,15,0),"")</f>
        <v/>
      </c>
      <c r="V311" s="359" t="str">
        <f>IFERROR(VLOOKUP($A311,#REF!,16,0),"")</f>
        <v/>
      </c>
      <c r="W311" s="359" t="str">
        <f>IFERROR(VLOOKUP($A311,#REF!,17,0),"")</f>
        <v/>
      </c>
      <c r="X311" s="359" t="str">
        <f>IFERROR(VLOOKUP($A311,#REF!,18,0),"")</f>
        <v/>
      </c>
      <c r="Y311" s="359" t="str">
        <f>IFERROR(VLOOKUP($A311,#REF!,19,0),"")</f>
        <v/>
      </c>
      <c r="Z311" s="400" t="str">
        <f>IFERROR(VLOOKUP($A311,#REF!,21,0),"")</f>
        <v/>
      </c>
      <c r="AA311" s="358"/>
      <c r="AB311" s="358"/>
      <c r="AC311" s="359" t="s">
        <v>3075</v>
      </c>
      <c r="AD311" s="358"/>
      <c r="AE311" s="358"/>
      <c r="AF311" s="141"/>
      <c r="AG311" s="358"/>
      <c r="AH311" s="358"/>
      <c r="AI311" s="358"/>
      <c r="AJ311" s="358"/>
      <c r="AK311" s="358"/>
      <c r="AL311" s="358"/>
      <c r="AM311" s="358"/>
      <c r="AN311" s="358" t="s">
        <v>113</v>
      </c>
      <c r="AO311" s="380" t="s">
        <v>30</v>
      </c>
      <c r="AP311" s="380">
        <v>46108</v>
      </c>
      <c r="AQ311" s="384" t="s">
        <v>3357</v>
      </c>
      <c r="AR311" s="358" t="s">
        <v>32</v>
      </c>
      <c r="AS311" s="358">
        <v>3</v>
      </c>
      <c r="AT311" s="384" t="s">
        <v>3357</v>
      </c>
      <c r="AU311" s="380">
        <v>46108</v>
      </c>
      <c r="AV311" s="82" t="s">
        <v>113</v>
      </c>
      <c r="AW311" s="82" t="s">
        <v>113</v>
      </c>
      <c r="AX311" s="82" t="s">
        <v>113</v>
      </c>
      <c r="AY311" s="100"/>
      <c r="AZ311" s="100"/>
      <c r="BA311" s="100"/>
      <c r="BB311" s="100"/>
      <c r="BC311" s="100"/>
      <c r="BD311" s="100"/>
      <c r="BE311" s="100"/>
      <c r="BF311" s="100"/>
      <c r="BG311" s="114"/>
      <c r="BH311" s="100"/>
      <c r="BI311" s="100"/>
      <c r="BJ311" s="100"/>
      <c r="BK311" s="114"/>
      <c r="BL311" s="360"/>
      <c r="BN311" s="412"/>
      <c r="BO311" s="412"/>
      <c r="BP311" s="412"/>
      <c r="BQ311" s="412"/>
      <c r="BR311" s="412"/>
      <c r="BX311" s="109"/>
      <c r="BY311" s="109"/>
      <c r="BZ311">
        <f t="shared" si="8"/>
        <v>1</v>
      </c>
    </row>
    <row r="312" spans="1:78" hidden="1">
      <c r="A312" s="35" t="str">
        <f t="shared" si="9"/>
        <v>ELPTMED_116/2646069,0416666667</v>
      </c>
      <c r="C312" s="358" t="s">
        <v>2342</v>
      </c>
      <c r="D312" s="358">
        <v>309</v>
      </c>
      <c r="E312" s="358" t="s">
        <v>3544</v>
      </c>
      <c r="F312" s="358" t="s">
        <v>519</v>
      </c>
      <c r="G312" s="384">
        <v>46069.041666666664</v>
      </c>
      <c r="H312" s="358" t="s">
        <v>140</v>
      </c>
      <c r="I312" s="358">
        <v>2</v>
      </c>
      <c r="J312" s="359" t="str">
        <f>IFERROR(VLOOKUP($A312,#REF!,3,0),"")</f>
        <v/>
      </c>
      <c r="K312" s="359">
        <f>IFERROR(VLOOKUP($A312,#REF!,4,0),AF312)</f>
        <v>0</v>
      </c>
      <c r="L312" s="359" t="str">
        <f>IFERROR(VLOOKUP($A312,#REF!,5,0),"")</f>
        <v/>
      </c>
      <c r="M312" s="359" t="str">
        <f>IFERROR(VLOOKUP($A312,#REF!,7,0),"")</f>
        <v/>
      </c>
      <c r="N312" s="359"/>
      <c r="O312" s="359" t="str">
        <f>IFERROR(VLOOKUP($A312,#REF!,6,0),"")</f>
        <v/>
      </c>
      <c r="P312" s="359" t="str">
        <f>IFERROR(VLOOKUP($A312,#REF!,9,0),"")</f>
        <v/>
      </c>
      <c r="Q312" s="359" t="str">
        <f>IFERROR(VLOOKUP($A312,#REF!,10,0),"")</f>
        <v/>
      </c>
      <c r="R312" s="359" t="str">
        <f>IFERROR(VLOOKUP($A312,#REF!,11,0),"")</f>
        <v/>
      </c>
      <c r="S312" s="359" t="str">
        <f>IFERROR(VLOOKUP($A312,#REF!,13,0),"")</f>
        <v/>
      </c>
      <c r="T312" s="359" t="str">
        <f>IFERROR(VLOOKUP($A312,#REF!,14,0),"")</f>
        <v/>
      </c>
      <c r="U312" s="359" t="str">
        <f>IFERROR(VLOOKUP($A312,#REF!,15,0),"")</f>
        <v/>
      </c>
      <c r="V312" s="359" t="str">
        <f>IFERROR(VLOOKUP($A312,#REF!,16,0),"")</f>
        <v/>
      </c>
      <c r="W312" s="359" t="str">
        <f>IFERROR(VLOOKUP($A312,#REF!,17,0),"")</f>
        <v/>
      </c>
      <c r="X312" s="359" t="str">
        <f>IFERROR(VLOOKUP($A312,#REF!,18,0),"")</f>
        <v/>
      </c>
      <c r="Y312" s="359" t="str">
        <f>IFERROR(VLOOKUP($A312,#REF!,19,0),"")</f>
        <v/>
      </c>
      <c r="Z312" s="400" t="str">
        <f>IFERROR(VLOOKUP($A312,#REF!,21,0),"")</f>
        <v/>
      </c>
      <c r="AA312" s="358"/>
      <c r="AB312" s="358"/>
      <c r="AC312" s="359" t="s">
        <v>3075</v>
      </c>
      <c r="AD312" s="358"/>
      <c r="AE312" s="358"/>
      <c r="AF312" s="141"/>
      <c r="AG312" s="358"/>
      <c r="AH312" s="358"/>
      <c r="AI312" s="358"/>
      <c r="AJ312" s="358"/>
      <c r="AK312" s="358"/>
      <c r="AL312" s="358"/>
      <c r="AM312" s="358"/>
      <c r="AN312" s="358" t="s">
        <v>113</v>
      </c>
      <c r="AO312" s="380" t="s">
        <v>30</v>
      </c>
      <c r="AP312" s="380">
        <v>46108</v>
      </c>
      <c r="AQ312" s="384" t="s">
        <v>3357</v>
      </c>
      <c r="AR312" s="358" t="s">
        <v>32</v>
      </c>
      <c r="AS312" s="358">
        <v>2</v>
      </c>
      <c r="AT312" s="384" t="s">
        <v>3357</v>
      </c>
      <c r="AU312" s="380">
        <v>46108</v>
      </c>
      <c r="AV312" s="82" t="s">
        <v>113</v>
      </c>
      <c r="AW312" s="82" t="s">
        <v>113</v>
      </c>
      <c r="AX312" s="82" t="s">
        <v>113</v>
      </c>
      <c r="AY312" s="100"/>
      <c r="AZ312" s="107"/>
      <c r="BA312" s="100"/>
      <c r="BB312" s="100"/>
      <c r="BC312" s="100"/>
      <c r="BD312" s="100"/>
      <c r="BE312" s="100"/>
      <c r="BF312" s="100"/>
      <c r="BG312" s="114"/>
      <c r="BH312" s="111"/>
      <c r="BI312" s="111"/>
      <c r="BJ312" s="111"/>
      <c r="BK312" s="114"/>
      <c r="BL312" s="360"/>
      <c r="BN312" s="412"/>
      <c r="BO312" s="412"/>
      <c r="BP312" s="412"/>
      <c r="BQ312" s="412"/>
      <c r="BR312" s="412"/>
      <c r="BX312" s="96"/>
      <c r="BY312" s="109"/>
      <c r="BZ312">
        <f t="shared" si="8"/>
        <v>1</v>
      </c>
    </row>
    <row r="313" spans="1:78" hidden="1">
      <c r="A313" s="35" t="str">
        <f t="shared" si="9"/>
        <v>ELPTMED_117/2646069,0416666667</v>
      </c>
      <c r="C313" s="358" t="s">
        <v>2342</v>
      </c>
      <c r="D313" s="358">
        <v>310</v>
      </c>
      <c r="E313" s="358" t="s">
        <v>3545</v>
      </c>
      <c r="F313" s="358" t="s">
        <v>3546</v>
      </c>
      <c r="G313" s="384">
        <v>46069.041666666664</v>
      </c>
      <c r="H313" s="358" t="s">
        <v>140</v>
      </c>
      <c r="I313" s="358">
        <v>1</v>
      </c>
      <c r="J313" s="359" t="str">
        <f>IFERROR(VLOOKUP($A313,#REF!,3,0),"")</f>
        <v/>
      </c>
      <c r="K313" s="359">
        <f>IFERROR(VLOOKUP($A313,#REF!,4,0),AF313)</f>
        <v>0</v>
      </c>
      <c r="L313" s="359" t="str">
        <f>IFERROR(VLOOKUP($A313,#REF!,5,0),"")</f>
        <v/>
      </c>
      <c r="M313" s="359" t="str">
        <f>IFERROR(VLOOKUP($A313,#REF!,7,0),"")</f>
        <v/>
      </c>
      <c r="N313" s="359"/>
      <c r="O313" s="359" t="str">
        <f>IFERROR(VLOOKUP($A313,#REF!,6,0),"")</f>
        <v/>
      </c>
      <c r="P313" s="359" t="str">
        <f>IFERROR(VLOOKUP($A313,#REF!,9,0),"")</f>
        <v/>
      </c>
      <c r="Q313" s="359" t="str">
        <f>IFERROR(VLOOKUP($A313,#REF!,10,0),"")</f>
        <v/>
      </c>
      <c r="R313" s="359" t="str">
        <f>IFERROR(VLOOKUP($A313,#REF!,11,0),"")</f>
        <v/>
      </c>
      <c r="S313" s="359" t="str">
        <f>IFERROR(VLOOKUP($A313,#REF!,13,0),"")</f>
        <v/>
      </c>
      <c r="T313" s="359" t="str">
        <f>IFERROR(VLOOKUP($A313,#REF!,14,0),"")</f>
        <v/>
      </c>
      <c r="U313" s="359" t="str">
        <f>IFERROR(VLOOKUP($A313,#REF!,15,0),"")</f>
        <v/>
      </c>
      <c r="V313" s="359" t="str">
        <f>IFERROR(VLOOKUP($A313,#REF!,16,0),"")</f>
        <v/>
      </c>
      <c r="W313" s="359" t="str">
        <f>IFERROR(VLOOKUP($A313,#REF!,17,0),"")</f>
        <v/>
      </c>
      <c r="X313" s="359" t="str">
        <f>IFERROR(VLOOKUP($A313,#REF!,18,0),"")</f>
        <v/>
      </c>
      <c r="Y313" s="359" t="str">
        <f>IFERROR(VLOOKUP($A313,#REF!,19,0),"")</f>
        <v/>
      </c>
      <c r="Z313" s="400" t="str">
        <f>IFERROR(VLOOKUP($A313,#REF!,21,0),"")</f>
        <v/>
      </c>
      <c r="AA313" s="358"/>
      <c r="AB313" s="358"/>
      <c r="AC313" s="359" t="s">
        <v>3075</v>
      </c>
      <c r="AD313" s="358"/>
      <c r="AE313" s="358"/>
      <c r="AF313" s="141"/>
      <c r="AG313" s="358"/>
      <c r="AH313" s="358"/>
      <c r="AI313" s="358"/>
      <c r="AJ313" s="358"/>
      <c r="AK313" s="358"/>
      <c r="AL313" s="358"/>
      <c r="AM313" s="358"/>
      <c r="AN313" s="358" t="s">
        <v>113</v>
      </c>
      <c r="AO313" s="380" t="s">
        <v>30</v>
      </c>
      <c r="AP313" s="380">
        <v>46108</v>
      </c>
      <c r="AQ313" s="384" t="s">
        <v>3357</v>
      </c>
      <c r="AR313" s="358" t="s">
        <v>32</v>
      </c>
      <c r="AS313" s="358">
        <v>1</v>
      </c>
      <c r="AT313" s="384" t="s">
        <v>3357</v>
      </c>
      <c r="AU313" s="380">
        <v>46108</v>
      </c>
      <c r="AV313" s="82" t="s">
        <v>113</v>
      </c>
      <c r="AW313" s="82" t="s">
        <v>113</v>
      </c>
      <c r="AX313" s="82" t="s">
        <v>113</v>
      </c>
      <c r="AY313" s="100"/>
      <c r="AZ313" s="100"/>
      <c r="BA313" s="100"/>
      <c r="BB313" s="100"/>
      <c r="BC313" s="100"/>
      <c r="BD313" s="100"/>
      <c r="BE313" s="100"/>
      <c r="BF313" s="100"/>
      <c r="BG313" s="114"/>
      <c r="BH313" s="114"/>
      <c r="BI313" s="114"/>
      <c r="BJ313" s="114"/>
      <c r="BK313" s="114"/>
      <c r="BL313" s="360"/>
      <c r="BN313" s="412"/>
      <c r="BO313" s="412"/>
      <c r="BP313" s="412"/>
      <c r="BQ313" s="412"/>
      <c r="BR313" s="412"/>
      <c r="BX313" s="96"/>
      <c r="BY313" s="109"/>
      <c r="BZ313">
        <f t="shared" si="8"/>
        <v>1</v>
      </c>
    </row>
    <row r="314" spans="1:78" hidden="1">
      <c r="A314" s="35" t="str">
        <f t="shared" si="9"/>
        <v>ELPTMED_118/2646069</v>
      </c>
      <c r="C314" s="358" t="s">
        <v>2342</v>
      </c>
      <c r="D314" s="358">
        <v>311</v>
      </c>
      <c r="E314" s="358" t="s">
        <v>3547</v>
      </c>
      <c r="F314" s="358" t="s">
        <v>798</v>
      </c>
      <c r="G314" s="384">
        <v>46069</v>
      </c>
      <c r="H314" s="358" t="s">
        <v>140</v>
      </c>
      <c r="I314" s="358">
        <v>5</v>
      </c>
      <c r="J314" s="359" t="str">
        <f>IFERROR(VLOOKUP($A314,#REF!,3,0),"")</f>
        <v/>
      </c>
      <c r="K314" s="359">
        <f>IFERROR(VLOOKUP($A314,#REF!,4,0),AF314)</f>
        <v>0</v>
      </c>
      <c r="L314" s="359" t="str">
        <f>IFERROR(VLOOKUP($A314,#REF!,5,0),"")</f>
        <v/>
      </c>
      <c r="M314" s="359" t="str">
        <f>IFERROR(VLOOKUP($A314,#REF!,7,0),"")</f>
        <v/>
      </c>
      <c r="N314" s="359"/>
      <c r="O314" s="359" t="str">
        <f>IFERROR(VLOOKUP($A314,#REF!,6,0),"")</f>
        <v/>
      </c>
      <c r="P314" s="359" t="str">
        <f>IFERROR(VLOOKUP($A314,#REF!,9,0),"")</f>
        <v/>
      </c>
      <c r="Q314" s="359" t="str">
        <f>IFERROR(VLOOKUP($A314,#REF!,10,0),"")</f>
        <v/>
      </c>
      <c r="R314" s="359" t="str">
        <f>IFERROR(VLOOKUP($A314,#REF!,11,0),"")</f>
        <v/>
      </c>
      <c r="S314" s="359" t="str">
        <f>IFERROR(VLOOKUP($A314,#REF!,13,0),"")</f>
        <v/>
      </c>
      <c r="T314" s="359" t="str">
        <f>IFERROR(VLOOKUP($A314,#REF!,14,0),"")</f>
        <v/>
      </c>
      <c r="U314" s="359" t="str">
        <f>IFERROR(VLOOKUP($A314,#REF!,15,0),"")</f>
        <v/>
      </c>
      <c r="V314" s="359" t="str">
        <f>IFERROR(VLOOKUP($A314,#REF!,16,0),"")</f>
        <v/>
      </c>
      <c r="W314" s="359" t="str">
        <f>IFERROR(VLOOKUP($A314,#REF!,17,0),"")</f>
        <v/>
      </c>
      <c r="X314" s="359" t="str">
        <f>IFERROR(VLOOKUP($A314,#REF!,18,0),"")</f>
        <v/>
      </c>
      <c r="Y314" s="359" t="str">
        <f>IFERROR(VLOOKUP($A314,#REF!,19,0),"")</f>
        <v/>
      </c>
      <c r="Z314" s="400" t="str">
        <f>IFERROR(VLOOKUP($A314,#REF!,21,0),"")</f>
        <v/>
      </c>
      <c r="AA314" s="358"/>
      <c r="AB314" s="358"/>
      <c r="AC314" s="359" t="s">
        <v>3075</v>
      </c>
      <c r="AD314" s="358"/>
      <c r="AE314" s="358"/>
      <c r="AF314" s="141"/>
      <c r="AG314" s="358"/>
      <c r="AH314" s="358"/>
      <c r="AI314" s="358"/>
      <c r="AJ314" s="358"/>
      <c r="AK314" s="358"/>
      <c r="AL314" s="358"/>
      <c r="AM314" s="358"/>
      <c r="AN314" s="358" t="s">
        <v>113</v>
      </c>
      <c r="AO314" s="380" t="s">
        <v>30</v>
      </c>
      <c r="AP314" s="380">
        <v>46079</v>
      </c>
      <c r="AQ314" s="384" t="s">
        <v>3357</v>
      </c>
      <c r="AR314" s="384" t="s">
        <v>32</v>
      </c>
      <c r="AS314" s="358">
        <v>5</v>
      </c>
      <c r="AT314" s="384" t="s">
        <v>3357</v>
      </c>
      <c r="AU314" s="380">
        <v>46079</v>
      </c>
      <c r="AV314" s="82" t="s">
        <v>113</v>
      </c>
      <c r="AW314" s="82" t="s">
        <v>113</v>
      </c>
      <c r="AX314" s="82" t="s">
        <v>113</v>
      </c>
      <c r="AY314" s="100"/>
      <c r="AZ314" s="100"/>
      <c r="BA314" s="100"/>
      <c r="BB314" s="100"/>
      <c r="BC314" s="100"/>
      <c r="BD314" s="100"/>
      <c r="BE314" s="100"/>
      <c r="BF314" s="100"/>
      <c r="BG314" s="114"/>
      <c r="BH314" s="114"/>
      <c r="BI314" s="114"/>
      <c r="BJ314" s="114"/>
      <c r="BK314" s="114"/>
      <c r="BL314" s="360"/>
      <c r="BN314" s="412"/>
      <c r="BO314" s="412"/>
      <c r="BP314" s="412"/>
      <c r="BQ314" s="412"/>
      <c r="BR314" s="412"/>
      <c r="BX314" s="109"/>
      <c r="BY314" s="109"/>
      <c r="BZ314">
        <f t="shared" si="8"/>
        <v>1</v>
      </c>
    </row>
    <row r="315" spans="1:78" hidden="1">
      <c r="A315" s="35" t="str">
        <f t="shared" si="9"/>
        <v>ELPTMED_119/2646069,0416666667</v>
      </c>
      <c r="C315" s="358" t="s">
        <v>2342</v>
      </c>
      <c r="D315" s="358">
        <v>312</v>
      </c>
      <c r="E315" s="358" t="s">
        <v>3548</v>
      </c>
      <c r="F315" s="358" t="s">
        <v>3522</v>
      </c>
      <c r="G315" s="384">
        <v>46069.041666666664</v>
      </c>
      <c r="H315" s="358" t="s">
        <v>140</v>
      </c>
      <c r="I315" s="358">
        <v>2</v>
      </c>
      <c r="J315" s="359" t="str">
        <f>IFERROR(VLOOKUP($A315,#REF!,3,0),"")</f>
        <v/>
      </c>
      <c r="K315" s="359">
        <f>IFERROR(VLOOKUP($A315,#REF!,4,0),AF315)</f>
        <v>0</v>
      </c>
      <c r="L315" s="359" t="str">
        <f>IFERROR(VLOOKUP($A315,#REF!,5,0),"")</f>
        <v/>
      </c>
      <c r="M315" s="359" t="str">
        <f>IFERROR(VLOOKUP($A315,#REF!,7,0),"")</f>
        <v/>
      </c>
      <c r="N315" s="359"/>
      <c r="O315" s="359" t="str">
        <f>IFERROR(VLOOKUP($A315,#REF!,6,0),"")</f>
        <v/>
      </c>
      <c r="P315" s="359" t="str">
        <f>IFERROR(VLOOKUP($A315,#REF!,9,0),"")</f>
        <v/>
      </c>
      <c r="Q315" s="359" t="str">
        <f>IFERROR(VLOOKUP($A315,#REF!,10,0),"")</f>
        <v/>
      </c>
      <c r="R315" s="359" t="str">
        <f>IFERROR(VLOOKUP($A315,#REF!,11,0),"")</f>
        <v/>
      </c>
      <c r="S315" s="359" t="str">
        <f>IFERROR(VLOOKUP($A315,#REF!,13,0),"")</f>
        <v/>
      </c>
      <c r="T315" s="359" t="str">
        <f>IFERROR(VLOOKUP($A315,#REF!,14,0),"")</f>
        <v/>
      </c>
      <c r="U315" s="359" t="str">
        <f>IFERROR(VLOOKUP($A315,#REF!,15,0),"")</f>
        <v/>
      </c>
      <c r="V315" s="359" t="str">
        <f>IFERROR(VLOOKUP($A315,#REF!,16,0),"")</f>
        <v/>
      </c>
      <c r="W315" s="359" t="str">
        <f>IFERROR(VLOOKUP($A315,#REF!,17,0),"")</f>
        <v/>
      </c>
      <c r="X315" s="359" t="str">
        <f>IFERROR(VLOOKUP($A315,#REF!,18,0),"")</f>
        <v/>
      </c>
      <c r="Y315" s="359" t="str">
        <f>IFERROR(VLOOKUP($A315,#REF!,19,0),"")</f>
        <v/>
      </c>
      <c r="Z315" s="400" t="str">
        <f>IFERROR(VLOOKUP($A315,#REF!,21,0),"")</f>
        <v/>
      </c>
      <c r="AA315" s="358"/>
      <c r="AB315" s="358"/>
      <c r="AC315" s="359" t="s">
        <v>3075</v>
      </c>
      <c r="AD315" s="358"/>
      <c r="AE315" s="358"/>
      <c r="AF315" s="141"/>
      <c r="AG315" s="358"/>
      <c r="AH315" s="358"/>
      <c r="AI315" s="358"/>
      <c r="AJ315" s="358"/>
      <c r="AK315" s="358"/>
      <c r="AL315" s="358"/>
      <c r="AM315" s="358"/>
      <c r="AN315" s="358" t="s">
        <v>113</v>
      </c>
      <c r="AO315" s="380" t="s">
        <v>30</v>
      </c>
      <c r="AP315" s="380">
        <v>46108</v>
      </c>
      <c r="AQ315" s="384" t="s">
        <v>3357</v>
      </c>
      <c r="AR315" s="358" t="s">
        <v>32</v>
      </c>
      <c r="AS315" s="358">
        <v>2</v>
      </c>
      <c r="AT315" s="384" t="s">
        <v>3357</v>
      </c>
      <c r="AU315" s="380">
        <v>46108</v>
      </c>
      <c r="AV315" s="82" t="s">
        <v>113</v>
      </c>
      <c r="AW315" s="82" t="s">
        <v>113</v>
      </c>
      <c r="AX315" s="82" t="s">
        <v>113</v>
      </c>
      <c r="AY315" s="100"/>
      <c r="AZ315" s="100"/>
      <c r="BA315" s="100"/>
      <c r="BB315" s="100"/>
      <c r="BC315" s="100"/>
      <c r="BD315" s="100"/>
      <c r="BE315" s="100"/>
      <c r="BF315" s="100"/>
      <c r="BG315" s="114"/>
      <c r="BH315" s="100"/>
      <c r="BI315" s="100"/>
      <c r="BJ315" s="100"/>
      <c r="BK315" s="114"/>
      <c r="BL315" s="360"/>
      <c r="BN315" s="412"/>
      <c r="BO315" s="412"/>
      <c r="BP315" s="412"/>
      <c r="BQ315" s="412"/>
      <c r="BR315" s="412"/>
      <c r="BY315" s="109"/>
      <c r="BZ315">
        <f t="shared" si="8"/>
        <v>1</v>
      </c>
    </row>
    <row r="316" spans="1:78" hidden="1">
      <c r="A316" s="35" t="str">
        <f t="shared" si="9"/>
        <v>ELPTMED_120/2646069,0416666667</v>
      </c>
      <c r="C316" s="358" t="s">
        <v>2342</v>
      </c>
      <c r="D316" s="358">
        <v>313</v>
      </c>
      <c r="E316" s="358" t="s">
        <v>3549</v>
      </c>
      <c r="F316" s="358" t="s">
        <v>3280</v>
      </c>
      <c r="G316" s="384">
        <v>46069.041666666664</v>
      </c>
      <c r="H316" s="358" t="s">
        <v>140</v>
      </c>
      <c r="I316" s="358">
        <v>1</v>
      </c>
      <c r="J316" s="359" t="str">
        <f>IFERROR(VLOOKUP($A316,#REF!,3,0),"")</f>
        <v/>
      </c>
      <c r="K316" s="359">
        <f>IFERROR(VLOOKUP($A316,#REF!,4,0),AF316)</f>
        <v>0</v>
      </c>
      <c r="L316" s="359" t="str">
        <f>IFERROR(VLOOKUP($A316,#REF!,5,0),"")</f>
        <v/>
      </c>
      <c r="M316" s="359" t="str">
        <f>IFERROR(VLOOKUP($A316,#REF!,7,0),"")</f>
        <v/>
      </c>
      <c r="N316" s="359"/>
      <c r="O316" s="359" t="str">
        <f>IFERROR(VLOOKUP($A316,#REF!,6,0),"")</f>
        <v/>
      </c>
      <c r="P316" s="359" t="str">
        <f>IFERROR(VLOOKUP($A316,#REF!,9,0),"")</f>
        <v/>
      </c>
      <c r="Q316" s="359" t="str">
        <f>IFERROR(VLOOKUP($A316,#REF!,10,0),"")</f>
        <v/>
      </c>
      <c r="R316" s="359" t="str">
        <f>IFERROR(VLOOKUP($A316,#REF!,11,0),"")</f>
        <v/>
      </c>
      <c r="S316" s="359" t="str">
        <f>IFERROR(VLOOKUP($A316,#REF!,13,0),"")</f>
        <v/>
      </c>
      <c r="T316" s="359" t="str">
        <f>IFERROR(VLOOKUP($A316,#REF!,14,0),"")</f>
        <v/>
      </c>
      <c r="U316" s="359" t="str">
        <f>IFERROR(VLOOKUP($A316,#REF!,15,0),"")</f>
        <v/>
      </c>
      <c r="V316" s="359" t="str">
        <f>IFERROR(VLOOKUP($A316,#REF!,16,0),"")</f>
        <v/>
      </c>
      <c r="W316" s="359" t="str">
        <f>IFERROR(VLOOKUP($A316,#REF!,17,0),"")</f>
        <v/>
      </c>
      <c r="X316" s="359" t="str">
        <f>IFERROR(VLOOKUP($A316,#REF!,18,0),"")</f>
        <v/>
      </c>
      <c r="Y316" s="359" t="str">
        <f>IFERROR(VLOOKUP($A316,#REF!,19,0),"")</f>
        <v/>
      </c>
      <c r="Z316" s="400" t="str">
        <f>IFERROR(VLOOKUP($A316,#REF!,21,0),"")</f>
        <v/>
      </c>
      <c r="AA316" s="358"/>
      <c r="AB316" s="358"/>
      <c r="AC316" s="358" t="s">
        <v>127</v>
      </c>
      <c r="AD316" s="358"/>
      <c r="AE316" s="358"/>
      <c r="AF316" s="141"/>
      <c r="AG316" s="358"/>
      <c r="AH316" s="358"/>
      <c r="AI316" s="358"/>
      <c r="AJ316" s="358"/>
      <c r="AK316" s="358"/>
      <c r="AL316" s="358"/>
      <c r="AM316" s="358"/>
      <c r="AN316" s="358" t="s">
        <v>113</v>
      </c>
      <c r="AO316" s="380" t="s">
        <v>30</v>
      </c>
      <c r="AP316" s="380">
        <v>46108</v>
      </c>
      <c r="AQ316" s="384" t="s">
        <v>3357</v>
      </c>
      <c r="AR316" s="358" t="s">
        <v>32</v>
      </c>
      <c r="AS316" s="358">
        <v>1</v>
      </c>
      <c r="AT316" s="384" t="s">
        <v>3357</v>
      </c>
      <c r="AU316" s="380">
        <v>46108</v>
      </c>
      <c r="AV316" s="82" t="s">
        <v>113</v>
      </c>
      <c r="AW316" s="82" t="s">
        <v>113</v>
      </c>
      <c r="AX316" s="82" t="s">
        <v>113</v>
      </c>
      <c r="AY316" s="107"/>
      <c r="AZ316" s="107"/>
      <c r="BA316" s="107"/>
      <c r="BB316" s="100"/>
      <c r="BC316" s="100"/>
      <c r="BD316" s="100"/>
      <c r="BE316" s="100"/>
      <c r="BF316" s="100"/>
      <c r="BG316" s="114"/>
      <c r="BH316" s="122"/>
      <c r="BI316" s="122"/>
      <c r="BJ316" s="122"/>
      <c r="BK316" s="114"/>
      <c r="BL316" s="360"/>
      <c r="BN316" s="412"/>
      <c r="BO316" s="412"/>
      <c r="BP316" s="412"/>
      <c r="BQ316" s="412"/>
      <c r="BR316" s="412"/>
      <c r="BX316" s="96"/>
      <c r="BY316" s="109"/>
      <c r="BZ316">
        <f t="shared" si="8"/>
        <v>1</v>
      </c>
    </row>
    <row r="317" spans="1:78" hidden="1">
      <c r="A317" s="35" t="str">
        <f t="shared" si="9"/>
        <v>ELPTMED_122/2646069,0416666667</v>
      </c>
      <c r="C317" s="358" t="s">
        <v>2342</v>
      </c>
      <c r="D317" s="358">
        <v>314</v>
      </c>
      <c r="E317" s="358" t="s">
        <v>3550</v>
      </c>
      <c r="F317" s="358" t="s">
        <v>1025</v>
      </c>
      <c r="G317" s="384">
        <v>46069.041666666664</v>
      </c>
      <c r="H317" s="358" t="s">
        <v>140</v>
      </c>
      <c r="I317" s="358">
        <v>1</v>
      </c>
      <c r="J317" s="359" t="str">
        <f>IFERROR(VLOOKUP($A317,#REF!,3,0),"")</f>
        <v/>
      </c>
      <c r="K317" s="359">
        <f>IFERROR(VLOOKUP($A317,#REF!,4,0),AF317)</f>
        <v>0</v>
      </c>
      <c r="L317" s="359" t="str">
        <f>IFERROR(VLOOKUP($A317,#REF!,5,0),"")</f>
        <v/>
      </c>
      <c r="M317" s="359" t="str">
        <f>IFERROR(VLOOKUP($A317,#REF!,7,0),"")</f>
        <v/>
      </c>
      <c r="N317" s="359"/>
      <c r="O317" s="359" t="str">
        <f>IFERROR(VLOOKUP($A317,#REF!,6,0),"")</f>
        <v/>
      </c>
      <c r="P317" s="359" t="str">
        <f>IFERROR(VLOOKUP($A317,#REF!,9,0),"")</f>
        <v/>
      </c>
      <c r="Q317" s="359" t="str">
        <f>IFERROR(VLOOKUP($A317,#REF!,10,0),"")</f>
        <v/>
      </c>
      <c r="R317" s="359" t="str">
        <f>IFERROR(VLOOKUP($A317,#REF!,11,0),"")</f>
        <v/>
      </c>
      <c r="S317" s="359" t="str">
        <f>IFERROR(VLOOKUP($A317,#REF!,13,0),"")</f>
        <v/>
      </c>
      <c r="T317" s="359" t="str">
        <f>IFERROR(VLOOKUP($A317,#REF!,14,0),"")</f>
        <v/>
      </c>
      <c r="U317" s="359" t="str">
        <f>IFERROR(VLOOKUP($A317,#REF!,15,0),"")</f>
        <v/>
      </c>
      <c r="V317" s="359" t="str">
        <f>IFERROR(VLOOKUP($A317,#REF!,16,0),"")</f>
        <v/>
      </c>
      <c r="W317" s="359" t="str">
        <f>IFERROR(VLOOKUP($A317,#REF!,17,0),"")</f>
        <v/>
      </c>
      <c r="X317" s="359" t="str">
        <f>IFERROR(VLOOKUP($A317,#REF!,18,0),"")</f>
        <v/>
      </c>
      <c r="Y317" s="359" t="str">
        <f>IFERROR(VLOOKUP($A317,#REF!,19,0),"")</f>
        <v/>
      </c>
      <c r="Z317" s="400" t="str">
        <f>IFERROR(VLOOKUP($A317,#REF!,21,0),"")</f>
        <v/>
      </c>
      <c r="AA317" s="358"/>
      <c r="AB317" s="358"/>
      <c r="AC317" s="358" t="s">
        <v>3075</v>
      </c>
      <c r="AD317" s="358"/>
      <c r="AE317" s="358"/>
      <c r="AF317" s="141"/>
      <c r="AG317" s="358"/>
      <c r="AH317" s="358"/>
      <c r="AI317" s="358"/>
      <c r="AJ317" s="358"/>
      <c r="AK317" s="358"/>
      <c r="AL317" s="358"/>
      <c r="AM317" s="358"/>
      <c r="AN317" s="358" t="s">
        <v>113</v>
      </c>
      <c r="AO317" s="94" t="s">
        <v>30</v>
      </c>
      <c r="AP317" s="23">
        <v>46111</v>
      </c>
      <c r="AQ317" s="384" t="s">
        <v>3357</v>
      </c>
      <c r="AR317" s="384"/>
      <c r="AS317" s="358"/>
      <c r="AT317" s="384"/>
      <c r="AU317" s="380"/>
      <c r="AV317" s="82" t="s">
        <v>113</v>
      </c>
      <c r="AW317" s="82" t="s">
        <v>113</v>
      </c>
      <c r="AX317" s="82" t="s">
        <v>113</v>
      </c>
      <c r="AY317" s="100"/>
      <c r="AZ317" s="100"/>
      <c r="BA317" s="100"/>
      <c r="BB317" s="100"/>
      <c r="BC317" s="100"/>
      <c r="BD317" s="100"/>
      <c r="BE317" s="100"/>
      <c r="BF317" s="100"/>
      <c r="BG317" s="114"/>
      <c r="BH317" s="114"/>
      <c r="BI317" s="114"/>
      <c r="BJ317" s="111"/>
      <c r="BK317" s="114"/>
      <c r="BL317" s="360"/>
      <c r="BN317" s="412"/>
      <c r="BO317" s="412"/>
      <c r="BP317" s="412"/>
      <c r="BQ317" s="412"/>
      <c r="BR317" s="412"/>
      <c r="BY317" s="109"/>
      <c r="BZ317">
        <f t="shared" si="8"/>
        <v>1</v>
      </c>
    </row>
    <row r="318" spans="1:78" hidden="1">
      <c r="A318" s="35" t="str">
        <f t="shared" si="9"/>
        <v>ELPTMED_123/2646076,125</v>
      </c>
      <c r="C318" s="358" t="s">
        <v>2342</v>
      </c>
      <c r="D318" s="358">
        <v>315</v>
      </c>
      <c r="E318" s="358" t="s">
        <v>3551</v>
      </c>
      <c r="F318" s="358" t="s">
        <v>1198</v>
      </c>
      <c r="G318" s="384">
        <v>46076.125</v>
      </c>
      <c r="H318" s="358" t="s">
        <v>140</v>
      </c>
      <c r="I318" s="358">
        <v>11</v>
      </c>
      <c r="J318" s="359" t="str">
        <f>IFERROR(VLOOKUP($A318,#REF!,3,0),"")</f>
        <v/>
      </c>
      <c r="K318" s="359">
        <f>IFERROR(VLOOKUP($A318,#REF!,4,0),AF318)</f>
        <v>0</v>
      </c>
      <c r="L318" s="359" t="str">
        <f>IFERROR(VLOOKUP($A318,#REF!,5,0),"")</f>
        <v/>
      </c>
      <c r="M318" s="359" t="str">
        <f>IFERROR(VLOOKUP($A318,#REF!,7,0),"")</f>
        <v/>
      </c>
      <c r="N318" s="359"/>
      <c r="O318" s="359" t="str">
        <f>IFERROR(VLOOKUP($A318,#REF!,6,0),"")</f>
        <v/>
      </c>
      <c r="P318" s="359" t="str">
        <f>IFERROR(VLOOKUP($A318,#REF!,9,0),"")</f>
        <v/>
      </c>
      <c r="Q318" s="359" t="str">
        <f>IFERROR(VLOOKUP($A318,#REF!,10,0),"")</f>
        <v/>
      </c>
      <c r="R318" s="359" t="str">
        <f>IFERROR(VLOOKUP($A318,#REF!,11,0),"")</f>
        <v/>
      </c>
      <c r="S318" s="359" t="str">
        <f>IFERROR(VLOOKUP($A318,#REF!,13,0),"")</f>
        <v/>
      </c>
      <c r="T318" s="359" t="str">
        <f>IFERROR(VLOOKUP($A318,#REF!,14,0),"")</f>
        <v/>
      </c>
      <c r="U318" s="359" t="str">
        <f>IFERROR(VLOOKUP($A318,#REF!,15,0),"")</f>
        <v/>
      </c>
      <c r="V318" s="359" t="str">
        <f>IFERROR(VLOOKUP($A318,#REF!,16,0),"")</f>
        <v/>
      </c>
      <c r="W318" s="359" t="str">
        <f>IFERROR(VLOOKUP($A318,#REF!,17,0),"")</f>
        <v/>
      </c>
      <c r="X318" s="359" t="str">
        <f>IFERROR(VLOOKUP($A318,#REF!,18,0),"")</f>
        <v/>
      </c>
      <c r="Y318" s="359" t="str">
        <f>IFERROR(VLOOKUP($A318,#REF!,19,0),"")</f>
        <v/>
      </c>
      <c r="Z318" s="400" t="str">
        <f>IFERROR(VLOOKUP($A318,#REF!,21,0),"")</f>
        <v/>
      </c>
      <c r="AA318" s="358"/>
      <c r="AB318" s="358"/>
      <c r="AC318" s="358" t="s">
        <v>3492</v>
      </c>
      <c r="AD318" s="358"/>
      <c r="AE318" s="358"/>
      <c r="AF318" s="141"/>
      <c r="AG318" s="358"/>
      <c r="AH318" s="358"/>
      <c r="AI318" s="358"/>
      <c r="AJ318" s="358"/>
      <c r="AK318" s="358"/>
      <c r="AL318" s="358"/>
      <c r="AM318" s="358"/>
      <c r="AN318" s="358" t="s">
        <v>113</v>
      </c>
      <c r="AO318" s="380" t="s">
        <v>30</v>
      </c>
      <c r="AP318" s="384">
        <v>46101</v>
      </c>
      <c r="AQ318" s="384" t="s">
        <v>3357</v>
      </c>
      <c r="AR318" s="384" t="s">
        <v>32</v>
      </c>
      <c r="AS318" s="358">
        <v>11</v>
      </c>
      <c r="AT318" s="384" t="s">
        <v>3357</v>
      </c>
      <c r="AU318" s="380">
        <v>46101</v>
      </c>
      <c r="AV318" s="82" t="s">
        <v>113</v>
      </c>
      <c r="AW318" s="82" t="s">
        <v>113</v>
      </c>
      <c r="AX318" s="82" t="s">
        <v>113</v>
      </c>
      <c r="AY318" s="95"/>
      <c r="AZ318" s="95"/>
      <c r="BA318" s="95"/>
      <c r="BB318" s="100"/>
      <c r="BC318" s="100"/>
      <c r="BD318" s="100"/>
      <c r="BE318" s="100"/>
      <c r="BF318" s="100"/>
      <c r="BG318" s="114"/>
      <c r="BH318" s="100"/>
      <c r="BI318" s="100"/>
      <c r="BJ318" s="100"/>
      <c r="BK318" s="114"/>
      <c r="BL318" s="360"/>
      <c r="BN318" s="412"/>
      <c r="BO318" s="412"/>
      <c r="BP318" s="412"/>
      <c r="BQ318" s="412"/>
      <c r="BR318" s="412"/>
      <c r="BY318" s="109"/>
      <c r="BZ318">
        <f t="shared" si="8"/>
        <v>1</v>
      </c>
    </row>
    <row r="319" spans="1:78" hidden="1">
      <c r="A319" s="35" t="str">
        <f t="shared" si="9"/>
        <v>ELPTMED_124/2646076</v>
      </c>
      <c r="C319" s="358" t="s">
        <v>2342</v>
      </c>
      <c r="D319" s="358">
        <v>316</v>
      </c>
      <c r="E319" s="358" t="s">
        <v>3552</v>
      </c>
      <c r="F319" s="358" t="s">
        <v>1184</v>
      </c>
      <c r="G319" s="384">
        <v>46076</v>
      </c>
      <c r="H319" s="358" t="s">
        <v>140</v>
      </c>
      <c r="I319" s="358">
        <v>5</v>
      </c>
      <c r="J319" s="359" t="str">
        <f>IFERROR(VLOOKUP($A319,#REF!,3,0),"")</f>
        <v/>
      </c>
      <c r="K319" s="359">
        <f>IFERROR(VLOOKUP($A319,#REF!,4,0),AF319)</f>
        <v>0</v>
      </c>
      <c r="L319" s="359" t="str">
        <f>IFERROR(VLOOKUP($A319,#REF!,5,0),"")</f>
        <v/>
      </c>
      <c r="M319" s="359" t="str">
        <f>IFERROR(VLOOKUP($A319,#REF!,7,0),"")</f>
        <v/>
      </c>
      <c r="N319" s="359"/>
      <c r="O319" s="359" t="str">
        <f>IFERROR(VLOOKUP($A319,#REF!,6,0),"")</f>
        <v/>
      </c>
      <c r="P319" s="359" t="str">
        <f>IFERROR(VLOOKUP($A319,#REF!,9,0),"")</f>
        <v/>
      </c>
      <c r="Q319" s="359" t="str">
        <f>IFERROR(VLOOKUP($A319,#REF!,10,0),"")</f>
        <v/>
      </c>
      <c r="R319" s="359" t="str">
        <f>IFERROR(VLOOKUP($A319,#REF!,11,0),"")</f>
        <v/>
      </c>
      <c r="S319" s="359" t="str">
        <f>IFERROR(VLOOKUP($A319,#REF!,13,0),"")</f>
        <v/>
      </c>
      <c r="T319" s="359" t="str">
        <f>IFERROR(VLOOKUP($A319,#REF!,14,0),"")</f>
        <v/>
      </c>
      <c r="U319" s="359" t="str">
        <f>IFERROR(VLOOKUP($A319,#REF!,15,0),"")</f>
        <v/>
      </c>
      <c r="V319" s="359" t="str">
        <f>IFERROR(VLOOKUP($A319,#REF!,16,0),"")</f>
        <v/>
      </c>
      <c r="W319" s="359" t="str">
        <f>IFERROR(VLOOKUP($A319,#REF!,17,0),"")</f>
        <v/>
      </c>
      <c r="X319" s="359" t="str">
        <f>IFERROR(VLOOKUP($A319,#REF!,18,0),"")</f>
        <v/>
      </c>
      <c r="Y319" s="359" t="str">
        <f>IFERROR(VLOOKUP($A319,#REF!,19,0),"")</f>
        <v/>
      </c>
      <c r="Z319" s="400" t="str">
        <f>IFERROR(VLOOKUP($A319,#REF!,21,0),"")</f>
        <v/>
      </c>
      <c r="AA319" s="358"/>
      <c r="AB319" s="358"/>
      <c r="AC319" s="358" t="s">
        <v>3075</v>
      </c>
      <c r="AD319" s="358"/>
      <c r="AE319" s="358"/>
      <c r="AF319" s="141"/>
      <c r="AG319" s="358"/>
      <c r="AH319" s="358"/>
      <c r="AI319" s="358"/>
      <c r="AJ319" s="358"/>
      <c r="AK319" s="358"/>
      <c r="AL319" s="358"/>
      <c r="AM319" s="358"/>
      <c r="AN319" s="358" t="s">
        <v>113</v>
      </c>
      <c r="AO319" s="380" t="s">
        <v>30</v>
      </c>
      <c r="AP319" s="384">
        <v>46099</v>
      </c>
      <c r="AQ319" s="384" t="s">
        <v>3357</v>
      </c>
      <c r="AR319" s="384" t="s">
        <v>32</v>
      </c>
      <c r="AS319" s="358">
        <v>5</v>
      </c>
      <c r="AT319" s="384" t="s">
        <v>3357</v>
      </c>
      <c r="AU319" s="380">
        <v>46099</v>
      </c>
      <c r="AV319" s="82" t="s">
        <v>113</v>
      </c>
      <c r="AW319" s="82" t="s">
        <v>113</v>
      </c>
      <c r="AX319" s="82" t="s">
        <v>113</v>
      </c>
      <c r="AY319" s="100"/>
      <c r="AZ319" s="100"/>
      <c r="BA319" s="100"/>
      <c r="BB319" s="100"/>
      <c r="BC319" s="100"/>
      <c r="BD319" s="100"/>
      <c r="BE319" s="100"/>
      <c r="BF319" s="100"/>
      <c r="BG319" s="114"/>
      <c r="BH319" s="100"/>
      <c r="BI319" s="100"/>
      <c r="BJ319" s="100"/>
      <c r="BK319" s="114"/>
      <c r="BL319" s="360"/>
      <c r="BN319" s="412"/>
      <c r="BO319" s="412"/>
      <c r="BP319" s="412"/>
      <c r="BQ319" s="412"/>
      <c r="BR319" s="412"/>
      <c r="BY319" s="109"/>
      <c r="BZ319">
        <f t="shared" si="8"/>
        <v>1</v>
      </c>
    </row>
    <row r="320" spans="1:78" hidden="1">
      <c r="A320" s="35" t="str">
        <f t="shared" si="9"/>
        <v>ELPTMED_125/2646076</v>
      </c>
      <c r="C320" s="358" t="s">
        <v>2342</v>
      </c>
      <c r="D320" s="358">
        <v>317</v>
      </c>
      <c r="E320" s="358" t="s">
        <v>3553</v>
      </c>
      <c r="F320" s="358" t="s">
        <v>937</v>
      </c>
      <c r="G320" s="384">
        <v>46076</v>
      </c>
      <c r="H320" s="358" t="s">
        <v>140</v>
      </c>
      <c r="I320" s="358">
        <v>41</v>
      </c>
      <c r="J320" s="359" t="str">
        <f>IFERROR(VLOOKUP($A320,#REF!,3,0),"")</f>
        <v/>
      </c>
      <c r="K320" s="359">
        <f>IFERROR(VLOOKUP($A320,#REF!,4,0),AF320)</f>
        <v>0</v>
      </c>
      <c r="L320" s="359" t="str">
        <f>IFERROR(VLOOKUP($A320,#REF!,5,0),"")</f>
        <v/>
      </c>
      <c r="M320" s="359" t="str">
        <f>IFERROR(VLOOKUP($A320,#REF!,7,0),"")</f>
        <v/>
      </c>
      <c r="N320" s="359"/>
      <c r="O320" s="359" t="str">
        <f>IFERROR(VLOOKUP($A320,#REF!,6,0),"")</f>
        <v/>
      </c>
      <c r="P320" s="359" t="str">
        <f>IFERROR(VLOOKUP($A320,#REF!,9,0),"")</f>
        <v/>
      </c>
      <c r="Q320" s="359" t="str">
        <f>IFERROR(VLOOKUP($A320,#REF!,10,0),"")</f>
        <v/>
      </c>
      <c r="R320" s="359" t="str">
        <f>IFERROR(VLOOKUP($A320,#REF!,11,0),"")</f>
        <v/>
      </c>
      <c r="S320" s="359" t="str">
        <f>IFERROR(VLOOKUP($A320,#REF!,13,0),"")</f>
        <v/>
      </c>
      <c r="T320" s="359" t="str">
        <f>IFERROR(VLOOKUP($A320,#REF!,14,0),"")</f>
        <v/>
      </c>
      <c r="U320" s="359" t="str">
        <f>IFERROR(VLOOKUP($A320,#REF!,15,0),"")</f>
        <v/>
      </c>
      <c r="V320" s="359" t="str">
        <f>IFERROR(VLOOKUP($A320,#REF!,16,0),"")</f>
        <v/>
      </c>
      <c r="W320" s="359" t="str">
        <f>IFERROR(VLOOKUP($A320,#REF!,17,0),"")</f>
        <v/>
      </c>
      <c r="X320" s="359" t="str">
        <f>IFERROR(VLOOKUP($A320,#REF!,18,0),"")</f>
        <v/>
      </c>
      <c r="Y320" s="359" t="str">
        <f>IFERROR(VLOOKUP($A320,#REF!,19,0),"")</f>
        <v/>
      </c>
      <c r="Z320" s="400" t="str">
        <f>IFERROR(VLOOKUP($A320,#REF!,21,0),"")</f>
        <v/>
      </c>
      <c r="AA320" s="358"/>
      <c r="AB320" s="358"/>
      <c r="AC320" s="358" t="s">
        <v>3075</v>
      </c>
      <c r="AD320" s="358"/>
      <c r="AE320" s="358"/>
      <c r="AF320" s="141"/>
      <c r="AG320" s="358"/>
      <c r="AH320" s="358"/>
      <c r="AI320" s="358"/>
      <c r="AJ320" s="358"/>
      <c r="AK320" s="358"/>
      <c r="AL320" s="358"/>
      <c r="AM320" s="358"/>
      <c r="AN320" s="358" t="s">
        <v>113</v>
      </c>
      <c r="AO320" s="94" t="s">
        <v>30</v>
      </c>
      <c r="AP320" s="23">
        <v>46112</v>
      </c>
      <c r="AQ320" s="384" t="s">
        <v>47</v>
      </c>
      <c r="AR320" s="248"/>
      <c r="AS320" s="358"/>
      <c r="AT320" s="384"/>
      <c r="AU320" s="380"/>
      <c r="AV320" s="82" t="s">
        <v>113</v>
      </c>
      <c r="AW320" s="82" t="s">
        <v>113</v>
      </c>
      <c r="AX320" s="82" t="s">
        <v>113</v>
      </c>
      <c r="AY320" s="100"/>
      <c r="AZ320" s="100"/>
      <c r="BA320" s="100"/>
      <c r="BB320" s="100"/>
      <c r="BC320" s="100"/>
      <c r="BD320" s="100"/>
      <c r="BE320" s="100"/>
      <c r="BF320" s="100"/>
      <c r="BG320" s="114"/>
      <c r="BH320" s="100"/>
      <c r="BI320" s="100"/>
      <c r="BJ320" s="100"/>
      <c r="BK320" s="114"/>
      <c r="BL320" s="360"/>
      <c r="BN320" s="412"/>
      <c r="BO320" s="412"/>
      <c r="BP320" s="412"/>
      <c r="BQ320" s="412"/>
      <c r="BR320" s="412"/>
      <c r="BX320" s="140"/>
      <c r="BY320" s="140"/>
      <c r="BZ320">
        <f t="shared" si="8"/>
        <v>1</v>
      </c>
    </row>
    <row r="321" spans="1:78" hidden="1">
      <c r="A321" s="35" t="str">
        <f t="shared" si="9"/>
        <v>ELPTMED_126/2646076</v>
      </c>
      <c r="C321" s="358" t="s">
        <v>2342</v>
      </c>
      <c r="D321" s="358">
        <v>318</v>
      </c>
      <c r="E321" s="358" t="s">
        <v>3554</v>
      </c>
      <c r="F321" s="358" t="s">
        <v>829</v>
      </c>
      <c r="G321" s="384">
        <v>46076</v>
      </c>
      <c r="H321" s="358" t="s">
        <v>140</v>
      </c>
      <c r="I321" s="358">
        <v>40</v>
      </c>
      <c r="J321" s="359" t="str">
        <f>IFERROR(VLOOKUP($A321,#REF!,3,0),"")</f>
        <v/>
      </c>
      <c r="K321" s="359">
        <f>IFERROR(VLOOKUP($A321,#REF!,4,0),AF321)</f>
        <v>0</v>
      </c>
      <c r="L321" s="359" t="str">
        <f>IFERROR(VLOOKUP($A321,#REF!,5,0),"")</f>
        <v/>
      </c>
      <c r="M321" s="359" t="str">
        <f>IFERROR(VLOOKUP($A321,#REF!,7,0),"")</f>
        <v/>
      </c>
      <c r="N321" s="359"/>
      <c r="O321" s="359" t="str">
        <f>IFERROR(VLOOKUP($A321,#REF!,6,0),"")</f>
        <v/>
      </c>
      <c r="P321" s="359" t="str">
        <f>IFERROR(VLOOKUP($A321,#REF!,9,0),"")</f>
        <v/>
      </c>
      <c r="Q321" s="359" t="str">
        <f>IFERROR(VLOOKUP($A321,#REF!,10,0),"")</f>
        <v/>
      </c>
      <c r="R321" s="359" t="str">
        <f>IFERROR(VLOOKUP($A321,#REF!,11,0),"")</f>
        <v/>
      </c>
      <c r="S321" s="359" t="str">
        <f>IFERROR(VLOOKUP($A321,#REF!,13,0),"")</f>
        <v/>
      </c>
      <c r="T321" s="359" t="str">
        <f>IFERROR(VLOOKUP($A321,#REF!,14,0),"")</f>
        <v/>
      </c>
      <c r="U321" s="359" t="str">
        <f>IFERROR(VLOOKUP($A321,#REF!,15,0),"")</f>
        <v/>
      </c>
      <c r="V321" s="359" t="str">
        <f>IFERROR(VLOOKUP($A321,#REF!,16,0),"")</f>
        <v/>
      </c>
      <c r="W321" s="359" t="str">
        <f>IFERROR(VLOOKUP($A321,#REF!,17,0),"")</f>
        <v/>
      </c>
      <c r="X321" s="359" t="str">
        <f>IFERROR(VLOOKUP($A321,#REF!,18,0),"")</f>
        <v/>
      </c>
      <c r="Y321" s="359" t="str">
        <f>IFERROR(VLOOKUP($A321,#REF!,19,0),"")</f>
        <v/>
      </c>
      <c r="Z321" s="400" t="str">
        <f>IFERROR(VLOOKUP($A321,#REF!,21,0),"")</f>
        <v/>
      </c>
      <c r="AA321" s="358"/>
      <c r="AB321" s="358"/>
      <c r="AC321" s="359" t="s">
        <v>3555</v>
      </c>
      <c r="AD321" s="358"/>
      <c r="AE321" s="358"/>
      <c r="AF321" s="141"/>
      <c r="AG321" s="358"/>
      <c r="AH321" s="358"/>
      <c r="AI321" s="358"/>
      <c r="AJ321" s="358"/>
      <c r="AK321" s="358"/>
      <c r="AL321" s="358"/>
      <c r="AM321" s="358"/>
      <c r="AN321" s="358" t="s">
        <v>113</v>
      </c>
      <c r="AO321" s="380" t="s">
        <v>30</v>
      </c>
      <c r="AP321" s="380">
        <v>46108</v>
      </c>
      <c r="AQ321" s="384" t="s">
        <v>1638</v>
      </c>
      <c r="AR321" s="384" t="s">
        <v>32</v>
      </c>
      <c r="AS321" s="358">
        <v>40</v>
      </c>
      <c r="AT321" s="384" t="s">
        <v>1638</v>
      </c>
      <c r="AU321" s="380">
        <v>46108</v>
      </c>
      <c r="AV321" s="82" t="s">
        <v>113</v>
      </c>
      <c r="AW321" s="82" t="s">
        <v>113</v>
      </c>
      <c r="AX321" s="82" t="s">
        <v>113</v>
      </c>
      <c r="AY321" s="100"/>
      <c r="AZ321" s="100"/>
      <c r="BA321" s="100"/>
      <c r="BB321" s="100"/>
      <c r="BC321" s="100"/>
      <c r="BD321" s="100"/>
      <c r="BE321" s="100"/>
      <c r="BF321" s="100"/>
      <c r="BG321" s="114"/>
      <c r="BH321" s="100"/>
      <c r="BI321" s="100"/>
      <c r="BJ321" s="100"/>
      <c r="BK321" s="114"/>
      <c r="BL321" s="360"/>
      <c r="BN321" s="412"/>
      <c r="BO321" s="412"/>
      <c r="BP321" s="412"/>
      <c r="BQ321" s="412"/>
      <c r="BR321" s="412"/>
      <c r="BX321" s="140"/>
      <c r="BY321" s="140"/>
      <c r="BZ321">
        <f t="shared" si="8"/>
        <v>1</v>
      </c>
    </row>
    <row r="322" spans="1:78" hidden="1">
      <c r="A322" s="35" t="str">
        <f t="shared" si="9"/>
        <v>ELPTMED_127/2646076,0416666667</v>
      </c>
      <c r="C322" s="358" t="s">
        <v>2342</v>
      </c>
      <c r="D322" s="358">
        <v>319</v>
      </c>
      <c r="E322" s="358" t="s">
        <v>3556</v>
      </c>
      <c r="F322" s="358" t="s">
        <v>1178</v>
      </c>
      <c r="G322" s="384">
        <v>46076.041666666664</v>
      </c>
      <c r="H322" s="358" t="s">
        <v>140</v>
      </c>
      <c r="I322" s="358">
        <v>19</v>
      </c>
      <c r="J322" s="359" t="str">
        <f>IFERROR(VLOOKUP($A322,#REF!,3,0),"")</f>
        <v/>
      </c>
      <c r="K322" s="359">
        <f>IFERROR(VLOOKUP($A322,#REF!,4,0),AF322)</f>
        <v>0</v>
      </c>
      <c r="L322" s="359" t="str">
        <f>IFERROR(VLOOKUP($A322,#REF!,5,0),"")</f>
        <v/>
      </c>
      <c r="M322" s="359" t="str">
        <f>IFERROR(VLOOKUP($A322,#REF!,7,0),"")</f>
        <v/>
      </c>
      <c r="N322" s="359"/>
      <c r="O322" s="359" t="str">
        <f>IFERROR(VLOOKUP($A322,#REF!,6,0),"")</f>
        <v/>
      </c>
      <c r="P322" s="359" t="str">
        <f>IFERROR(VLOOKUP($A322,#REF!,9,0),"")</f>
        <v/>
      </c>
      <c r="Q322" s="359" t="str">
        <f>IFERROR(VLOOKUP($A322,#REF!,10,0),"")</f>
        <v/>
      </c>
      <c r="R322" s="359" t="str">
        <f>IFERROR(VLOOKUP($A322,#REF!,11,0),"")</f>
        <v/>
      </c>
      <c r="S322" s="359" t="str">
        <f>IFERROR(VLOOKUP($A322,#REF!,13,0),"")</f>
        <v/>
      </c>
      <c r="T322" s="359" t="str">
        <f>IFERROR(VLOOKUP($A322,#REF!,14,0),"")</f>
        <v/>
      </c>
      <c r="U322" s="359" t="str">
        <f>IFERROR(VLOOKUP($A322,#REF!,15,0),"")</f>
        <v/>
      </c>
      <c r="V322" s="359" t="str">
        <f>IFERROR(VLOOKUP($A322,#REF!,16,0),"")</f>
        <v/>
      </c>
      <c r="W322" s="359" t="str">
        <f>IFERROR(VLOOKUP($A322,#REF!,17,0),"")</f>
        <v/>
      </c>
      <c r="X322" s="359" t="str">
        <f>IFERROR(VLOOKUP($A322,#REF!,18,0),"")</f>
        <v/>
      </c>
      <c r="Y322" s="359" t="str">
        <f>IFERROR(VLOOKUP($A322,#REF!,19,0),"")</f>
        <v/>
      </c>
      <c r="Z322" s="400" t="str">
        <f>IFERROR(VLOOKUP($A322,#REF!,21,0),"")</f>
        <v/>
      </c>
      <c r="AA322" s="358"/>
      <c r="AB322" s="358"/>
      <c r="AC322" s="359" t="s">
        <v>1843</v>
      </c>
      <c r="AD322" s="358"/>
      <c r="AE322" s="358"/>
      <c r="AF322" s="141"/>
      <c r="AG322" s="358"/>
      <c r="AH322" s="358"/>
      <c r="AI322" s="358"/>
      <c r="AJ322" s="380"/>
      <c r="AK322" s="380"/>
      <c r="AL322" s="380"/>
      <c r="AM322" s="380"/>
      <c r="AN322" s="358" t="s">
        <v>113</v>
      </c>
      <c r="AO322" s="380" t="s">
        <v>30</v>
      </c>
      <c r="AP322" s="380">
        <v>46108</v>
      </c>
      <c r="AQ322" s="384" t="s">
        <v>1638</v>
      </c>
      <c r="AR322" s="384" t="s">
        <v>32</v>
      </c>
      <c r="AS322" s="358">
        <v>19</v>
      </c>
      <c r="AT322" s="384" t="s">
        <v>1638</v>
      </c>
      <c r="AU322" s="380">
        <v>46108</v>
      </c>
      <c r="AV322" s="82" t="s">
        <v>113</v>
      </c>
      <c r="AW322" s="82" t="s">
        <v>113</v>
      </c>
      <c r="AX322" s="82" t="s">
        <v>113</v>
      </c>
      <c r="AY322" s="100"/>
      <c r="AZ322" s="100"/>
      <c r="BA322" s="100"/>
      <c r="BB322" s="100"/>
      <c r="BC322" s="100"/>
      <c r="BD322" s="100"/>
      <c r="BE322" s="100"/>
      <c r="BF322" s="100"/>
      <c r="BG322" s="114"/>
      <c r="BH322" s="100"/>
      <c r="BI322" s="100"/>
      <c r="BJ322" s="100"/>
      <c r="BK322" s="114"/>
      <c r="BL322" s="360"/>
      <c r="BN322" s="412"/>
      <c r="BO322" s="412"/>
      <c r="BP322" s="412"/>
      <c r="BQ322" s="412"/>
      <c r="BR322" s="412"/>
      <c r="BX322" s="140"/>
      <c r="BY322" s="140"/>
      <c r="BZ322">
        <f t="shared" si="8"/>
        <v>1</v>
      </c>
    </row>
    <row r="323" spans="1:78" hidden="1">
      <c r="A323" s="35" t="str">
        <f t="shared" si="9"/>
        <v>ELPTMED_129/2646076,0416666667</v>
      </c>
      <c r="C323" s="358" t="s">
        <v>2342</v>
      </c>
      <c r="D323" s="358">
        <v>320</v>
      </c>
      <c r="E323" s="358" t="s">
        <v>3557</v>
      </c>
      <c r="F323" s="358" t="s">
        <v>1008</v>
      </c>
      <c r="G323" s="384">
        <v>46076.041666666664</v>
      </c>
      <c r="H323" s="358" t="s">
        <v>140</v>
      </c>
      <c r="I323" s="358">
        <v>1</v>
      </c>
      <c r="J323" s="359" t="str">
        <f>IFERROR(VLOOKUP($A323,#REF!,3,0),"")</f>
        <v/>
      </c>
      <c r="K323" s="359">
        <f>IFERROR(VLOOKUP($A323,#REF!,4,0),AF323)</f>
        <v>0</v>
      </c>
      <c r="L323" s="359" t="str">
        <f>IFERROR(VLOOKUP($A323,#REF!,5,0),"")</f>
        <v/>
      </c>
      <c r="M323" s="359" t="str">
        <f>IFERROR(VLOOKUP($A323,#REF!,7,0),"")</f>
        <v/>
      </c>
      <c r="N323" s="359"/>
      <c r="O323" s="359" t="str">
        <f>IFERROR(VLOOKUP($A323,#REF!,6,0),"")</f>
        <v/>
      </c>
      <c r="P323" s="359" t="str">
        <f>IFERROR(VLOOKUP($A323,#REF!,9,0),"")</f>
        <v/>
      </c>
      <c r="Q323" s="359" t="str">
        <f>IFERROR(VLOOKUP($A323,#REF!,10,0),"")</f>
        <v/>
      </c>
      <c r="R323" s="359" t="str">
        <f>IFERROR(VLOOKUP($A323,#REF!,11,0),"")</f>
        <v/>
      </c>
      <c r="S323" s="359" t="str">
        <f>IFERROR(VLOOKUP($A323,#REF!,13,0),"")</f>
        <v/>
      </c>
      <c r="T323" s="359" t="str">
        <f>IFERROR(VLOOKUP($A323,#REF!,14,0),"")</f>
        <v/>
      </c>
      <c r="U323" s="359" t="str">
        <f>IFERROR(VLOOKUP($A323,#REF!,15,0),"")</f>
        <v/>
      </c>
      <c r="V323" s="359" t="str">
        <f>IFERROR(VLOOKUP($A323,#REF!,16,0),"")</f>
        <v/>
      </c>
      <c r="W323" s="359" t="str">
        <f>IFERROR(VLOOKUP($A323,#REF!,17,0),"")</f>
        <v/>
      </c>
      <c r="X323" s="359" t="str">
        <f>IFERROR(VLOOKUP($A323,#REF!,18,0),"")</f>
        <v/>
      </c>
      <c r="Y323" s="359" t="str">
        <f>IFERROR(VLOOKUP($A323,#REF!,19,0),"")</f>
        <v/>
      </c>
      <c r="Z323" s="400" t="str">
        <f>IFERROR(VLOOKUP($A323,#REF!,21,0),"")</f>
        <v/>
      </c>
      <c r="AA323" s="358"/>
      <c r="AB323" s="358"/>
      <c r="AC323" s="359" t="s">
        <v>3075</v>
      </c>
      <c r="AD323" s="358"/>
      <c r="AE323" s="358"/>
      <c r="AF323" s="141"/>
      <c r="AG323" s="358"/>
      <c r="AH323" s="358"/>
      <c r="AI323" s="358"/>
      <c r="AJ323" s="380"/>
      <c r="AK323" s="380"/>
      <c r="AL323" s="380"/>
      <c r="AM323" s="380"/>
      <c r="AN323" s="358" t="s">
        <v>113</v>
      </c>
      <c r="AO323" s="94" t="s">
        <v>30</v>
      </c>
      <c r="AP323" s="23">
        <v>46111</v>
      </c>
      <c r="AQ323" s="384" t="s">
        <v>3357</v>
      </c>
      <c r="AR323" s="384"/>
      <c r="AS323" s="365"/>
      <c r="AT323" s="384"/>
      <c r="AU323" s="380"/>
      <c r="AV323" s="82" t="s">
        <v>113</v>
      </c>
      <c r="AW323" s="82" t="s">
        <v>113</v>
      </c>
      <c r="AX323" s="82" t="s">
        <v>113</v>
      </c>
      <c r="AY323" s="100"/>
      <c r="AZ323" s="100"/>
      <c r="BA323" s="100"/>
      <c r="BB323" s="100"/>
      <c r="BC323" s="100"/>
      <c r="BD323" s="100"/>
      <c r="BE323" s="100"/>
      <c r="BF323" s="100"/>
      <c r="BG323" s="114"/>
      <c r="BH323" s="100"/>
      <c r="BI323" s="100"/>
      <c r="BJ323" s="100"/>
      <c r="BK323" s="114"/>
      <c r="BL323" s="360"/>
      <c r="BN323" s="412"/>
      <c r="BO323" s="412"/>
      <c r="BP323" s="412"/>
      <c r="BQ323" s="412"/>
      <c r="BR323" s="412"/>
      <c r="BX323" s="96"/>
      <c r="BY323" s="109"/>
      <c r="BZ323">
        <f t="shared" ref="BZ323:BZ384" si="10">IF(G323&gt;1,1,"")</f>
        <v>1</v>
      </c>
    </row>
    <row r="324" spans="1:78" hidden="1">
      <c r="A324" s="35" t="str">
        <f t="shared" si="9"/>
        <v>ELPTMED_130/2646076</v>
      </c>
      <c r="C324" s="358" t="s">
        <v>2342</v>
      </c>
      <c r="D324" s="358">
        <v>321</v>
      </c>
      <c r="E324" s="358" t="s">
        <v>3558</v>
      </c>
      <c r="F324" s="358" t="s">
        <v>1212</v>
      </c>
      <c r="G324" s="384">
        <v>46076</v>
      </c>
      <c r="H324" s="358" t="s">
        <v>140</v>
      </c>
      <c r="I324" s="358">
        <v>7</v>
      </c>
      <c r="J324" s="359" t="str">
        <f>IFERROR(VLOOKUP($A324,#REF!,3,0),"")</f>
        <v/>
      </c>
      <c r="K324" s="359">
        <f>IFERROR(VLOOKUP($A324,#REF!,4,0),AF324)</f>
        <v>0</v>
      </c>
      <c r="L324" s="359" t="str">
        <f>IFERROR(VLOOKUP($A324,#REF!,5,0),"")</f>
        <v/>
      </c>
      <c r="M324" s="359" t="str">
        <f>IFERROR(VLOOKUP($A324,#REF!,7,0),"")</f>
        <v/>
      </c>
      <c r="N324" s="359"/>
      <c r="O324" s="359" t="str">
        <f>IFERROR(VLOOKUP($A324,#REF!,6,0),"")</f>
        <v/>
      </c>
      <c r="P324" s="359" t="str">
        <f>IFERROR(VLOOKUP($A324,#REF!,9,0),"")</f>
        <v/>
      </c>
      <c r="Q324" s="359" t="str">
        <f>IFERROR(VLOOKUP($A324,#REF!,10,0),"")</f>
        <v/>
      </c>
      <c r="R324" s="359" t="str">
        <f>IFERROR(VLOOKUP($A324,#REF!,11,0),"")</f>
        <v/>
      </c>
      <c r="S324" s="359" t="str">
        <f>IFERROR(VLOOKUP($A324,#REF!,13,0),"")</f>
        <v/>
      </c>
      <c r="T324" s="359" t="str">
        <f>IFERROR(VLOOKUP($A324,#REF!,14,0),"")</f>
        <v/>
      </c>
      <c r="U324" s="359" t="str">
        <f>IFERROR(VLOOKUP($A324,#REF!,15,0),"")</f>
        <v/>
      </c>
      <c r="V324" s="359" t="str">
        <f>IFERROR(VLOOKUP($A324,#REF!,16,0),"")</f>
        <v/>
      </c>
      <c r="W324" s="359" t="str">
        <f>IFERROR(VLOOKUP($A324,#REF!,17,0),"")</f>
        <v/>
      </c>
      <c r="X324" s="359" t="str">
        <f>IFERROR(VLOOKUP($A324,#REF!,18,0),"")</f>
        <v/>
      </c>
      <c r="Y324" s="359" t="str">
        <f>IFERROR(VLOOKUP($A324,#REF!,19,0),"")</f>
        <v/>
      </c>
      <c r="Z324" s="400" t="str">
        <f>IFERROR(VLOOKUP($A324,#REF!,21,0),"")</f>
        <v/>
      </c>
      <c r="AA324" s="358"/>
      <c r="AB324" s="358"/>
      <c r="AC324" s="359" t="s">
        <v>3075</v>
      </c>
      <c r="AD324" s="358"/>
      <c r="AE324" s="358"/>
      <c r="AF324" s="141"/>
      <c r="AG324" s="358"/>
      <c r="AH324" s="358"/>
      <c r="AI324" s="358"/>
      <c r="AJ324" s="358"/>
      <c r="AK324" s="358"/>
      <c r="AL324" s="358"/>
      <c r="AM324" s="358"/>
      <c r="AN324" s="358" t="s">
        <v>113</v>
      </c>
      <c r="AO324" s="380" t="s">
        <v>30</v>
      </c>
      <c r="AP324" s="380">
        <v>46094</v>
      </c>
      <c r="AQ324" s="384" t="s">
        <v>3357</v>
      </c>
      <c r="AR324" s="384" t="s">
        <v>32</v>
      </c>
      <c r="AS324" s="358">
        <v>7</v>
      </c>
      <c r="AT324" s="384" t="s">
        <v>3357</v>
      </c>
      <c r="AU324" s="380">
        <v>46094</v>
      </c>
      <c r="AV324" s="82" t="s">
        <v>113</v>
      </c>
      <c r="AW324" s="82" t="s">
        <v>113</v>
      </c>
      <c r="AX324" s="82" t="s">
        <v>113</v>
      </c>
      <c r="AY324" s="100"/>
      <c r="AZ324" s="100"/>
      <c r="BA324" s="100"/>
      <c r="BB324" s="100"/>
      <c r="BC324" s="100"/>
      <c r="BD324" s="100"/>
      <c r="BE324" s="100"/>
      <c r="BF324" s="100"/>
      <c r="BG324" s="114"/>
      <c r="BH324" s="100"/>
      <c r="BI324" s="100"/>
      <c r="BJ324" s="100"/>
      <c r="BK324" s="114"/>
      <c r="BL324" s="360"/>
      <c r="BN324" s="412"/>
      <c r="BO324" s="412"/>
      <c r="BP324" s="412"/>
      <c r="BQ324" s="412"/>
      <c r="BR324" s="412"/>
      <c r="BX324" s="96"/>
      <c r="BY324" s="109"/>
      <c r="BZ324">
        <f t="shared" si="10"/>
        <v>1</v>
      </c>
    </row>
    <row r="325" spans="1:78" hidden="1">
      <c r="A325" s="35" t="str">
        <f t="shared" ref="A325:A388" si="11">E325&amp;G325</f>
        <v>ELPTMED_131/2646076</v>
      </c>
      <c r="C325" s="358" t="s">
        <v>2342</v>
      </c>
      <c r="D325" s="358">
        <v>322</v>
      </c>
      <c r="E325" s="358" t="s">
        <v>3559</v>
      </c>
      <c r="F325" s="358" t="s">
        <v>818</v>
      </c>
      <c r="G325" s="384">
        <v>46076</v>
      </c>
      <c r="H325" s="358" t="s">
        <v>140</v>
      </c>
      <c r="I325" s="358">
        <v>7</v>
      </c>
      <c r="J325" s="359" t="str">
        <f>IFERROR(VLOOKUP($A325,#REF!,3,0),"")</f>
        <v/>
      </c>
      <c r="K325" s="359">
        <f>IFERROR(VLOOKUP($A325,#REF!,4,0),AF325)</f>
        <v>0</v>
      </c>
      <c r="L325" s="359" t="str">
        <f>IFERROR(VLOOKUP($A325,#REF!,5,0),"")</f>
        <v/>
      </c>
      <c r="M325" s="359" t="str">
        <f>IFERROR(VLOOKUP($A325,#REF!,7,0),"")</f>
        <v/>
      </c>
      <c r="N325" s="359"/>
      <c r="O325" s="359" t="str">
        <f>IFERROR(VLOOKUP($A325,#REF!,6,0),"")</f>
        <v/>
      </c>
      <c r="P325" s="359" t="str">
        <f>IFERROR(VLOOKUP($A325,#REF!,9,0),"")</f>
        <v/>
      </c>
      <c r="Q325" s="359" t="str">
        <f>IFERROR(VLOOKUP($A325,#REF!,10,0),"")</f>
        <v/>
      </c>
      <c r="R325" s="359" t="str">
        <f>IFERROR(VLOOKUP($A325,#REF!,11,0),"")</f>
        <v/>
      </c>
      <c r="S325" s="359" t="str">
        <f>IFERROR(VLOOKUP($A325,#REF!,13,0),"")</f>
        <v/>
      </c>
      <c r="T325" s="359" t="str">
        <f>IFERROR(VLOOKUP($A325,#REF!,14,0),"")</f>
        <v/>
      </c>
      <c r="U325" s="359" t="str">
        <f>IFERROR(VLOOKUP($A325,#REF!,15,0),"")</f>
        <v/>
      </c>
      <c r="V325" s="359" t="str">
        <f>IFERROR(VLOOKUP($A325,#REF!,16,0),"")</f>
        <v/>
      </c>
      <c r="W325" s="359" t="str">
        <f>IFERROR(VLOOKUP($A325,#REF!,17,0),"")</f>
        <v/>
      </c>
      <c r="X325" s="359" t="str">
        <f>IFERROR(VLOOKUP($A325,#REF!,18,0),"")</f>
        <v/>
      </c>
      <c r="Y325" s="359" t="str">
        <f>IFERROR(VLOOKUP($A325,#REF!,19,0),"")</f>
        <v/>
      </c>
      <c r="Z325" s="400" t="str">
        <f>IFERROR(VLOOKUP($A325,#REF!,21,0),"")</f>
        <v/>
      </c>
      <c r="AA325" s="358"/>
      <c r="AB325" s="358"/>
      <c r="AC325" s="359" t="s">
        <v>3075</v>
      </c>
      <c r="AD325" s="358"/>
      <c r="AE325" s="358"/>
      <c r="AF325" s="141"/>
      <c r="AG325" s="358"/>
      <c r="AH325" s="358"/>
      <c r="AI325" s="358"/>
      <c r="AJ325" s="358"/>
      <c r="AK325" s="358"/>
      <c r="AL325" s="358"/>
      <c r="AM325" s="358"/>
      <c r="AN325" s="358" t="s">
        <v>113</v>
      </c>
      <c r="AO325" s="380"/>
      <c r="AP325" s="380"/>
      <c r="AQ325" s="384" t="s">
        <v>3357</v>
      </c>
      <c r="AR325" s="384"/>
      <c r="AS325" s="358"/>
      <c r="AT325" s="384"/>
      <c r="AU325" s="380"/>
      <c r="AV325" s="82" t="s">
        <v>113</v>
      </c>
      <c r="AW325" s="82" t="s">
        <v>113</v>
      </c>
      <c r="AX325" s="82" t="s">
        <v>113</v>
      </c>
      <c r="AY325" s="100"/>
      <c r="AZ325" s="100"/>
      <c r="BA325" s="100"/>
      <c r="BB325" s="100"/>
      <c r="BC325" s="100"/>
      <c r="BD325" s="100"/>
      <c r="BE325" s="100"/>
      <c r="BF325" s="100"/>
      <c r="BG325" s="114"/>
      <c r="BH325" s="100"/>
      <c r="BI325" s="100"/>
      <c r="BJ325" s="100"/>
      <c r="BK325" s="114"/>
      <c r="BL325" s="360"/>
      <c r="BN325" s="412"/>
      <c r="BO325" s="412"/>
      <c r="BP325" s="412"/>
      <c r="BQ325" s="412"/>
      <c r="BR325" s="412"/>
      <c r="BX325" s="96"/>
      <c r="BY325" s="109"/>
      <c r="BZ325">
        <f t="shared" si="10"/>
        <v>1</v>
      </c>
    </row>
    <row r="326" spans="1:78" hidden="1">
      <c r="A326" s="35" t="str">
        <f t="shared" si="11"/>
        <v>ELPTMED_132/2646076,0416666667</v>
      </c>
      <c r="C326" s="358" t="s">
        <v>2342</v>
      </c>
      <c r="D326" s="358">
        <v>323</v>
      </c>
      <c r="E326" s="358" t="s">
        <v>3560</v>
      </c>
      <c r="F326" s="358" t="s">
        <v>3561</v>
      </c>
      <c r="G326" s="384">
        <v>46076.041666666664</v>
      </c>
      <c r="H326" s="358" t="s">
        <v>140</v>
      </c>
      <c r="I326" s="358">
        <v>12</v>
      </c>
      <c r="J326" s="359" t="str">
        <f>IFERROR(VLOOKUP($A326,#REF!,3,0),"")</f>
        <v/>
      </c>
      <c r="K326" s="359">
        <f>IFERROR(VLOOKUP($A326,#REF!,4,0),AF326)</f>
        <v>0</v>
      </c>
      <c r="L326" s="359" t="str">
        <f>IFERROR(VLOOKUP($A326,#REF!,5,0),"")</f>
        <v/>
      </c>
      <c r="M326" s="359" t="str">
        <f>IFERROR(VLOOKUP($A326,#REF!,7,0),"")</f>
        <v/>
      </c>
      <c r="N326" s="359"/>
      <c r="O326" s="359" t="str">
        <f>IFERROR(VLOOKUP($A326,#REF!,6,0),"")</f>
        <v/>
      </c>
      <c r="P326" s="359" t="str">
        <f>IFERROR(VLOOKUP($A326,#REF!,9,0),"")</f>
        <v/>
      </c>
      <c r="Q326" s="359" t="str">
        <f>IFERROR(VLOOKUP($A326,#REF!,10,0),"")</f>
        <v/>
      </c>
      <c r="R326" s="359" t="str">
        <f>IFERROR(VLOOKUP($A326,#REF!,11,0),"")</f>
        <v/>
      </c>
      <c r="S326" s="359" t="str">
        <f>IFERROR(VLOOKUP($A326,#REF!,13,0),"")</f>
        <v/>
      </c>
      <c r="T326" s="359" t="str">
        <f>IFERROR(VLOOKUP($A326,#REF!,14,0),"")</f>
        <v/>
      </c>
      <c r="U326" s="359" t="str">
        <f>IFERROR(VLOOKUP($A326,#REF!,15,0),"")</f>
        <v/>
      </c>
      <c r="V326" s="359" t="str">
        <f>IFERROR(VLOOKUP($A326,#REF!,16,0),"")</f>
        <v/>
      </c>
      <c r="W326" s="359" t="str">
        <f>IFERROR(VLOOKUP($A326,#REF!,17,0),"")</f>
        <v/>
      </c>
      <c r="X326" s="359" t="str">
        <f>IFERROR(VLOOKUP($A326,#REF!,18,0),"")</f>
        <v/>
      </c>
      <c r="Y326" s="359" t="str">
        <f>IFERROR(VLOOKUP($A326,#REF!,19,0),"")</f>
        <v/>
      </c>
      <c r="Z326" s="400" t="str">
        <f>IFERROR(VLOOKUP($A326,#REF!,21,0),"")</f>
        <v/>
      </c>
      <c r="AA326" s="358"/>
      <c r="AB326" s="358"/>
      <c r="AC326" s="359" t="s">
        <v>3075</v>
      </c>
      <c r="AD326" s="358"/>
      <c r="AE326" s="358"/>
      <c r="AF326" s="141"/>
      <c r="AG326" s="358"/>
      <c r="AH326" s="358"/>
      <c r="AI326" s="358"/>
      <c r="AJ326" s="358"/>
      <c r="AK326" s="358"/>
      <c r="AL326" s="358"/>
      <c r="AM326" s="358"/>
      <c r="AN326" s="358" t="s">
        <v>113</v>
      </c>
      <c r="AO326" s="380" t="s">
        <v>30</v>
      </c>
      <c r="AP326" s="380">
        <v>46107</v>
      </c>
      <c r="AQ326" s="384" t="s">
        <v>3357</v>
      </c>
      <c r="AR326" s="384" t="s">
        <v>32</v>
      </c>
      <c r="AS326" s="358">
        <v>12</v>
      </c>
      <c r="AT326" s="384" t="s">
        <v>3357</v>
      </c>
      <c r="AU326" s="380">
        <v>46107</v>
      </c>
      <c r="AV326" s="82" t="s">
        <v>113</v>
      </c>
      <c r="AW326" s="82" t="s">
        <v>113</v>
      </c>
      <c r="AX326" s="82" t="s">
        <v>113</v>
      </c>
      <c r="AY326" s="95"/>
      <c r="AZ326" s="95"/>
      <c r="BA326" s="100"/>
      <c r="BB326" s="100"/>
      <c r="BC326" s="100"/>
      <c r="BD326" s="100"/>
      <c r="BE326" s="100"/>
      <c r="BF326" s="100"/>
      <c r="BG326" s="114"/>
      <c r="BH326" s="114"/>
      <c r="BI326" s="114"/>
      <c r="BJ326" s="114"/>
      <c r="BK326" s="114"/>
      <c r="BL326" s="360"/>
      <c r="BN326" s="412"/>
      <c r="BO326" s="412"/>
      <c r="BP326" s="412"/>
      <c r="BQ326" s="412"/>
      <c r="BR326" s="412"/>
      <c r="BY326" s="109"/>
      <c r="BZ326">
        <f t="shared" si="10"/>
        <v>1</v>
      </c>
    </row>
    <row r="327" spans="1:78" hidden="1">
      <c r="A327" s="35" t="str">
        <f t="shared" si="11"/>
        <v>ELPTMED_133/2646076,0416666667</v>
      </c>
      <c r="C327" s="358" t="s">
        <v>2342</v>
      </c>
      <c r="D327" s="358">
        <v>324</v>
      </c>
      <c r="E327" s="358" t="s">
        <v>3562</v>
      </c>
      <c r="F327" s="358" t="s">
        <v>1230</v>
      </c>
      <c r="G327" s="384">
        <v>46076.041666666664</v>
      </c>
      <c r="H327" s="358" t="s">
        <v>140</v>
      </c>
      <c r="I327" s="358">
        <v>6</v>
      </c>
      <c r="J327" s="359" t="str">
        <f>IFERROR(VLOOKUP($A327,#REF!,3,0),"")</f>
        <v/>
      </c>
      <c r="K327" s="359">
        <f>IFERROR(VLOOKUP($A327,#REF!,4,0),AF327)</f>
        <v>0</v>
      </c>
      <c r="L327" s="359" t="str">
        <f>IFERROR(VLOOKUP($A327,#REF!,5,0),"")</f>
        <v/>
      </c>
      <c r="M327" s="359" t="str">
        <f>IFERROR(VLOOKUP($A327,#REF!,7,0),"")</f>
        <v/>
      </c>
      <c r="N327" s="359"/>
      <c r="O327" s="359" t="str">
        <f>IFERROR(VLOOKUP($A327,#REF!,6,0),"")</f>
        <v/>
      </c>
      <c r="P327" s="359" t="str">
        <f>IFERROR(VLOOKUP($A327,#REF!,9,0),"")</f>
        <v/>
      </c>
      <c r="Q327" s="359" t="str">
        <f>IFERROR(VLOOKUP($A327,#REF!,10,0),"")</f>
        <v/>
      </c>
      <c r="R327" s="359" t="str">
        <f>IFERROR(VLOOKUP($A327,#REF!,11,0),"")</f>
        <v/>
      </c>
      <c r="S327" s="359" t="str">
        <f>IFERROR(VLOOKUP($A327,#REF!,13,0),"")</f>
        <v/>
      </c>
      <c r="T327" s="359" t="str">
        <f>IFERROR(VLOOKUP($A327,#REF!,14,0),"")</f>
        <v/>
      </c>
      <c r="U327" s="359" t="str">
        <f>IFERROR(VLOOKUP($A327,#REF!,15,0),"")</f>
        <v/>
      </c>
      <c r="V327" s="359" t="str">
        <f>IFERROR(VLOOKUP($A327,#REF!,16,0),"")</f>
        <v/>
      </c>
      <c r="W327" s="359" t="str">
        <f>IFERROR(VLOOKUP($A327,#REF!,17,0),"")</f>
        <v/>
      </c>
      <c r="X327" s="359" t="str">
        <f>IFERROR(VLOOKUP($A327,#REF!,18,0),"")</f>
        <v/>
      </c>
      <c r="Y327" s="359" t="str">
        <f>IFERROR(VLOOKUP($A327,#REF!,19,0),"")</f>
        <v/>
      </c>
      <c r="Z327" s="400" t="str">
        <f>IFERROR(VLOOKUP($A327,#REF!,21,0),"")</f>
        <v/>
      </c>
      <c r="AA327" s="358"/>
      <c r="AB327" s="358"/>
      <c r="AC327" s="358" t="s">
        <v>3075</v>
      </c>
      <c r="AD327" s="358"/>
      <c r="AE327" s="358"/>
      <c r="AF327" s="141"/>
      <c r="AG327" s="358"/>
      <c r="AH327" s="358"/>
      <c r="AI327" s="358"/>
      <c r="AJ327" s="358"/>
      <c r="AK327" s="358"/>
      <c r="AL327" s="358"/>
      <c r="AM327" s="358"/>
      <c r="AN327" s="358" t="s">
        <v>113</v>
      </c>
      <c r="AO327" s="380" t="s">
        <v>30</v>
      </c>
      <c r="AP327" s="380">
        <v>46107</v>
      </c>
      <c r="AQ327" s="384" t="s">
        <v>3357</v>
      </c>
      <c r="AR327" s="384" t="s">
        <v>32</v>
      </c>
      <c r="AS327" s="358">
        <v>6</v>
      </c>
      <c r="AT327" s="384" t="s">
        <v>3357</v>
      </c>
      <c r="AU327" s="380">
        <v>46107</v>
      </c>
      <c r="AV327" s="82" t="s">
        <v>113</v>
      </c>
      <c r="AW327" s="82" t="s">
        <v>113</v>
      </c>
      <c r="AX327" s="82" t="s">
        <v>113</v>
      </c>
      <c r="AY327" s="95"/>
      <c r="AZ327" s="95"/>
      <c r="BA327" s="95"/>
      <c r="BB327" s="100"/>
      <c r="BC327" s="100"/>
      <c r="BD327" s="100"/>
      <c r="BE327" s="100"/>
      <c r="BF327" s="100"/>
      <c r="BG327" s="114"/>
      <c r="BH327" s="100"/>
      <c r="BI327" s="100"/>
      <c r="BJ327" s="100"/>
      <c r="BK327" s="114"/>
      <c r="BL327" s="360"/>
      <c r="BN327" s="412"/>
      <c r="BO327" s="412"/>
      <c r="BP327" s="412"/>
      <c r="BQ327" s="412"/>
      <c r="BR327" s="412"/>
      <c r="BX327" s="96"/>
      <c r="BY327" s="109"/>
      <c r="BZ327">
        <f t="shared" si="10"/>
        <v>1</v>
      </c>
    </row>
    <row r="328" spans="1:78" hidden="1">
      <c r="A328" s="35" t="str">
        <f t="shared" si="11"/>
        <v>ELPTMED_134/2646076,0416666667</v>
      </c>
      <c r="C328" s="358" t="s">
        <v>2342</v>
      </c>
      <c r="D328" s="358">
        <v>325</v>
      </c>
      <c r="E328" s="358" t="s">
        <v>3563</v>
      </c>
      <c r="F328" s="358" t="s">
        <v>3249</v>
      </c>
      <c r="G328" s="384">
        <v>46076.041666666664</v>
      </c>
      <c r="H328" s="358" t="s">
        <v>140</v>
      </c>
      <c r="I328" s="358">
        <v>7</v>
      </c>
      <c r="J328" s="359" t="str">
        <f>IFERROR(VLOOKUP($A328,#REF!,3,0),"")</f>
        <v/>
      </c>
      <c r="K328" s="359">
        <f>IFERROR(VLOOKUP($A328,#REF!,4,0),AF328)</f>
        <v>0</v>
      </c>
      <c r="L328" s="359" t="str">
        <f>IFERROR(VLOOKUP($A328,#REF!,5,0),"")</f>
        <v/>
      </c>
      <c r="M328" s="359" t="str">
        <f>IFERROR(VLOOKUP($A328,#REF!,7,0),"")</f>
        <v/>
      </c>
      <c r="N328" s="359"/>
      <c r="O328" s="359" t="str">
        <f>IFERROR(VLOOKUP($A328,#REF!,6,0),"")</f>
        <v/>
      </c>
      <c r="P328" s="359" t="str">
        <f>IFERROR(VLOOKUP($A328,#REF!,9,0),"")</f>
        <v/>
      </c>
      <c r="Q328" s="359" t="str">
        <f>IFERROR(VLOOKUP($A328,#REF!,10,0),"")</f>
        <v/>
      </c>
      <c r="R328" s="359" t="str">
        <f>IFERROR(VLOOKUP($A328,#REF!,11,0),"")</f>
        <v/>
      </c>
      <c r="S328" s="359" t="str">
        <f>IFERROR(VLOOKUP($A328,#REF!,13,0),"")</f>
        <v/>
      </c>
      <c r="T328" s="359" t="str">
        <f>IFERROR(VLOOKUP($A328,#REF!,14,0),"")</f>
        <v/>
      </c>
      <c r="U328" s="359" t="str">
        <f>IFERROR(VLOOKUP($A328,#REF!,15,0),"")</f>
        <v/>
      </c>
      <c r="V328" s="359" t="str">
        <f>IFERROR(VLOOKUP($A328,#REF!,16,0),"")</f>
        <v/>
      </c>
      <c r="W328" s="359" t="str">
        <f>IFERROR(VLOOKUP($A328,#REF!,17,0),"")</f>
        <v/>
      </c>
      <c r="X328" s="359" t="str">
        <f>IFERROR(VLOOKUP($A328,#REF!,18,0),"")</f>
        <v/>
      </c>
      <c r="Y328" s="359" t="str">
        <f>IFERROR(VLOOKUP($A328,#REF!,19,0),"")</f>
        <v/>
      </c>
      <c r="Z328" s="400" t="str">
        <f>IFERROR(VLOOKUP($A328,#REF!,21,0),"")</f>
        <v/>
      </c>
      <c r="AA328" s="358"/>
      <c r="AB328" s="358"/>
      <c r="AC328" s="358" t="s">
        <v>127</v>
      </c>
      <c r="AD328" s="358"/>
      <c r="AE328" s="358"/>
      <c r="AF328" s="141"/>
      <c r="AG328" s="358"/>
      <c r="AH328" s="358"/>
      <c r="AI328" s="358"/>
      <c r="AJ328" s="358"/>
      <c r="AK328" s="358"/>
      <c r="AL328" s="358"/>
      <c r="AM328" s="358"/>
      <c r="AN328" s="358" t="s">
        <v>113</v>
      </c>
      <c r="AO328" s="380" t="s">
        <v>30</v>
      </c>
      <c r="AP328" s="380">
        <v>46108</v>
      </c>
      <c r="AQ328" s="384" t="s">
        <v>3357</v>
      </c>
      <c r="AR328" s="384" t="s">
        <v>32</v>
      </c>
      <c r="AS328" s="358">
        <v>7</v>
      </c>
      <c r="AT328" s="384" t="s">
        <v>3357</v>
      </c>
      <c r="AU328" s="380">
        <v>46108</v>
      </c>
      <c r="AV328" s="82" t="s">
        <v>113</v>
      </c>
      <c r="AW328" s="82" t="s">
        <v>113</v>
      </c>
      <c r="AX328" s="82" t="s">
        <v>113</v>
      </c>
      <c r="AY328" s="100"/>
      <c r="AZ328" s="100"/>
      <c r="BA328" s="100"/>
      <c r="BB328" s="100"/>
      <c r="BC328" s="100"/>
      <c r="BD328" s="100"/>
      <c r="BE328" s="100"/>
      <c r="BF328" s="100"/>
      <c r="BG328" s="114"/>
      <c r="BH328" s="114"/>
      <c r="BI328" s="114"/>
      <c r="BJ328" s="114"/>
      <c r="BK328" s="114"/>
      <c r="BL328" s="360"/>
      <c r="BN328" s="412"/>
      <c r="BO328" s="412"/>
      <c r="BP328" s="412"/>
      <c r="BQ328" s="412"/>
      <c r="BR328" s="412"/>
      <c r="BX328" s="96"/>
      <c r="BY328" s="109"/>
      <c r="BZ328">
        <f t="shared" si="10"/>
        <v>1</v>
      </c>
    </row>
    <row r="329" spans="1:78" hidden="1">
      <c r="A329" s="35" t="str">
        <f t="shared" si="11"/>
        <v>ELPTMED_135/2646076</v>
      </c>
      <c r="C329" s="358" t="s">
        <v>2342</v>
      </c>
      <c r="D329" s="358">
        <v>326</v>
      </c>
      <c r="E329" s="358" t="s">
        <v>3564</v>
      </c>
      <c r="F329" s="358" t="s">
        <v>1250</v>
      </c>
      <c r="G329" s="384">
        <v>46076</v>
      </c>
      <c r="H329" s="358" t="s">
        <v>140</v>
      </c>
      <c r="I329" s="358">
        <v>10</v>
      </c>
      <c r="J329" s="359" t="str">
        <f>IFERROR(VLOOKUP($A329,#REF!,3,0),"")</f>
        <v/>
      </c>
      <c r="K329" s="359">
        <f>IFERROR(VLOOKUP($A329,#REF!,4,0),AF329)</f>
        <v>0</v>
      </c>
      <c r="L329" s="359" t="str">
        <f>IFERROR(VLOOKUP($A329,#REF!,5,0),"")</f>
        <v/>
      </c>
      <c r="M329" s="359" t="str">
        <f>IFERROR(VLOOKUP($A329,#REF!,7,0),"")</f>
        <v/>
      </c>
      <c r="N329" s="359"/>
      <c r="O329" s="359" t="str">
        <f>IFERROR(VLOOKUP($A329,#REF!,6,0),"")</f>
        <v/>
      </c>
      <c r="P329" s="359" t="str">
        <f>IFERROR(VLOOKUP($A329,#REF!,9,0),"")</f>
        <v/>
      </c>
      <c r="Q329" s="359" t="str">
        <f>IFERROR(VLOOKUP($A329,#REF!,10,0),"")</f>
        <v/>
      </c>
      <c r="R329" s="359" t="str">
        <f>IFERROR(VLOOKUP($A329,#REF!,11,0),"")</f>
        <v/>
      </c>
      <c r="S329" s="359" t="str">
        <f>IFERROR(VLOOKUP($A329,#REF!,13,0),"")</f>
        <v/>
      </c>
      <c r="T329" s="359" t="str">
        <f>IFERROR(VLOOKUP($A329,#REF!,14,0),"")</f>
        <v/>
      </c>
      <c r="U329" s="359" t="str">
        <f>IFERROR(VLOOKUP($A329,#REF!,15,0),"")</f>
        <v/>
      </c>
      <c r="V329" s="359" t="str">
        <f>IFERROR(VLOOKUP($A329,#REF!,16,0),"")</f>
        <v/>
      </c>
      <c r="W329" s="359" t="str">
        <f>IFERROR(VLOOKUP($A329,#REF!,17,0),"")</f>
        <v/>
      </c>
      <c r="X329" s="359" t="str">
        <f>IFERROR(VLOOKUP($A329,#REF!,18,0),"")</f>
        <v/>
      </c>
      <c r="Y329" s="359" t="str">
        <f>IFERROR(VLOOKUP($A329,#REF!,19,0),"")</f>
        <v/>
      </c>
      <c r="Z329" s="400" t="str">
        <f>IFERROR(VLOOKUP($A329,#REF!,21,0),"")</f>
        <v/>
      </c>
      <c r="AA329" s="358"/>
      <c r="AB329" s="358"/>
      <c r="AC329" s="358" t="s">
        <v>127</v>
      </c>
      <c r="AD329" s="358"/>
      <c r="AE329" s="358"/>
      <c r="AF329" s="141"/>
      <c r="AG329" s="358"/>
      <c r="AH329" s="358"/>
      <c r="AI329" s="358"/>
      <c r="AJ329" s="358"/>
      <c r="AK329" s="358"/>
      <c r="AL329" s="358"/>
      <c r="AM329" s="358"/>
      <c r="AN329" s="358" t="s">
        <v>113</v>
      </c>
      <c r="AO329" s="380" t="s">
        <v>30</v>
      </c>
      <c r="AP329" s="380">
        <v>46098</v>
      </c>
      <c r="AQ329" s="384" t="s">
        <v>1638</v>
      </c>
      <c r="AR329" s="384" t="s">
        <v>32</v>
      </c>
      <c r="AS329" s="358">
        <v>11</v>
      </c>
      <c r="AT329" s="384" t="s">
        <v>1638</v>
      </c>
      <c r="AU329" s="380">
        <v>46098</v>
      </c>
      <c r="AV329" s="82" t="s">
        <v>113</v>
      </c>
      <c r="AW329" s="82" t="s">
        <v>113</v>
      </c>
      <c r="AX329" s="82" t="s">
        <v>113</v>
      </c>
      <c r="AY329" s="100"/>
      <c r="AZ329" s="100"/>
      <c r="BA329" s="100"/>
      <c r="BB329" s="100"/>
      <c r="BC329" s="100"/>
      <c r="BD329" s="100"/>
      <c r="BE329" s="100"/>
      <c r="BF329" s="100"/>
      <c r="BG329" s="114"/>
      <c r="BH329" s="100"/>
      <c r="BI329" s="100"/>
      <c r="BJ329" s="100"/>
      <c r="BK329" s="114"/>
      <c r="BL329" s="360"/>
      <c r="BN329" s="412"/>
      <c r="BO329" s="412"/>
      <c r="BP329" s="412"/>
      <c r="BQ329" s="412"/>
      <c r="BR329" s="412"/>
      <c r="BX329" s="96"/>
      <c r="BY329" s="109"/>
      <c r="BZ329">
        <f t="shared" si="10"/>
        <v>1</v>
      </c>
    </row>
    <row r="330" spans="1:78" hidden="1">
      <c r="A330" s="35" t="str">
        <f t="shared" si="11"/>
        <v>ELPTMED_136/2646076,0833333333</v>
      </c>
      <c r="C330" s="358" t="s">
        <v>2342</v>
      </c>
      <c r="D330" s="358">
        <v>327</v>
      </c>
      <c r="E330" s="358" t="s">
        <v>3565</v>
      </c>
      <c r="F330" s="358" t="s">
        <v>1516</v>
      </c>
      <c r="G330" s="384">
        <v>46076.083333333336</v>
      </c>
      <c r="H330" s="358" t="s">
        <v>140</v>
      </c>
      <c r="I330" s="358">
        <v>1</v>
      </c>
      <c r="J330" s="359" t="str">
        <f>IFERROR(VLOOKUP($A330,#REF!,3,0),"")</f>
        <v/>
      </c>
      <c r="K330" s="359">
        <f>IFERROR(VLOOKUP($A330,#REF!,4,0),AF330)</f>
        <v>0</v>
      </c>
      <c r="L330" s="359" t="str">
        <f>IFERROR(VLOOKUP($A330,#REF!,5,0),"")</f>
        <v/>
      </c>
      <c r="M330" s="359" t="str">
        <f>IFERROR(VLOOKUP($A330,#REF!,7,0),"")</f>
        <v/>
      </c>
      <c r="N330" s="359"/>
      <c r="O330" s="359" t="str">
        <f>IFERROR(VLOOKUP($A330,#REF!,6,0),"")</f>
        <v/>
      </c>
      <c r="P330" s="359" t="str">
        <f>IFERROR(VLOOKUP($A330,#REF!,9,0),"")</f>
        <v/>
      </c>
      <c r="Q330" s="359" t="str">
        <f>IFERROR(VLOOKUP($A330,#REF!,10,0),"")</f>
        <v/>
      </c>
      <c r="R330" s="359" t="str">
        <f>IFERROR(VLOOKUP($A330,#REF!,11,0),"")</f>
        <v/>
      </c>
      <c r="S330" s="359" t="str">
        <f>IFERROR(VLOOKUP($A330,#REF!,13,0),"")</f>
        <v/>
      </c>
      <c r="T330" s="359" t="str">
        <f>IFERROR(VLOOKUP($A330,#REF!,14,0),"")</f>
        <v/>
      </c>
      <c r="U330" s="359" t="str">
        <f>IFERROR(VLOOKUP($A330,#REF!,15,0),"")</f>
        <v/>
      </c>
      <c r="V330" s="359" t="str">
        <f>IFERROR(VLOOKUP($A330,#REF!,16,0),"")</f>
        <v/>
      </c>
      <c r="W330" s="359" t="str">
        <f>IFERROR(VLOOKUP($A330,#REF!,17,0),"")</f>
        <v/>
      </c>
      <c r="X330" s="359" t="str">
        <f>IFERROR(VLOOKUP($A330,#REF!,18,0),"")</f>
        <v/>
      </c>
      <c r="Y330" s="359" t="str">
        <f>IFERROR(VLOOKUP($A330,#REF!,19,0),"")</f>
        <v/>
      </c>
      <c r="Z330" s="400" t="str">
        <f>IFERROR(VLOOKUP($A330,#REF!,21,0),"")</f>
        <v/>
      </c>
      <c r="AA330" s="358"/>
      <c r="AB330" s="358"/>
      <c r="AC330" s="358" t="s">
        <v>3075</v>
      </c>
      <c r="AD330" s="358"/>
      <c r="AE330" s="358"/>
      <c r="AF330" s="141"/>
      <c r="AG330" s="358"/>
      <c r="AH330" s="358"/>
      <c r="AI330" s="358"/>
      <c r="AJ330" s="358"/>
      <c r="AK330" s="358"/>
      <c r="AL330" s="358"/>
      <c r="AM330" s="358"/>
      <c r="AN330" s="358" t="s">
        <v>113</v>
      </c>
      <c r="AO330" s="94" t="s">
        <v>30</v>
      </c>
      <c r="AP330" s="23">
        <v>46111</v>
      </c>
      <c r="AQ330" s="384" t="s">
        <v>47</v>
      </c>
      <c r="AR330" s="384"/>
      <c r="AS330" s="358"/>
      <c r="AT330" s="384"/>
      <c r="AU330" s="380"/>
      <c r="AV330" s="82" t="s">
        <v>113</v>
      </c>
      <c r="AW330" s="82" t="s">
        <v>113</v>
      </c>
      <c r="AX330" s="82" t="s">
        <v>113</v>
      </c>
      <c r="AY330" s="100"/>
      <c r="AZ330" s="100"/>
      <c r="BA330" s="100"/>
      <c r="BB330" s="100"/>
      <c r="BC330" s="100"/>
      <c r="BD330" s="100"/>
      <c r="BE330" s="100"/>
      <c r="BF330" s="100"/>
      <c r="BG330" s="114"/>
      <c r="BH330" s="114"/>
      <c r="BI330" s="114"/>
      <c r="BJ330" s="111"/>
      <c r="BK330" s="114"/>
      <c r="BL330" s="360"/>
      <c r="BN330" s="412"/>
      <c r="BO330" s="412"/>
      <c r="BP330" s="412"/>
      <c r="BQ330" s="412"/>
      <c r="BR330" s="412"/>
      <c r="BX330" s="96"/>
      <c r="BY330" s="109"/>
      <c r="BZ330">
        <f t="shared" si="10"/>
        <v>1</v>
      </c>
    </row>
    <row r="331" spans="1:78" hidden="1">
      <c r="A331" s="35" t="str">
        <f t="shared" si="11"/>
        <v>ELPTMED_137/2646076,0416666667</v>
      </c>
      <c r="C331" s="358" t="s">
        <v>2342</v>
      </c>
      <c r="D331" s="358">
        <v>328</v>
      </c>
      <c r="E331" s="358" t="s">
        <v>3566</v>
      </c>
      <c r="F331" s="358" t="s">
        <v>3522</v>
      </c>
      <c r="G331" s="384">
        <v>46076.041666666664</v>
      </c>
      <c r="H331" s="358" t="s">
        <v>140</v>
      </c>
      <c r="I331" s="358">
        <v>2</v>
      </c>
      <c r="J331" s="359" t="str">
        <f>IFERROR(VLOOKUP($A331,#REF!,3,0),"")</f>
        <v/>
      </c>
      <c r="K331" s="359">
        <f>IFERROR(VLOOKUP($A331,#REF!,4,0),AF331)</f>
        <v>0</v>
      </c>
      <c r="L331" s="359" t="str">
        <f>IFERROR(VLOOKUP($A331,#REF!,5,0),"")</f>
        <v/>
      </c>
      <c r="M331" s="359" t="str">
        <f>IFERROR(VLOOKUP($A331,#REF!,7,0),"")</f>
        <v/>
      </c>
      <c r="N331" s="359"/>
      <c r="O331" s="359" t="str">
        <f>IFERROR(VLOOKUP($A331,#REF!,6,0),"")</f>
        <v/>
      </c>
      <c r="P331" s="359" t="str">
        <f>IFERROR(VLOOKUP($A331,#REF!,9,0),"")</f>
        <v/>
      </c>
      <c r="Q331" s="359" t="str">
        <f>IFERROR(VLOOKUP($A331,#REF!,10,0),"")</f>
        <v/>
      </c>
      <c r="R331" s="359" t="str">
        <f>IFERROR(VLOOKUP($A331,#REF!,11,0),"")</f>
        <v/>
      </c>
      <c r="S331" s="359" t="str">
        <f>IFERROR(VLOOKUP($A331,#REF!,13,0),"")</f>
        <v/>
      </c>
      <c r="T331" s="359" t="str">
        <f>IFERROR(VLOOKUP($A331,#REF!,14,0),"")</f>
        <v/>
      </c>
      <c r="U331" s="359" t="str">
        <f>IFERROR(VLOOKUP($A331,#REF!,15,0),"")</f>
        <v/>
      </c>
      <c r="V331" s="359" t="str">
        <f>IFERROR(VLOOKUP($A331,#REF!,16,0),"")</f>
        <v/>
      </c>
      <c r="W331" s="359" t="str">
        <f>IFERROR(VLOOKUP($A331,#REF!,17,0),"")</f>
        <v/>
      </c>
      <c r="X331" s="359" t="str">
        <f>IFERROR(VLOOKUP($A331,#REF!,18,0),"")</f>
        <v/>
      </c>
      <c r="Y331" s="359" t="str">
        <f>IFERROR(VLOOKUP($A331,#REF!,19,0),"")</f>
        <v/>
      </c>
      <c r="Z331" s="400" t="str">
        <f>IFERROR(VLOOKUP($A331,#REF!,21,0),"")</f>
        <v/>
      </c>
      <c r="AA331" s="358"/>
      <c r="AB331" s="358"/>
      <c r="AC331" s="358" t="s">
        <v>3075</v>
      </c>
      <c r="AD331" s="358"/>
      <c r="AE331" s="358"/>
      <c r="AF331" s="141"/>
      <c r="AG331" s="358"/>
      <c r="AH331" s="358"/>
      <c r="AI331" s="358"/>
      <c r="AJ331" s="358"/>
      <c r="AK331" s="358"/>
      <c r="AL331" s="358"/>
      <c r="AM331" s="358"/>
      <c r="AN331" s="358" t="s">
        <v>113</v>
      </c>
      <c r="AO331" s="94" t="s">
        <v>30</v>
      </c>
      <c r="AP331" s="23">
        <v>46111</v>
      </c>
      <c r="AQ331" s="384" t="s">
        <v>47</v>
      </c>
      <c r="AR331" s="384"/>
      <c r="AS331" s="358"/>
      <c r="AT331" s="384"/>
      <c r="AU331" s="380"/>
      <c r="AV331" s="82" t="s">
        <v>113</v>
      </c>
      <c r="AW331" s="82" t="s">
        <v>113</v>
      </c>
      <c r="AX331" s="82" t="s">
        <v>113</v>
      </c>
      <c r="AY331" s="100"/>
      <c r="AZ331" s="100"/>
      <c r="BA331" s="100"/>
      <c r="BB331" s="100"/>
      <c r="BC331" s="100"/>
      <c r="BD331" s="100"/>
      <c r="BE331" s="100"/>
      <c r="BF331" s="100"/>
      <c r="BG331" s="114"/>
      <c r="BH331" s="100"/>
      <c r="BI331" s="100"/>
      <c r="BJ331" s="100"/>
      <c r="BK331" s="114"/>
      <c r="BL331" s="360"/>
      <c r="BN331" s="412"/>
      <c r="BO331" s="412"/>
      <c r="BP331" s="412"/>
      <c r="BQ331" s="412"/>
      <c r="BR331" s="412"/>
      <c r="BX331" s="96"/>
      <c r="BY331" s="109"/>
      <c r="BZ331">
        <f t="shared" si="10"/>
        <v>1</v>
      </c>
    </row>
    <row r="332" spans="1:78" hidden="1">
      <c r="A332" s="35" t="str">
        <f t="shared" si="11"/>
        <v>ELPTMED_139/2646076,0416666667</v>
      </c>
      <c r="C332" s="358" t="s">
        <v>2342</v>
      </c>
      <c r="D332" s="358">
        <v>329</v>
      </c>
      <c r="E332" s="359" t="s">
        <v>3567</v>
      </c>
      <c r="F332" s="359" t="s">
        <v>3568</v>
      </c>
      <c r="G332" s="400">
        <v>46076.041666666664</v>
      </c>
      <c r="H332" s="358" t="s">
        <v>140</v>
      </c>
      <c r="I332" s="359">
        <v>1</v>
      </c>
      <c r="J332" s="359" t="str">
        <f>IFERROR(VLOOKUP($A332,#REF!,3,0),"")</f>
        <v/>
      </c>
      <c r="K332" s="359">
        <f>IFERROR(VLOOKUP($A332,#REF!,4,0),AF332)</f>
        <v>0</v>
      </c>
      <c r="L332" s="359" t="str">
        <f>IFERROR(VLOOKUP($A332,#REF!,5,0),"")</f>
        <v/>
      </c>
      <c r="M332" s="359" t="str">
        <f>IFERROR(VLOOKUP($A332,#REF!,7,0),"")</f>
        <v/>
      </c>
      <c r="N332" s="359"/>
      <c r="O332" s="359" t="str">
        <f>IFERROR(VLOOKUP($A332,#REF!,6,0),"")</f>
        <v/>
      </c>
      <c r="P332" s="359" t="str">
        <f>IFERROR(VLOOKUP($A332,#REF!,9,0),"")</f>
        <v/>
      </c>
      <c r="Q332" s="359" t="str">
        <f>IFERROR(VLOOKUP($A332,#REF!,10,0),"")</f>
        <v/>
      </c>
      <c r="R332" s="359" t="str">
        <f>IFERROR(VLOOKUP($A332,#REF!,11,0),"")</f>
        <v/>
      </c>
      <c r="S332" s="359" t="str">
        <f>IFERROR(VLOOKUP($A332,#REF!,13,0),"")</f>
        <v/>
      </c>
      <c r="T332" s="359" t="str">
        <f>IFERROR(VLOOKUP($A332,#REF!,14,0),"")</f>
        <v/>
      </c>
      <c r="U332" s="359" t="str">
        <f>IFERROR(VLOOKUP($A332,#REF!,15,0),"")</f>
        <v/>
      </c>
      <c r="V332" s="359" t="str">
        <f>IFERROR(VLOOKUP($A332,#REF!,16,0),"")</f>
        <v/>
      </c>
      <c r="W332" s="359" t="str">
        <f>IFERROR(VLOOKUP($A332,#REF!,17,0),"")</f>
        <v/>
      </c>
      <c r="X332" s="359" t="str">
        <f>IFERROR(VLOOKUP($A332,#REF!,18,0),"")</f>
        <v/>
      </c>
      <c r="Y332" s="359" t="str">
        <f>IFERROR(VLOOKUP($A332,#REF!,19,0),"")</f>
        <v/>
      </c>
      <c r="Z332" s="400" t="str">
        <f>IFERROR(VLOOKUP($A332,#REF!,21,0),"")</f>
        <v/>
      </c>
      <c r="AA332" s="359"/>
      <c r="AB332" s="359"/>
      <c r="AC332" s="359" t="s">
        <v>1077</v>
      </c>
      <c r="AD332" s="359"/>
      <c r="AE332" s="358"/>
      <c r="AF332" s="141"/>
      <c r="AG332" s="358"/>
      <c r="AH332" s="359"/>
      <c r="AI332" s="359"/>
      <c r="AJ332" s="359"/>
      <c r="AK332" s="359"/>
      <c r="AL332" s="359"/>
      <c r="AM332" s="359"/>
      <c r="AN332" s="358" t="s">
        <v>113</v>
      </c>
      <c r="AO332" s="94" t="s">
        <v>30</v>
      </c>
      <c r="AP332" s="23">
        <v>46111</v>
      </c>
      <c r="AQ332" s="384" t="s">
        <v>47</v>
      </c>
      <c r="AR332" s="358"/>
      <c r="AS332" s="358"/>
      <c r="AT332" s="384"/>
      <c r="AU332" s="380"/>
      <c r="AV332" s="82" t="s">
        <v>113</v>
      </c>
      <c r="AW332" s="82" t="s">
        <v>113</v>
      </c>
      <c r="AX332" s="82" t="s">
        <v>113</v>
      </c>
      <c r="AY332" s="100"/>
      <c r="AZ332" s="100"/>
      <c r="BA332" s="100"/>
      <c r="BB332" s="100"/>
      <c r="BC332" s="100"/>
      <c r="BD332" s="100"/>
      <c r="BE332" s="100"/>
      <c r="BF332" s="100"/>
      <c r="BG332" s="114"/>
      <c r="BH332" s="100"/>
      <c r="BI332" s="100"/>
      <c r="BJ332" s="100"/>
      <c r="BK332" s="95"/>
      <c r="BL332" s="360"/>
      <c r="BN332" s="412"/>
      <c r="BO332" s="412"/>
      <c r="BP332" s="412"/>
      <c r="BQ332" s="412"/>
      <c r="BR332" s="412"/>
      <c r="BX332" s="109"/>
      <c r="BY332" s="109"/>
      <c r="BZ332">
        <f t="shared" si="10"/>
        <v>1</v>
      </c>
    </row>
    <row r="333" spans="1:78" hidden="1">
      <c r="A333" s="35" t="str">
        <f t="shared" si="11"/>
        <v>ELPTMED_140/2646076</v>
      </c>
      <c r="C333" s="358" t="s">
        <v>2342</v>
      </c>
      <c r="D333" s="358">
        <v>330</v>
      </c>
      <c r="E333" s="359" t="s">
        <v>3569</v>
      </c>
      <c r="F333" s="359" t="s">
        <v>1025</v>
      </c>
      <c r="G333" s="400">
        <v>46076</v>
      </c>
      <c r="H333" s="358" t="s">
        <v>140</v>
      </c>
      <c r="I333" s="359">
        <v>1</v>
      </c>
      <c r="J333" s="359" t="str">
        <f>IFERROR(VLOOKUP($A333,#REF!,3,0),"")</f>
        <v/>
      </c>
      <c r="K333" s="359">
        <f>IFERROR(VLOOKUP($A333,#REF!,4,0),AF333)</f>
        <v>0</v>
      </c>
      <c r="L333" s="359" t="str">
        <f>IFERROR(VLOOKUP($A333,#REF!,5,0),"")</f>
        <v/>
      </c>
      <c r="M333" s="359" t="str">
        <f>IFERROR(VLOOKUP($A333,#REF!,7,0),"")</f>
        <v/>
      </c>
      <c r="N333" s="359"/>
      <c r="O333" s="359" t="str">
        <f>IFERROR(VLOOKUP($A333,#REF!,6,0),"")</f>
        <v/>
      </c>
      <c r="P333" s="359" t="str">
        <f>IFERROR(VLOOKUP($A333,#REF!,9,0),"")</f>
        <v/>
      </c>
      <c r="Q333" s="359" t="str">
        <f>IFERROR(VLOOKUP($A333,#REF!,10,0),"")</f>
        <v/>
      </c>
      <c r="R333" s="359" t="str">
        <f>IFERROR(VLOOKUP($A333,#REF!,11,0),"")</f>
        <v/>
      </c>
      <c r="S333" s="359" t="str">
        <f>IFERROR(VLOOKUP($A333,#REF!,13,0),"")</f>
        <v/>
      </c>
      <c r="T333" s="359" t="str">
        <f>IFERROR(VLOOKUP($A333,#REF!,14,0),"")</f>
        <v/>
      </c>
      <c r="U333" s="359" t="str">
        <f>IFERROR(VLOOKUP($A333,#REF!,15,0),"")</f>
        <v/>
      </c>
      <c r="V333" s="359" t="str">
        <f>IFERROR(VLOOKUP($A333,#REF!,16,0),"")</f>
        <v/>
      </c>
      <c r="W333" s="359" t="str">
        <f>IFERROR(VLOOKUP($A333,#REF!,17,0),"")</f>
        <v/>
      </c>
      <c r="X333" s="359" t="str">
        <f>IFERROR(VLOOKUP($A333,#REF!,18,0),"")</f>
        <v/>
      </c>
      <c r="Y333" s="359" t="str">
        <f>IFERROR(VLOOKUP($A333,#REF!,19,0),"")</f>
        <v/>
      </c>
      <c r="Z333" s="400" t="str">
        <f>IFERROR(VLOOKUP($A333,#REF!,21,0),"")</f>
        <v/>
      </c>
      <c r="AA333" s="359"/>
      <c r="AB333" s="359"/>
      <c r="AC333" s="359" t="s">
        <v>1721</v>
      </c>
      <c r="AD333" s="359"/>
      <c r="AE333" s="358"/>
      <c r="AF333" s="141"/>
      <c r="AG333" s="358"/>
      <c r="AH333" s="359"/>
      <c r="AI333" s="359"/>
      <c r="AJ333" s="359"/>
      <c r="AK333" s="359"/>
      <c r="AL333" s="359"/>
      <c r="AM333" s="359"/>
      <c r="AN333" s="358" t="s">
        <v>113</v>
      </c>
      <c r="AO333" s="94" t="s">
        <v>30</v>
      </c>
      <c r="AP333" s="23">
        <v>46111</v>
      </c>
      <c r="AQ333" s="384" t="s">
        <v>47</v>
      </c>
      <c r="AR333" s="358"/>
      <c r="AS333" s="358"/>
      <c r="AT333" s="384"/>
      <c r="AU333" s="380"/>
      <c r="AV333" s="82" t="s">
        <v>113</v>
      </c>
      <c r="AW333" s="82" t="s">
        <v>113</v>
      </c>
      <c r="AX333" s="82" t="s">
        <v>113</v>
      </c>
      <c r="AY333" s="100"/>
      <c r="AZ333" s="100"/>
      <c r="BA333" s="100"/>
      <c r="BB333" s="95"/>
      <c r="BC333" s="100"/>
      <c r="BD333" s="100"/>
      <c r="BE333" s="100"/>
      <c r="BF333" s="100"/>
      <c r="BG333" s="114"/>
      <c r="BH333" s="111"/>
      <c r="BI333" s="111"/>
      <c r="BJ333" s="111"/>
      <c r="BK333" s="95"/>
      <c r="BL333" s="360"/>
      <c r="BN333" s="412"/>
      <c r="BO333" s="412"/>
      <c r="BP333" s="412"/>
      <c r="BQ333" s="412"/>
      <c r="BR333" s="412"/>
      <c r="BZ333">
        <f t="shared" si="10"/>
        <v>1</v>
      </c>
    </row>
    <row r="334" spans="1:78" hidden="1">
      <c r="A334" s="35" t="str">
        <f t="shared" si="11"/>
        <v>ELPTMED_141/2646076</v>
      </c>
      <c r="C334" s="358" t="s">
        <v>2342</v>
      </c>
      <c r="D334" s="358">
        <v>331</v>
      </c>
      <c r="E334" s="359" t="s">
        <v>3570</v>
      </c>
      <c r="F334" s="359" t="s">
        <v>1245</v>
      </c>
      <c r="G334" s="400">
        <v>46076</v>
      </c>
      <c r="H334" s="358" t="s">
        <v>140</v>
      </c>
      <c r="I334" s="359">
        <v>1</v>
      </c>
      <c r="J334" s="359" t="str">
        <f>IFERROR(VLOOKUP($A334,#REF!,3,0),"")</f>
        <v/>
      </c>
      <c r="K334" s="359">
        <f>IFERROR(VLOOKUP($A334,#REF!,4,0),AF334)</f>
        <v>0</v>
      </c>
      <c r="L334" s="359" t="str">
        <f>IFERROR(VLOOKUP($A334,#REF!,5,0),"")</f>
        <v/>
      </c>
      <c r="M334" s="359" t="str">
        <f>IFERROR(VLOOKUP($A334,#REF!,7,0),"")</f>
        <v/>
      </c>
      <c r="N334" s="359"/>
      <c r="O334" s="359" t="str">
        <f>IFERROR(VLOOKUP($A334,#REF!,6,0),"")</f>
        <v/>
      </c>
      <c r="P334" s="359" t="str">
        <f>IFERROR(VLOOKUP($A334,#REF!,9,0),"")</f>
        <v/>
      </c>
      <c r="Q334" s="359" t="str">
        <f>IFERROR(VLOOKUP($A334,#REF!,10,0),"")</f>
        <v/>
      </c>
      <c r="R334" s="359" t="str">
        <f>IFERROR(VLOOKUP($A334,#REF!,11,0),"")</f>
        <v/>
      </c>
      <c r="S334" s="359" t="str">
        <f>IFERROR(VLOOKUP($A334,#REF!,13,0),"")</f>
        <v/>
      </c>
      <c r="T334" s="359" t="str">
        <f>IFERROR(VLOOKUP($A334,#REF!,14,0),"")</f>
        <v/>
      </c>
      <c r="U334" s="359" t="str">
        <f>IFERROR(VLOOKUP($A334,#REF!,15,0),"")</f>
        <v/>
      </c>
      <c r="V334" s="359" t="str">
        <f>IFERROR(VLOOKUP($A334,#REF!,16,0),"")</f>
        <v/>
      </c>
      <c r="W334" s="359" t="str">
        <f>IFERROR(VLOOKUP($A334,#REF!,17,0),"")</f>
        <v/>
      </c>
      <c r="X334" s="359" t="str">
        <f>IFERROR(VLOOKUP($A334,#REF!,18,0),"")</f>
        <v/>
      </c>
      <c r="Y334" s="359" t="str">
        <f>IFERROR(VLOOKUP($A334,#REF!,19,0),"")</f>
        <v/>
      </c>
      <c r="Z334" s="400" t="str">
        <f>IFERROR(VLOOKUP($A334,#REF!,21,0),"")</f>
        <v/>
      </c>
      <c r="AA334" s="359"/>
      <c r="AB334" s="359"/>
      <c r="AC334" s="359" t="s">
        <v>127</v>
      </c>
      <c r="AD334" s="359"/>
      <c r="AE334" s="358"/>
      <c r="AF334" s="141"/>
      <c r="AG334" s="358"/>
      <c r="AH334" s="359"/>
      <c r="AI334" s="359"/>
      <c r="AJ334" s="359"/>
      <c r="AK334" s="359"/>
      <c r="AL334" s="359"/>
      <c r="AM334" s="359"/>
      <c r="AN334" s="358" t="s">
        <v>113</v>
      </c>
      <c r="AO334" s="94" t="s">
        <v>30</v>
      </c>
      <c r="AP334" s="23">
        <v>46111</v>
      </c>
      <c r="AQ334" s="384" t="s">
        <v>47</v>
      </c>
      <c r="AR334" s="358"/>
      <c r="AS334" s="358"/>
      <c r="AT334" s="384"/>
      <c r="AU334" s="380"/>
      <c r="AV334" s="82" t="s">
        <v>113</v>
      </c>
      <c r="AW334" s="82" t="s">
        <v>113</v>
      </c>
      <c r="AX334" s="82" t="s">
        <v>113</v>
      </c>
      <c r="AY334" s="100"/>
      <c r="AZ334" s="100"/>
      <c r="BA334" s="100"/>
      <c r="BB334" s="100"/>
      <c r="BC334" s="100"/>
      <c r="BD334" s="100"/>
      <c r="BE334" s="100"/>
      <c r="BF334" s="100"/>
      <c r="BG334" s="114"/>
      <c r="BH334" s="114"/>
      <c r="BI334" s="114"/>
      <c r="BJ334" s="100"/>
      <c r="BK334" s="95"/>
      <c r="BL334" s="360"/>
      <c r="BN334" s="412"/>
      <c r="BO334" s="412"/>
      <c r="BP334" s="412"/>
      <c r="BQ334" s="412"/>
      <c r="BR334" s="412"/>
      <c r="BZ334">
        <f t="shared" si="10"/>
        <v>1</v>
      </c>
    </row>
    <row r="335" spans="1:78" hidden="1">
      <c r="A335" s="35" t="str">
        <f t="shared" si="11"/>
        <v>ELPTMED_142/2646076</v>
      </c>
      <c r="C335" s="358" t="s">
        <v>2342</v>
      </c>
      <c r="D335" s="358">
        <v>332</v>
      </c>
      <c r="E335" s="359" t="s">
        <v>3571</v>
      </c>
      <c r="F335" s="359" t="s">
        <v>3572</v>
      </c>
      <c r="G335" s="400">
        <v>46076</v>
      </c>
      <c r="H335" s="358" t="s">
        <v>140</v>
      </c>
      <c r="I335" s="359">
        <v>1</v>
      </c>
      <c r="J335" s="359" t="str">
        <f>IFERROR(VLOOKUP($A335,#REF!,3,0),"")</f>
        <v/>
      </c>
      <c r="K335" s="359">
        <f>IFERROR(VLOOKUP($A335,#REF!,4,0),AF335)</f>
        <v>0</v>
      </c>
      <c r="L335" s="359" t="str">
        <f>IFERROR(VLOOKUP($A335,#REF!,5,0),"")</f>
        <v/>
      </c>
      <c r="M335" s="359" t="str">
        <f>IFERROR(VLOOKUP($A335,#REF!,7,0),"")</f>
        <v/>
      </c>
      <c r="N335" s="359"/>
      <c r="O335" s="359" t="str">
        <f>IFERROR(VLOOKUP($A335,#REF!,6,0),"")</f>
        <v/>
      </c>
      <c r="P335" s="359" t="str">
        <f>IFERROR(VLOOKUP($A335,#REF!,9,0),"")</f>
        <v/>
      </c>
      <c r="Q335" s="359" t="str">
        <f>IFERROR(VLOOKUP($A335,#REF!,10,0),"")</f>
        <v/>
      </c>
      <c r="R335" s="359" t="str">
        <f>IFERROR(VLOOKUP($A335,#REF!,11,0),"")</f>
        <v/>
      </c>
      <c r="S335" s="359" t="str">
        <f>IFERROR(VLOOKUP($A335,#REF!,13,0),"")</f>
        <v/>
      </c>
      <c r="T335" s="359" t="str">
        <f>IFERROR(VLOOKUP($A335,#REF!,14,0),"")</f>
        <v/>
      </c>
      <c r="U335" s="359" t="str">
        <f>IFERROR(VLOOKUP($A335,#REF!,15,0),"")</f>
        <v/>
      </c>
      <c r="V335" s="359" t="str">
        <f>IFERROR(VLOOKUP($A335,#REF!,16,0),"")</f>
        <v/>
      </c>
      <c r="W335" s="359" t="str">
        <f>IFERROR(VLOOKUP($A335,#REF!,17,0),"")</f>
        <v/>
      </c>
      <c r="X335" s="359" t="str">
        <f>IFERROR(VLOOKUP($A335,#REF!,18,0),"")</f>
        <v/>
      </c>
      <c r="Y335" s="359" t="str">
        <f>IFERROR(VLOOKUP($A335,#REF!,19,0),"")</f>
        <v/>
      </c>
      <c r="Z335" s="400" t="str">
        <f>IFERROR(VLOOKUP($A335,#REF!,21,0),"")</f>
        <v/>
      </c>
      <c r="AA335" s="359"/>
      <c r="AB335" s="359"/>
      <c r="AC335" s="359" t="s">
        <v>127</v>
      </c>
      <c r="AD335" s="359"/>
      <c r="AE335" s="358"/>
      <c r="AF335" s="141"/>
      <c r="AG335" s="358"/>
      <c r="AH335" s="359"/>
      <c r="AI335" s="359"/>
      <c r="AJ335" s="359"/>
      <c r="AK335" s="359"/>
      <c r="AL335" s="359"/>
      <c r="AM335" s="359"/>
      <c r="AN335" s="358" t="s">
        <v>113</v>
      </c>
      <c r="AO335" s="94" t="s">
        <v>30</v>
      </c>
      <c r="AP335" s="23">
        <v>46111</v>
      </c>
      <c r="AQ335" s="384" t="s">
        <v>47</v>
      </c>
      <c r="AR335" s="358"/>
      <c r="AS335" s="358"/>
      <c r="AT335" s="384"/>
      <c r="AU335" s="380"/>
      <c r="AV335" s="82" t="s">
        <v>113</v>
      </c>
      <c r="AW335" s="82" t="s">
        <v>113</v>
      </c>
      <c r="AX335" s="82" t="s">
        <v>113</v>
      </c>
      <c r="AY335" s="100"/>
      <c r="AZ335" s="100"/>
      <c r="BA335" s="100"/>
      <c r="BB335" s="100"/>
      <c r="BC335" s="100"/>
      <c r="BD335" s="100"/>
      <c r="BE335" s="100"/>
      <c r="BF335" s="100"/>
      <c r="BG335" s="114"/>
      <c r="BH335" s="94"/>
      <c r="BI335" s="94"/>
      <c r="BJ335" s="94"/>
      <c r="BK335" s="95"/>
      <c r="BL335" s="360"/>
      <c r="BN335" s="412"/>
      <c r="BO335" s="412"/>
      <c r="BP335" s="412"/>
      <c r="BQ335" s="412"/>
      <c r="BR335" s="412"/>
      <c r="BX335" s="109"/>
      <c r="BY335" s="109"/>
      <c r="BZ335">
        <f t="shared" si="10"/>
        <v>1</v>
      </c>
    </row>
    <row r="336" spans="1:78" hidden="1">
      <c r="A336" s="35" t="str">
        <f t="shared" si="11"/>
        <v>ELPTMED_143/2646076</v>
      </c>
      <c r="C336" s="358" t="s">
        <v>2342</v>
      </c>
      <c r="D336" s="358">
        <v>333</v>
      </c>
      <c r="E336" s="359" t="s">
        <v>3573</v>
      </c>
      <c r="F336" s="359" t="s">
        <v>1565</v>
      </c>
      <c r="G336" s="400">
        <v>46076</v>
      </c>
      <c r="H336" s="358" t="s">
        <v>140</v>
      </c>
      <c r="I336" s="359">
        <v>1</v>
      </c>
      <c r="J336" s="359" t="str">
        <f>IFERROR(VLOOKUP($A336,#REF!,3,0),"")</f>
        <v/>
      </c>
      <c r="K336" s="359">
        <f>IFERROR(VLOOKUP($A336,#REF!,4,0),AF336)</f>
        <v>0</v>
      </c>
      <c r="L336" s="359" t="str">
        <f>IFERROR(VLOOKUP($A336,#REF!,5,0),"")</f>
        <v/>
      </c>
      <c r="M336" s="359" t="str">
        <f>IFERROR(VLOOKUP($A336,#REF!,7,0),"")</f>
        <v/>
      </c>
      <c r="N336" s="359"/>
      <c r="O336" s="359" t="str">
        <f>IFERROR(VLOOKUP($A336,#REF!,6,0),"")</f>
        <v/>
      </c>
      <c r="P336" s="359" t="str">
        <f>IFERROR(VLOOKUP($A336,#REF!,9,0),"")</f>
        <v/>
      </c>
      <c r="Q336" s="359" t="str">
        <f>IFERROR(VLOOKUP($A336,#REF!,10,0),"")</f>
        <v/>
      </c>
      <c r="R336" s="359" t="str">
        <f>IFERROR(VLOOKUP($A336,#REF!,11,0),"")</f>
        <v/>
      </c>
      <c r="S336" s="359" t="str">
        <f>IFERROR(VLOOKUP($A336,#REF!,13,0),"")</f>
        <v/>
      </c>
      <c r="T336" s="359" t="str">
        <f>IFERROR(VLOOKUP($A336,#REF!,14,0),"")</f>
        <v/>
      </c>
      <c r="U336" s="359" t="str">
        <f>IFERROR(VLOOKUP($A336,#REF!,15,0),"")</f>
        <v/>
      </c>
      <c r="V336" s="359" t="str">
        <f>IFERROR(VLOOKUP($A336,#REF!,16,0),"")</f>
        <v/>
      </c>
      <c r="W336" s="359" t="str">
        <f>IFERROR(VLOOKUP($A336,#REF!,17,0),"")</f>
        <v/>
      </c>
      <c r="X336" s="359" t="str">
        <f>IFERROR(VLOOKUP($A336,#REF!,18,0),"")</f>
        <v/>
      </c>
      <c r="Y336" s="359" t="str">
        <f>IFERROR(VLOOKUP($A336,#REF!,19,0),"")</f>
        <v/>
      </c>
      <c r="Z336" s="400" t="str">
        <f>IFERROR(VLOOKUP($A336,#REF!,21,0),"")</f>
        <v/>
      </c>
      <c r="AA336" s="359"/>
      <c r="AB336" s="359"/>
      <c r="AC336" s="359" t="s">
        <v>1721</v>
      </c>
      <c r="AD336" s="359"/>
      <c r="AE336" s="358"/>
      <c r="AF336" s="141"/>
      <c r="AG336" s="358"/>
      <c r="AH336" s="359"/>
      <c r="AI336" s="359"/>
      <c r="AJ336" s="359"/>
      <c r="AK336" s="359"/>
      <c r="AL336" s="359"/>
      <c r="AM336" s="359"/>
      <c r="AN336" s="358" t="s">
        <v>113</v>
      </c>
      <c r="AO336" s="94" t="s">
        <v>30</v>
      </c>
      <c r="AP336" s="23">
        <v>46111</v>
      </c>
      <c r="AQ336" s="384" t="s">
        <v>47</v>
      </c>
      <c r="AR336" s="358"/>
      <c r="AS336" s="358"/>
      <c r="AT336" s="384"/>
      <c r="AU336" s="380"/>
      <c r="AV336" s="82" t="s">
        <v>113</v>
      </c>
      <c r="AW336" s="82" t="s">
        <v>113</v>
      </c>
      <c r="AX336" s="82" t="s">
        <v>113</v>
      </c>
      <c r="AY336" s="100"/>
      <c r="AZ336" s="100"/>
      <c r="BA336" s="100"/>
      <c r="BB336" s="100"/>
      <c r="BC336" s="100"/>
      <c r="BD336" s="100"/>
      <c r="BE336" s="100"/>
      <c r="BF336" s="100"/>
      <c r="BG336" s="114"/>
      <c r="BH336" s="94"/>
      <c r="BI336" s="94"/>
      <c r="BJ336" s="94"/>
      <c r="BK336" s="95"/>
      <c r="BL336" s="360"/>
      <c r="BN336" s="412"/>
      <c r="BO336" s="412"/>
      <c r="BP336" s="412"/>
      <c r="BQ336" s="412"/>
      <c r="BR336" s="412"/>
      <c r="BX336" s="109"/>
      <c r="BY336" s="109"/>
      <c r="BZ336">
        <f t="shared" si="10"/>
        <v>1</v>
      </c>
    </row>
    <row r="337" spans="1:78" hidden="1">
      <c r="A337" s="35" t="str">
        <f t="shared" si="11"/>
        <v>ELPTMED_144/2646069,0416666667</v>
      </c>
      <c r="C337" s="358" t="s">
        <v>2342</v>
      </c>
      <c r="D337" s="358">
        <v>334</v>
      </c>
      <c r="E337" s="359" t="s">
        <v>3574</v>
      </c>
      <c r="F337" s="359" t="s">
        <v>3575</v>
      </c>
      <c r="G337" s="400">
        <v>46069.041666666664</v>
      </c>
      <c r="H337" s="358" t="s">
        <v>140</v>
      </c>
      <c r="I337" s="359">
        <v>12</v>
      </c>
      <c r="J337" s="359" t="str">
        <f>IFERROR(VLOOKUP($A337,#REF!,3,0),"")</f>
        <v/>
      </c>
      <c r="K337" s="359">
        <f>IFERROR(VLOOKUP($A337,#REF!,4,0),AF337)</f>
        <v>0</v>
      </c>
      <c r="L337" s="359" t="str">
        <f>IFERROR(VLOOKUP($A337,#REF!,5,0),"")</f>
        <v/>
      </c>
      <c r="M337" s="359" t="str">
        <f>IFERROR(VLOOKUP($A337,#REF!,7,0),"")</f>
        <v/>
      </c>
      <c r="N337" s="359"/>
      <c r="O337" s="359" t="str">
        <f>IFERROR(VLOOKUP($A337,#REF!,6,0),"")</f>
        <v/>
      </c>
      <c r="P337" s="359" t="str">
        <f>IFERROR(VLOOKUP($A337,#REF!,9,0),"")</f>
        <v/>
      </c>
      <c r="Q337" s="359" t="str">
        <f>IFERROR(VLOOKUP($A337,#REF!,10,0),"")</f>
        <v/>
      </c>
      <c r="R337" s="359" t="str">
        <f>IFERROR(VLOOKUP($A337,#REF!,11,0),"")</f>
        <v/>
      </c>
      <c r="S337" s="359" t="str">
        <f>IFERROR(VLOOKUP($A337,#REF!,13,0),"")</f>
        <v/>
      </c>
      <c r="T337" s="359" t="str">
        <f>IFERROR(VLOOKUP($A337,#REF!,14,0),"")</f>
        <v/>
      </c>
      <c r="U337" s="359" t="str">
        <f>IFERROR(VLOOKUP($A337,#REF!,15,0),"")</f>
        <v/>
      </c>
      <c r="V337" s="359" t="str">
        <f>IFERROR(VLOOKUP($A337,#REF!,16,0),"")</f>
        <v/>
      </c>
      <c r="W337" s="359" t="str">
        <f>IFERROR(VLOOKUP($A337,#REF!,17,0),"")</f>
        <v/>
      </c>
      <c r="X337" s="359" t="str">
        <f>IFERROR(VLOOKUP($A337,#REF!,18,0),"")</f>
        <v/>
      </c>
      <c r="Y337" s="359" t="str">
        <f>IFERROR(VLOOKUP($A337,#REF!,19,0),"")</f>
        <v/>
      </c>
      <c r="Z337" s="400" t="str">
        <f>IFERROR(VLOOKUP($A337,#REF!,21,0),"")</f>
        <v/>
      </c>
      <c r="AA337" s="359"/>
      <c r="AB337" s="359"/>
      <c r="AC337" s="359" t="s">
        <v>3075</v>
      </c>
      <c r="AD337" s="359"/>
      <c r="AE337" s="358"/>
      <c r="AF337" s="141"/>
      <c r="AG337" s="358"/>
      <c r="AH337" s="359"/>
      <c r="AI337" s="359"/>
      <c r="AJ337" s="359"/>
      <c r="AK337" s="359"/>
      <c r="AL337" s="359"/>
      <c r="AM337" s="359"/>
      <c r="AN337" s="358" t="s">
        <v>113</v>
      </c>
      <c r="AO337" s="380" t="s">
        <v>30</v>
      </c>
      <c r="AP337" s="380">
        <v>46097</v>
      </c>
      <c r="AQ337" s="384" t="s">
        <v>1638</v>
      </c>
      <c r="AR337" s="358" t="s">
        <v>32</v>
      </c>
      <c r="AS337" s="358">
        <v>12</v>
      </c>
      <c r="AT337" s="358" t="s">
        <v>1638</v>
      </c>
      <c r="AU337" s="380">
        <v>46097</v>
      </c>
      <c r="AV337" s="82" t="s">
        <v>113</v>
      </c>
      <c r="AW337" s="82" t="s">
        <v>113</v>
      </c>
      <c r="AX337" s="82" t="s">
        <v>113</v>
      </c>
      <c r="AY337" s="100"/>
      <c r="AZ337" s="95"/>
      <c r="BA337" s="100"/>
      <c r="BB337" s="100"/>
      <c r="BC337" s="100"/>
      <c r="BD337" s="100"/>
      <c r="BE337" s="100"/>
      <c r="BF337" s="100"/>
      <c r="BG337" s="114"/>
      <c r="BH337" s="114"/>
      <c r="BI337" s="114"/>
      <c r="BJ337" s="111"/>
      <c r="BK337" s="95"/>
      <c r="BL337" s="360"/>
      <c r="BN337" s="412"/>
      <c r="BO337" s="412"/>
      <c r="BP337" s="412"/>
      <c r="BQ337" s="412"/>
      <c r="BR337" s="412"/>
      <c r="BX337" s="109"/>
      <c r="BY337" s="109"/>
      <c r="BZ337">
        <f t="shared" si="10"/>
        <v>1</v>
      </c>
    </row>
    <row r="338" spans="1:78" hidden="1">
      <c r="A338" s="35" t="str">
        <f t="shared" si="11"/>
        <v>ELPTSEEP_001/2646069,0416666667</v>
      </c>
      <c r="C338" s="358" t="s">
        <v>2342</v>
      </c>
      <c r="D338" s="358">
        <v>335</v>
      </c>
      <c r="E338" s="359" t="s">
        <v>3576</v>
      </c>
      <c r="F338" s="359" t="s">
        <v>3577</v>
      </c>
      <c r="G338" s="400">
        <v>46069.041666666664</v>
      </c>
      <c r="H338" s="358" t="s">
        <v>140</v>
      </c>
      <c r="I338" s="359">
        <v>3</v>
      </c>
      <c r="J338" s="359" t="str">
        <f>IFERROR(VLOOKUP($A338,#REF!,3,0),"")</f>
        <v/>
      </c>
      <c r="K338" s="359">
        <f>IFERROR(VLOOKUP($A338,#REF!,4,0),AF338)</f>
        <v>0</v>
      </c>
      <c r="L338" s="359" t="str">
        <f>IFERROR(VLOOKUP($A338,#REF!,5,0),"")</f>
        <v/>
      </c>
      <c r="M338" s="359" t="str">
        <f>IFERROR(VLOOKUP($A338,#REF!,7,0),"")</f>
        <v/>
      </c>
      <c r="N338" s="359"/>
      <c r="O338" s="359" t="str">
        <f>IFERROR(VLOOKUP($A338,#REF!,6,0),"")</f>
        <v/>
      </c>
      <c r="P338" s="359" t="str">
        <f>IFERROR(VLOOKUP($A338,#REF!,9,0),"")</f>
        <v/>
      </c>
      <c r="Q338" s="359" t="str">
        <f>IFERROR(VLOOKUP($A338,#REF!,10,0),"")</f>
        <v/>
      </c>
      <c r="R338" s="359" t="str">
        <f>IFERROR(VLOOKUP($A338,#REF!,11,0),"")</f>
        <v/>
      </c>
      <c r="S338" s="359" t="str">
        <f>IFERROR(VLOOKUP($A338,#REF!,13,0),"")</f>
        <v/>
      </c>
      <c r="T338" s="359" t="str">
        <f>IFERROR(VLOOKUP($A338,#REF!,14,0),"")</f>
        <v/>
      </c>
      <c r="U338" s="359" t="str">
        <f>IFERROR(VLOOKUP($A338,#REF!,15,0),"")</f>
        <v/>
      </c>
      <c r="V338" s="359" t="str">
        <f>IFERROR(VLOOKUP($A338,#REF!,16,0),"")</f>
        <v/>
      </c>
      <c r="W338" s="359" t="str">
        <f>IFERROR(VLOOKUP($A338,#REF!,17,0),"")</f>
        <v/>
      </c>
      <c r="X338" s="359" t="str">
        <f>IFERROR(VLOOKUP($A338,#REF!,18,0),"")</f>
        <v/>
      </c>
      <c r="Y338" s="359" t="str">
        <f>IFERROR(VLOOKUP($A338,#REF!,19,0),"")</f>
        <v/>
      </c>
      <c r="Z338" s="400" t="str">
        <f>IFERROR(VLOOKUP($A338,#REF!,21,0),"")</f>
        <v/>
      </c>
      <c r="AA338" s="359"/>
      <c r="AB338" s="359"/>
      <c r="AC338" s="359" t="s">
        <v>3075</v>
      </c>
      <c r="AD338" s="359"/>
      <c r="AE338" s="358"/>
      <c r="AF338" s="141"/>
      <c r="AG338" s="358"/>
      <c r="AH338" s="359"/>
      <c r="AI338" s="359"/>
      <c r="AJ338" s="359"/>
      <c r="AK338" s="359"/>
      <c r="AL338" s="359"/>
      <c r="AM338" s="359"/>
      <c r="AN338" s="358" t="s">
        <v>113</v>
      </c>
      <c r="AO338" s="94" t="s">
        <v>30</v>
      </c>
      <c r="AP338" s="23">
        <v>46112</v>
      </c>
      <c r="AQ338" s="384" t="s">
        <v>47</v>
      </c>
      <c r="AR338" s="358"/>
      <c r="AS338" s="358"/>
      <c r="AT338" s="358"/>
      <c r="AU338" s="380"/>
      <c r="AV338" s="82" t="s">
        <v>113</v>
      </c>
      <c r="AW338" s="82" t="s">
        <v>113</v>
      </c>
      <c r="AX338" s="82" t="s">
        <v>113</v>
      </c>
      <c r="AY338" s="100"/>
      <c r="AZ338" s="100"/>
      <c r="BA338" s="100"/>
      <c r="BB338" s="100"/>
      <c r="BC338" s="100"/>
      <c r="BD338" s="100"/>
      <c r="BE338" s="100"/>
      <c r="BF338" s="100"/>
      <c r="BG338" s="114"/>
      <c r="BH338" s="114"/>
      <c r="BI338" s="100"/>
      <c r="BJ338" s="100"/>
      <c r="BK338" s="95"/>
      <c r="BL338" s="360"/>
      <c r="BN338" s="412"/>
      <c r="BO338" s="412"/>
      <c r="BP338" s="412"/>
      <c r="BQ338" s="412"/>
      <c r="BR338" s="412"/>
      <c r="BZ338">
        <f t="shared" si="10"/>
        <v>1</v>
      </c>
    </row>
    <row r="339" spans="1:78" hidden="1">
      <c r="A339" s="35" t="str">
        <f t="shared" si="11"/>
        <v>ELPTMED_145/2646083</v>
      </c>
      <c r="C339" s="358" t="s">
        <v>2342</v>
      </c>
      <c r="D339" s="358">
        <v>336</v>
      </c>
      <c r="E339" s="360" t="s">
        <v>3578</v>
      </c>
      <c r="F339" s="358" t="s">
        <v>829</v>
      </c>
      <c r="G339" s="400">
        <v>46083</v>
      </c>
      <c r="H339" s="358" t="s">
        <v>140</v>
      </c>
      <c r="I339" s="359">
        <v>23</v>
      </c>
      <c r="J339" s="359" t="str">
        <f>IFERROR(VLOOKUP($A339,#REF!,3,0),"")</f>
        <v/>
      </c>
      <c r="K339" s="359">
        <f>IFERROR(VLOOKUP($A339,#REF!,4,0),AF339)</f>
        <v>0</v>
      </c>
      <c r="L339" s="359" t="str">
        <f>IFERROR(VLOOKUP($A339,#REF!,5,0),"")</f>
        <v/>
      </c>
      <c r="M339" s="359" t="str">
        <f>IFERROR(VLOOKUP($A339,#REF!,7,0),"")</f>
        <v/>
      </c>
      <c r="N339" s="359"/>
      <c r="O339" s="359" t="str">
        <f>IFERROR(VLOOKUP($A339,#REF!,6,0),"")</f>
        <v/>
      </c>
      <c r="P339" s="359" t="str">
        <f>IFERROR(VLOOKUP($A339,#REF!,9,0),"")</f>
        <v/>
      </c>
      <c r="Q339" s="359" t="str">
        <f>IFERROR(VLOOKUP($A339,#REF!,10,0),"")</f>
        <v/>
      </c>
      <c r="R339" s="359" t="str">
        <f>IFERROR(VLOOKUP($A339,#REF!,11,0),"")</f>
        <v/>
      </c>
      <c r="S339" s="359" t="str">
        <f>IFERROR(VLOOKUP($A339,#REF!,13,0),"")</f>
        <v/>
      </c>
      <c r="T339" s="359" t="str">
        <f>IFERROR(VLOOKUP($A339,#REF!,14,0),"")</f>
        <v/>
      </c>
      <c r="U339" s="359" t="str">
        <f>IFERROR(VLOOKUP($A339,#REF!,15,0),"")</f>
        <v/>
      </c>
      <c r="V339" s="359" t="str">
        <f>IFERROR(VLOOKUP($A339,#REF!,16,0),"")</f>
        <v/>
      </c>
      <c r="W339" s="359" t="str">
        <f>IFERROR(VLOOKUP($A339,#REF!,17,0),"")</f>
        <v/>
      </c>
      <c r="X339" s="359" t="str">
        <f>IFERROR(VLOOKUP($A339,#REF!,18,0),"")</f>
        <v/>
      </c>
      <c r="Y339" s="359" t="str">
        <f>IFERROR(VLOOKUP($A339,#REF!,19,0),"")</f>
        <v/>
      </c>
      <c r="Z339" s="400" t="str">
        <f>IFERROR(VLOOKUP($A339,#REF!,21,0),"")</f>
        <v/>
      </c>
      <c r="AA339" s="359"/>
      <c r="AB339" s="359"/>
      <c r="AC339" s="359" t="s">
        <v>3579</v>
      </c>
      <c r="AD339" s="359" t="s">
        <v>3580</v>
      </c>
      <c r="AE339" s="358"/>
      <c r="AF339" s="141"/>
      <c r="AG339" s="358"/>
      <c r="AH339" s="359"/>
      <c r="AI339" s="359"/>
      <c r="AJ339" s="359"/>
      <c r="AK339" s="359"/>
      <c r="AL339" s="359"/>
      <c r="AM339" s="359"/>
      <c r="AN339" s="358" t="s">
        <v>3581</v>
      </c>
      <c r="AO339" s="380"/>
      <c r="AP339" s="380"/>
      <c r="AQ339" s="384"/>
      <c r="AR339" s="358"/>
      <c r="AS339" s="358"/>
      <c r="AT339" s="358"/>
      <c r="AU339" s="380"/>
      <c r="AV339" s="100"/>
      <c r="AW339" s="100"/>
      <c r="AX339" s="95"/>
      <c r="AY339" s="100"/>
      <c r="AZ339" s="100"/>
      <c r="BA339" s="100"/>
      <c r="BB339" s="100"/>
      <c r="BC339" s="100"/>
      <c r="BD339" s="100"/>
      <c r="BE339" s="100"/>
      <c r="BF339" s="100"/>
      <c r="BG339" s="114"/>
      <c r="BH339" s="114"/>
      <c r="BI339" s="100"/>
      <c r="BJ339" s="100"/>
      <c r="BK339" s="95"/>
      <c r="BL339" s="360"/>
      <c r="BM339" s="348">
        <v>3</v>
      </c>
      <c r="BN339" s="348">
        <v>13</v>
      </c>
      <c r="BO339" s="349">
        <v>3</v>
      </c>
      <c r="BP339" s="349">
        <v>0</v>
      </c>
      <c r="BQ339" s="348">
        <v>4</v>
      </c>
      <c r="BR339" s="348">
        <f>SUM(BM339:BQ339)</f>
        <v>23</v>
      </c>
      <c r="BS339" s="350">
        <f>+BM339/BR339*BS$1</f>
        <v>0.39130434782608692</v>
      </c>
      <c r="BT339" s="351">
        <f>+BN339/BR339*BT$1</f>
        <v>1.6956521739130435</v>
      </c>
      <c r="BU339" s="351">
        <f>+BO339/BR339*BU$1</f>
        <v>0.39130434782608692</v>
      </c>
      <c r="BV339" s="351">
        <f>+BO339/BR339*BV$1</f>
        <v>0.39130434782608692</v>
      </c>
      <c r="BW339" s="351">
        <f>+BP339/BR339*BW$1</f>
        <v>0</v>
      </c>
      <c r="BZ339">
        <f t="shared" si="10"/>
        <v>1</v>
      </c>
    </row>
    <row r="340" spans="1:78" hidden="1">
      <c r="A340" s="35" t="str">
        <f t="shared" si="11"/>
        <v>ELPTMED_178/2646083</v>
      </c>
      <c r="C340" s="358" t="s">
        <v>2342</v>
      </c>
      <c r="D340" s="358">
        <v>337</v>
      </c>
      <c r="E340" s="360" t="s">
        <v>3582</v>
      </c>
      <c r="F340" s="358" t="s">
        <v>3583</v>
      </c>
      <c r="G340" s="400">
        <v>46083</v>
      </c>
      <c r="H340" s="358" t="s">
        <v>140</v>
      </c>
      <c r="I340" s="359">
        <v>1</v>
      </c>
      <c r="J340" s="359" t="str">
        <f>IFERROR(VLOOKUP($A340,#REF!,3,0),"")</f>
        <v/>
      </c>
      <c r="K340" s="359">
        <f>IFERROR(VLOOKUP($A340,#REF!,4,0),AF340)</f>
        <v>0</v>
      </c>
      <c r="L340" s="359" t="str">
        <f>IFERROR(VLOOKUP($A340,#REF!,5,0),"")</f>
        <v/>
      </c>
      <c r="M340" s="359" t="str">
        <f>IFERROR(VLOOKUP($A340,#REF!,7,0),"")</f>
        <v/>
      </c>
      <c r="N340" s="359"/>
      <c r="O340" s="359" t="str">
        <f>IFERROR(VLOOKUP($A340,#REF!,6,0),"")</f>
        <v/>
      </c>
      <c r="P340" s="359" t="str">
        <f>IFERROR(VLOOKUP($A340,#REF!,9,0),"")</f>
        <v/>
      </c>
      <c r="Q340" s="359" t="str">
        <f>IFERROR(VLOOKUP($A340,#REF!,10,0),"")</f>
        <v/>
      </c>
      <c r="R340" s="359" t="str">
        <f>IFERROR(VLOOKUP($A340,#REF!,11,0),"")</f>
        <v/>
      </c>
      <c r="S340" s="359" t="str">
        <f>IFERROR(VLOOKUP($A340,#REF!,13,0),"")</f>
        <v/>
      </c>
      <c r="T340" s="359" t="str">
        <f>IFERROR(VLOOKUP($A340,#REF!,14,0),"")</f>
        <v/>
      </c>
      <c r="U340" s="359" t="str">
        <f>IFERROR(VLOOKUP($A340,#REF!,15,0),"")</f>
        <v/>
      </c>
      <c r="V340" s="359" t="str">
        <f>IFERROR(VLOOKUP($A340,#REF!,16,0),"")</f>
        <v/>
      </c>
      <c r="W340" s="359" t="str">
        <f>IFERROR(VLOOKUP($A340,#REF!,17,0),"")</f>
        <v/>
      </c>
      <c r="X340" s="359" t="str">
        <f>IFERROR(VLOOKUP($A340,#REF!,18,0),"")</f>
        <v/>
      </c>
      <c r="Y340" s="359" t="str">
        <f>IFERROR(VLOOKUP($A340,#REF!,19,0),"")</f>
        <v/>
      </c>
      <c r="Z340" s="400" t="str">
        <f>IFERROR(VLOOKUP($A340,#REF!,21,0),"")</f>
        <v/>
      </c>
      <c r="AA340" s="359"/>
      <c r="AB340" s="359"/>
      <c r="AC340" s="359" t="s">
        <v>3584</v>
      </c>
      <c r="AD340" s="359" t="s">
        <v>1138</v>
      </c>
      <c r="AE340" s="358"/>
      <c r="AF340" s="141"/>
      <c r="AG340" s="358"/>
      <c r="AH340" s="359"/>
      <c r="AI340" s="359"/>
      <c r="AJ340" s="359"/>
      <c r="AK340" s="359"/>
      <c r="AL340" s="359"/>
      <c r="AM340" s="359"/>
      <c r="AN340" s="358"/>
      <c r="AO340" s="380"/>
      <c r="AP340" s="380"/>
      <c r="AQ340" s="384"/>
      <c r="AR340" s="358"/>
      <c r="AS340" s="358"/>
      <c r="AT340" s="358"/>
      <c r="AU340" s="380"/>
      <c r="AV340" s="100"/>
      <c r="AW340" s="100"/>
      <c r="AX340" s="95"/>
      <c r="AY340" s="100"/>
      <c r="AZ340" s="100"/>
      <c r="BA340" s="100"/>
      <c r="BB340" s="100"/>
      <c r="BC340" s="100"/>
      <c r="BD340" s="100"/>
      <c r="BE340" s="100"/>
      <c r="BF340" s="100"/>
      <c r="BG340" s="114"/>
      <c r="BH340" s="114"/>
      <c r="BI340" s="100"/>
      <c r="BJ340" s="100"/>
      <c r="BK340" s="95"/>
      <c r="BL340" s="360"/>
      <c r="BN340" s="412"/>
      <c r="BO340" s="412"/>
      <c r="BP340" s="412"/>
      <c r="BQ340" s="412"/>
      <c r="BR340" s="412"/>
      <c r="BS340"/>
      <c r="BT340"/>
      <c r="BU340" s="351"/>
      <c r="BV340"/>
      <c r="BW340" s="109"/>
    </row>
    <row r="341" spans="1:78" hidden="1">
      <c r="A341" s="35" t="str">
        <f t="shared" si="11"/>
        <v>ELPTMED_146/2646083</v>
      </c>
      <c r="C341" s="358" t="s">
        <v>2342</v>
      </c>
      <c r="D341" s="358">
        <v>338</v>
      </c>
      <c r="E341" s="360" t="s">
        <v>3585</v>
      </c>
      <c r="F341" s="359" t="s">
        <v>1245</v>
      </c>
      <c r="G341" s="400">
        <v>46083</v>
      </c>
      <c r="H341" s="358" t="s">
        <v>140</v>
      </c>
      <c r="I341" s="359">
        <v>2</v>
      </c>
      <c r="J341" s="359" t="str">
        <f>IFERROR(VLOOKUP($A341,#REF!,3,0),"")</f>
        <v/>
      </c>
      <c r="K341" s="359">
        <f>IFERROR(VLOOKUP($A341,#REF!,4,0),AF341)</f>
        <v>0</v>
      </c>
      <c r="L341" s="359" t="str">
        <f>IFERROR(VLOOKUP($A341,#REF!,5,0),"")</f>
        <v/>
      </c>
      <c r="M341" s="359" t="str">
        <f>IFERROR(VLOOKUP($A341,#REF!,7,0),"")</f>
        <v/>
      </c>
      <c r="N341" s="359"/>
      <c r="O341" s="359" t="str">
        <f>IFERROR(VLOOKUP($A341,#REF!,6,0),"")</f>
        <v/>
      </c>
      <c r="P341" s="359" t="str">
        <f>IFERROR(VLOOKUP($A341,#REF!,9,0),"")</f>
        <v/>
      </c>
      <c r="Q341" s="359" t="str">
        <f>IFERROR(VLOOKUP($A341,#REF!,10,0),"")</f>
        <v/>
      </c>
      <c r="R341" s="359" t="str">
        <f>IFERROR(VLOOKUP($A341,#REF!,11,0),"")</f>
        <v/>
      </c>
      <c r="S341" s="359" t="str">
        <f>IFERROR(VLOOKUP($A341,#REF!,13,0),"")</f>
        <v/>
      </c>
      <c r="T341" s="359" t="str">
        <f>IFERROR(VLOOKUP($A341,#REF!,14,0),"")</f>
        <v/>
      </c>
      <c r="U341" s="359" t="str">
        <f>IFERROR(VLOOKUP($A341,#REF!,15,0),"")</f>
        <v/>
      </c>
      <c r="V341" s="359" t="str">
        <f>IFERROR(VLOOKUP($A341,#REF!,16,0),"")</f>
        <v/>
      </c>
      <c r="W341" s="359" t="str">
        <f>IFERROR(VLOOKUP($A341,#REF!,17,0),"")</f>
        <v/>
      </c>
      <c r="X341" s="359" t="str">
        <f>IFERROR(VLOOKUP($A341,#REF!,18,0),"")</f>
        <v/>
      </c>
      <c r="Y341" s="359" t="str">
        <f>IFERROR(VLOOKUP($A341,#REF!,19,0),"")</f>
        <v/>
      </c>
      <c r="Z341" s="400" t="str">
        <f>IFERROR(VLOOKUP($A341,#REF!,21,0),"")</f>
        <v/>
      </c>
      <c r="AA341" s="359"/>
      <c r="AB341" s="359"/>
      <c r="AC341" s="359" t="s">
        <v>127</v>
      </c>
      <c r="AD341" s="359" t="s">
        <v>3586</v>
      </c>
      <c r="AE341" s="358"/>
      <c r="AF341" s="141"/>
      <c r="AG341" s="358"/>
      <c r="AH341" s="359"/>
      <c r="AI341" s="359"/>
      <c r="AJ341" s="359"/>
      <c r="AK341" s="359"/>
      <c r="AL341" s="359"/>
      <c r="AM341" s="359"/>
      <c r="AN341" s="358"/>
      <c r="AO341" s="380"/>
      <c r="AP341" s="380"/>
      <c r="AQ341" s="384"/>
      <c r="AR341" s="358"/>
      <c r="AS341" s="358"/>
      <c r="AT341" s="358"/>
      <c r="AU341" s="380"/>
      <c r="AV341" s="100"/>
      <c r="AW341" s="100"/>
      <c r="AX341" s="95"/>
      <c r="AY341" s="100"/>
      <c r="AZ341" s="100"/>
      <c r="BA341" s="100"/>
      <c r="BB341" s="100"/>
      <c r="BC341" s="100"/>
      <c r="BD341" s="100"/>
      <c r="BE341" s="100"/>
      <c r="BF341" s="100"/>
      <c r="BG341" s="114"/>
      <c r="BH341" s="114"/>
      <c r="BI341" s="100"/>
      <c r="BJ341" s="100"/>
      <c r="BK341" s="95"/>
      <c r="BL341" s="360"/>
      <c r="BN341" s="412"/>
      <c r="BO341" s="412"/>
      <c r="BP341" s="412"/>
      <c r="BQ341" s="412"/>
      <c r="BR341" s="412"/>
      <c r="BS341"/>
      <c r="BT341"/>
      <c r="BU341" s="351"/>
      <c r="BV341"/>
      <c r="BW341" s="109"/>
      <c r="BZ341">
        <f t="shared" si="10"/>
        <v>1</v>
      </c>
    </row>
    <row r="342" spans="1:78" hidden="1">
      <c r="A342" s="35" t="str">
        <f t="shared" si="11"/>
        <v>ELPTMED_147/2646083</v>
      </c>
      <c r="C342" s="358" t="s">
        <v>2342</v>
      </c>
      <c r="D342" s="358">
        <v>339</v>
      </c>
      <c r="E342" s="360" t="s">
        <v>3587</v>
      </c>
      <c r="F342" s="400" t="s">
        <v>937</v>
      </c>
      <c r="G342" s="400">
        <v>46083</v>
      </c>
      <c r="H342" s="358" t="s">
        <v>140</v>
      </c>
      <c r="I342" s="359">
        <v>23</v>
      </c>
      <c r="J342" s="359" t="str">
        <f>IFERROR(VLOOKUP($A342,#REF!,3,0),"")</f>
        <v/>
      </c>
      <c r="K342" s="359">
        <f>IFERROR(VLOOKUP($A342,#REF!,4,0),AF342)</f>
        <v>0</v>
      </c>
      <c r="L342" s="359" t="str">
        <f>IFERROR(VLOOKUP($A342,#REF!,5,0),"")</f>
        <v/>
      </c>
      <c r="M342" s="359" t="str">
        <f>IFERROR(VLOOKUP($A342,#REF!,7,0),"")</f>
        <v/>
      </c>
      <c r="N342" s="359"/>
      <c r="O342" s="359" t="str">
        <f>IFERROR(VLOOKUP($A342,#REF!,6,0),"")</f>
        <v/>
      </c>
      <c r="P342" s="359" t="str">
        <f>IFERROR(VLOOKUP($A342,#REF!,9,0),"")</f>
        <v/>
      </c>
      <c r="Q342" s="359" t="str">
        <f>IFERROR(VLOOKUP($A342,#REF!,10,0),"")</f>
        <v/>
      </c>
      <c r="R342" s="359" t="str">
        <f>IFERROR(VLOOKUP($A342,#REF!,11,0),"")</f>
        <v/>
      </c>
      <c r="S342" s="359" t="str">
        <f>IFERROR(VLOOKUP($A342,#REF!,13,0),"")</f>
        <v/>
      </c>
      <c r="T342" s="359" t="str">
        <f>IFERROR(VLOOKUP($A342,#REF!,14,0),"")</f>
        <v/>
      </c>
      <c r="U342" s="359" t="str">
        <f>IFERROR(VLOOKUP($A342,#REF!,15,0),"")</f>
        <v/>
      </c>
      <c r="V342" s="359" t="str">
        <f>IFERROR(VLOOKUP($A342,#REF!,16,0),"")</f>
        <v/>
      </c>
      <c r="W342" s="359" t="str">
        <f>IFERROR(VLOOKUP($A342,#REF!,17,0),"")</f>
        <v/>
      </c>
      <c r="X342" s="359" t="str">
        <f>IFERROR(VLOOKUP($A342,#REF!,18,0),"")</f>
        <v/>
      </c>
      <c r="Y342" s="359" t="str">
        <f>IFERROR(VLOOKUP($A342,#REF!,19,0),"")</f>
        <v/>
      </c>
      <c r="Z342" s="400" t="str">
        <f>IFERROR(VLOOKUP($A342,#REF!,21,0),"")</f>
        <v/>
      </c>
      <c r="AA342" s="359"/>
      <c r="AB342" s="359"/>
      <c r="AC342" s="359" t="s">
        <v>3485</v>
      </c>
      <c r="AD342" s="359" t="s">
        <v>3588</v>
      </c>
      <c r="AE342" s="358"/>
      <c r="AF342" s="141"/>
      <c r="AG342" s="358"/>
      <c r="AH342" s="359"/>
      <c r="AI342" s="359"/>
      <c r="AJ342" s="359"/>
      <c r="AK342" s="359"/>
      <c r="AL342" s="359"/>
      <c r="AM342" s="359"/>
      <c r="AN342" s="358" t="s">
        <v>3581</v>
      </c>
      <c r="AO342" s="380"/>
      <c r="AP342" s="380"/>
      <c r="AQ342" s="384"/>
      <c r="AR342" s="358"/>
      <c r="AS342" s="358"/>
      <c r="AT342" s="358"/>
      <c r="AU342" s="380"/>
      <c r="AV342" s="100"/>
      <c r="AW342" s="100"/>
      <c r="AX342" s="95"/>
      <c r="AY342" s="100"/>
      <c r="AZ342" s="100"/>
      <c r="BA342" s="100"/>
      <c r="BB342" s="100"/>
      <c r="BC342" s="100"/>
      <c r="BD342" s="100"/>
      <c r="BE342" s="100"/>
      <c r="BF342" s="100"/>
      <c r="BG342" s="114"/>
      <c r="BH342" s="114"/>
      <c r="BI342" s="100"/>
      <c r="BJ342" s="100"/>
      <c r="BK342" s="95"/>
      <c r="BL342" s="360"/>
      <c r="BM342" s="348">
        <v>11</v>
      </c>
      <c r="BN342" s="348">
        <v>7</v>
      </c>
      <c r="BO342" s="349">
        <v>0</v>
      </c>
      <c r="BP342" s="349">
        <v>0</v>
      </c>
      <c r="BQ342" s="348">
        <v>5</v>
      </c>
      <c r="BR342" s="348">
        <f>SUM(BM342:BQ342)</f>
        <v>23</v>
      </c>
      <c r="BS342" s="350">
        <f>+BM342/BR342*BS$1</f>
        <v>1.4347826086956523</v>
      </c>
      <c r="BT342" s="351">
        <f>+BN342/BR342*BT$1</f>
        <v>0.91304347826086962</v>
      </c>
      <c r="BU342" s="351">
        <f t="shared" ref="BU342:BU354" si="12">+BO342/BR342*BU$1</f>
        <v>0</v>
      </c>
      <c r="BV342" s="351">
        <f>+BO342/BR342*BV$1</f>
        <v>0</v>
      </c>
      <c r="BW342" s="351">
        <f>+BP342/BR342*BW$1</f>
        <v>0</v>
      </c>
      <c r="BZ342">
        <f t="shared" si="10"/>
        <v>1</v>
      </c>
    </row>
    <row r="343" spans="1:78" hidden="1">
      <c r="A343" s="35" t="str">
        <f t="shared" si="11"/>
        <v>ELPTMED_148/2646083</v>
      </c>
      <c r="C343" s="358" t="s">
        <v>2342</v>
      </c>
      <c r="D343" s="358">
        <v>340</v>
      </c>
      <c r="E343" s="360" t="s">
        <v>3589</v>
      </c>
      <c r="F343" s="400" t="s">
        <v>3590</v>
      </c>
      <c r="G343" s="400">
        <v>46083</v>
      </c>
      <c r="H343" s="358" t="s">
        <v>140</v>
      </c>
      <c r="I343" s="359">
        <v>9</v>
      </c>
      <c r="J343" s="359" t="str">
        <f>IFERROR(VLOOKUP($A343,#REF!,3,0),"")</f>
        <v/>
      </c>
      <c r="K343" s="359">
        <f>IFERROR(VLOOKUP($A343,#REF!,4,0),AF343)</f>
        <v>0</v>
      </c>
      <c r="L343" s="359" t="str">
        <f>IFERROR(VLOOKUP($A343,#REF!,5,0),"")</f>
        <v/>
      </c>
      <c r="M343" s="359" t="str">
        <f>IFERROR(VLOOKUP($A343,#REF!,7,0),"")</f>
        <v/>
      </c>
      <c r="N343" s="359"/>
      <c r="O343" s="359" t="str">
        <f>IFERROR(VLOOKUP($A343,#REF!,6,0),"")</f>
        <v/>
      </c>
      <c r="P343" s="359" t="str">
        <f>IFERROR(VLOOKUP($A343,#REF!,9,0),"")</f>
        <v/>
      </c>
      <c r="Q343" s="359" t="str">
        <f>IFERROR(VLOOKUP($A343,#REF!,10,0),"")</f>
        <v/>
      </c>
      <c r="R343" s="359" t="str">
        <f>IFERROR(VLOOKUP($A343,#REF!,11,0),"")</f>
        <v/>
      </c>
      <c r="S343" s="359" t="str">
        <f>IFERROR(VLOOKUP($A343,#REF!,13,0),"")</f>
        <v/>
      </c>
      <c r="T343" s="359" t="str">
        <f>IFERROR(VLOOKUP($A343,#REF!,14,0),"")</f>
        <v/>
      </c>
      <c r="U343" s="359" t="str">
        <f>IFERROR(VLOOKUP($A343,#REF!,15,0),"")</f>
        <v/>
      </c>
      <c r="V343" s="359" t="str">
        <f>IFERROR(VLOOKUP($A343,#REF!,16,0),"")</f>
        <v/>
      </c>
      <c r="W343" s="359" t="str">
        <f>IFERROR(VLOOKUP($A343,#REF!,17,0),"")</f>
        <v/>
      </c>
      <c r="X343" s="359" t="str">
        <f>IFERROR(VLOOKUP($A343,#REF!,18,0),"")</f>
        <v/>
      </c>
      <c r="Y343" s="359" t="str">
        <f>IFERROR(VLOOKUP($A343,#REF!,19,0),"")</f>
        <v/>
      </c>
      <c r="Z343" s="400" t="str">
        <f>IFERROR(VLOOKUP($A343,#REF!,21,0),"")</f>
        <v/>
      </c>
      <c r="AA343" s="359"/>
      <c r="AB343" s="359"/>
      <c r="AC343" s="359" t="s">
        <v>127</v>
      </c>
      <c r="AD343" s="359" t="s">
        <v>3586</v>
      </c>
      <c r="AE343" s="358"/>
      <c r="AF343" s="141"/>
      <c r="AG343" s="358"/>
      <c r="AH343" s="359"/>
      <c r="AI343" s="359"/>
      <c r="AJ343" s="359"/>
      <c r="AK343" s="359"/>
      <c r="AL343" s="359"/>
      <c r="AM343" s="359"/>
      <c r="AN343" s="358"/>
      <c r="AO343" s="380"/>
      <c r="AP343" s="380"/>
      <c r="AQ343" s="384"/>
      <c r="AR343" s="358"/>
      <c r="AS343" s="358"/>
      <c r="AT343" s="358"/>
      <c r="AU343" s="380"/>
      <c r="AV343" s="100"/>
      <c r="AW343" s="100"/>
      <c r="AX343" s="95"/>
      <c r="AY343" s="100"/>
      <c r="AZ343" s="100"/>
      <c r="BA343" s="100"/>
      <c r="BB343" s="100"/>
      <c r="BC343" s="100"/>
      <c r="BD343" s="100"/>
      <c r="BE343" s="100"/>
      <c r="BF343" s="100"/>
      <c r="BG343" s="114"/>
      <c r="BH343" s="114"/>
      <c r="BI343" s="100"/>
      <c r="BJ343" s="100"/>
      <c r="BK343" s="95"/>
      <c r="BL343" s="360"/>
      <c r="BN343" s="412"/>
      <c r="BO343" s="412"/>
      <c r="BP343" s="412"/>
      <c r="BQ343" s="412"/>
      <c r="BR343" s="412"/>
      <c r="BS343"/>
      <c r="BT343"/>
      <c r="BU343" s="351"/>
      <c r="BV343"/>
      <c r="BW343" s="109"/>
      <c r="BZ343">
        <f t="shared" si="10"/>
        <v>1</v>
      </c>
    </row>
    <row r="344" spans="1:78" hidden="1">
      <c r="A344" s="35" t="str">
        <f t="shared" si="11"/>
        <v>ELPTMED_149/2646083</v>
      </c>
      <c r="C344" s="358" t="s">
        <v>2342</v>
      </c>
      <c r="D344" s="358">
        <v>341</v>
      </c>
      <c r="E344" s="360" t="s">
        <v>3591</v>
      </c>
      <c r="F344" s="359" t="s">
        <v>1198</v>
      </c>
      <c r="G344" s="400">
        <v>46083</v>
      </c>
      <c r="H344" s="358" t="s">
        <v>140</v>
      </c>
      <c r="I344" s="359">
        <v>29</v>
      </c>
      <c r="J344" s="359" t="str">
        <f>IFERROR(VLOOKUP($A344,#REF!,3,0),"")</f>
        <v/>
      </c>
      <c r="K344" s="359">
        <f>IFERROR(VLOOKUP($A344,#REF!,4,0),AF344)</f>
        <v>0</v>
      </c>
      <c r="L344" s="359" t="str">
        <f>IFERROR(VLOOKUP($A344,#REF!,5,0),"")</f>
        <v/>
      </c>
      <c r="M344" s="359" t="str">
        <f>IFERROR(VLOOKUP($A344,#REF!,7,0),"")</f>
        <v/>
      </c>
      <c r="N344" s="359"/>
      <c r="O344" s="359" t="str">
        <f>IFERROR(VLOOKUP($A344,#REF!,6,0),"")</f>
        <v/>
      </c>
      <c r="P344" s="359" t="str">
        <f>IFERROR(VLOOKUP($A344,#REF!,9,0),"")</f>
        <v/>
      </c>
      <c r="Q344" s="359" t="str">
        <f>IFERROR(VLOOKUP($A344,#REF!,10,0),"")</f>
        <v/>
      </c>
      <c r="R344" s="359" t="str">
        <f>IFERROR(VLOOKUP($A344,#REF!,11,0),"")</f>
        <v/>
      </c>
      <c r="S344" s="359" t="str">
        <f>IFERROR(VLOOKUP($A344,#REF!,13,0),"")</f>
        <v/>
      </c>
      <c r="T344" s="359" t="str">
        <f>IFERROR(VLOOKUP($A344,#REF!,14,0),"")</f>
        <v/>
      </c>
      <c r="U344" s="359" t="str">
        <f>IFERROR(VLOOKUP($A344,#REF!,15,0),"")</f>
        <v/>
      </c>
      <c r="V344" s="359" t="str">
        <f>IFERROR(VLOOKUP($A344,#REF!,16,0),"")</f>
        <v/>
      </c>
      <c r="W344" s="359" t="str">
        <f>IFERROR(VLOOKUP($A344,#REF!,17,0),"")</f>
        <v/>
      </c>
      <c r="X344" s="359" t="str">
        <f>IFERROR(VLOOKUP($A344,#REF!,18,0),"")</f>
        <v/>
      </c>
      <c r="Y344" s="359" t="str">
        <f>IFERROR(VLOOKUP($A344,#REF!,19,0),"")</f>
        <v/>
      </c>
      <c r="Z344" s="400" t="str">
        <f>IFERROR(VLOOKUP($A344,#REF!,21,0),"")</f>
        <v/>
      </c>
      <c r="AA344" s="359"/>
      <c r="AB344" s="359"/>
      <c r="AC344" s="359" t="s">
        <v>3485</v>
      </c>
      <c r="AD344" s="359" t="s">
        <v>3588</v>
      </c>
      <c r="AE344" s="358"/>
      <c r="AF344" s="141"/>
      <c r="AG344" s="358"/>
      <c r="AH344" s="359"/>
      <c r="AI344" s="359"/>
      <c r="AJ344" s="359"/>
      <c r="AK344" s="359"/>
      <c r="AL344" s="359"/>
      <c r="AM344" s="359"/>
      <c r="AN344" s="358" t="s">
        <v>3581</v>
      </c>
      <c r="AO344" s="380"/>
      <c r="AP344" s="380"/>
      <c r="AQ344" s="384"/>
      <c r="AR344" s="358"/>
      <c r="AS344" s="358"/>
      <c r="AT344" s="358"/>
      <c r="AU344" s="380"/>
      <c r="AV344" s="100"/>
      <c r="AW344" s="100"/>
      <c r="AX344" s="95"/>
      <c r="AY344" s="100"/>
      <c r="AZ344" s="100"/>
      <c r="BA344" s="100"/>
      <c r="BB344" s="100"/>
      <c r="BC344" s="100"/>
      <c r="BD344" s="100"/>
      <c r="BE344" s="100"/>
      <c r="BF344" s="100"/>
      <c r="BG344" s="114"/>
      <c r="BH344" s="114"/>
      <c r="BI344" s="100"/>
      <c r="BJ344" s="100"/>
      <c r="BK344" s="95"/>
      <c r="BL344" s="360"/>
      <c r="BM344" s="348">
        <v>6</v>
      </c>
      <c r="BN344" s="348">
        <v>4</v>
      </c>
      <c r="BO344" s="349">
        <v>0</v>
      </c>
      <c r="BP344" s="349">
        <v>0</v>
      </c>
      <c r="BQ344" s="348">
        <v>19</v>
      </c>
      <c r="BR344" s="348">
        <f t="shared" ref="BR344:BR345" si="13">SUM(BM344:BQ344)</f>
        <v>29</v>
      </c>
      <c r="BS344" s="350">
        <f t="shared" ref="BS344" si="14">+BM344/BR344*BS$1</f>
        <v>0.62068965517241381</v>
      </c>
      <c r="BT344" s="351">
        <f t="shared" ref="BT344:BT345" si="15">+BN344/BR344*BT$1</f>
        <v>0.41379310344827586</v>
      </c>
      <c r="BU344" s="351">
        <f t="shared" si="12"/>
        <v>0</v>
      </c>
      <c r="BV344" s="351">
        <f t="shared" ref="BV344:BV345" si="16">+BO344/BR344*BV$1</f>
        <v>0</v>
      </c>
      <c r="BW344" s="351">
        <f t="shared" ref="BW344:BW345" si="17">+BP344/BR344*BW$1</f>
        <v>0</v>
      </c>
      <c r="BZ344">
        <f t="shared" si="10"/>
        <v>1</v>
      </c>
    </row>
    <row r="345" spans="1:78" hidden="1">
      <c r="A345" s="35" t="str">
        <f t="shared" si="11"/>
        <v>ELPTMED_150/2646083</v>
      </c>
      <c r="C345" s="358" t="s">
        <v>2342</v>
      </c>
      <c r="D345" s="358">
        <v>342</v>
      </c>
      <c r="E345" s="360" t="s">
        <v>3592</v>
      </c>
      <c r="F345" s="358" t="s">
        <v>1208</v>
      </c>
      <c r="G345" s="384">
        <v>46083</v>
      </c>
      <c r="H345" s="358" t="s">
        <v>140</v>
      </c>
      <c r="I345" s="359">
        <v>18</v>
      </c>
      <c r="J345" s="359" t="str">
        <f>IFERROR(VLOOKUP($A345,#REF!,3,0),"")</f>
        <v/>
      </c>
      <c r="K345" s="359">
        <f>IFERROR(VLOOKUP($A345,#REF!,4,0),AF345)</f>
        <v>0</v>
      </c>
      <c r="L345" s="359" t="str">
        <f>IFERROR(VLOOKUP($A345,#REF!,5,0),"")</f>
        <v/>
      </c>
      <c r="M345" s="359" t="str">
        <f>IFERROR(VLOOKUP($A345,#REF!,7,0),"")</f>
        <v/>
      </c>
      <c r="N345" s="359"/>
      <c r="O345" s="359" t="str">
        <f>IFERROR(VLOOKUP($A345,#REF!,6,0),"")</f>
        <v/>
      </c>
      <c r="P345" s="359" t="str">
        <f>IFERROR(VLOOKUP($A345,#REF!,9,0),"")</f>
        <v/>
      </c>
      <c r="Q345" s="359" t="str">
        <f>IFERROR(VLOOKUP($A345,#REF!,10,0),"")</f>
        <v/>
      </c>
      <c r="R345" s="359" t="str">
        <f>IFERROR(VLOOKUP($A345,#REF!,11,0),"")</f>
        <v/>
      </c>
      <c r="S345" s="359" t="str">
        <f>IFERROR(VLOOKUP($A345,#REF!,13,0),"")</f>
        <v/>
      </c>
      <c r="T345" s="359" t="str">
        <f>IFERROR(VLOOKUP($A345,#REF!,14,0),"")</f>
        <v/>
      </c>
      <c r="U345" s="359" t="str">
        <f>IFERROR(VLOOKUP($A345,#REF!,15,0),"")</f>
        <v/>
      </c>
      <c r="V345" s="359" t="str">
        <f>IFERROR(VLOOKUP($A345,#REF!,16,0),"")</f>
        <v/>
      </c>
      <c r="W345" s="359" t="str">
        <f>IFERROR(VLOOKUP($A345,#REF!,17,0),"")</f>
        <v/>
      </c>
      <c r="X345" s="359" t="str">
        <f>IFERROR(VLOOKUP($A345,#REF!,18,0),"")</f>
        <v/>
      </c>
      <c r="Y345" s="359" t="str">
        <f>IFERROR(VLOOKUP($A345,#REF!,19,0),"")</f>
        <v/>
      </c>
      <c r="Z345" s="400" t="str">
        <f>IFERROR(VLOOKUP($A345,#REF!,21,0),"")</f>
        <v/>
      </c>
      <c r="AA345" s="359"/>
      <c r="AB345" s="359"/>
      <c r="AC345" s="359" t="s">
        <v>3075</v>
      </c>
      <c r="AD345" s="359" t="s">
        <v>47</v>
      </c>
      <c r="AE345" s="358"/>
      <c r="AF345" s="141"/>
      <c r="AG345" s="358"/>
      <c r="AH345" s="359"/>
      <c r="AI345" s="359"/>
      <c r="AJ345" s="359"/>
      <c r="AK345" s="359"/>
      <c r="AL345" s="359"/>
      <c r="AM345" s="359"/>
      <c r="AN345" s="358" t="s">
        <v>3581</v>
      </c>
      <c r="AO345" s="380"/>
      <c r="AP345" s="380"/>
      <c r="AQ345" s="384"/>
      <c r="AR345" s="358"/>
      <c r="AS345" s="358"/>
      <c r="AT345" s="358"/>
      <c r="AU345" s="380"/>
      <c r="AV345" s="100"/>
      <c r="AW345" s="100"/>
      <c r="AX345" s="95"/>
      <c r="AY345" s="100"/>
      <c r="AZ345" s="100"/>
      <c r="BA345" s="100"/>
      <c r="BB345" s="100"/>
      <c r="BC345" s="100"/>
      <c r="BD345" s="100"/>
      <c r="BE345" s="100"/>
      <c r="BF345" s="100"/>
      <c r="BG345" s="114"/>
      <c r="BH345" s="114"/>
      <c r="BI345" s="100"/>
      <c r="BJ345" s="100"/>
      <c r="BK345" s="95"/>
      <c r="BL345" s="360"/>
      <c r="BM345" s="348">
        <v>0</v>
      </c>
      <c r="BN345" s="348">
        <v>18</v>
      </c>
      <c r="BO345" s="349">
        <v>0</v>
      </c>
      <c r="BP345" s="349">
        <v>0</v>
      </c>
      <c r="BQ345" s="348">
        <v>0</v>
      </c>
      <c r="BR345" s="348">
        <f t="shared" si="13"/>
        <v>18</v>
      </c>
      <c r="BS345" s="350">
        <f>+BM345/BR345*BS$1</f>
        <v>0</v>
      </c>
      <c r="BT345" s="351">
        <f t="shared" si="15"/>
        <v>3</v>
      </c>
      <c r="BU345" s="351">
        <f t="shared" si="12"/>
        <v>0</v>
      </c>
      <c r="BV345" s="351">
        <f t="shared" si="16"/>
        <v>0</v>
      </c>
      <c r="BW345" s="351">
        <f t="shared" si="17"/>
        <v>0</v>
      </c>
      <c r="BZ345">
        <f t="shared" si="10"/>
        <v>1</v>
      </c>
    </row>
    <row r="346" spans="1:78" hidden="1">
      <c r="A346" s="35" t="str">
        <f t="shared" si="11"/>
        <v>ELPTMED_151/2646083</v>
      </c>
      <c r="C346" s="358" t="s">
        <v>2342</v>
      </c>
      <c r="D346" s="358">
        <v>343</v>
      </c>
      <c r="E346" s="360" t="s">
        <v>3593</v>
      </c>
      <c r="F346" s="358" t="s">
        <v>1250</v>
      </c>
      <c r="G346" s="384">
        <v>46083</v>
      </c>
      <c r="H346" s="358" t="s">
        <v>140</v>
      </c>
      <c r="I346" s="359">
        <v>16</v>
      </c>
      <c r="J346" s="359" t="str">
        <f>IFERROR(VLOOKUP($A346,#REF!,3,0),"")</f>
        <v/>
      </c>
      <c r="K346" s="359">
        <f>IFERROR(VLOOKUP($A346,#REF!,4,0),AF346)</f>
        <v>0</v>
      </c>
      <c r="L346" s="359" t="str">
        <f>IFERROR(VLOOKUP($A346,#REF!,5,0),"")</f>
        <v/>
      </c>
      <c r="M346" s="359" t="str">
        <f>IFERROR(VLOOKUP($A346,#REF!,7,0),"")</f>
        <v/>
      </c>
      <c r="N346" s="359"/>
      <c r="O346" s="359" t="str">
        <f>IFERROR(VLOOKUP($A346,#REF!,6,0),"")</f>
        <v/>
      </c>
      <c r="P346" s="359" t="str">
        <f>IFERROR(VLOOKUP($A346,#REF!,9,0),"")</f>
        <v/>
      </c>
      <c r="Q346" s="359" t="str">
        <f>IFERROR(VLOOKUP($A346,#REF!,10,0),"")</f>
        <v/>
      </c>
      <c r="R346" s="359" t="str">
        <f>IFERROR(VLOOKUP($A346,#REF!,11,0),"")</f>
        <v/>
      </c>
      <c r="S346" s="359" t="str">
        <f>IFERROR(VLOOKUP($A346,#REF!,13,0),"")</f>
        <v/>
      </c>
      <c r="T346" s="359" t="str">
        <f>IFERROR(VLOOKUP($A346,#REF!,14,0),"")</f>
        <v/>
      </c>
      <c r="U346" s="359" t="str">
        <f>IFERROR(VLOOKUP($A346,#REF!,15,0),"")</f>
        <v/>
      </c>
      <c r="V346" s="359" t="str">
        <f>IFERROR(VLOOKUP($A346,#REF!,16,0),"")</f>
        <v/>
      </c>
      <c r="W346" s="359" t="str">
        <f>IFERROR(VLOOKUP($A346,#REF!,17,0),"")</f>
        <v/>
      </c>
      <c r="X346" s="359" t="str">
        <f>IFERROR(VLOOKUP($A346,#REF!,18,0),"")</f>
        <v/>
      </c>
      <c r="Y346" s="359" t="str">
        <f>IFERROR(VLOOKUP($A346,#REF!,19,0),"")</f>
        <v/>
      </c>
      <c r="Z346" s="400" t="str">
        <f>IFERROR(VLOOKUP($A346,#REF!,21,0),"")</f>
        <v/>
      </c>
      <c r="AA346" s="359"/>
      <c r="AB346" s="359"/>
      <c r="AC346" s="359" t="s">
        <v>3594</v>
      </c>
      <c r="AD346" s="359" t="s">
        <v>1889</v>
      </c>
      <c r="AE346" s="358"/>
      <c r="AF346" s="141"/>
      <c r="AG346" s="358"/>
      <c r="AH346" s="359"/>
      <c r="AI346" s="359"/>
      <c r="AJ346" s="359"/>
      <c r="AK346" s="359"/>
      <c r="AL346" s="359"/>
      <c r="AM346" s="359"/>
      <c r="AN346" s="358"/>
      <c r="AO346" s="380"/>
      <c r="AP346" s="380"/>
      <c r="AQ346" s="384"/>
      <c r="AR346" s="358"/>
      <c r="AS346" s="358"/>
      <c r="AT346" s="358"/>
      <c r="AU346" s="380"/>
      <c r="AV346" s="100"/>
      <c r="AW346" s="100"/>
      <c r="AX346" s="95"/>
      <c r="AY346" s="100"/>
      <c r="AZ346" s="100"/>
      <c r="BA346" s="100"/>
      <c r="BB346" s="100"/>
      <c r="BC346" s="100"/>
      <c r="BD346" s="100"/>
      <c r="BE346" s="100"/>
      <c r="BF346" s="100"/>
      <c r="BG346" s="114"/>
      <c r="BH346" s="114"/>
      <c r="BI346" s="100"/>
      <c r="BJ346" s="100"/>
      <c r="BK346" s="95"/>
      <c r="BL346" s="360"/>
      <c r="BM346" s="348">
        <v>0</v>
      </c>
      <c r="BN346" s="348">
        <v>3</v>
      </c>
      <c r="BO346" s="349">
        <v>13</v>
      </c>
      <c r="BP346" s="349">
        <v>0</v>
      </c>
      <c r="BQ346" s="348">
        <v>0</v>
      </c>
      <c r="BR346" s="348">
        <f t="shared" ref="BR346" si="18">SUM(BM346:BQ346)</f>
        <v>16</v>
      </c>
      <c r="BS346" s="350">
        <f>+BM346/BR346*BS$1</f>
        <v>0</v>
      </c>
      <c r="BT346" s="351">
        <f t="shared" ref="BT346" si="19">+BN346/BR346*BT$1</f>
        <v>0.5625</v>
      </c>
      <c r="BU346" s="351">
        <f t="shared" ref="BU346" si="20">+BO346/BR346*BU$1</f>
        <v>2.4375</v>
      </c>
      <c r="BV346" s="351">
        <f t="shared" ref="BV346" si="21">+BO346/BR346*BV$1</f>
        <v>2.4375</v>
      </c>
      <c r="BW346" s="351">
        <f t="shared" ref="BW346" si="22">+BP346/BR346*BW$1</f>
        <v>0</v>
      </c>
      <c r="BZ346">
        <f t="shared" si="10"/>
        <v>1</v>
      </c>
    </row>
    <row r="347" spans="1:78" hidden="1">
      <c r="A347" s="35" t="str">
        <f t="shared" si="11"/>
        <v>ELPTMED_152/2646083</v>
      </c>
      <c r="C347" s="358" t="s">
        <v>2342</v>
      </c>
      <c r="D347" s="358">
        <v>344</v>
      </c>
      <c r="E347" s="360" t="s">
        <v>3595</v>
      </c>
      <c r="F347" s="358" t="s">
        <v>3596</v>
      </c>
      <c r="G347" s="384">
        <v>46083</v>
      </c>
      <c r="H347" s="358" t="s">
        <v>140</v>
      </c>
      <c r="I347" s="359">
        <v>4</v>
      </c>
      <c r="J347" s="359" t="str">
        <f>IFERROR(VLOOKUP($A347,#REF!,3,0),"")</f>
        <v/>
      </c>
      <c r="K347" s="359">
        <f>IFERROR(VLOOKUP($A347,#REF!,4,0),AF347)</f>
        <v>0</v>
      </c>
      <c r="L347" s="359" t="str">
        <f>IFERROR(VLOOKUP($A347,#REF!,5,0),"")</f>
        <v/>
      </c>
      <c r="M347" s="359" t="str">
        <f>IFERROR(VLOOKUP($A347,#REF!,7,0),"")</f>
        <v/>
      </c>
      <c r="N347" s="359"/>
      <c r="O347" s="359" t="str">
        <f>IFERROR(VLOOKUP($A347,#REF!,6,0),"")</f>
        <v/>
      </c>
      <c r="P347" s="359" t="str">
        <f>IFERROR(VLOOKUP($A347,#REF!,9,0),"")</f>
        <v/>
      </c>
      <c r="Q347" s="359" t="str">
        <f>IFERROR(VLOOKUP($A347,#REF!,10,0),"")</f>
        <v/>
      </c>
      <c r="R347" s="359" t="str">
        <f>IFERROR(VLOOKUP($A347,#REF!,11,0),"")</f>
        <v/>
      </c>
      <c r="S347" s="359" t="str">
        <f>IFERROR(VLOOKUP($A347,#REF!,13,0),"")</f>
        <v/>
      </c>
      <c r="T347" s="359" t="str">
        <f>IFERROR(VLOOKUP($A347,#REF!,14,0),"")</f>
        <v/>
      </c>
      <c r="U347" s="359" t="str">
        <f>IFERROR(VLOOKUP($A347,#REF!,15,0),"")</f>
        <v/>
      </c>
      <c r="V347" s="359" t="str">
        <f>IFERROR(VLOOKUP($A347,#REF!,16,0),"")</f>
        <v/>
      </c>
      <c r="W347" s="359" t="str">
        <f>IFERROR(VLOOKUP($A347,#REF!,17,0),"")</f>
        <v/>
      </c>
      <c r="X347" s="359" t="str">
        <f>IFERROR(VLOOKUP($A347,#REF!,18,0),"")</f>
        <v/>
      </c>
      <c r="Y347" s="359" t="str">
        <f>IFERROR(VLOOKUP($A347,#REF!,19,0),"")</f>
        <v/>
      </c>
      <c r="Z347" s="400" t="str">
        <f>IFERROR(VLOOKUP($A347,#REF!,21,0),"")</f>
        <v/>
      </c>
      <c r="AA347" s="359"/>
      <c r="AB347" s="359"/>
      <c r="AC347" s="359" t="s">
        <v>3075</v>
      </c>
      <c r="AD347" s="359" t="s">
        <v>47</v>
      </c>
      <c r="AE347" s="358"/>
      <c r="AF347" s="141"/>
      <c r="AG347" s="358"/>
      <c r="AH347" s="359"/>
      <c r="AI347" s="359"/>
      <c r="AJ347" s="359"/>
      <c r="AK347" s="359"/>
      <c r="AL347" s="359"/>
      <c r="AM347" s="359"/>
      <c r="AN347" s="358"/>
      <c r="AO347" s="380"/>
      <c r="AP347" s="380"/>
      <c r="AQ347" s="384"/>
      <c r="AR347" s="358"/>
      <c r="AS347" s="358"/>
      <c r="AT347" s="358"/>
      <c r="AU347" s="380"/>
      <c r="AV347" s="100"/>
      <c r="AW347" s="100"/>
      <c r="AX347" s="95"/>
      <c r="AY347" s="100"/>
      <c r="AZ347" s="100"/>
      <c r="BA347" s="100"/>
      <c r="BB347" s="100"/>
      <c r="BC347" s="100"/>
      <c r="BD347" s="100"/>
      <c r="BE347" s="100"/>
      <c r="BF347" s="100"/>
      <c r="BG347" s="114"/>
      <c r="BH347" s="114"/>
      <c r="BI347" s="100"/>
      <c r="BJ347" s="100"/>
      <c r="BK347" s="95"/>
      <c r="BL347" s="360"/>
      <c r="BN347"/>
      <c r="BO347"/>
      <c r="BP347"/>
      <c r="BQ347"/>
      <c r="BR347"/>
      <c r="BS347"/>
      <c r="BT347"/>
      <c r="BU347" s="351"/>
      <c r="BV347"/>
      <c r="BW347" s="109"/>
      <c r="BZ347">
        <f t="shared" si="10"/>
        <v>1</v>
      </c>
    </row>
    <row r="348" spans="1:78" hidden="1">
      <c r="A348" s="35" t="str">
        <f t="shared" si="11"/>
        <v>ELPTMED_153/2646083</v>
      </c>
      <c r="C348" s="358" t="s">
        <v>2342</v>
      </c>
      <c r="D348" s="358">
        <v>345</v>
      </c>
      <c r="E348" s="360" t="s">
        <v>3597</v>
      </c>
      <c r="F348" s="358" t="s">
        <v>2975</v>
      </c>
      <c r="G348" s="384">
        <v>46083</v>
      </c>
      <c r="H348" s="358" t="s">
        <v>140</v>
      </c>
      <c r="I348" s="359">
        <v>1</v>
      </c>
      <c r="J348" s="359" t="str">
        <f>IFERROR(VLOOKUP($A348,#REF!,3,0),"")</f>
        <v/>
      </c>
      <c r="K348" s="359">
        <f>IFERROR(VLOOKUP($A348,#REF!,4,0),AF348)</f>
        <v>0</v>
      </c>
      <c r="L348" s="359" t="str">
        <f>IFERROR(VLOOKUP($A348,#REF!,5,0),"")</f>
        <v/>
      </c>
      <c r="M348" s="359" t="str">
        <f>IFERROR(VLOOKUP($A348,#REF!,7,0),"")</f>
        <v/>
      </c>
      <c r="N348" s="359"/>
      <c r="O348" s="359" t="str">
        <f>IFERROR(VLOOKUP($A348,#REF!,6,0),"")</f>
        <v/>
      </c>
      <c r="P348" s="359" t="str">
        <f>IFERROR(VLOOKUP($A348,#REF!,9,0),"")</f>
        <v/>
      </c>
      <c r="Q348" s="359" t="str">
        <f>IFERROR(VLOOKUP($A348,#REF!,10,0),"")</f>
        <v/>
      </c>
      <c r="R348" s="359" t="str">
        <f>IFERROR(VLOOKUP($A348,#REF!,11,0),"")</f>
        <v/>
      </c>
      <c r="S348" s="359" t="str">
        <f>IFERROR(VLOOKUP($A348,#REF!,13,0),"")</f>
        <v/>
      </c>
      <c r="T348" s="359" t="str">
        <f>IFERROR(VLOOKUP($A348,#REF!,14,0),"")</f>
        <v/>
      </c>
      <c r="U348" s="359" t="str">
        <f>IFERROR(VLOOKUP($A348,#REF!,15,0),"")</f>
        <v/>
      </c>
      <c r="V348" s="359" t="str">
        <f>IFERROR(VLOOKUP($A348,#REF!,16,0),"")</f>
        <v/>
      </c>
      <c r="W348" s="359" t="str">
        <f>IFERROR(VLOOKUP($A348,#REF!,17,0),"")</f>
        <v/>
      </c>
      <c r="X348" s="359" t="str">
        <f>IFERROR(VLOOKUP($A348,#REF!,18,0),"")</f>
        <v/>
      </c>
      <c r="Y348" s="359" t="str">
        <f>IFERROR(VLOOKUP($A348,#REF!,19,0),"")</f>
        <v/>
      </c>
      <c r="Z348" s="400" t="str">
        <f>IFERROR(VLOOKUP($A348,#REF!,21,0),"")</f>
        <v/>
      </c>
      <c r="AA348" s="359"/>
      <c r="AB348" s="359"/>
      <c r="AC348" s="359" t="s">
        <v>1721</v>
      </c>
      <c r="AD348" s="359" t="s">
        <v>1638</v>
      </c>
      <c r="AE348" s="358"/>
      <c r="AF348" s="141"/>
      <c r="AG348" s="358"/>
      <c r="AH348" s="359"/>
      <c r="AI348" s="359"/>
      <c r="AJ348" s="359"/>
      <c r="AK348" s="359"/>
      <c r="AL348" s="359"/>
      <c r="AM348" s="359"/>
      <c r="AN348" s="358"/>
      <c r="AO348" s="380"/>
      <c r="AP348" s="380"/>
      <c r="AQ348" s="384"/>
      <c r="AR348" s="358"/>
      <c r="AS348" s="358"/>
      <c r="AT348" s="358"/>
      <c r="AU348" s="380"/>
      <c r="AV348" s="100"/>
      <c r="AW348" s="100"/>
      <c r="AX348" s="95"/>
      <c r="AY348" s="100"/>
      <c r="AZ348" s="100"/>
      <c r="BA348" s="100"/>
      <c r="BB348" s="100"/>
      <c r="BC348" s="100"/>
      <c r="BD348" s="100"/>
      <c r="BE348" s="100"/>
      <c r="BF348" s="100"/>
      <c r="BG348" s="114"/>
      <c r="BH348" s="114"/>
      <c r="BI348" s="100"/>
      <c r="BJ348" s="100"/>
      <c r="BK348" s="95"/>
      <c r="BL348" s="360"/>
      <c r="BN348"/>
      <c r="BO348"/>
      <c r="BP348"/>
      <c r="BQ348"/>
      <c r="BR348"/>
      <c r="BS348"/>
      <c r="BT348"/>
      <c r="BU348" s="351"/>
      <c r="BV348"/>
      <c r="BW348" s="109"/>
      <c r="BZ348">
        <f t="shared" si="10"/>
        <v>1</v>
      </c>
    </row>
    <row r="349" spans="1:78" hidden="1">
      <c r="A349" s="35" t="str">
        <f t="shared" si="11"/>
        <v>ELPTMED_154/2646083</v>
      </c>
      <c r="C349" s="358" t="s">
        <v>2342</v>
      </c>
      <c r="D349" s="358">
        <v>346</v>
      </c>
      <c r="E349" s="360" t="s">
        <v>3598</v>
      </c>
      <c r="F349" s="359" t="s">
        <v>1184</v>
      </c>
      <c r="G349" s="400">
        <v>46083</v>
      </c>
      <c r="H349" s="358" t="s">
        <v>140</v>
      </c>
      <c r="I349" s="359">
        <v>13</v>
      </c>
      <c r="J349" s="359" t="str">
        <f>IFERROR(VLOOKUP($A349,#REF!,3,0),"")</f>
        <v/>
      </c>
      <c r="K349" s="359">
        <f>IFERROR(VLOOKUP($A349,#REF!,4,0),AF349)</f>
        <v>0</v>
      </c>
      <c r="L349" s="359" t="str">
        <f>IFERROR(VLOOKUP($A349,#REF!,5,0),"")</f>
        <v/>
      </c>
      <c r="M349" s="359" t="str">
        <f>IFERROR(VLOOKUP($A349,#REF!,7,0),"")</f>
        <v/>
      </c>
      <c r="N349" s="359"/>
      <c r="O349" s="359" t="str">
        <f>IFERROR(VLOOKUP($A349,#REF!,6,0),"")</f>
        <v/>
      </c>
      <c r="P349" s="359" t="str">
        <f>IFERROR(VLOOKUP($A349,#REF!,9,0),"")</f>
        <v/>
      </c>
      <c r="Q349" s="359" t="str">
        <f>IFERROR(VLOOKUP($A349,#REF!,10,0),"")</f>
        <v/>
      </c>
      <c r="R349" s="359" t="str">
        <f>IFERROR(VLOOKUP($A349,#REF!,11,0),"")</f>
        <v/>
      </c>
      <c r="S349" s="359" t="str">
        <f>IFERROR(VLOOKUP($A349,#REF!,13,0),"")</f>
        <v/>
      </c>
      <c r="T349" s="359" t="str">
        <f>IFERROR(VLOOKUP($A349,#REF!,14,0),"")</f>
        <v/>
      </c>
      <c r="U349" s="359" t="str">
        <f>IFERROR(VLOOKUP($A349,#REF!,15,0),"")</f>
        <v/>
      </c>
      <c r="V349" s="359" t="str">
        <f>IFERROR(VLOOKUP($A349,#REF!,16,0),"")</f>
        <v/>
      </c>
      <c r="W349" s="359" t="str">
        <f>IFERROR(VLOOKUP($A349,#REF!,17,0),"")</f>
        <v/>
      </c>
      <c r="X349" s="359" t="str">
        <f>IFERROR(VLOOKUP($A349,#REF!,18,0),"")</f>
        <v/>
      </c>
      <c r="Y349" s="359" t="str">
        <f>IFERROR(VLOOKUP($A349,#REF!,19,0),"")</f>
        <v/>
      </c>
      <c r="Z349" s="400" t="str">
        <f>IFERROR(VLOOKUP($A349,#REF!,21,0),"")</f>
        <v/>
      </c>
      <c r="AA349" s="359"/>
      <c r="AB349" s="359"/>
      <c r="AC349" s="359" t="s">
        <v>3075</v>
      </c>
      <c r="AD349" s="359" t="s">
        <v>47</v>
      </c>
      <c r="AE349" s="358"/>
      <c r="AF349" s="141"/>
      <c r="AG349" s="358"/>
      <c r="AH349" s="359"/>
      <c r="AI349" s="359"/>
      <c r="AJ349" s="359"/>
      <c r="AK349" s="359"/>
      <c r="AL349" s="359"/>
      <c r="AM349" s="359"/>
      <c r="AN349" s="358"/>
      <c r="AO349" s="380"/>
      <c r="AP349" s="380"/>
      <c r="AQ349" s="384"/>
      <c r="AR349" s="358"/>
      <c r="AS349" s="358"/>
      <c r="AT349" s="358"/>
      <c r="AU349" s="380"/>
      <c r="AV349" s="100"/>
      <c r="AW349" s="100"/>
      <c r="AX349" s="95"/>
      <c r="AY349" s="100"/>
      <c r="AZ349" s="100"/>
      <c r="BA349" s="100"/>
      <c r="BB349" s="100"/>
      <c r="BC349" s="100"/>
      <c r="BD349" s="100"/>
      <c r="BE349" s="100"/>
      <c r="BF349" s="100"/>
      <c r="BG349" s="114"/>
      <c r="BH349" s="114"/>
      <c r="BI349" s="100"/>
      <c r="BJ349" s="100"/>
      <c r="BK349" s="95"/>
      <c r="BL349" s="360"/>
      <c r="BM349" s="91"/>
      <c r="BN349" s="91"/>
      <c r="BO349"/>
      <c r="BP349"/>
      <c r="BQ349"/>
      <c r="BR349"/>
      <c r="BS349" s="72"/>
      <c r="BU349" s="351"/>
      <c r="BW349" s="109"/>
      <c r="BZ349">
        <f t="shared" si="10"/>
        <v>1</v>
      </c>
    </row>
    <row r="350" spans="1:78" hidden="1">
      <c r="A350" s="35" t="str">
        <f t="shared" si="11"/>
        <v>ELPTMED_155/2646083</v>
      </c>
      <c r="C350" s="358" t="s">
        <v>2342</v>
      </c>
      <c r="D350" s="358">
        <v>347</v>
      </c>
      <c r="E350" s="360" t="s">
        <v>3599</v>
      </c>
      <c r="F350" s="359" t="s">
        <v>798</v>
      </c>
      <c r="G350" s="400">
        <v>46083</v>
      </c>
      <c r="H350" s="358" t="s">
        <v>140</v>
      </c>
      <c r="I350" s="359">
        <v>16</v>
      </c>
      <c r="J350" s="359" t="str">
        <f>IFERROR(VLOOKUP($A350,#REF!,3,0),"")</f>
        <v/>
      </c>
      <c r="K350" s="359">
        <f>IFERROR(VLOOKUP($A350,#REF!,4,0),AF350)</f>
        <v>0</v>
      </c>
      <c r="L350" s="359" t="str">
        <f>IFERROR(VLOOKUP($A350,#REF!,5,0),"")</f>
        <v/>
      </c>
      <c r="M350" s="359" t="str">
        <f>IFERROR(VLOOKUP($A350,#REF!,7,0),"")</f>
        <v/>
      </c>
      <c r="N350" s="359"/>
      <c r="O350" s="359" t="str">
        <f>IFERROR(VLOOKUP($A350,#REF!,6,0),"")</f>
        <v/>
      </c>
      <c r="P350" s="359" t="str">
        <f>IFERROR(VLOOKUP($A350,#REF!,9,0),"")</f>
        <v/>
      </c>
      <c r="Q350" s="359" t="str">
        <f>IFERROR(VLOOKUP($A350,#REF!,10,0),"")</f>
        <v/>
      </c>
      <c r="R350" s="359" t="str">
        <f>IFERROR(VLOOKUP($A350,#REF!,11,0),"")</f>
        <v/>
      </c>
      <c r="S350" s="359" t="str">
        <f>IFERROR(VLOOKUP($A350,#REF!,13,0),"")</f>
        <v/>
      </c>
      <c r="T350" s="359" t="str">
        <f>IFERROR(VLOOKUP($A350,#REF!,14,0),"")</f>
        <v/>
      </c>
      <c r="U350" s="359" t="str">
        <f>IFERROR(VLOOKUP($A350,#REF!,15,0),"")</f>
        <v/>
      </c>
      <c r="V350" s="359" t="str">
        <f>IFERROR(VLOOKUP($A350,#REF!,16,0),"")</f>
        <v/>
      </c>
      <c r="W350" s="359" t="str">
        <f>IFERROR(VLOOKUP($A350,#REF!,17,0),"")</f>
        <v/>
      </c>
      <c r="X350" s="359" t="str">
        <f>IFERROR(VLOOKUP($A350,#REF!,18,0),"")</f>
        <v/>
      </c>
      <c r="Y350" s="359" t="str">
        <f>IFERROR(VLOOKUP($A350,#REF!,19,0),"")</f>
        <v/>
      </c>
      <c r="Z350" s="400" t="str">
        <f>IFERROR(VLOOKUP($A350,#REF!,21,0),"")</f>
        <v/>
      </c>
      <c r="AA350" s="359"/>
      <c r="AB350" s="359"/>
      <c r="AC350" s="359" t="s">
        <v>3579</v>
      </c>
      <c r="AD350" s="359" t="s">
        <v>3580</v>
      </c>
      <c r="AE350" s="358"/>
      <c r="AF350" s="141"/>
      <c r="AG350" s="358"/>
      <c r="AH350" s="359"/>
      <c r="AI350" s="359"/>
      <c r="AJ350" s="359"/>
      <c r="AK350" s="359"/>
      <c r="AL350" s="359"/>
      <c r="AM350" s="359"/>
      <c r="AN350" s="358" t="s">
        <v>3581</v>
      </c>
      <c r="AO350" s="380"/>
      <c r="AP350" s="380"/>
      <c r="AQ350" s="384"/>
      <c r="AR350" s="358"/>
      <c r="AS350" s="358"/>
      <c r="AT350" s="358"/>
      <c r="AU350" s="380"/>
      <c r="AV350" s="100"/>
      <c r="AW350" s="100"/>
      <c r="AX350" s="95"/>
      <c r="AY350" s="100"/>
      <c r="AZ350" s="100"/>
      <c r="BA350" s="100"/>
      <c r="BB350" s="100"/>
      <c r="BC350" s="100"/>
      <c r="BD350" s="100"/>
      <c r="BE350" s="100"/>
      <c r="BF350" s="100"/>
      <c r="BG350" s="114"/>
      <c r="BH350" s="114"/>
      <c r="BI350" s="100"/>
      <c r="BJ350" s="100"/>
      <c r="BK350" s="95"/>
      <c r="BL350" s="360"/>
      <c r="BM350" s="348">
        <v>0</v>
      </c>
      <c r="BN350" s="348">
        <v>2</v>
      </c>
      <c r="BO350" s="349">
        <v>10</v>
      </c>
      <c r="BP350" s="349">
        <v>0</v>
      </c>
      <c r="BQ350" s="348">
        <v>4</v>
      </c>
      <c r="BR350" s="348">
        <f>SUM(BM350:BQ350)</f>
        <v>16</v>
      </c>
      <c r="BS350" s="350">
        <f>+BM350/BR350*BS$1</f>
        <v>0</v>
      </c>
      <c r="BT350" s="351">
        <f>+BN350/BR350*BT$1</f>
        <v>0.375</v>
      </c>
      <c r="BU350" s="351">
        <f t="shared" si="12"/>
        <v>1.875</v>
      </c>
      <c r="BV350" s="351">
        <f>+BO350/BR350*BV$1</f>
        <v>1.875</v>
      </c>
      <c r="BW350" s="351">
        <f>+BP350/BR350*BW$1</f>
        <v>0</v>
      </c>
      <c r="BZ350">
        <f t="shared" si="10"/>
        <v>1</v>
      </c>
    </row>
    <row r="351" spans="1:78" hidden="1">
      <c r="A351" s="35" t="str">
        <f t="shared" si="11"/>
        <v>ELPTMED_156/2646083</v>
      </c>
      <c r="C351" s="358" t="s">
        <v>2342</v>
      </c>
      <c r="D351" s="358">
        <v>348</v>
      </c>
      <c r="E351" s="360" t="s">
        <v>3600</v>
      </c>
      <c r="F351" s="400" t="s">
        <v>779</v>
      </c>
      <c r="G351" s="400">
        <v>46083</v>
      </c>
      <c r="H351" s="358" t="s">
        <v>140</v>
      </c>
      <c r="I351" s="359">
        <v>3</v>
      </c>
      <c r="J351" s="359" t="str">
        <f>IFERROR(VLOOKUP($A351,#REF!,3,0),"")</f>
        <v/>
      </c>
      <c r="K351" s="359">
        <f>IFERROR(VLOOKUP($A351,#REF!,4,0),AF351)</f>
        <v>0</v>
      </c>
      <c r="L351" s="359" t="str">
        <f>IFERROR(VLOOKUP($A351,#REF!,5,0),"")</f>
        <v/>
      </c>
      <c r="M351" s="359" t="str">
        <f>IFERROR(VLOOKUP($A351,#REF!,7,0),"")</f>
        <v/>
      </c>
      <c r="N351" s="359"/>
      <c r="O351" s="359" t="str">
        <f>IFERROR(VLOOKUP($A351,#REF!,6,0),"")</f>
        <v/>
      </c>
      <c r="P351" s="359" t="str">
        <f>IFERROR(VLOOKUP($A351,#REF!,9,0),"")</f>
        <v/>
      </c>
      <c r="Q351" s="359" t="str">
        <f>IFERROR(VLOOKUP($A351,#REF!,10,0),"")</f>
        <v/>
      </c>
      <c r="R351" s="359" t="str">
        <f>IFERROR(VLOOKUP($A351,#REF!,11,0),"")</f>
        <v/>
      </c>
      <c r="S351" s="359" t="str">
        <f>IFERROR(VLOOKUP($A351,#REF!,13,0),"")</f>
        <v/>
      </c>
      <c r="T351" s="359" t="str">
        <f>IFERROR(VLOOKUP($A351,#REF!,14,0),"")</f>
        <v/>
      </c>
      <c r="U351" s="359" t="str">
        <f>IFERROR(VLOOKUP($A351,#REF!,15,0),"")</f>
        <v/>
      </c>
      <c r="V351" s="359" t="str">
        <f>IFERROR(VLOOKUP($A351,#REF!,16,0),"")</f>
        <v/>
      </c>
      <c r="W351" s="359" t="str">
        <f>IFERROR(VLOOKUP($A351,#REF!,17,0),"")</f>
        <v/>
      </c>
      <c r="X351" s="359" t="str">
        <f>IFERROR(VLOOKUP($A351,#REF!,18,0),"")</f>
        <v/>
      </c>
      <c r="Y351" s="359" t="str">
        <f>IFERROR(VLOOKUP($A351,#REF!,19,0),"")</f>
        <v/>
      </c>
      <c r="Z351" s="400" t="str">
        <f>IFERROR(VLOOKUP($A351,#REF!,21,0),"")</f>
        <v/>
      </c>
      <c r="AA351" s="359"/>
      <c r="AB351" s="359"/>
      <c r="AC351" s="359" t="s">
        <v>1721</v>
      </c>
      <c r="AD351" s="359" t="s">
        <v>1638</v>
      </c>
      <c r="AE351" s="358"/>
      <c r="AF351" s="141"/>
      <c r="AG351" s="358"/>
      <c r="AH351" s="359"/>
      <c r="AI351" s="359"/>
      <c r="AJ351" s="359"/>
      <c r="AK351" s="359"/>
      <c r="AL351" s="359"/>
      <c r="AM351" s="359"/>
      <c r="AN351" s="358"/>
      <c r="AO351" s="380"/>
      <c r="AP351" s="380"/>
      <c r="AQ351" s="384"/>
      <c r="AR351" s="358"/>
      <c r="AS351" s="358"/>
      <c r="AT351" s="358"/>
      <c r="AU351" s="380"/>
      <c r="AV351" s="100"/>
      <c r="AW351" s="100"/>
      <c r="AX351" s="95"/>
      <c r="AY351" s="100"/>
      <c r="AZ351" s="100"/>
      <c r="BA351" s="100"/>
      <c r="BB351" s="100"/>
      <c r="BC351" s="100"/>
      <c r="BD351" s="100"/>
      <c r="BE351" s="100"/>
      <c r="BF351" s="100"/>
      <c r="BG351" s="114"/>
      <c r="BH351" s="114"/>
      <c r="BI351" s="100"/>
      <c r="BJ351" s="100"/>
      <c r="BK351" s="95"/>
      <c r="BL351" s="360"/>
      <c r="BN351"/>
      <c r="BO351"/>
      <c r="BP351"/>
      <c r="BQ351"/>
      <c r="BR351"/>
      <c r="BS351"/>
      <c r="BT351"/>
      <c r="BU351" s="351"/>
      <c r="BV351"/>
      <c r="BW351" s="109"/>
      <c r="BZ351">
        <f t="shared" si="10"/>
        <v>1</v>
      </c>
    </row>
    <row r="352" spans="1:78" hidden="1">
      <c r="A352" s="35" t="str">
        <f t="shared" si="11"/>
        <v>ELPTMED_157/2646083</v>
      </c>
      <c r="C352" s="358" t="s">
        <v>2342</v>
      </c>
      <c r="D352" s="358">
        <v>349</v>
      </c>
      <c r="E352" s="360" t="s">
        <v>3601</v>
      </c>
      <c r="F352" s="359" t="s">
        <v>3602</v>
      </c>
      <c r="G352" s="400">
        <v>46083</v>
      </c>
      <c r="H352" s="358" t="s">
        <v>140</v>
      </c>
      <c r="I352" s="359">
        <v>2</v>
      </c>
      <c r="J352" s="359" t="str">
        <f>IFERROR(VLOOKUP($A352,#REF!,3,0),"")</f>
        <v/>
      </c>
      <c r="K352" s="359">
        <f>IFERROR(VLOOKUP($A352,#REF!,4,0),AF352)</f>
        <v>0</v>
      </c>
      <c r="L352" s="359" t="str">
        <f>IFERROR(VLOOKUP($A352,#REF!,5,0),"")</f>
        <v/>
      </c>
      <c r="M352" s="359" t="str">
        <f>IFERROR(VLOOKUP($A352,#REF!,7,0),"")</f>
        <v/>
      </c>
      <c r="N352" s="359"/>
      <c r="O352" s="359" t="str">
        <f>IFERROR(VLOOKUP($A352,#REF!,6,0),"")</f>
        <v/>
      </c>
      <c r="P352" s="359" t="str">
        <f>IFERROR(VLOOKUP($A352,#REF!,9,0),"")</f>
        <v/>
      </c>
      <c r="Q352" s="359" t="str">
        <f>IFERROR(VLOOKUP($A352,#REF!,10,0),"")</f>
        <v/>
      </c>
      <c r="R352" s="359" t="str">
        <f>IFERROR(VLOOKUP($A352,#REF!,11,0),"")</f>
        <v/>
      </c>
      <c r="S352" s="359" t="str">
        <f>IFERROR(VLOOKUP($A352,#REF!,13,0),"")</f>
        <v/>
      </c>
      <c r="T352" s="359" t="str">
        <f>IFERROR(VLOOKUP($A352,#REF!,14,0),"")</f>
        <v/>
      </c>
      <c r="U352" s="359" t="str">
        <f>IFERROR(VLOOKUP($A352,#REF!,15,0),"")</f>
        <v/>
      </c>
      <c r="V352" s="359" t="str">
        <f>IFERROR(VLOOKUP($A352,#REF!,16,0),"")</f>
        <v/>
      </c>
      <c r="W352" s="359" t="str">
        <f>IFERROR(VLOOKUP($A352,#REF!,17,0),"")</f>
        <v/>
      </c>
      <c r="X352" s="359" t="str">
        <f>IFERROR(VLOOKUP($A352,#REF!,18,0),"")</f>
        <v/>
      </c>
      <c r="Y352" s="359" t="str">
        <f>IFERROR(VLOOKUP($A352,#REF!,19,0),"")</f>
        <v/>
      </c>
      <c r="Z352" s="400" t="str">
        <f>IFERROR(VLOOKUP($A352,#REF!,21,0),"")</f>
        <v/>
      </c>
      <c r="AA352" s="359"/>
      <c r="AB352" s="359"/>
      <c r="AC352" s="359" t="s">
        <v>1721</v>
      </c>
      <c r="AD352" s="359" t="s">
        <v>1638</v>
      </c>
      <c r="AE352" s="358"/>
      <c r="AF352" s="141"/>
      <c r="AG352" s="358"/>
      <c r="AH352" s="359"/>
      <c r="AI352" s="359"/>
      <c r="AJ352" s="359"/>
      <c r="AK352" s="359"/>
      <c r="AL352" s="359"/>
      <c r="AM352" s="359"/>
      <c r="AN352" s="358"/>
      <c r="AO352" s="380"/>
      <c r="AP352" s="380"/>
      <c r="AQ352" s="384"/>
      <c r="AR352" s="358"/>
      <c r="AS352" s="358"/>
      <c r="AT352" s="358"/>
      <c r="AU352" s="380"/>
      <c r="AV352" s="100"/>
      <c r="AW352" s="100"/>
      <c r="AX352" s="95"/>
      <c r="AY352" s="100"/>
      <c r="AZ352" s="100"/>
      <c r="BA352" s="100"/>
      <c r="BB352" s="100"/>
      <c r="BC352" s="100"/>
      <c r="BD352" s="100"/>
      <c r="BE352" s="100"/>
      <c r="BF352" s="100"/>
      <c r="BG352" s="114"/>
      <c r="BH352" s="114"/>
      <c r="BI352" s="100"/>
      <c r="BJ352" s="100"/>
      <c r="BK352" s="95"/>
      <c r="BL352" s="360"/>
      <c r="BN352"/>
      <c r="BO352"/>
      <c r="BP352"/>
      <c r="BQ352"/>
      <c r="BR352" s="88"/>
      <c r="BS352" s="72"/>
      <c r="BT352" s="72"/>
      <c r="BU352" s="351"/>
      <c r="BV352" s="72"/>
      <c r="BW352" s="109"/>
      <c r="BZ352">
        <f t="shared" si="10"/>
        <v>1</v>
      </c>
    </row>
    <row r="353" spans="1:123" hidden="1">
      <c r="A353" s="35" t="str">
        <f t="shared" si="11"/>
        <v>ELPTMED_158/2646083</v>
      </c>
      <c r="C353" s="358" t="s">
        <v>2342</v>
      </c>
      <c r="D353" s="358">
        <v>350</v>
      </c>
      <c r="E353" s="360" t="s">
        <v>3603</v>
      </c>
      <c r="F353" s="359" t="s">
        <v>1887</v>
      </c>
      <c r="G353" s="400">
        <v>46083</v>
      </c>
      <c r="H353" s="358" t="s">
        <v>140</v>
      </c>
      <c r="I353" s="359">
        <v>7</v>
      </c>
      <c r="J353" s="359" t="str">
        <f>IFERROR(VLOOKUP($A353,#REF!,3,0),"")</f>
        <v/>
      </c>
      <c r="K353" s="359">
        <f>IFERROR(VLOOKUP($A353,#REF!,4,0),AF353)</f>
        <v>0</v>
      </c>
      <c r="L353" s="359" t="str">
        <f>IFERROR(VLOOKUP($A353,#REF!,5,0),"")</f>
        <v/>
      </c>
      <c r="M353" s="359" t="str">
        <f>IFERROR(VLOOKUP($A353,#REF!,7,0),"")</f>
        <v/>
      </c>
      <c r="N353" s="359"/>
      <c r="O353" s="359" t="str">
        <f>IFERROR(VLOOKUP($A353,#REF!,6,0),"")</f>
        <v/>
      </c>
      <c r="P353" s="359" t="str">
        <f>IFERROR(VLOOKUP($A353,#REF!,9,0),"")</f>
        <v/>
      </c>
      <c r="Q353" s="359" t="str">
        <f>IFERROR(VLOOKUP($A353,#REF!,10,0),"")</f>
        <v/>
      </c>
      <c r="R353" s="359" t="str">
        <f>IFERROR(VLOOKUP($A353,#REF!,11,0),"")</f>
        <v/>
      </c>
      <c r="S353" s="359" t="str">
        <f>IFERROR(VLOOKUP($A353,#REF!,13,0),"")</f>
        <v/>
      </c>
      <c r="T353" s="359" t="str">
        <f>IFERROR(VLOOKUP($A353,#REF!,14,0),"")</f>
        <v/>
      </c>
      <c r="U353" s="359" t="str">
        <f>IFERROR(VLOOKUP($A353,#REF!,15,0),"")</f>
        <v/>
      </c>
      <c r="V353" s="359" t="str">
        <f>IFERROR(VLOOKUP($A353,#REF!,16,0),"")</f>
        <v/>
      </c>
      <c r="W353" s="359" t="str">
        <f>IFERROR(VLOOKUP($A353,#REF!,17,0),"")</f>
        <v/>
      </c>
      <c r="X353" s="359" t="str">
        <f>IFERROR(VLOOKUP($A353,#REF!,18,0),"")</f>
        <v/>
      </c>
      <c r="Y353" s="359" t="str">
        <f>IFERROR(VLOOKUP($A353,#REF!,19,0),"")</f>
        <v/>
      </c>
      <c r="Z353" s="400" t="str">
        <f>IFERROR(VLOOKUP($A353,#REF!,21,0),"")</f>
        <v/>
      </c>
      <c r="AA353" s="359"/>
      <c r="AB353" s="359"/>
      <c r="AC353" s="359" t="s">
        <v>1077</v>
      </c>
      <c r="AD353" s="359" t="s">
        <v>1138</v>
      </c>
      <c r="AE353" s="358"/>
      <c r="AF353" s="141"/>
      <c r="AG353" s="358"/>
      <c r="AH353" s="359"/>
      <c r="AI353" s="359"/>
      <c r="AJ353" s="359"/>
      <c r="AK353" s="359"/>
      <c r="AL353" s="359"/>
      <c r="AM353" s="359"/>
      <c r="AN353" s="358"/>
      <c r="AO353" s="380"/>
      <c r="AP353" s="380"/>
      <c r="AQ353" s="384"/>
      <c r="AR353" s="358"/>
      <c r="AS353" s="358"/>
      <c r="AT353" s="358"/>
      <c r="AU353" s="380"/>
      <c r="AV353" s="100"/>
      <c r="AW353" s="100"/>
      <c r="AX353" s="95"/>
      <c r="AY353" s="100"/>
      <c r="AZ353" s="100"/>
      <c r="BA353" s="100"/>
      <c r="BB353" s="100"/>
      <c r="BC353" s="100"/>
      <c r="BD353" s="100"/>
      <c r="BE353" s="100"/>
      <c r="BF353" s="100"/>
      <c r="BG353" s="114"/>
      <c r="BH353" s="114"/>
      <c r="BI353" s="100"/>
      <c r="BJ353" s="100"/>
      <c r="BK353" s="95"/>
      <c r="BL353" s="360"/>
      <c r="BN353"/>
      <c r="BO353"/>
      <c r="BP353"/>
      <c r="BQ353"/>
      <c r="BR353"/>
      <c r="BS353"/>
      <c r="BT353"/>
      <c r="BU353" s="351"/>
      <c r="BV353"/>
      <c r="BW353" s="109"/>
      <c r="BZ353">
        <f t="shared" si="10"/>
        <v>1</v>
      </c>
    </row>
    <row r="354" spans="1:123" hidden="1">
      <c r="A354" s="35" t="str">
        <f t="shared" si="11"/>
        <v>ELPTMED_159/2646083</v>
      </c>
      <c r="C354" s="358" t="s">
        <v>2342</v>
      </c>
      <c r="D354" s="358">
        <v>351</v>
      </c>
      <c r="E354" s="360" t="s">
        <v>3604</v>
      </c>
      <c r="F354" s="400" t="s">
        <v>1212</v>
      </c>
      <c r="G354" s="400">
        <v>46083</v>
      </c>
      <c r="H354" s="358" t="s">
        <v>140</v>
      </c>
      <c r="I354" s="359">
        <v>15</v>
      </c>
      <c r="J354" s="359" t="str">
        <f>IFERROR(VLOOKUP($A354,#REF!,3,0),"")</f>
        <v/>
      </c>
      <c r="K354" s="359">
        <f>IFERROR(VLOOKUP($A354,#REF!,4,0),AF354)</f>
        <v>0</v>
      </c>
      <c r="L354" s="359" t="str">
        <f>IFERROR(VLOOKUP($A354,#REF!,5,0),"")</f>
        <v/>
      </c>
      <c r="M354" s="359" t="str">
        <f>IFERROR(VLOOKUP($A354,#REF!,7,0),"")</f>
        <v/>
      </c>
      <c r="N354" s="359"/>
      <c r="O354" s="359" t="str">
        <f>IFERROR(VLOOKUP($A354,#REF!,6,0),"")</f>
        <v/>
      </c>
      <c r="P354" s="359" t="str">
        <f>IFERROR(VLOOKUP($A354,#REF!,9,0),"")</f>
        <v/>
      </c>
      <c r="Q354" s="359" t="str">
        <f>IFERROR(VLOOKUP($A354,#REF!,10,0),"")</f>
        <v/>
      </c>
      <c r="R354" s="359" t="str">
        <f>IFERROR(VLOOKUP($A354,#REF!,11,0),"")</f>
        <v/>
      </c>
      <c r="S354" s="359" t="str">
        <f>IFERROR(VLOOKUP($A354,#REF!,13,0),"")</f>
        <v/>
      </c>
      <c r="T354" s="359" t="str">
        <f>IFERROR(VLOOKUP($A354,#REF!,14,0),"")</f>
        <v/>
      </c>
      <c r="U354" s="359" t="str">
        <f>IFERROR(VLOOKUP($A354,#REF!,15,0),"")</f>
        <v/>
      </c>
      <c r="V354" s="359" t="str">
        <f>IFERROR(VLOOKUP($A354,#REF!,16,0),"")</f>
        <v/>
      </c>
      <c r="W354" s="359" t="str">
        <f>IFERROR(VLOOKUP($A354,#REF!,17,0),"")</f>
        <v/>
      </c>
      <c r="X354" s="359" t="str">
        <f>IFERROR(VLOOKUP($A354,#REF!,18,0),"")</f>
        <v/>
      </c>
      <c r="Y354" s="359" t="str">
        <f>IFERROR(VLOOKUP($A354,#REF!,19,0),"")</f>
        <v/>
      </c>
      <c r="Z354" s="400" t="str">
        <f>IFERROR(VLOOKUP($A354,#REF!,21,0),"")</f>
        <v/>
      </c>
      <c r="AA354" s="359"/>
      <c r="AB354" s="359"/>
      <c r="AC354" s="359" t="s">
        <v>3075</v>
      </c>
      <c r="AD354" s="359" t="s">
        <v>47</v>
      </c>
      <c r="AE354" s="358"/>
      <c r="AF354" s="141"/>
      <c r="AG354" s="358"/>
      <c r="AH354" s="359"/>
      <c r="AI354" s="359"/>
      <c r="AJ354" s="359"/>
      <c r="AK354" s="359"/>
      <c r="AL354" s="359"/>
      <c r="AM354" s="359"/>
      <c r="AN354" s="358" t="s">
        <v>3581</v>
      </c>
      <c r="AO354" s="380"/>
      <c r="AP354" s="380"/>
      <c r="AQ354" s="384"/>
      <c r="AR354" s="358"/>
      <c r="AS354" s="358"/>
      <c r="AT354" s="358"/>
      <c r="AU354" s="380"/>
      <c r="AV354" s="100"/>
      <c r="AW354" s="100"/>
      <c r="AX354" s="95"/>
      <c r="AY354" s="100"/>
      <c r="AZ354" s="100"/>
      <c r="BA354" s="100"/>
      <c r="BB354" s="100"/>
      <c r="BC354" s="100"/>
      <c r="BD354" s="100"/>
      <c r="BE354" s="100"/>
      <c r="BF354" s="100"/>
      <c r="BG354" s="114"/>
      <c r="BH354" s="114"/>
      <c r="BI354" s="100"/>
      <c r="BJ354" s="100"/>
      <c r="BK354" s="95"/>
      <c r="BL354" s="360"/>
      <c r="BM354" s="348">
        <v>0</v>
      </c>
      <c r="BN354" s="348">
        <v>15</v>
      </c>
      <c r="BO354" s="349">
        <v>0</v>
      </c>
      <c r="BP354" s="349">
        <v>0</v>
      </c>
      <c r="BQ354" s="348">
        <v>0</v>
      </c>
      <c r="BR354" s="348">
        <f>SUM(BM354:BQ354)</f>
        <v>15</v>
      </c>
      <c r="BS354" s="350">
        <f>+BM354/BR354*BS$1</f>
        <v>0</v>
      </c>
      <c r="BT354" s="351">
        <f>+BN354/BR354*BT$1</f>
        <v>3</v>
      </c>
      <c r="BU354" s="351">
        <f t="shared" si="12"/>
        <v>0</v>
      </c>
      <c r="BV354" s="351">
        <f>+BO354/BR354*BV$1</f>
        <v>0</v>
      </c>
      <c r="BW354" s="351">
        <f>+BP354/BR354*BW$1</f>
        <v>0</v>
      </c>
      <c r="BZ354">
        <f t="shared" si="10"/>
        <v>1</v>
      </c>
    </row>
    <row r="355" spans="1:123" hidden="1">
      <c r="A355" s="35" t="str">
        <f t="shared" si="11"/>
        <v>ELPTMED_160/2646083</v>
      </c>
      <c r="C355" s="358" t="s">
        <v>2342</v>
      </c>
      <c r="D355" s="358">
        <v>352</v>
      </c>
      <c r="E355" s="360" t="s">
        <v>3605</v>
      </c>
      <c r="F355" s="359" t="s">
        <v>3606</v>
      </c>
      <c r="G355" s="400">
        <v>46083</v>
      </c>
      <c r="H355" s="358" t="s">
        <v>140</v>
      </c>
      <c r="I355" s="359">
        <v>2</v>
      </c>
      <c r="J355" s="359" t="str">
        <f>IFERROR(VLOOKUP($A355,#REF!,3,0),"")</f>
        <v/>
      </c>
      <c r="K355" s="359">
        <f>IFERROR(VLOOKUP($A355,#REF!,4,0),AF355)</f>
        <v>0</v>
      </c>
      <c r="L355" s="359" t="str">
        <f>IFERROR(VLOOKUP($A355,#REF!,5,0),"")</f>
        <v/>
      </c>
      <c r="M355" s="359" t="str">
        <f>IFERROR(VLOOKUP($A355,#REF!,7,0),"")</f>
        <v/>
      </c>
      <c r="N355" s="359"/>
      <c r="O355" s="359" t="str">
        <f>IFERROR(VLOOKUP($A355,#REF!,6,0),"")</f>
        <v/>
      </c>
      <c r="P355" s="359" t="str">
        <f>IFERROR(VLOOKUP($A355,#REF!,9,0),"")</f>
        <v/>
      </c>
      <c r="Q355" s="359" t="str">
        <f>IFERROR(VLOOKUP($A355,#REF!,10,0),"")</f>
        <v/>
      </c>
      <c r="R355" s="359" t="str">
        <f>IFERROR(VLOOKUP($A355,#REF!,11,0),"")</f>
        <v/>
      </c>
      <c r="S355" s="359" t="str">
        <f>IFERROR(VLOOKUP($A355,#REF!,13,0),"")</f>
        <v/>
      </c>
      <c r="T355" s="359" t="str">
        <f>IFERROR(VLOOKUP($A355,#REF!,14,0),"")</f>
        <v/>
      </c>
      <c r="U355" s="359" t="str">
        <f>IFERROR(VLOOKUP($A355,#REF!,15,0),"")</f>
        <v/>
      </c>
      <c r="V355" s="359" t="str">
        <f>IFERROR(VLOOKUP($A355,#REF!,16,0),"")</f>
        <v/>
      </c>
      <c r="W355" s="359" t="str">
        <f>IFERROR(VLOOKUP($A355,#REF!,17,0),"")</f>
        <v/>
      </c>
      <c r="X355" s="359" t="str">
        <f>IFERROR(VLOOKUP($A355,#REF!,18,0),"")</f>
        <v/>
      </c>
      <c r="Y355" s="359" t="str">
        <f>IFERROR(VLOOKUP($A355,#REF!,19,0),"")</f>
        <v/>
      </c>
      <c r="Z355" s="400" t="str">
        <f>IFERROR(VLOOKUP($A355,#REF!,21,0),"")</f>
        <v/>
      </c>
      <c r="AA355" s="359"/>
      <c r="AB355" s="359"/>
      <c r="AC355" s="359" t="s">
        <v>3075</v>
      </c>
      <c r="AD355" s="359" t="s">
        <v>47</v>
      </c>
      <c r="AE355" s="358"/>
      <c r="AF355" s="141"/>
      <c r="AG355" s="358"/>
      <c r="AH355" s="359"/>
      <c r="AI355" s="359"/>
      <c r="AJ355" s="359"/>
      <c r="AK355" s="359"/>
      <c r="AL355" s="359"/>
      <c r="AM355" s="359"/>
      <c r="AN355" s="358"/>
      <c r="AO355" s="380"/>
      <c r="AP355" s="380"/>
      <c r="AQ355" s="384"/>
      <c r="AR355" s="358"/>
      <c r="AS355" s="358"/>
      <c r="AT355" s="358"/>
      <c r="AU355" s="380"/>
      <c r="AV355" s="100"/>
      <c r="AW355" s="100"/>
      <c r="AX355" s="95"/>
      <c r="AY355" s="100"/>
      <c r="AZ355" s="100"/>
      <c r="BA355" s="100"/>
      <c r="BB355" s="100"/>
      <c r="BC355" s="100"/>
      <c r="BD355" s="100"/>
      <c r="BE355" s="100"/>
      <c r="BF355" s="100"/>
      <c r="BG355" s="114"/>
      <c r="BH355" s="114"/>
      <c r="BI355" s="100"/>
      <c r="BJ355" s="100"/>
      <c r="BK355" s="95"/>
      <c r="BL355" s="360"/>
      <c r="BM355" s="343"/>
      <c r="BN355" s="343"/>
      <c r="BO355" s="343"/>
      <c r="BP355" s="343"/>
      <c r="BQ355" s="343"/>
      <c r="BR355" s="343"/>
      <c r="BS355" s="139"/>
      <c r="BT355" s="140"/>
      <c r="BU355" s="351"/>
      <c r="BV355" s="140"/>
      <c r="BW355" s="140"/>
      <c r="BZ355">
        <f t="shared" si="10"/>
        <v>1</v>
      </c>
    </row>
    <row r="356" spans="1:123" hidden="1">
      <c r="A356" s="35" t="str">
        <f t="shared" si="11"/>
        <v>ELPTMED_161/2646083</v>
      </c>
      <c r="C356" s="358" t="s">
        <v>2342</v>
      </c>
      <c r="D356" s="358">
        <v>353</v>
      </c>
      <c r="E356" s="360" t="s">
        <v>3607</v>
      </c>
      <c r="F356" s="359" t="s">
        <v>960</v>
      </c>
      <c r="G356" s="400">
        <v>46083</v>
      </c>
      <c r="H356" s="358" t="s">
        <v>140</v>
      </c>
      <c r="I356" s="359">
        <v>3</v>
      </c>
      <c r="J356" s="359" t="str">
        <f>IFERROR(VLOOKUP($A356,#REF!,3,0),"")</f>
        <v/>
      </c>
      <c r="K356" s="359">
        <f>IFERROR(VLOOKUP($A356,#REF!,4,0),AF356)</f>
        <v>0</v>
      </c>
      <c r="L356" s="359" t="str">
        <f>IFERROR(VLOOKUP($A356,#REF!,5,0),"")</f>
        <v/>
      </c>
      <c r="M356" s="359" t="str">
        <f>IFERROR(VLOOKUP($A356,#REF!,7,0),"")</f>
        <v/>
      </c>
      <c r="N356" s="359"/>
      <c r="O356" s="359" t="str">
        <f>IFERROR(VLOOKUP($A356,#REF!,6,0),"")</f>
        <v/>
      </c>
      <c r="P356" s="359" t="str">
        <f>IFERROR(VLOOKUP($A356,#REF!,9,0),"")</f>
        <v/>
      </c>
      <c r="Q356" s="359" t="str">
        <f>IFERROR(VLOOKUP($A356,#REF!,10,0),"")</f>
        <v/>
      </c>
      <c r="R356" s="359" t="str">
        <f>IFERROR(VLOOKUP($A356,#REF!,11,0),"")</f>
        <v/>
      </c>
      <c r="S356" s="359" t="str">
        <f>IFERROR(VLOOKUP($A356,#REF!,13,0),"")</f>
        <v/>
      </c>
      <c r="T356" s="359" t="str">
        <f>IFERROR(VLOOKUP($A356,#REF!,14,0),"")</f>
        <v/>
      </c>
      <c r="U356" s="359" t="str">
        <f>IFERROR(VLOOKUP($A356,#REF!,15,0),"")</f>
        <v/>
      </c>
      <c r="V356" s="359" t="str">
        <f>IFERROR(VLOOKUP($A356,#REF!,16,0),"")</f>
        <v/>
      </c>
      <c r="W356" s="359" t="str">
        <f>IFERROR(VLOOKUP($A356,#REF!,17,0),"")</f>
        <v/>
      </c>
      <c r="X356" s="359" t="str">
        <f>IFERROR(VLOOKUP($A356,#REF!,18,0),"")</f>
        <v/>
      </c>
      <c r="Y356" s="359" t="str">
        <f>IFERROR(VLOOKUP($A356,#REF!,19,0),"")</f>
        <v/>
      </c>
      <c r="Z356" s="400" t="str">
        <f>IFERROR(VLOOKUP($A356,#REF!,21,0),"")</f>
        <v/>
      </c>
      <c r="AA356" s="359"/>
      <c r="AB356" s="359"/>
      <c r="AC356" s="359" t="s">
        <v>3075</v>
      </c>
      <c r="AD356" s="359" t="s">
        <v>47</v>
      </c>
      <c r="AE356" s="358"/>
      <c r="AF356" s="141"/>
      <c r="AG356" s="358"/>
      <c r="AH356" s="359"/>
      <c r="AI356" s="359"/>
      <c r="AJ356" s="359"/>
      <c r="AK356" s="359"/>
      <c r="AL356" s="359"/>
      <c r="AM356" s="359"/>
      <c r="AN356" s="358"/>
      <c r="AO356" s="380"/>
      <c r="AP356" s="380"/>
      <c r="AQ356" s="384"/>
      <c r="AR356" s="358"/>
      <c r="AS356" s="358"/>
      <c r="AT356" s="358"/>
      <c r="AU356" s="380"/>
      <c r="AV356" s="100"/>
      <c r="AW356" s="100"/>
      <c r="AX356" s="95"/>
      <c r="AY356" s="100"/>
      <c r="AZ356" s="100"/>
      <c r="BA356" s="100"/>
      <c r="BB356" s="100"/>
      <c r="BC356" s="100"/>
      <c r="BD356" s="100"/>
      <c r="BE356" s="100"/>
      <c r="BF356" s="100"/>
      <c r="BG356" s="114"/>
      <c r="BH356" s="114"/>
      <c r="BI356" s="100"/>
      <c r="BJ356" s="100"/>
      <c r="BK356" s="95"/>
      <c r="BL356" s="360"/>
      <c r="BN356" s="412"/>
      <c r="BO356" s="412"/>
      <c r="BP356" s="412"/>
      <c r="BQ356" s="412"/>
      <c r="BR356" s="412"/>
      <c r="BS356"/>
      <c r="BT356"/>
      <c r="BU356" s="351"/>
      <c r="BV356"/>
      <c r="BW356" s="109"/>
      <c r="BZ356">
        <f t="shared" si="10"/>
        <v>1</v>
      </c>
    </row>
    <row r="357" spans="1:123" hidden="1">
      <c r="A357" s="35" t="str">
        <f t="shared" si="11"/>
        <v>ELPTTCV_031/2646083</v>
      </c>
      <c r="C357" s="358" t="s">
        <v>2342</v>
      </c>
      <c r="D357" s="358">
        <v>354</v>
      </c>
      <c r="E357" s="360" t="s">
        <v>3608</v>
      </c>
      <c r="F357" s="359" t="s">
        <v>1250</v>
      </c>
      <c r="G357" s="400">
        <v>46083</v>
      </c>
      <c r="H357" s="358" t="s">
        <v>140</v>
      </c>
      <c r="I357" s="359">
        <v>2</v>
      </c>
      <c r="J357" s="359" t="str">
        <f>IFERROR(VLOOKUP($A357,#REF!,3,0),"")</f>
        <v/>
      </c>
      <c r="K357" s="359">
        <f>IFERROR(VLOOKUP($A357,#REF!,4,0),AF357)</f>
        <v>0</v>
      </c>
      <c r="L357" s="359" t="str">
        <f>IFERROR(VLOOKUP($A357,#REF!,5,0),"")</f>
        <v/>
      </c>
      <c r="M357" s="359" t="str">
        <f>IFERROR(VLOOKUP($A357,#REF!,7,0),"")</f>
        <v/>
      </c>
      <c r="N357" s="359"/>
      <c r="O357" s="359" t="str">
        <f>IFERROR(VLOOKUP($A357,#REF!,6,0),"")</f>
        <v/>
      </c>
      <c r="P357" s="359" t="str">
        <f>IFERROR(VLOOKUP($A357,#REF!,9,0),"")</f>
        <v/>
      </c>
      <c r="Q357" s="359" t="str">
        <f>IFERROR(VLOOKUP($A357,#REF!,10,0),"")</f>
        <v/>
      </c>
      <c r="R357" s="359" t="str">
        <f>IFERROR(VLOOKUP($A357,#REF!,11,0),"")</f>
        <v/>
      </c>
      <c r="S357" s="359" t="str">
        <f>IFERROR(VLOOKUP($A357,#REF!,13,0),"")</f>
        <v/>
      </c>
      <c r="T357" s="359" t="str">
        <f>IFERROR(VLOOKUP($A357,#REF!,14,0),"")</f>
        <v/>
      </c>
      <c r="U357" s="359" t="str">
        <f>IFERROR(VLOOKUP($A357,#REF!,15,0),"")</f>
        <v/>
      </c>
      <c r="V357" s="359" t="str">
        <f>IFERROR(VLOOKUP($A357,#REF!,16,0),"")</f>
        <v/>
      </c>
      <c r="W357" s="359" t="str">
        <f>IFERROR(VLOOKUP($A357,#REF!,17,0),"")</f>
        <v/>
      </c>
      <c r="X357" s="359" t="str">
        <f>IFERROR(VLOOKUP($A357,#REF!,18,0),"")</f>
        <v/>
      </c>
      <c r="Y357" s="359" t="str">
        <f>IFERROR(VLOOKUP($A357,#REF!,19,0),"")</f>
        <v/>
      </c>
      <c r="Z357" s="400" t="str">
        <f>IFERROR(VLOOKUP($A357,#REF!,21,0),"")</f>
        <v/>
      </c>
      <c r="AA357" s="359"/>
      <c r="AB357" s="359"/>
      <c r="AC357" s="359" t="s">
        <v>1076</v>
      </c>
      <c r="AD357" s="359" t="s">
        <v>3357</v>
      </c>
      <c r="AE357" s="358"/>
      <c r="AF357" s="141"/>
      <c r="AG357" s="358"/>
      <c r="AH357" s="359"/>
      <c r="AI357" s="359"/>
      <c r="AJ357" s="359"/>
      <c r="AK357" s="359"/>
      <c r="AL357" s="359"/>
      <c r="AM357" s="359"/>
      <c r="AN357" s="358"/>
      <c r="AO357" s="380"/>
      <c r="AP357" s="380"/>
      <c r="AQ357" s="384"/>
      <c r="AR357" s="358"/>
      <c r="AS357" s="358"/>
      <c r="AT357" s="358"/>
      <c r="AU357" s="380"/>
      <c r="AV357" s="100"/>
      <c r="AW357" s="100"/>
      <c r="AX357" s="95"/>
      <c r="AY357" s="100"/>
      <c r="AZ357" s="100"/>
      <c r="BA357" s="100"/>
      <c r="BB357" s="100"/>
      <c r="BC357" s="100"/>
      <c r="BD357" s="100"/>
      <c r="BE357" s="100"/>
      <c r="BF357" s="100"/>
      <c r="BG357" s="114"/>
      <c r="BH357" s="114"/>
      <c r="BI357" s="100"/>
      <c r="BJ357" s="100"/>
      <c r="BK357" s="95"/>
      <c r="BL357" s="360"/>
      <c r="BN357"/>
      <c r="BO357"/>
      <c r="BP357"/>
      <c r="BQ357"/>
      <c r="BR357"/>
      <c r="BS357" s="72"/>
      <c r="BU357" s="351"/>
      <c r="BW357" s="109"/>
      <c r="BZ357">
        <f t="shared" si="10"/>
        <v>1</v>
      </c>
    </row>
    <row r="358" spans="1:123" hidden="1">
      <c r="A358" s="35" t="str">
        <f t="shared" si="11"/>
        <v>ELPTTCV_032/2646083</v>
      </c>
      <c r="C358" s="358" t="s">
        <v>2342</v>
      </c>
      <c r="D358" s="358">
        <v>355</v>
      </c>
      <c r="E358" s="360" t="s">
        <v>3609</v>
      </c>
      <c r="F358" s="359" t="s">
        <v>829</v>
      </c>
      <c r="G358" s="400">
        <v>46083</v>
      </c>
      <c r="H358" s="358" t="s">
        <v>140</v>
      </c>
      <c r="I358" s="359">
        <v>6</v>
      </c>
      <c r="J358" s="359" t="str">
        <f>IFERROR(VLOOKUP($A358,#REF!,3,0),"")</f>
        <v/>
      </c>
      <c r="K358" s="359">
        <f>IFERROR(VLOOKUP($A358,#REF!,4,0),AF358)</f>
        <v>0</v>
      </c>
      <c r="L358" s="359" t="str">
        <f>IFERROR(VLOOKUP($A358,#REF!,5,0),"")</f>
        <v/>
      </c>
      <c r="M358" s="359" t="str">
        <f>IFERROR(VLOOKUP($A358,#REF!,7,0),"")</f>
        <v/>
      </c>
      <c r="N358" s="359"/>
      <c r="O358" s="359" t="str">
        <f>IFERROR(VLOOKUP($A358,#REF!,6,0),"")</f>
        <v/>
      </c>
      <c r="P358" s="359" t="str">
        <f>IFERROR(VLOOKUP($A358,#REF!,9,0),"")</f>
        <v/>
      </c>
      <c r="Q358" s="359" t="str">
        <f>IFERROR(VLOOKUP($A358,#REF!,10,0),"")</f>
        <v/>
      </c>
      <c r="R358" s="359" t="str">
        <f>IFERROR(VLOOKUP($A358,#REF!,11,0),"")</f>
        <v/>
      </c>
      <c r="S358" s="359" t="str">
        <f>IFERROR(VLOOKUP($A358,#REF!,13,0),"")</f>
        <v/>
      </c>
      <c r="T358" s="359" t="str">
        <f>IFERROR(VLOOKUP($A358,#REF!,14,0),"")</f>
        <v/>
      </c>
      <c r="U358" s="359" t="str">
        <f>IFERROR(VLOOKUP($A358,#REF!,15,0),"")</f>
        <v/>
      </c>
      <c r="V358" s="359" t="str">
        <f>IFERROR(VLOOKUP($A358,#REF!,16,0),"")</f>
        <v/>
      </c>
      <c r="W358" s="359" t="str">
        <f>IFERROR(VLOOKUP($A358,#REF!,17,0),"")</f>
        <v/>
      </c>
      <c r="X358" s="359" t="str">
        <f>IFERROR(VLOOKUP($A358,#REF!,18,0),"")</f>
        <v/>
      </c>
      <c r="Y358" s="359" t="str">
        <f>IFERROR(VLOOKUP($A358,#REF!,19,0),"")</f>
        <v/>
      </c>
      <c r="Z358" s="400" t="str">
        <f>IFERROR(VLOOKUP($A358,#REF!,21,0),"")</f>
        <v/>
      </c>
      <c r="AA358" s="359"/>
      <c r="AB358" s="359"/>
      <c r="AC358" s="359" t="s">
        <v>1076</v>
      </c>
      <c r="AD358" s="359" t="s">
        <v>3357</v>
      </c>
      <c r="AE358" s="358"/>
      <c r="AF358" s="141"/>
      <c r="AG358" s="358"/>
      <c r="AH358" s="359"/>
      <c r="AI358" s="359"/>
      <c r="AJ358" s="359"/>
      <c r="AK358" s="359"/>
      <c r="AL358" s="359"/>
      <c r="AM358" s="359"/>
      <c r="AN358" s="358"/>
      <c r="AO358" s="380"/>
      <c r="AP358" s="380"/>
      <c r="AQ358" s="384"/>
      <c r="AR358" s="358"/>
      <c r="AS358" s="358"/>
      <c r="AT358" s="358"/>
      <c r="AU358" s="380"/>
      <c r="AV358" s="100"/>
      <c r="AW358" s="100"/>
      <c r="AX358" s="95"/>
      <c r="AY358" s="100"/>
      <c r="AZ358" s="100"/>
      <c r="BA358" s="100"/>
      <c r="BB358" s="100"/>
      <c r="BC358" s="100"/>
      <c r="BD358" s="100"/>
      <c r="BE358" s="100"/>
      <c r="BF358" s="100"/>
      <c r="BG358" s="114"/>
      <c r="BH358" s="114"/>
      <c r="BI358" s="100"/>
      <c r="BJ358" s="100"/>
      <c r="BK358" s="95"/>
      <c r="BL358" s="360"/>
      <c r="BM358" s="343"/>
      <c r="BN358" s="343"/>
      <c r="BO358" s="343"/>
      <c r="BP358" s="343"/>
      <c r="BQ358" s="343"/>
      <c r="BR358" s="343"/>
      <c r="BS358" s="139"/>
      <c r="BT358" s="140"/>
      <c r="BU358" s="351"/>
      <c r="BV358" s="140"/>
      <c r="BW358" s="140"/>
      <c r="BZ358">
        <f t="shared" si="10"/>
        <v>1</v>
      </c>
    </row>
    <row r="359" spans="1:123" hidden="1">
      <c r="A359" s="35" t="str">
        <f t="shared" si="11"/>
        <v>ELPTTCV_033/2646083</v>
      </c>
      <c r="C359" s="358" t="s">
        <v>2342</v>
      </c>
      <c r="D359" s="358">
        <v>356</v>
      </c>
      <c r="E359" s="360" t="s">
        <v>3610</v>
      </c>
      <c r="F359" s="359" t="s">
        <v>937</v>
      </c>
      <c r="G359" s="400">
        <v>46083</v>
      </c>
      <c r="H359" s="358" t="s">
        <v>140</v>
      </c>
      <c r="I359" s="359">
        <v>1</v>
      </c>
      <c r="J359" s="359" t="str">
        <f>IFERROR(VLOOKUP($A359,#REF!,3,0),"")</f>
        <v/>
      </c>
      <c r="K359" s="359">
        <f>IFERROR(VLOOKUP($A359,#REF!,4,0),AF359)</f>
        <v>0</v>
      </c>
      <c r="L359" s="359" t="str">
        <f>IFERROR(VLOOKUP($A359,#REF!,5,0),"")</f>
        <v/>
      </c>
      <c r="M359" s="359" t="str">
        <f>IFERROR(VLOOKUP($A359,#REF!,7,0),"")</f>
        <v/>
      </c>
      <c r="N359" s="359"/>
      <c r="O359" s="359" t="str">
        <f>IFERROR(VLOOKUP($A359,#REF!,6,0),"")</f>
        <v/>
      </c>
      <c r="P359" s="359" t="str">
        <f>IFERROR(VLOOKUP($A359,#REF!,9,0),"")</f>
        <v/>
      </c>
      <c r="Q359" s="359" t="str">
        <f>IFERROR(VLOOKUP($A359,#REF!,10,0),"")</f>
        <v/>
      </c>
      <c r="R359" s="359" t="str">
        <f>IFERROR(VLOOKUP($A359,#REF!,11,0),"")</f>
        <v/>
      </c>
      <c r="S359" s="359" t="str">
        <f>IFERROR(VLOOKUP($A359,#REF!,13,0),"")</f>
        <v/>
      </c>
      <c r="T359" s="359" t="str">
        <f>IFERROR(VLOOKUP($A359,#REF!,14,0),"")</f>
        <v/>
      </c>
      <c r="U359" s="359" t="str">
        <f>IFERROR(VLOOKUP($A359,#REF!,15,0),"")</f>
        <v/>
      </c>
      <c r="V359" s="359" t="str">
        <f>IFERROR(VLOOKUP($A359,#REF!,16,0),"")</f>
        <v/>
      </c>
      <c r="W359" s="359" t="str">
        <f>IFERROR(VLOOKUP($A359,#REF!,17,0),"")</f>
        <v/>
      </c>
      <c r="X359" s="359" t="str">
        <f>IFERROR(VLOOKUP($A359,#REF!,18,0),"")</f>
        <v/>
      </c>
      <c r="Y359" s="359" t="str">
        <f>IFERROR(VLOOKUP($A359,#REF!,19,0),"")</f>
        <v/>
      </c>
      <c r="Z359" s="400" t="str">
        <f>IFERROR(VLOOKUP($A359,#REF!,21,0),"")</f>
        <v/>
      </c>
      <c r="AA359" s="359"/>
      <c r="AB359" s="359"/>
      <c r="AC359" s="359" t="s">
        <v>1076</v>
      </c>
      <c r="AD359" s="359" t="s">
        <v>3357</v>
      </c>
      <c r="AE359" s="358"/>
      <c r="AF359" s="141"/>
      <c r="AG359" s="358"/>
      <c r="AH359" s="359"/>
      <c r="AI359" s="359"/>
      <c r="AJ359" s="359"/>
      <c r="AK359" s="359"/>
      <c r="AL359" s="359"/>
      <c r="AM359" s="359"/>
      <c r="AN359" s="358"/>
      <c r="AO359" s="380"/>
      <c r="AP359" s="380"/>
      <c r="AQ359" s="384"/>
      <c r="AR359" s="358"/>
      <c r="AS359" s="358"/>
      <c r="AT359" s="358"/>
      <c r="AU359" s="380"/>
      <c r="AV359" s="100"/>
      <c r="AW359" s="100"/>
      <c r="AX359" s="95"/>
      <c r="AY359" s="100"/>
      <c r="AZ359" s="100"/>
      <c r="BA359" s="100"/>
      <c r="BB359" s="100"/>
      <c r="BC359" s="100"/>
      <c r="BD359" s="100"/>
      <c r="BE359" s="100"/>
      <c r="BF359" s="100"/>
      <c r="BG359" s="114"/>
      <c r="BH359" s="114"/>
      <c r="BI359" s="100"/>
      <c r="BJ359" s="100"/>
      <c r="BK359" s="95"/>
      <c r="BL359" s="360"/>
      <c r="BN359" s="412"/>
      <c r="BO359" s="412"/>
      <c r="BP359" s="412"/>
      <c r="BQ359" s="412"/>
      <c r="BR359" s="412"/>
      <c r="BS359"/>
      <c r="BT359"/>
      <c r="BU359" s="351"/>
      <c r="BV359"/>
      <c r="BW359" s="109"/>
      <c r="BZ359">
        <f t="shared" si="10"/>
        <v>1</v>
      </c>
    </row>
    <row r="360" spans="1:123" hidden="1">
      <c r="A360" s="35" t="str">
        <f t="shared" si="11"/>
        <v>ELPTTCV_034/2646083</v>
      </c>
      <c r="C360" s="358" t="s">
        <v>2342</v>
      </c>
      <c r="D360" s="358">
        <v>357</v>
      </c>
      <c r="E360" s="360" t="s">
        <v>3611</v>
      </c>
      <c r="F360" s="359" t="s">
        <v>1212</v>
      </c>
      <c r="G360" s="400">
        <v>46083</v>
      </c>
      <c r="H360" s="358" t="s">
        <v>140</v>
      </c>
      <c r="I360" s="359">
        <v>1</v>
      </c>
      <c r="J360" s="359" t="str">
        <f>IFERROR(VLOOKUP($A360,#REF!,3,0),"")</f>
        <v/>
      </c>
      <c r="K360" s="359">
        <f>IFERROR(VLOOKUP($A360,#REF!,4,0),AF360)</f>
        <v>0</v>
      </c>
      <c r="L360" s="359" t="str">
        <f>IFERROR(VLOOKUP($A360,#REF!,5,0),"")</f>
        <v/>
      </c>
      <c r="M360" s="359" t="str">
        <f>IFERROR(VLOOKUP($A360,#REF!,7,0),"")</f>
        <v/>
      </c>
      <c r="N360" s="359"/>
      <c r="O360" s="359" t="str">
        <f>IFERROR(VLOOKUP($A360,#REF!,6,0),"")</f>
        <v/>
      </c>
      <c r="P360" s="359" t="str">
        <f>IFERROR(VLOOKUP($A360,#REF!,9,0),"")</f>
        <v/>
      </c>
      <c r="Q360" s="359" t="str">
        <f>IFERROR(VLOOKUP($A360,#REF!,10,0),"")</f>
        <v/>
      </c>
      <c r="R360" s="359" t="str">
        <f>IFERROR(VLOOKUP($A360,#REF!,11,0),"")</f>
        <v/>
      </c>
      <c r="S360" s="359" t="str">
        <f>IFERROR(VLOOKUP($A360,#REF!,13,0),"")</f>
        <v/>
      </c>
      <c r="T360" s="359" t="str">
        <f>IFERROR(VLOOKUP($A360,#REF!,14,0),"")</f>
        <v/>
      </c>
      <c r="U360" s="359" t="str">
        <f>IFERROR(VLOOKUP($A360,#REF!,15,0),"")</f>
        <v/>
      </c>
      <c r="V360" s="359" t="str">
        <f>IFERROR(VLOOKUP($A360,#REF!,16,0),"")</f>
        <v/>
      </c>
      <c r="W360" s="359" t="str">
        <f>IFERROR(VLOOKUP($A360,#REF!,17,0),"")</f>
        <v/>
      </c>
      <c r="X360" s="359" t="str">
        <f>IFERROR(VLOOKUP($A360,#REF!,18,0),"")</f>
        <v/>
      </c>
      <c r="Y360" s="359" t="str">
        <f>IFERROR(VLOOKUP($A360,#REF!,19,0),"")</f>
        <v/>
      </c>
      <c r="Z360" s="400" t="str">
        <f>IFERROR(VLOOKUP($A360,#REF!,21,0),"")</f>
        <v/>
      </c>
      <c r="AA360" s="359"/>
      <c r="AB360" s="359"/>
      <c r="AC360" s="359" t="s">
        <v>1076</v>
      </c>
      <c r="AD360" s="359" t="s">
        <v>3357</v>
      </c>
      <c r="AE360" s="358"/>
      <c r="AF360" s="141"/>
      <c r="AG360" s="358"/>
      <c r="AH360" s="359"/>
      <c r="AI360" s="359"/>
      <c r="AJ360" s="359"/>
      <c r="AK360" s="359"/>
      <c r="AL360" s="359"/>
      <c r="AM360" s="359"/>
      <c r="AN360" s="358"/>
      <c r="AO360" s="380"/>
      <c r="AP360" s="380"/>
      <c r="AQ360" s="384"/>
      <c r="AR360" s="358"/>
      <c r="AS360" s="358"/>
      <c r="AT360" s="358"/>
      <c r="AU360" s="380"/>
      <c r="AV360" s="100"/>
      <c r="AW360" s="100"/>
      <c r="AX360" s="95"/>
      <c r="AY360" s="100"/>
      <c r="AZ360" s="100"/>
      <c r="BA360" s="100"/>
      <c r="BB360" s="100"/>
      <c r="BC360" s="100"/>
      <c r="BD360" s="100"/>
      <c r="BE360" s="100"/>
      <c r="BF360" s="100"/>
      <c r="BG360" s="114"/>
      <c r="BH360" s="114"/>
      <c r="BI360" s="100"/>
      <c r="BJ360" s="100"/>
      <c r="BK360" s="95"/>
      <c r="BL360" s="360"/>
      <c r="BN360"/>
      <c r="BO360"/>
      <c r="BP360"/>
      <c r="BQ360"/>
      <c r="BR360"/>
      <c r="BS360" s="72"/>
      <c r="BU360" s="351"/>
      <c r="BW360" s="109"/>
      <c r="BZ360">
        <f t="shared" si="10"/>
        <v>1</v>
      </c>
    </row>
    <row r="361" spans="1:123" hidden="1">
      <c r="A361" s="35" t="str">
        <f t="shared" si="11"/>
        <v>ELPTTCV_035/2646083</v>
      </c>
      <c r="C361" s="358" t="s">
        <v>2342</v>
      </c>
      <c r="D361" s="358">
        <v>358</v>
      </c>
      <c r="E361" s="360" t="s">
        <v>3612</v>
      </c>
      <c r="F361" s="359" t="s">
        <v>1184</v>
      </c>
      <c r="G361" s="400">
        <v>46083</v>
      </c>
      <c r="H361" s="358" t="s">
        <v>140</v>
      </c>
      <c r="I361" s="359">
        <v>1</v>
      </c>
      <c r="J361" s="359" t="str">
        <f>IFERROR(VLOOKUP($A361,#REF!,3,0),"")</f>
        <v/>
      </c>
      <c r="K361" s="359">
        <f>IFERROR(VLOOKUP($A361,#REF!,4,0),AF361)</f>
        <v>0</v>
      </c>
      <c r="L361" s="359" t="str">
        <f>IFERROR(VLOOKUP($A361,#REF!,5,0),"")</f>
        <v/>
      </c>
      <c r="M361" s="359" t="str">
        <f>IFERROR(VLOOKUP($A361,#REF!,7,0),"")</f>
        <v/>
      </c>
      <c r="N361" s="359"/>
      <c r="O361" s="359" t="str">
        <f>IFERROR(VLOOKUP($A361,#REF!,6,0),"")</f>
        <v/>
      </c>
      <c r="P361" s="359" t="str">
        <f>IFERROR(VLOOKUP($A361,#REF!,9,0),"")</f>
        <v/>
      </c>
      <c r="Q361" s="359" t="str">
        <f>IFERROR(VLOOKUP($A361,#REF!,10,0),"")</f>
        <v/>
      </c>
      <c r="R361" s="359" t="str">
        <f>IFERROR(VLOOKUP($A361,#REF!,11,0),"")</f>
        <v/>
      </c>
      <c r="S361" s="359" t="str">
        <f>IFERROR(VLOOKUP($A361,#REF!,13,0),"")</f>
        <v/>
      </c>
      <c r="T361" s="359" t="str">
        <f>IFERROR(VLOOKUP($A361,#REF!,14,0),"")</f>
        <v/>
      </c>
      <c r="U361" s="359" t="str">
        <f>IFERROR(VLOOKUP($A361,#REF!,15,0),"")</f>
        <v/>
      </c>
      <c r="V361" s="359" t="str">
        <f>IFERROR(VLOOKUP($A361,#REF!,16,0),"")</f>
        <v/>
      </c>
      <c r="W361" s="359" t="str">
        <f>IFERROR(VLOOKUP($A361,#REF!,17,0),"")</f>
        <v/>
      </c>
      <c r="X361" s="359" t="str">
        <f>IFERROR(VLOOKUP($A361,#REF!,18,0),"")</f>
        <v/>
      </c>
      <c r="Y361" s="359" t="str">
        <f>IFERROR(VLOOKUP($A361,#REF!,19,0),"")</f>
        <v/>
      </c>
      <c r="Z361" s="400" t="str">
        <f>IFERROR(VLOOKUP($A361,#REF!,21,0),"")</f>
        <v/>
      </c>
      <c r="AA361" s="359"/>
      <c r="AB361" s="359"/>
      <c r="AC361" s="359" t="s">
        <v>1076</v>
      </c>
      <c r="AD361" s="359" t="s">
        <v>3357</v>
      </c>
      <c r="AE361" s="358"/>
      <c r="AF361" s="141"/>
      <c r="AG361" s="358"/>
      <c r="AH361" s="359"/>
      <c r="AI361" s="359"/>
      <c r="AJ361" s="359"/>
      <c r="AK361" s="359"/>
      <c r="AL361" s="359"/>
      <c r="AM361" s="359"/>
      <c r="AN361" s="358"/>
      <c r="AO361" s="380"/>
      <c r="AP361" s="380"/>
      <c r="AQ361" s="384"/>
      <c r="AR361" s="358"/>
      <c r="AS361" s="358"/>
      <c r="AT361" s="358"/>
      <c r="AU361" s="380"/>
      <c r="AV361" s="100"/>
      <c r="AW361" s="100"/>
      <c r="AX361" s="95"/>
      <c r="AY361" s="100"/>
      <c r="AZ361" s="100"/>
      <c r="BA361" s="100"/>
      <c r="BB361" s="100"/>
      <c r="BC361" s="100"/>
      <c r="BD361" s="100"/>
      <c r="BE361" s="100"/>
      <c r="BF361" s="100"/>
      <c r="BG361" s="114"/>
      <c r="BH361" s="114"/>
      <c r="BI361" s="100"/>
      <c r="BJ361" s="100"/>
      <c r="BK361" s="95"/>
      <c r="BL361" s="360"/>
      <c r="BM361" s="343"/>
      <c r="BN361" s="343"/>
      <c r="BO361" s="343"/>
      <c r="BP361" s="343"/>
      <c r="BQ361" s="343"/>
      <c r="BR361" s="343"/>
      <c r="BS361" s="139"/>
      <c r="BT361" s="140"/>
      <c r="BU361" s="351"/>
      <c r="BV361" s="140"/>
      <c r="BW361" s="140"/>
      <c r="BZ361">
        <f t="shared" si="10"/>
        <v>1</v>
      </c>
    </row>
    <row r="362" spans="1:123" hidden="1">
      <c r="A362" s="35" t="str">
        <f t="shared" si="11"/>
        <v>ELPTTCV_036/2646083</v>
      </c>
      <c r="C362" s="358" t="s">
        <v>2342</v>
      </c>
      <c r="D362" s="358">
        <v>359</v>
      </c>
      <c r="E362" s="360" t="s">
        <v>3613</v>
      </c>
      <c r="F362" s="359" t="s">
        <v>2512</v>
      </c>
      <c r="G362" s="400">
        <v>46083</v>
      </c>
      <c r="H362" s="358" t="s">
        <v>140</v>
      </c>
      <c r="I362" s="359">
        <v>5</v>
      </c>
      <c r="J362" s="359" t="str">
        <f>IFERROR(VLOOKUP($A362,#REF!,3,0),"")</f>
        <v/>
      </c>
      <c r="K362" s="359">
        <f>IFERROR(VLOOKUP($A362,#REF!,4,0),AF362)</f>
        <v>0</v>
      </c>
      <c r="L362" s="359" t="str">
        <f>IFERROR(VLOOKUP($A362,#REF!,5,0),"")</f>
        <v/>
      </c>
      <c r="M362" s="359" t="str">
        <f>IFERROR(VLOOKUP($A362,#REF!,7,0),"")</f>
        <v/>
      </c>
      <c r="N362" s="359"/>
      <c r="O362" s="359" t="str">
        <f>IFERROR(VLOOKUP($A362,#REF!,6,0),"")</f>
        <v/>
      </c>
      <c r="P362" s="359" t="str">
        <f>IFERROR(VLOOKUP($A362,#REF!,9,0),"")</f>
        <v/>
      </c>
      <c r="Q362" s="359" t="str">
        <f>IFERROR(VLOOKUP($A362,#REF!,10,0),"")</f>
        <v/>
      </c>
      <c r="R362" s="359" t="str">
        <f>IFERROR(VLOOKUP($A362,#REF!,11,0),"")</f>
        <v/>
      </c>
      <c r="S362" s="359" t="str">
        <f>IFERROR(VLOOKUP($A362,#REF!,13,0),"")</f>
        <v/>
      </c>
      <c r="T362" s="359" t="str">
        <f>IFERROR(VLOOKUP($A362,#REF!,14,0),"")</f>
        <v/>
      </c>
      <c r="U362" s="359" t="str">
        <f>IFERROR(VLOOKUP($A362,#REF!,15,0),"")</f>
        <v/>
      </c>
      <c r="V362" s="359" t="str">
        <f>IFERROR(VLOOKUP($A362,#REF!,16,0),"")</f>
        <v/>
      </c>
      <c r="W362" s="359" t="str">
        <f>IFERROR(VLOOKUP($A362,#REF!,17,0),"")</f>
        <v/>
      </c>
      <c r="X362" s="359" t="str">
        <f>IFERROR(VLOOKUP($A362,#REF!,18,0),"")</f>
        <v/>
      </c>
      <c r="Y362" s="359" t="str">
        <f>IFERROR(VLOOKUP($A362,#REF!,19,0),"")</f>
        <v/>
      </c>
      <c r="Z362" s="400" t="str">
        <f>IFERROR(VLOOKUP($A362,#REF!,21,0),"")</f>
        <v/>
      </c>
      <c r="AA362" s="359"/>
      <c r="AB362" s="359"/>
      <c r="AC362" s="359" t="s">
        <v>1076</v>
      </c>
      <c r="AD362" s="359" t="s">
        <v>3357</v>
      </c>
      <c r="AE362" s="358"/>
      <c r="AF362" s="141"/>
      <c r="AG362" s="358"/>
      <c r="AH362" s="359"/>
      <c r="AI362" s="359"/>
      <c r="AJ362" s="359"/>
      <c r="AK362" s="359"/>
      <c r="AL362" s="359"/>
      <c r="AM362" s="359"/>
      <c r="AN362" s="358"/>
      <c r="AO362" s="380"/>
      <c r="AP362" s="380"/>
      <c r="AQ362" s="384"/>
      <c r="AR362" s="358"/>
      <c r="AS362" s="358"/>
      <c r="AT362" s="358"/>
      <c r="AU362" s="380"/>
      <c r="AV362" s="100"/>
      <c r="AW362" s="100"/>
      <c r="AX362" s="95"/>
      <c r="AY362" s="100"/>
      <c r="AZ362" s="100"/>
      <c r="BA362" s="100"/>
      <c r="BB362" s="100"/>
      <c r="BC362" s="100"/>
      <c r="BD362" s="100"/>
      <c r="BE362" s="100"/>
      <c r="BF362" s="100"/>
      <c r="BG362" s="114"/>
      <c r="BH362" s="114"/>
      <c r="BI362" s="100"/>
      <c r="BJ362" s="100"/>
      <c r="BK362" s="95"/>
      <c r="BL362" s="360"/>
      <c r="BN362" s="412"/>
      <c r="BO362" s="412"/>
      <c r="BP362" s="412"/>
      <c r="BQ362" s="412"/>
      <c r="BR362" s="412"/>
      <c r="BS362"/>
      <c r="BT362"/>
      <c r="BU362" s="351"/>
      <c r="BV362"/>
      <c r="BW362" s="109"/>
      <c r="BZ362">
        <f t="shared" si="10"/>
        <v>1</v>
      </c>
    </row>
    <row r="363" spans="1:123" ht="18" hidden="1" customHeight="1">
      <c r="A363" s="35" t="str">
        <f t="shared" si="11"/>
        <v>M138/2646083</v>
      </c>
      <c r="C363" s="358" t="s">
        <v>24</v>
      </c>
      <c r="D363" s="358">
        <v>360</v>
      </c>
      <c r="E363" s="358" t="s">
        <v>3614</v>
      </c>
      <c r="F363" s="358" t="s">
        <v>102</v>
      </c>
      <c r="G363" s="384">
        <v>46083</v>
      </c>
      <c r="H363" s="358" t="s">
        <v>412</v>
      </c>
      <c r="I363" s="358">
        <v>10</v>
      </c>
      <c r="J363" s="359" t="str">
        <f>IFERROR(VLOOKUP($A363,#REF!,3,0),"")</f>
        <v/>
      </c>
      <c r="K363" s="359" t="str">
        <f>IFERROR(VLOOKUP($A363,#REF!,4,0),AF363)</f>
        <v>EXT</v>
      </c>
      <c r="L363" s="359" t="str">
        <f>IFERROR(VLOOKUP($A363,#REF!,5,0),"")</f>
        <v/>
      </c>
      <c r="M363" s="359" t="str">
        <f>IFERROR(VLOOKUP($A363,#REF!,7,0),"")</f>
        <v/>
      </c>
      <c r="N363" s="359"/>
      <c r="O363" s="359" t="str">
        <f>IFERROR(VLOOKUP($A363,#REF!,6,0),"")</f>
        <v/>
      </c>
      <c r="P363" s="359" t="str">
        <f>IFERROR(VLOOKUP($A363,#REF!,9,0),"")</f>
        <v/>
      </c>
      <c r="Q363" s="359" t="str">
        <f>IFERROR(VLOOKUP($A363,#REF!,10,0),"")</f>
        <v/>
      </c>
      <c r="R363" s="359" t="str">
        <f>IFERROR(VLOOKUP($A363,#REF!,11,0),"")</f>
        <v/>
      </c>
      <c r="S363" s="359" t="str">
        <f>IFERROR(VLOOKUP($A363,#REF!,13,0),"")</f>
        <v/>
      </c>
      <c r="T363" s="359" t="str">
        <f>IFERROR(VLOOKUP($A363,#REF!,14,0),"")</f>
        <v/>
      </c>
      <c r="U363" s="359" t="str">
        <f>IFERROR(VLOOKUP($A363,#REF!,15,0),"")</f>
        <v/>
      </c>
      <c r="V363" s="359" t="str">
        <f>IFERROR(VLOOKUP($A363,#REF!,16,0),"")</f>
        <v/>
      </c>
      <c r="W363" s="359" t="str">
        <f>IFERROR(VLOOKUP($A363,#REF!,17,0),"")</f>
        <v/>
      </c>
      <c r="X363" s="359" t="str">
        <f>IFERROR(VLOOKUP($A363,#REF!,18,0),"")</f>
        <v/>
      </c>
      <c r="Y363" s="359" t="str">
        <f>IFERROR(VLOOKUP($A363,#REF!,19,0),"")</f>
        <v/>
      </c>
      <c r="Z363" s="400" t="str">
        <f>IFERROR(VLOOKUP($A363,#REF!,21,0),"")</f>
        <v/>
      </c>
      <c r="AA363" s="358"/>
      <c r="AB363" s="358"/>
      <c r="AC363" s="358" t="s">
        <v>1077</v>
      </c>
      <c r="AD363" s="358" t="s">
        <v>1138</v>
      </c>
      <c r="AE363" s="358"/>
      <c r="AF363" s="141" t="s">
        <v>3082</v>
      </c>
      <c r="AG363" s="358" t="s">
        <v>3615</v>
      </c>
      <c r="AH363" s="358" t="s">
        <v>3455</v>
      </c>
      <c r="AI363" s="358" t="s">
        <v>3455</v>
      </c>
      <c r="AJ363" s="141" t="s">
        <v>3616</v>
      </c>
      <c r="AK363" s="141"/>
      <c r="AL363" s="141"/>
      <c r="AM363" s="141"/>
      <c r="AN363" s="120"/>
      <c r="AO363" s="120"/>
      <c r="AP363" s="120"/>
      <c r="AQ363" s="313"/>
      <c r="AR363" s="119"/>
      <c r="AS363" s="22"/>
      <c r="AT363" s="22"/>
      <c r="AU363" s="22"/>
      <c r="AV363" s="82" t="s">
        <v>30</v>
      </c>
      <c r="AW363" s="82" t="s">
        <v>30</v>
      </c>
      <c r="AX363" s="82"/>
      <c r="AY363" s="82"/>
      <c r="AZ363" s="82"/>
      <c r="BA363" s="82"/>
      <c r="BB363" s="82"/>
      <c r="BC363" s="82"/>
      <c r="BD363" s="82"/>
      <c r="BE363" s="82"/>
      <c r="BF363" s="82"/>
      <c r="BG363" s="112"/>
      <c r="BH363" s="112"/>
      <c r="BI363" s="112"/>
      <c r="BJ363" s="112"/>
      <c r="BK363" s="82"/>
      <c r="BL363" s="82"/>
      <c r="BN363" s="412"/>
      <c r="BO363" s="412"/>
      <c r="BP363" s="412"/>
      <c r="BQ363" s="412"/>
      <c r="BR363" s="412"/>
      <c r="BZ363">
        <f t="shared" si="10"/>
        <v>1</v>
      </c>
    </row>
    <row r="364" spans="1:123" s="272" customFormat="1" hidden="1">
      <c r="A364" s="35" t="str">
        <f t="shared" si="11"/>
        <v>M024/2646084</v>
      </c>
      <c r="B364" s="35"/>
      <c r="C364" s="358" t="s">
        <v>24</v>
      </c>
      <c r="D364" s="358">
        <v>361</v>
      </c>
      <c r="E364" s="141" t="s">
        <v>3617</v>
      </c>
      <c r="F364" s="141" t="s">
        <v>102</v>
      </c>
      <c r="G364" s="128">
        <v>46084</v>
      </c>
      <c r="H364" s="141" t="s">
        <v>1478</v>
      </c>
      <c r="I364" s="141">
        <v>10</v>
      </c>
      <c r="J364" s="359" t="str">
        <f>IFERROR(VLOOKUP($A364,#REF!,3,0),"")</f>
        <v/>
      </c>
      <c r="K364" s="359" t="str">
        <f>IFERROR(VLOOKUP($A364,#REF!,4,0),AF364)</f>
        <v>EXT</v>
      </c>
      <c r="L364" s="359" t="str">
        <f>IFERROR(VLOOKUP($A364,#REF!,5,0),"")</f>
        <v/>
      </c>
      <c r="M364" s="359" t="str">
        <f>IFERROR(VLOOKUP($A364,#REF!,7,0),"")</f>
        <v/>
      </c>
      <c r="N364" s="359"/>
      <c r="O364" s="359" t="str">
        <f>IFERROR(VLOOKUP($A364,#REF!,6,0),"")</f>
        <v/>
      </c>
      <c r="P364" s="359" t="str">
        <f>IFERROR(VLOOKUP($A364,#REF!,9,0),"")</f>
        <v/>
      </c>
      <c r="Q364" s="359" t="str">
        <f>IFERROR(VLOOKUP($A364,#REF!,10,0),"")</f>
        <v/>
      </c>
      <c r="R364" s="359" t="str">
        <f>IFERROR(VLOOKUP($A364,#REF!,11,0),"")</f>
        <v/>
      </c>
      <c r="S364" s="359" t="str">
        <f>IFERROR(VLOOKUP($A364,#REF!,13,0),"")</f>
        <v/>
      </c>
      <c r="T364" s="359" t="str">
        <f>IFERROR(VLOOKUP($A364,#REF!,14,0),"")</f>
        <v/>
      </c>
      <c r="U364" s="359" t="str">
        <f>IFERROR(VLOOKUP($A364,#REF!,15,0),"")</f>
        <v/>
      </c>
      <c r="V364" s="359" t="str">
        <f>IFERROR(VLOOKUP($A364,#REF!,16,0),"")</f>
        <v/>
      </c>
      <c r="W364" s="359" t="str">
        <f>IFERROR(VLOOKUP($A364,#REF!,17,0),"")</f>
        <v/>
      </c>
      <c r="X364" s="359" t="str">
        <f>IFERROR(VLOOKUP($A364,#REF!,18,0),"")</f>
        <v/>
      </c>
      <c r="Y364" s="359" t="str">
        <f>IFERROR(VLOOKUP($A364,#REF!,19,0),"")</f>
        <v/>
      </c>
      <c r="Z364" s="400" t="str">
        <f>IFERROR(VLOOKUP($A364,#REF!,21,0),"")</f>
        <v/>
      </c>
      <c r="AA364" s="141"/>
      <c r="AB364" s="141"/>
      <c r="AC364" s="141" t="s">
        <v>1721</v>
      </c>
      <c r="AD364" s="141" t="s">
        <v>1638</v>
      </c>
      <c r="AE364" s="141"/>
      <c r="AF364" s="141" t="s">
        <v>3082</v>
      </c>
      <c r="AG364" s="141" t="s">
        <v>2270</v>
      </c>
      <c r="AH364" s="358" t="s">
        <v>3455</v>
      </c>
      <c r="AI364" s="358" t="s">
        <v>3455</v>
      </c>
      <c r="AJ364" s="141" t="s">
        <v>2050</v>
      </c>
      <c r="AK364" s="141"/>
      <c r="AL364" s="141"/>
      <c r="AM364" s="141"/>
      <c r="AN364" s="120"/>
      <c r="AO364" s="120"/>
      <c r="AP364" s="120"/>
      <c r="AQ364" s="313"/>
      <c r="AR364" s="119"/>
      <c r="AS364" s="22"/>
      <c r="AT364" s="22"/>
      <c r="AU364" s="22"/>
      <c r="AV364" s="2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112"/>
      <c r="BH364" s="112"/>
      <c r="BI364" s="112"/>
      <c r="BJ364" s="112"/>
      <c r="BK364" s="82"/>
      <c r="BL364" s="82"/>
      <c r="BM364"/>
      <c r="BN364" s="412"/>
      <c r="BO364" s="412"/>
      <c r="BP364" s="412"/>
      <c r="BQ364" s="412"/>
      <c r="BR364" s="412"/>
      <c r="BS364" s="96"/>
      <c r="BT364" s="96"/>
      <c r="BU364" s="96"/>
      <c r="BV364" s="96"/>
      <c r="BW364"/>
      <c r="BX364"/>
      <c r="BY364"/>
      <c r="BZ364">
        <f t="shared" si="10"/>
        <v>1</v>
      </c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</row>
    <row r="365" spans="1:123" s="272" customFormat="1" hidden="1">
      <c r="A365" s="35" t="str">
        <f t="shared" si="11"/>
        <v>46084</v>
      </c>
      <c r="B365" s="35"/>
      <c r="C365" s="358" t="s">
        <v>24</v>
      </c>
      <c r="D365" s="358">
        <v>362</v>
      </c>
      <c r="E365" s="141"/>
      <c r="F365" s="141" t="s">
        <v>34</v>
      </c>
      <c r="G365" s="128">
        <v>46084</v>
      </c>
      <c r="H365" s="141" t="s">
        <v>77</v>
      </c>
      <c r="I365" s="141">
        <v>6</v>
      </c>
      <c r="J365" s="359" t="str">
        <f>IFERROR(VLOOKUP($A365,#REF!,3,0),"")</f>
        <v/>
      </c>
      <c r="K365" s="359" t="str">
        <f>IFERROR(VLOOKUP($A365,#REF!,4,0),AF365)</f>
        <v>INT</v>
      </c>
      <c r="L365" s="359" t="str">
        <f>IFERROR(VLOOKUP($A365,#REF!,5,0),"")</f>
        <v/>
      </c>
      <c r="M365" s="359" t="str">
        <f>IFERROR(VLOOKUP($A365,#REF!,7,0),"")</f>
        <v/>
      </c>
      <c r="N365" s="359">
        <f>IF(I365&lt;10,10,I365)</f>
        <v>10</v>
      </c>
      <c r="O365" s="359" t="str">
        <f>IFERROR(VLOOKUP($A365,#REF!,6,0),"")</f>
        <v/>
      </c>
      <c r="P365" s="359" t="e">
        <f>+O365*N365</f>
        <v>#VALUE!</v>
      </c>
      <c r="Q365" s="359" t="str">
        <f>IFERROR(VLOOKUP($A365,#REF!,10,0),"")</f>
        <v/>
      </c>
      <c r="R365" s="359" t="str">
        <f>IFERROR(VLOOKUP($A365,#REF!,11,0),"")</f>
        <v/>
      </c>
      <c r="S365" s="359" t="str">
        <f>IFERROR(VLOOKUP($A365,#REF!,13,0),"")</f>
        <v/>
      </c>
      <c r="T365" s="359" t="str">
        <f>IFERROR(VLOOKUP($A365,#REF!,14,0),"")</f>
        <v/>
      </c>
      <c r="U365" s="359" t="str">
        <f>IFERROR(VLOOKUP($A365,#REF!,15,0),"")</f>
        <v/>
      </c>
      <c r="V365" s="359" t="str">
        <f>IFERROR(VLOOKUP($A365,#REF!,16,0),"")</f>
        <v/>
      </c>
      <c r="W365" s="359" t="str">
        <f>IFERROR(VLOOKUP($A365,#REF!,17,0),"")</f>
        <v/>
      </c>
      <c r="X365" s="359" t="str">
        <f>IFERROR(VLOOKUP($A365,#REF!,18,0),"")</f>
        <v/>
      </c>
      <c r="Y365" s="359" t="str">
        <f>IFERROR(VLOOKUP($A365,#REF!,19,0),"")</f>
        <v/>
      </c>
      <c r="Z365" s="400" t="str">
        <f>IFERROR(VLOOKUP($A365,#REF!,21,0),"")</f>
        <v/>
      </c>
      <c r="AA365" s="141"/>
      <c r="AB365" s="141"/>
      <c r="AC365" s="141" t="s">
        <v>1721</v>
      </c>
      <c r="AD365" s="141" t="s">
        <v>1638</v>
      </c>
      <c r="AE365" s="141"/>
      <c r="AF365" s="141" t="s">
        <v>3077</v>
      </c>
      <c r="AG365" s="141" t="s">
        <v>3618</v>
      </c>
      <c r="AH365" s="141" t="s">
        <v>3619</v>
      </c>
      <c r="AI365" s="141" t="s">
        <v>3619</v>
      </c>
      <c r="AJ365" s="141" t="s">
        <v>3620</v>
      </c>
      <c r="AK365" s="141"/>
      <c r="AL365" s="141"/>
      <c r="AM365" s="141"/>
      <c r="AN365" s="120"/>
      <c r="AO365" s="120"/>
      <c r="AP365" s="120"/>
      <c r="AQ365" s="313"/>
      <c r="AR365" s="119"/>
      <c r="AS365" s="22"/>
      <c r="AT365" s="22"/>
      <c r="AU365" s="22"/>
      <c r="AV365" s="2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112"/>
      <c r="BH365" s="112"/>
      <c r="BI365" s="112"/>
      <c r="BJ365" s="112"/>
      <c r="BK365" s="82"/>
      <c r="BL365" s="82"/>
      <c r="BM365"/>
      <c r="BN365" s="412"/>
      <c r="BO365" s="412"/>
      <c r="BP365" s="412"/>
      <c r="BQ365" s="412"/>
      <c r="BR365" s="412"/>
      <c r="BS365" s="96"/>
      <c r="BT365" s="96"/>
      <c r="BU365" s="96"/>
      <c r="BV365" s="96"/>
      <c r="BW365"/>
      <c r="BX365"/>
      <c r="BY365"/>
      <c r="BZ365">
        <f t="shared" si="10"/>
        <v>1</v>
      </c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</row>
    <row r="366" spans="1:123" hidden="1">
      <c r="A366" s="35" t="str">
        <f t="shared" si="11"/>
        <v>063/2646084</v>
      </c>
      <c r="C366" s="358" t="s">
        <v>24</v>
      </c>
      <c r="D366" s="358">
        <v>363</v>
      </c>
      <c r="E366" s="358" t="s">
        <v>3621</v>
      </c>
      <c r="F366" s="358" t="s">
        <v>374</v>
      </c>
      <c r="G366" s="384">
        <v>46084</v>
      </c>
      <c r="H366" s="358" t="s">
        <v>3441</v>
      </c>
      <c r="I366" s="358">
        <v>25</v>
      </c>
      <c r="J366" s="359" t="str">
        <f>IFERROR(VLOOKUP($A366,#REF!,3,0),"")</f>
        <v/>
      </c>
      <c r="K366" s="359" t="str">
        <f>IFERROR(VLOOKUP($A366,#REF!,4,0),AF366)</f>
        <v>INT</v>
      </c>
      <c r="L366" s="359" t="str">
        <f>IFERROR(VLOOKUP($A366,#REF!,5,0),"")</f>
        <v/>
      </c>
      <c r="M366" s="359" t="str">
        <f>IFERROR(VLOOKUP($A366,#REF!,7,0),"")</f>
        <v/>
      </c>
      <c r="N366" s="359">
        <f t="shared" ref="N366" si="23">IF(I366&lt;10,10,I366)</f>
        <v>25</v>
      </c>
      <c r="O366" s="359" t="str">
        <f>IFERROR(VLOOKUP($A366,#REF!,6,0),"")</f>
        <v/>
      </c>
      <c r="P366" s="359" t="e">
        <f t="shared" ref="P366" si="24">+O366*N366</f>
        <v>#VALUE!</v>
      </c>
      <c r="Q366" s="359" t="str">
        <f>IFERROR(VLOOKUP($A366,#REF!,10,0),"")</f>
        <v/>
      </c>
      <c r="R366" s="359" t="str">
        <f>IFERROR(VLOOKUP($A366,#REF!,11,0),"")</f>
        <v/>
      </c>
      <c r="S366" s="359" t="str">
        <f>IFERROR(VLOOKUP($A366,#REF!,13,0),"")</f>
        <v/>
      </c>
      <c r="T366" s="359" t="str">
        <f>IFERROR(VLOOKUP($A366,#REF!,14,0),"")</f>
        <v/>
      </c>
      <c r="U366" s="359" t="str">
        <f>IFERROR(VLOOKUP($A366,#REF!,15,0),"")</f>
        <v/>
      </c>
      <c r="V366" s="359" t="str">
        <f>IFERROR(VLOOKUP($A366,#REF!,16,0),"")</f>
        <v/>
      </c>
      <c r="W366" s="359" t="str">
        <f>IFERROR(VLOOKUP($A366,#REF!,17,0),"")</f>
        <v/>
      </c>
      <c r="X366" s="359" t="str">
        <f>IFERROR(VLOOKUP($A366,#REF!,18,0),"")</f>
        <v/>
      </c>
      <c r="Y366" s="359" t="str">
        <f>IFERROR(VLOOKUP($A366,#REF!,19,0),"")</f>
        <v/>
      </c>
      <c r="Z366" s="400" t="str">
        <f>IFERROR(VLOOKUP($A366,#REF!,21,0),"")</f>
        <v/>
      </c>
      <c r="AA366" s="358"/>
      <c r="AB366" s="358"/>
      <c r="AC366" s="358" t="s">
        <v>1076</v>
      </c>
      <c r="AD366" s="358" t="s">
        <v>3622</v>
      </c>
      <c r="AE366" s="141"/>
      <c r="AF366" s="141" t="s">
        <v>3077</v>
      </c>
      <c r="AG366" s="141" t="s">
        <v>3623</v>
      </c>
      <c r="AH366" s="141" t="s">
        <v>3619</v>
      </c>
      <c r="AI366" s="141" t="s">
        <v>3619</v>
      </c>
      <c r="AJ366" s="141" t="s">
        <v>2083</v>
      </c>
      <c r="AK366" s="141"/>
      <c r="AL366" s="141"/>
      <c r="AM366" s="141"/>
      <c r="AN366" s="331" t="s">
        <v>2863</v>
      </c>
      <c r="AO366" s="120"/>
      <c r="AP366" s="120"/>
      <c r="AQ366" s="313"/>
      <c r="AR366" s="119"/>
      <c r="AS366" s="22"/>
      <c r="AT366" s="22"/>
      <c r="AU366" s="22"/>
      <c r="AV366" s="22"/>
      <c r="AW366" s="82" t="s">
        <v>30</v>
      </c>
      <c r="AX366" s="82" t="s">
        <v>30</v>
      </c>
      <c r="AY366" s="82"/>
      <c r="AZ366" s="82"/>
      <c r="BA366" s="82"/>
      <c r="BB366" s="82"/>
      <c r="BC366" s="82"/>
      <c r="BD366" s="82"/>
      <c r="BE366" s="82"/>
      <c r="BF366" s="82"/>
      <c r="BG366" s="112"/>
      <c r="BH366" s="112"/>
      <c r="BI366" s="112"/>
      <c r="BJ366" s="112"/>
      <c r="BK366" s="82"/>
      <c r="BL366" s="82"/>
      <c r="BN366" s="412"/>
      <c r="BO366" s="412"/>
      <c r="BP366" s="412"/>
      <c r="BQ366" s="412"/>
      <c r="BR366" s="412"/>
      <c r="BZ366">
        <f t="shared" si="10"/>
        <v>1</v>
      </c>
    </row>
    <row r="367" spans="1:123" s="272" customFormat="1" hidden="1">
      <c r="A367" s="35" t="str">
        <f t="shared" si="11"/>
        <v>M128/2646086</v>
      </c>
      <c r="B367" s="35"/>
      <c r="C367" s="358" t="s">
        <v>24</v>
      </c>
      <c r="D367" s="358">
        <v>364</v>
      </c>
      <c r="E367" s="358" t="s">
        <v>3624</v>
      </c>
      <c r="F367" s="358" t="s">
        <v>102</v>
      </c>
      <c r="G367" s="384">
        <v>46086</v>
      </c>
      <c r="H367" s="358" t="s">
        <v>62</v>
      </c>
      <c r="I367" s="358">
        <v>14</v>
      </c>
      <c r="J367" s="359" t="str">
        <f>IFERROR(VLOOKUP($A367,#REF!,3,0),"")</f>
        <v/>
      </c>
      <c r="K367" s="359" t="str">
        <f>IFERROR(VLOOKUP($A367,#REF!,4,0),AF367)</f>
        <v>EXT</v>
      </c>
      <c r="L367" s="359" t="str">
        <f>IFERROR(VLOOKUP($A367,#REF!,5,0),"")</f>
        <v/>
      </c>
      <c r="M367" s="359" t="str">
        <f>IFERROR(VLOOKUP($A367,#REF!,7,0),"")</f>
        <v/>
      </c>
      <c r="N367" s="359"/>
      <c r="O367" s="359" t="str">
        <f>IFERROR(VLOOKUP($A367,#REF!,6,0),"")</f>
        <v/>
      </c>
      <c r="P367" s="359" t="str">
        <f>IFERROR(VLOOKUP($A367,#REF!,9,0),"")</f>
        <v/>
      </c>
      <c r="Q367" s="359" t="str">
        <f>IFERROR(VLOOKUP($A367,#REF!,10,0),"")</f>
        <v/>
      </c>
      <c r="R367" s="359" t="str">
        <f>IFERROR(VLOOKUP($A367,#REF!,11,0),"")</f>
        <v/>
      </c>
      <c r="S367" s="359" t="str">
        <f>IFERROR(VLOOKUP($A367,#REF!,13,0),"")</f>
        <v/>
      </c>
      <c r="T367" s="359" t="str">
        <f>IFERROR(VLOOKUP($A367,#REF!,14,0),"")</f>
        <v/>
      </c>
      <c r="U367" s="359" t="str">
        <f>IFERROR(VLOOKUP($A367,#REF!,15,0),"")</f>
        <v/>
      </c>
      <c r="V367" s="359" t="str">
        <f>IFERROR(VLOOKUP($A367,#REF!,16,0),"")</f>
        <v/>
      </c>
      <c r="W367" s="359" t="str">
        <f>IFERROR(VLOOKUP($A367,#REF!,17,0),"")</f>
        <v/>
      </c>
      <c r="X367" s="359" t="str">
        <f>IFERROR(VLOOKUP($A367,#REF!,18,0),"")</f>
        <v/>
      </c>
      <c r="Y367" s="359" t="str">
        <f>IFERROR(VLOOKUP($A367,#REF!,19,0),"")</f>
        <v/>
      </c>
      <c r="Z367" s="400" t="str">
        <f>IFERROR(VLOOKUP($A367,#REF!,21,0),"")</f>
        <v/>
      </c>
      <c r="AA367" s="358"/>
      <c r="AB367" s="358"/>
      <c r="AC367" s="358" t="s">
        <v>1077</v>
      </c>
      <c r="AD367" s="358" t="s">
        <v>1138</v>
      </c>
      <c r="AE367" s="141"/>
      <c r="AF367" s="141" t="s">
        <v>3082</v>
      </c>
      <c r="AG367" s="141" t="s">
        <v>3213</v>
      </c>
      <c r="AH367" s="141" t="s">
        <v>3619</v>
      </c>
      <c r="AI367" s="141" t="s">
        <v>3619</v>
      </c>
      <c r="AJ367" s="141" t="s">
        <v>3625</v>
      </c>
      <c r="AK367" s="141"/>
      <c r="AL367" s="141"/>
      <c r="AM367" s="141"/>
      <c r="AN367" s="120"/>
      <c r="AO367" s="120"/>
      <c r="AP367" s="120"/>
      <c r="AQ367" s="313"/>
      <c r="AR367" s="119"/>
      <c r="AS367" s="22"/>
      <c r="AT367" s="22"/>
      <c r="AU367" s="22"/>
      <c r="AV367" s="2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112"/>
      <c r="BH367" s="112"/>
      <c r="BI367" s="112"/>
      <c r="BJ367" s="112"/>
      <c r="BK367" s="82"/>
      <c r="BL367" s="82"/>
      <c r="BM367"/>
      <c r="BN367" s="412"/>
      <c r="BO367" s="412"/>
      <c r="BP367" s="412"/>
      <c r="BQ367" s="412"/>
      <c r="BR367" s="412"/>
      <c r="BS367" s="96"/>
      <c r="BT367" s="96"/>
      <c r="BU367" s="96"/>
      <c r="BV367" s="96"/>
      <c r="BW367"/>
      <c r="BX367"/>
      <c r="BY367"/>
      <c r="BZ367">
        <f t="shared" si="10"/>
        <v>1</v>
      </c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</row>
    <row r="368" spans="1:123" s="272" customFormat="1" hidden="1">
      <c r="A368" s="35" t="str">
        <f t="shared" si="11"/>
        <v>M153/2646088</v>
      </c>
      <c r="B368" s="35"/>
      <c r="C368" s="358" t="s">
        <v>24</v>
      </c>
      <c r="D368" s="358">
        <v>365</v>
      </c>
      <c r="E368" s="358" t="s">
        <v>3626</v>
      </c>
      <c r="F368" s="358" t="s">
        <v>34</v>
      </c>
      <c r="G368" s="384">
        <v>46088</v>
      </c>
      <c r="H368" s="358" t="s">
        <v>1478</v>
      </c>
      <c r="I368" s="403">
        <v>12</v>
      </c>
      <c r="J368" s="359" t="str">
        <f>IFERROR(VLOOKUP($A368,#REF!,3,0),"")</f>
        <v/>
      </c>
      <c r="K368" s="359" t="str">
        <f>IFERROR(VLOOKUP($A368,#REF!,4,0),AF368)</f>
        <v>INT</v>
      </c>
      <c r="L368" s="359" t="str">
        <f>IFERROR(VLOOKUP($A368,#REF!,5,0),"")</f>
        <v/>
      </c>
      <c r="M368" s="359" t="str">
        <f>IFERROR(VLOOKUP($A368,#REF!,7,0),"")</f>
        <v/>
      </c>
      <c r="N368" s="359">
        <f t="shared" ref="N368:N371" si="25">IF(I368&lt;10,10,I368)</f>
        <v>12</v>
      </c>
      <c r="O368" s="359" t="str">
        <f>IFERROR(VLOOKUP($A368,#REF!,6,0),"")</f>
        <v/>
      </c>
      <c r="P368" s="359" t="e">
        <f t="shared" ref="P368:P371" si="26">+O368*N368</f>
        <v>#VALUE!</v>
      </c>
      <c r="Q368" s="359" t="str">
        <f>IFERROR(VLOOKUP($A368,#REF!,10,0),"")</f>
        <v/>
      </c>
      <c r="R368" s="359" t="str">
        <f>IFERROR(VLOOKUP($A368,#REF!,11,0),"")</f>
        <v/>
      </c>
      <c r="S368" s="359" t="str">
        <f>IFERROR(VLOOKUP($A368,#REF!,13,0),"")</f>
        <v/>
      </c>
      <c r="T368" s="359" t="str">
        <f>IFERROR(VLOOKUP($A368,#REF!,14,0),"")</f>
        <v/>
      </c>
      <c r="U368" s="359" t="str">
        <f>IFERROR(VLOOKUP($A368,#REF!,15,0),"")</f>
        <v/>
      </c>
      <c r="V368" s="359" t="str">
        <f>IFERROR(VLOOKUP($A368,#REF!,16,0),"")</f>
        <v/>
      </c>
      <c r="W368" s="359" t="str">
        <f>IFERROR(VLOOKUP($A368,#REF!,17,0),"")</f>
        <v/>
      </c>
      <c r="X368" s="359" t="str">
        <f>IFERROR(VLOOKUP($A368,#REF!,18,0),"")</f>
        <v/>
      </c>
      <c r="Y368" s="359" t="str">
        <f>IFERROR(VLOOKUP($A368,#REF!,19,0),"")</f>
        <v/>
      </c>
      <c r="Z368" s="400" t="str">
        <f>IFERROR(VLOOKUP($A368,#REF!,21,0),"")</f>
        <v/>
      </c>
      <c r="AA368" s="358"/>
      <c r="AB368" s="358"/>
      <c r="AC368" s="358" t="s">
        <v>1721</v>
      </c>
      <c r="AD368" s="358" t="s">
        <v>1638</v>
      </c>
      <c r="AE368" s="141"/>
      <c r="AF368" s="141" t="s">
        <v>3077</v>
      </c>
      <c r="AG368" s="141" t="s">
        <v>2102</v>
      </c>
      <c r="AH368" s="141" t="s">
        <v>3627</v>
      </c>
      <c r="AI368" s="141" t="s">
        <v>3628</v>
      </c>
      <c r="AJ368" s="279" t="s">
        <v>3629</v>
      </c>
      <c r="AK368" s="279"/>
      <c r="AL368" s="279"/>
      <c r="AM368" s="279"/>
      <c r="AN368" s="120"/>
      <c r="AO368" s="120"/>
      <c r="AP368" s="120"/>
      <c r="AQ368" s="313"/>
      <c r="AR368" s="119"/>
      <c r="AS368" s="22"/>
      <c r="AT368" s="22"/>
      <c r="AU368" s="22"/>
      <c r="AV368" s="22"/>
      <c r="AW368" s="82" t="s">
        <v>30</v>
      </c>
      <c r="AX368" s="82"/>
      <c r="AY368" s="82"/>
      <c r="AZ368" s="82"/>
      <c r="BA368" s="82"/>
      <c r="BB368" s="82"/>
      <c r="BC368" s="82"/>
      <c r="BD368" s="82"/>
      <c r="BE368" s="82"/>
      <c r="BF368" s="82"/>
      <c r="BG368" s="112"/>
      <c r="BH368" s="112"/>
      <c r="BI368" s="112"/>
      <c r="BJ368" s="112"/>
      <c r="BK368" s="82"/>
      <c r="BL368" s="82"/>
      <c r="BM368"/>
      <c r="BN368" s="412"/>
      <c r="BO368" s="412"/>
      <c r="BP368" s="412"/>
      <c r="BQ368" s="412"/>
      <c r="BR368" s="412"/>
      <c r="BS368" s="96"/>
      <c r="BT368" s="96"/>
      <c r="BU368" s="96"/>
      <c r="BV368" s="96"/>
      <c r="BW368"/>
      <c r="BX368"/>
      <c r="BY368"/>
      <c r="BZ368">
        <f t="shared" si="10"/>
        <v>1</v>
      </c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</row>
    <row r="369" spans="1:123" s="272" customFormat="1" hidden="1">
      <c r="A369" s="35" t="str">
        <f t="shared" si="11"/>
        <v>M111/2646088</v>
      </c>
      <c r="B369" s="35"/>
      <c r="C369" s="358" t="s">
        <v>24</v>
      </c>
      <c r="D369" s="358">
        <v>366</v>
      </c>
      <c r="E369" s="321" t="s">
        <v>3630</v>
      </c>
      <c r="F369" s="358" t="s">
        <v>34</v>
      </c>
      <c r="G369" s="384">
        <v>46088</v>
      </c>
      <c r="H369" s="358" t="s">
        <v>106</v>
      </c>
      <c r="I369" s="403">
        <v>9</v>
      </c>
      <c r="J369" s="359" t="str">
        <f>IFERROR(VLOOKUP($A369,#REF!,3,0),"")</f>
        <v/>
      </c>
      <c r="K369" s="359" t="str">
        <f>IFERROR(VLOOKUP($A369,#REF!,4,0),AF369)</f>
        <v>INT</v>
      </c>
      <c r="L369" s="359" t="str">
        <f>IFERROR(VLOOKUP($A369,#REF!,5,0),"")</f>
        <v/>
      </c>
      <c r="M369" s="359" t="str">
        <f>IFERROR(VLOOKUP($A369,#REF!,7,0),"")</f>
        <v/>
      </c>
      <c r="N369" s="359">
        <f t="shared" si="25"/>
        <v>10</v>
      </c>
      <c r="O369" s="359" t="str">
        <f>IFERROR(VLOOKUP($A369,#REF!,6,0),"")</f>
        <v/>
      </c>
      <c r="P369" s="359" t="e">
        <f t="shared" si="26"/>
        <v>#VALUE!</v>
      </c>
      <c r="Q369" s="359" t="str">
        <f>IFERROR(VLOOKUP($A369,#REF!,10,0),"")</f>
        <v/>
      </c>
      <c r="R369" s="359" t="str">
        <f>IFERROR(VLOOKUP($A369,#REF!,11,0),"")</f>
        <v/>
      </c>
      <c r="S369" s="359" t="str">
        <f>IFERROR(VLOOKUP($A369,#REF!,13,0),"")</f>
        <v/>
      </c>
      <c r="T369" s="359" t="str">
        <f>IFERROR(VLOOKUP($A369,#REF!,14,0),"")</f>
        <v/>
      </c>
      <c r="U369" s="359" t="str">
        <f>IFERROR(VLOOKUP($A369,#REF!,15,0),"")</f>
        <v/>
      </c>
      <c r="V369" s="359" t="str">
        <f>IFERROR(VLOOKUP($A369,#REF!,16,0),"")</f>
        <v/>
      </c>
      <c r="W369" s="359" t="str">
        <f>IFERROR(VLOOKUP($A369,#REF!,17,0),"")</f>
        <v/>
      </c>
      <c r="X369" s="359" t="str">
        <f>IFERROR(VLOOKUP($A369,#REF!,18,0),"")</f>
        <v/>
      </c>
      <c r="Y369" s="359" t="str">
        <f>IFERROR(VLOOKUP($A369,#REF!,19,0),"")</f>
        <v/>
      </c>
      <c r="Z369" s="400" t="str">
        <f>IFERROR(VLOOKUP($A369,#REF!,21,0),"")</f>
        <v/>
      </c>
      <c r="AA369" s="358"/>
      <c r="AB369" s="358"/>
      <c r="AC369" s="358" t="s">
        <v>127</v>
      </c>
      <c r="AD369" s="358" t="s">
        <v>3631</v>
      </c>
      <c r="AE369" s="358"/>
      <c r="AF369" s="141" t="s">
        <v>3077</v>
      </c>
      <c r="AG369" s="358" t="s">
        <v>2092</v>
      </c>
      <c r="AH369" s="141" t="s">
        <v>3628</v>
      </c>
      <c r="AI369" s="141" t="s">
        <v>3628</v>
      </c>
      <c r="AJ369" s="141" t="s">
        <v>2050</v>
      </c>
      <c r="AK369" s="141"/>
      <c r="AL369" s="141"/>
      <c r="AM369" s="141"/>
      <c r="AN369" s="120"/>
      <c r="AO369" s="120"/>
      <c r="AP369" s="120"/>
      <c r="AQ369" s="313"/>
      <c r="AR369" s="119"/>
      <c r="AS369" s="22"/>
      <c r="AT369" s="22"/>
      <c r="AU369" s="22"/>
      <c r="AV369" s="22"/>
      <c r="AW369" s="82" t="s">
        <v>30</v>
      </c>
      <c r="AX369" s="82" t="s">
        <v>30</v>
      </c>
      <c r="AY369" s="82"/>
      <c r="AZ369" s="82"/>
      <c r="BA369" s="82"/>
      <c r="BB369" s="82"/>
      <c r="BC369" s="82"/>
      <c r="BD369" s="82"/>
      <c r="BE369" s="82"/>
      <c r="BF369" s="82"/>
      <c r="BG369" s="112"/>
      <c r="BH369" s="112"/>
      <c r="BI369" s="112"/>
      <c r="BJ369" s="112"/>
      <c r="BK369" s="82"/>
      <c r="BL369" s="82"/>
      <c r="BM369"/>
      <c r="BN369" s="412"/>
      <c r="BO369" s="412"/>
      <c r="BP369" s="412"/>
      <c r="BQ369" s="412"/>
      <c r="BR369" s="412"/>
      <c r="BS369" s="96"/>
      <c r="BT369" s="96"/>
      <c r="BU369" s="96"/>
      <c r="BV369" s="96"/>
      <c r="BW369"/>
      <c r="BX369"/>
      <c r="BY369"/>
      <c r="BZ369">
        <f t="shared" si="10"/>
        <v>1</v>
      </c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</row>
    <row r="370" spans="1:123" hidden="1">
      <c r="A370" s="35" t="str">
        <f t="shared" si="11"/>
        <v>020/2646088</v>
      </c>
      <c r="C370" s="358" t="s">
        <v>24</v>
      </c>
      <c r="D370" s="358">
        <v>367</v>
      </c>
      <c r="E370" s="358" t="s">
        <v>3632</v>
      </c>
      <c r="F370" s="358" t="s">
        <v>64</v>
      </c>
      <c r="G370" s="384">
        <v>46088</v>
      </c>
      <c r="H370" s="358" t="s">
        <v>65</v>
      </c>
      <c r="I370" s="358">
        <v>16</v>
      </c>
      <c r="J370" s="359" t="str">
        <f>IFERROR(VLOOKUP($A370,#REF!,3,0),"")</f>
        <v/>
      </c>
      <c r="K370" s="359" t="str">
        <f>IFERROR(VLOOKUP($A370,#REF!,4,0),AF370)</f>
        <v>INT</v>
      </c>
      <c r="L370" s="359" t="str">
        <f>IFERROR(VLOOKUP($A370,#REF!,5,0),"")</f>
        <v/>
      </c>
      <c r="M370" s="359" t="str">
        <f>IFERROR(VLOOKUP($A370,#REF!,7,0),"")</f>
        <v/>
      </c>
      <c r="N370" s="359">
        <f t="shared" si="25"/>
        <v>16</v>
      </c>
      <c r="O370" s="359" t="str">
        <f>IFERROR(VLOOKUP($A370,#REF!,6,0),"")</f>
        <v/>
      </c>
      <c r="P370" s="359" t="e">
        <f t="shared" si="26"/>
        <v>#VALUE!</v>
      </c>
      <c r="Q370" s="359" t="str">
        <f>IFERROR(VLOOKUP($A370,#REF!,10,0),"")</f>
        <v/>
      </c>
      <c r="R370" s="359" t="str">
        <f>IFERROR(VLOOKUP($A370,#REF!,11,0),"")</f>
        <v/>
      </c>
      <c r="S370" s="359" t="str">
        <f>IFERROR(VLOOKUP($A370,#REF!,13,0),"")</f>
        <v/>
      </c>
      <c r="T370" s="359" t="str">
        <f>IFERROR(VLOOKUP($A370,#REF!,14,0),"")</f>
        <v/>
      </c>
      <c r="U370" s="359" t="str">
        <f>IFERROR(VLOOKUP($A370,#REF!,15,0),"")</f>
        <v/>
      </c>
      <c r="V370" s="359" t="str">
        <f>IFERROR(VLOOKUP($A370,#REF!,16,0),"")</f>
        <v/>
      </c>
      <c r="W370" s="359" t="str">
        <f>IFERROR(VLOOKUP($A370,#REF!,17,0),"")</f>
        <v/>
      </c>
      <c r="X370" s="359" t="str">
        <f>IFERROR(VLOOKUP($A370,#REF!,18,0),"")</f>
        <v/>
      </c>
      <c r="Y370" s="359" t="str">
        <f>IFERROR(VLOOKUP($A370,#REF!,19,0),"")</f>
        <v/>
      </c>
      <c r="Z370" s="400" t="str">
        <f>IFERROR(VLOOKUP($A370,#REF!,21,0),"")</f>
        <v/>
      </c>
      <c r="AA370" s="358"/>
      <c r="AB370" s="358"/>
      <c r="AC370" s="358" t="s">
        <v>1076</v>
      </c>
      <c r="AD370" s="358" t="s">
        <v>1138</v>
      </c>
      <c r="AE370" s="141" t="s">
        <v>3633</v>
      </c>
      <c r="AF370" s="141" t="s">
        <v>3077</v>
      </c>
      <c r="AG370" s="141" t="s">
        <v>2108</v>
      </c>
      <c r="AH370" s="141" t="s">
        <v>3628</v>
      </c>
      <c r="AI370" s="141" t="s">
        <v>3628</v>
      </c>
      <c r="AJ370" s="141" t="s">
        <v>2050</v>
      </c>
      <c r="AK370" s="141"/>
      <c r="AL370" s="141"/>
      <c r="AM370" s="141"/>
      <c r="AN370" s="331" t="s">
        <v>2863</v>
      </c>
      <c r="AO370" s="120"/>
      <c r="AP370" s="120"/>
      <c r="AQ370" s="313"/>
      <c r="AR370" s="119"/>
      <c r="AS370" s="22"/>
      <c r="AT370" s="22"/>
      <c r="AU370" s="22"/>
      <c r="AV370" s="82" t="s">
        <v>30</v>
      </c>
      <c r="AW370" s="82" t="s">
        <v>30</v>
      </c>
      <c r="AX370" s="82"/>
      <c r="AY370" s="82"/>
      <c r="AZ370" s="82"/>
      <c r="BA370" s="82"/>
      <c r="BB370" s="82" t="s">
        <v>30</v>
      </c>
      <c r="BC370" s="82" t="s">
        <v>30</v>
      </c>
      <c r="BD370" s="82" t="s">
        <v>30</v>
      </c>
      <c r="BE370" s="82" t="s">
        <v>30</v>
      </c>
      <c r="BF370" s="82"/>
      <c r="BG370" s="112"/>
      <c r="BH370" s="112"/>
      <c r="BI370" s="112"/>
      <c r="BJ370" s="112"/>
      <c r="BK370" s="82"/>
      <c r="BL370" s="82"/>
      <c r="BN370" s="412"/>
      <c r="BO370" s="412"/>
      <c r="BP370" s="412"/>
      <c r="BQ370" s="412"/>
      <c r="BR370" s="412"/>
      <c r="BZ370">
        <f t="shared" si="10"/>
        <v>1</v>
      </c>
    </row>
    <row r="371" spans="1:123" hidden="1">
      <c r="A371" s="35" t="str">
        <f t="shared" si="11"/>
        <v>026/2646088</v>
      </c>
      <c r="C371" s="358" t="s">
        <v>24</v>
      </c>
      <c r="D371" s="358">
        <v>368</v>
      </c>
      <c r="E371" s="358" t="s">
        <v>3634</v>
      </c>
      <c r="F371" s="358" t="s">
        <v>34</v>
      </c>
      <c r="G371" s="384">
        <v>46088</v>
      </c>
      <c r="H371" s="358" t="s">
        <v>506</v>
      </c>
      <c r="I371" s="358">
        <v>18</v>
      </c>
      <c r="J371" s="359" t="str">
        <f>IFERROR(VLOOKUP($A371,#REF!,3,0),"")</f>
        <v/>
      </c>
      <c r="K371" s="359" t="str">
        <f>IFERROR(VLOOKUP($A371,#REF!,4,0),AF371)</f>
        <v>INT</v>
      </c>
      <c r="L371" s="359" t="str">
        <f>IFERROR(VLOOKUP($A371,#REF!,5,0),"")</f>
        <v/>
      </c>
      <c r="M371" s="359" t="str">
        <f>IFERROR(VLOOKUP($A371,#REF!,7,0),"")</f>
        <v/>
      </c>
      <c r="N371" s="359">
        <f t="shared" si="25"/>
        <v>18</v>
      </c>
      <c r="O371" s="359" t="str">
        <f>IFERROR(VLOOKUP($A371,#REF!,6,0),"")</f>
        <v/>
      </c>
      <c r="P371" s="359" t="e">
        <f t="shared" si="26"/>
        <v>#VALUE!</v>
      </c>
      <c r="Q371" s="359" t="str">
        <f>IFERROR(VLOOKUP($A371,#REF!,10,0),"")</f>
        <v/>
      </c>
      <c r="R371" s="359" t="str">
        <f>IFERROR(VLOOKUP($A371,#REF!,11,0),"")</f>
        <v/>
      </c>
      <c r="S371" s="359" t="str">
        <f>IFERROR(VLOOKUP($A371,#REF!,13,0),"")</f>
        <v/>
      </c>
      <c r="T371" s="359" t="str">
        <f>IFERROR(VLOOKUP($A371,#REF!,14,0),"")</f>
        <v/>
      </c>
      <c r="U371" s="359" t="str">
        <f>IFERROR(VLOOKUP($A371,#REF!,15,0),"")</f>
        <v/>
      </c>
      <c r="V371" s="359" t="str">
        <f>IFERROR(VLOOKUP($A371,#REF!,16,0),"")</f>
        <v/>
      </c>
      <c r="W371" s="359" t="str">
        <f>IFERROR(VLOOKUP($A371,#REF!,17,0),"")</f>
        <v/>
      </c>
      <c r="X371" s="359" t="str">
        <f>IFERROR(VLOOKUP($A371,#REF!,18,0),"")</f>
        <v/>
      </c>
      <c r="Y371" s="359" t="str">
        <f>IFERROR(VLOOKUP($A371,#REF!,19,0),"")</f>
        <v/>
      </c>
      <c r="Z371" s="400" t="str">
        <f>IFERROR(VLOOKUP($A371,#REF!,21,0),"")</f>
        <v/>
      </c>
      <c r="AA371" s="358"/>
      <c r="AB371" s="358"/>
      <c r="AC371" s="358" t="s">
        <v>1076</v>
      </c>
      <c r="AD371" s="358" t="s">
        <v>3635</v>
      </c>
      <c r="AE371" s="141"/>
      <c r="AF371" s="141" t="s">
        <v>3077</v>
      </c>
      <c r="AG371" s="141" t="s">
        <v>2130</v>
      </c>
      <c r="AH371" s="141" t="s">
        <v>3627</v>
      </c>
      <c r="AI371" s="141" t="s">
        <v>3627</v>
      </c>
      <c r="AJ371" s="279" t="s">
        <v>3636</v>
      </c>
      <c r="AK371" s="279"/>
      <c r="AL371" s="279"/>
      <c r="AM371" s="279"/>
      <c r="AN371" s="331" t="s">
        <v>2863</v>
      </c>
      <c r="AO371" s="120"/>
      <c r="AP371" s="120"/>
      <c r="AQ371" s="313"/>
      <c r="AR371" s="119"/>
      <c r="AS371" s="22"/>
      <c r="AT371" s="22"/>
      <c r="AU371" s="22"/>
      <c r="AV371" s="22"/>
      <c r="AW371" s="82" t="s">
        <v>30</v>
      </c>
      <c r="AX371" s="82"/>
      <c r="AY371" s="82"/>
      <c r="AZ371" s="82"/>
      <c r="BA371" s="82"/>
      <c r="BB371" s="82"/>
      <c r="BC371" s="82"/>
      <c r="BD371" s="82"/>
      <c r="BE371" s="82"/>
      <c r="BF371" s="82"/>
      <c r="BG371" s="112"/>
      <c r="BH371" s="112"/>
      <c r="BI371" s="112"/>
      <c r="BJ371" s="112"/>
      <c r="BK371" s="82"/>
      <c r="BL371" s="82"/>
      <c r="BN371" s="412"/>
      <c r="BO371" s="412"/>
      <c r="BP371" s="412"/>
      <c r="BQ371" s="412"/>
      <c r="BR371" s="412"/>
      <c r="BZ371">
        <f t="shared" si="10"/>
        <v>1</v>
      </c>
    </row>
    <row r="372" spans="1:123" hidden="1">
      <c r="A372" s="35" t="str">
        <f t="shared" si="11"/>
        <v>M173/2646088</v>
      </c>
      <c r="C372" s="358" t="s">
        <v>24</v>
      </c>
      <c r="D372" s="358">
        <v>369</v>
      </c>
      <c r="E372" s="358" t="s">
        <v>3637</v>
      </c>
      <c r="F372" s="358" t="s">
        <v>34</v>
      </c>
      <c r="G372" s="384">
        <v>46088</v>
      </c>
      <c r="H372" s="358" t="s">
        <v>506</v>
      </c>
      <c r="I372" s="358">
        <v>2</v>
      </c>
      <c r="J372" s="359" t="str">
        <f>IFERROR(VLOOKUP($A372,#REF!,3,0),"")</f>
        <v/>
      </c>
      <c r="K372" s="359" t="str">
        <f>IFERROR(VLOOKUP($A372,#REF!,4,0),AF372)</f>
        <v>INT</v>
      </c>
      <c r="L372" s="359" t="str">
        <f>IFERROR(VLOOKUP($A372,#REF!,5,0),"")</f>
        <v/>
      </c>
      <c r="M372" s="359" t="str">
        <f>IFERROR(VLOOKUP($A372,#REF!,7,0),"")</f>
        <v/>
      </c>
      <c r="N372" s="359"/>
      <c r="O372" s="359" t="str">
        <f>IFERROR(VLOOKUP($A372,#REF!,6,0),"")</f>
        <v/>
      </c>
      <c r="P372" s="359" t="str">
        <f>IFERROR(VLOOKUP($A372,#REF!,9,0),"")</f>
        <v/>
      </c>
      <c r="Q372" s="359" t="str">
        <f>IFERROR(VLOOKUP($A372,#REF!,10,0),"")</f>
        <v/>
      </c>
      <c r="R372" s="359" t="str">
        <f>IFERROR(VLOOKUP($A372,#REF!,11,0),"")</f>
        <v/>
      </c>
      <c r="S372" s="359" t="str">
        <f>IFERROR(VLOOKUP($A372,#REF!,13,0),"")</f>
        <v/>
      </c>
      <c r="T372" s="359" t="str">
        <f>IFERROR(VLOOKUP($A372,#REF!,14,0),"")</f>
        <v/>
      </c>
      <c r="U372" s="359" t="str">
        <f>IFERROR(VLOOKUP($A372,#REF!,15,0),"")</f>
        <v/>
      </c>
      <c r="V372" s="359" t="str">
        <f>IFERROR(VLOOKUP($A372,#REF!,16,0),"")</f>
        <v/>
      </c>
      <c r="W372" s="359" t="str">
        <f>IFERROR(VLOOKUP($A372,#REF!,17,0),"")</f>
        <v/>
      </c>
      <c r="X372" s="359" t="str">
        <f>IFERROR(VLOOKUP($A372,#REF!,18,0),"")</f>
        <v/>
      </c>
      <c r="Y372" s="359" t="str">
        <f>IFERROR(VLOOKUP($A372,#REF!,19,0),"")</f>
        <v/>
      </c>
      <c r="Z372" s="400" t="str">
        <f>IFERROR(VLOOKUP($A372,#REF!,21,0),"")</f>
        <v/>
      </c>
      <c r="AA372" s="358"/>
      <c r="AB372" s="358"/>
      <c r="AC372" s="358" t="s">
        <v>3075</v>
      </c>
      <c r="AD372" s="358" t="s">
        <v>47</v>
      </c>
      <c r="AE372" s="141"/>
      <c r="AF372" s="141" t="s">
        <v>3077</v>
      </c>
      <c r="AG372" s="223" t="s">
        <v>401</v>
      </c>
      <c r="AH372" s="141"/>
      <c r="AI372" s="141"/>
      <c r="AJ372" s="281" t="s">
        <v>401</v>
      </c>
      <c r="AK372" s="281"/>
      <c r="AL372" s="281"/>
      <c r="AM372" s="281"/>
      <c r="AN372" s="120"/>
      <c r="AO372" s="120"/>
      <c r="AP372" s="120"/>
      <c r="AQ372" s="313"/>
      <c r="AR372" s="119"/>
      <c r="AS372" s="22"/>
      <c r="AT372" s="22"/>
      <c r="AU372" s="22"/>
      <c r="AV372" s="22"/>
      <c r="AW372" s="82" t="s">
        <v>30</v>
      </c>
      <c r="AX372" s="82"/>
      <c r="AY372" s="82"/>
      <c r="AZ372" s="82"/>
      <c r="BA372" s="82"/>
      <c r="BB372" s="82"/>
      <c r="BC372" s="82"/>
      <c r="BD372" s="82"/>
      <c r="BE372" s="82"/>
      <c r="BF372" s="82"/>
      <c r="BG372" s="112"/>
      <c r="BH372" s="112"/>
      <c r="BI372" s="112"/>
      <c r="BJ372" s="112"/>
      <c r="BK372" s="82"/>
      <c r="BL372" s="82"/>
      <c r="BN372" s="412"/>
      <c r="BO372" s="412"/>
      <c r="BP372" s="412"/>
      <c r="BQ372" s="412"/>
      <c r="BR372" s="412"/>
      <c r="BZ372">
        <f t="shared" si="10"/>
        <v>1</v>
      </c>
    </row>
    <row r="373" spans="1:123" hidden="1">
      <c r="A373" s="35" t="str">
        <f t="shared" si="11"/>
        <v>057/2646088</v>
      </c>
      <c r="C373" s="358" t="s">
        <v>24</v>
      </c>
      <c r="D373" s="358">
        <v>370</v>
      </c>
      <c r="E373" s="358" t="s">
        <v>3638</v>
      </c>
      <c r="F373" s="358" t="s">
        <v>34</v>
      </c>
      <c r="G373" s="384">
        <v>46088</v>
      </c>
      <c r="H373" s="358" t="s">
        <v>2177</v>
      </c>
      <c r="I373" s="358">
        <v>10</v>
      </c>
      <c r="J373" s="359" t="str">
        <f>IFERROR(VLOOKUP($A373,#REF!,3,0),"")</f>
        <v/>
      </c>
      <c r="K373" s="359" t="str">
        <f>IFERROR(VLOOKUP($A373,#REF!,4,0),AF373)</f>
        <v>INT</v>
      </c>
      <c r="L373" s="359" t="str">
        <f>IFERROR(VLOOKUP($A373,#REF!,5,0),"")</f>
        <v/>
      </c>
      <c r="M373" s="359" t="str">
        <f>IFERROR(VLOOKUP($A373,#REF!,7,0),"")</f>
        <v/>
      </c>
      <c r="N373" s="359">
        <f>IF(I373&lt;10,10,I373)</f>
        <v>10</v>
      </c>
      <c r="O373" s="359" t="str">
        <f>IFERROR(VLOOKUP($A373,#REF!,6,0),"")</f>
        <v/>
      </c>
      <c r="P373" s="359" t="e">
        <f>+O373*N373</f>
        <v>#VALUE!</v>
      </c>
      <c r="Q373" s="359" t="str">
        <f>IFERROR(VLOOKUP($A373,#REF!,10,0),"")</f>
        <v/>
      </c>
      <c r="R373" s="359" t="str">
        <f>IFERROR(VLOOKUP($A373,#REF!,11,0),"")</f>
        <v/>
      </c>
      <c r="S373" s="359" t="str">
        <f>IFERROR(VLOOKUP($A373,#REF!,13,0),"")</f>
        <v/>
      </c>
      <c r="T373" s="359" t="str">
        <f>IFERROR(VLOOKUP($A373,#REF!,14,0),"")</f>
        <v/>
      </c>
      <c r="U373" s="359" t="str">
        <f>IFERROR(VLOOKUP($A373,#REF!,15,0),"")</f>
        <v/>
      </c>
      <c r="V373" s="359" t="str">
        <f>IFERROR(VLOOKUP($A373,#REF!,16,0),"")</f>
        <v/>
      </c>
      <c r="W373" s="359" t="str">
        <f>IFERROR(VLOOKUP($A373,#REF!,17,0),"")</f>
        <v/>
      </c>
      <c r="X373" s="359" t="str">
        <f>IFERROR(VLOOKUP($A373,#REF!,18,0),"")</f>
        <v/>
      </c>
      <c r="Y373" s="359" t="str">
        <f>IFERROR(VLOOKUP($A373,#REF!,19,0),"")</f>
        <v/>
      </c>
      <c r="Z373" s="400" t="str">
        <f>IFERROR(VLOOKUP($A373,#REF!,21,0),"")</f>
        <v/>
      </c>
      <c r="AA373" s="358"/>
      <c r="AB373" s="358"/>
      <c r="AC373" s="358" t="s">
        <v>1076</v>
      </c>
      <c r="AD373" s="358" t="s">
        <v>3622</v>
      </c>
      <c r="AE373" s="358"/>
      <c r="AF373" s="141" t="s">
        <v>3077</v>
      </c>
      <c r="AG373" s="358" t="s">
        <v>2180</v>
      </c>
      <c r="AH373" s="141" t="s">
        <v>3627</v>
      </c>
      <c r="AI373" s="141" t="s">
        <v>3627</v>
      </c>
      <c r="AJ373" s="271" t="s">
        <v>3639</v>
      </c>
      <c r="AK373" s="271"/>
      <c r="AL373" s="271"/>
      <c r="AM373" s="271"/>
      <c r="AN373" s="120"/>
      <c r="AO373" s="120"/>
      <c r="AP373" s="120"/>
      <c r="AQ373" s="313"/>
      <c r="AR373" s="119"/>
      <c r="AS373" s="22"/>
      <c r="AT373" s="22"/>
      <c r="AU373" s="22"/>
      <c r="AV373" s="2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112"/>
      <c r="BH373" s="112"/>
      <c r="BI373" s="112"/>
      <c r="BJ373" s="112"/>
      <c r="BK373" s="82"/>
      <c r="BL373" s="82"/>
      <c r="BN373" s="412"/>
      <c r="BO373" s="412"/>
      <c r="BP373" s="412"/>
      <c r="BQ373" s="412"/>
      <c r="BR373" s="412"/>
      <c r="BZ373">
        <f t="shared" si="10"/>
        <v>1</v>
      </c>
    </row>
    <row r="374" spans="1:123" hidden="1">
      <c r="A374" s="35" t="str">
        <f t="shared" si="11"/>
        <v>009/2646088</v>
      </c>
      <c r="C374" s="358" t="s">
        <v>24</v>
      </c>
      <c r="D374" s="358">
        <v>371</v>
      </c>
      <c r="E374" s="358" t="s">
        <v>3640</v>
      </c>
      <c r="F374" s="358" t="s">
        <v>83</v>
      </c>
      <c r="G374" s="384">
        <v>46088</v>
      </c>
      <c r="H374" s="358" t="s">
        <v>2221</v>
      </c>
      <c r="I374" s="358">
        <v>10</v>
      </c>
      <c r="J374" s="359" t="str">
        <f>IFERROR(VLOOKUP($A374,#REF!,3,0),"")</f>
        <v/>
      </c>
      <c r="K374" s="359" t="str">
        <f>IFERROR(VLOOKUP($A374,#REF!,4,0),AF374)</f>
        <v>EXT</v>
      </c>
      <c r="L374" s="359" t="str">
        <f>IFERROR(VLOOKUP($A374,#REF!,5,0),"")</f>
        <v/>
      </c>
      <c r="M374" s="359" t="str">
        <f>IFERROR(VLOOKUP($A374,#REF!,7,0),"")</f>
        <v/>
      </c>
      <c r="N374" s="359"/>
      <c r="O374" s="359" t="str">
        <f>IFERROR(VLOOKUP($A374,#REF!,6,0),"")</f>
        <v/>
      </c>
      <c r="P374" s="359" t="str">
        <f>IFERROR(VLOOKUP($A374,#REF!,9,0),"")</f>
        <v/>
      </c>
      <c r="Q374" s="359" t="str">
        <f>IFERROR(VLOOKUP($A374,#REF!,10,0),"")</f>
        <v/>
      </c>
      <c r="R374" s="359" t="str">
        <f>IFERROR(VLOOKUP($A374,#REF!,11,0),"")</f>
        <v/>
      </c>
      <c r="S374" s="359" t="str">
        <f>IFERROR(VLOOKUP($A374,#REF!,13,0),"")</f>
        <v/>
      </c>
      <c r="T374" s="359" t="str">
        <f>IFERROR(VLOOKUP($A374,#REF!,14,0),"")</f>
        <v/>
      </c>
      <c r="U374" s="359" t="str">
        <f>IFERROR(VLOOKUP($A374,#REF!,15,0),"")</f>
        <v/>
      </c>
      <c r="V374" s="359" t="str">
        <f>IFERROR(VLOOKUP($A374,#REF!,16,0),"")</f>
        <v/>
      </c>
      <c r="W374" s="359" t="str">
        <f>IFERROR(VLOOKUP($A374,#REF!,17,0),"")</f>
        <v/>
      </c>
      <c r="X374" s="359" t="str">
        <f>IFERROR(VLOOKUP($A374,#REF!,18,0),"")</f>
        <v/>
      </c>
      <c r="Y374" s="359" t="str">
        <f>IFERROR(VLOOKUP($A374,#REF!,19,0),"")</f>
        <v/>
      </c>
      <c r="Z374" s="400" t="str">
        <f>IFERROR(VLOOKUP($A374,#REF!,21,0),"")</f>
        <v/>
      </c>
      <c r="AA374" s="358"/>
      <c r="AB374" s="358"/>
      <c r="AC374" s="358" t="s">
        <v>1076</v>
      </c>
      <c r="AD374" s="358" t="s">
        <v>3622</v>
      </c>
      <c r="AE374" s="358"/>
      <c r="AF374" s="141" t="s">
        <v>3082</v>
      </c>
      <c r="AG374" s="141" t="s">
        <v>2244</v>
      </c>
      <c r="AH374" s="141" t="s">
        <v>3627</v>
      </c>
      <c r="AI374" s="141" t="s">
        <v>3641</v>
      </c>
      <c r="AJ374" s="141" t="s">
        <v>2050</v>
      </c>
      <c r="AK374" s="141"/>
      <c r="AL374" s="141"/>
      <c r="AM374" s="141"/>
      <c r="AN374" s="120"/>
      <c r="AO374" s="120"/>
      <c r="AP374" s="120"/>
      <c r="AQ374" s="313"/>
      <c r="AR374" s="119"/>
      <c r="AS374" s="22"/>
      <c r="AT374" s="22"/>
      <c r="AU374" s="22"/>
      <c r="AV374" s="22"/>
      <c r="AW374" s="82" t="s">
        <v>30</v>
      </c>
      <c r="AX374" s="82" t="s">
        <v>30</v>
      </c>
      <c r="AY374" s="82"/>
      <c r="AZ374" s="82"/>
      <c r="BA374" s="82"/>
      <c r="BB374" s="82"/>
      <c r="BC374" s="82"/>
      <c r="BD374" s="82"/>
      <c r="BE374" s="82"/>
      <c r="BF374" s="82"/>
      <c r="BG374" s="112"/>
      <c r="BH374" s="112"/>
      <c r="BI374" s="112"/>
      <c r="BJ374" s="112"/>
      <c r="BK374" s="82"/>
      <c r="BL374" s="82"/>
      <c r="BN374" s="412"/>
      <c r="BO374" s="412"/>
      <c r="BP374" s="412"/>
      <c r="BQ374" s="412"/>
      <c r="BR374" s="412"/>
      <c r="BZ374">
        <f t="shared" si="10"/>
        <v>1</v>
      </c>
    </row>
    <row r="375" spans="1:123" hidden="1">
      <c r="A375" s="35" t="str">
        <f t="shared" si="11"/>
        <v>ELPTMED_163/2646090</v>
      </c>
      <c r="C375" s="358" t="s">
        <v>2342</v>
      </c>
      <c r="D375" s="358">
        <v>372</v>
      </c>
      <c r="E375" s="360" t="s">
        <v>3642</v>
      </c>
      <c r="F375" s="358" t="s">
        <v>3643</v>
      </c>
      <c r="G375" s="384">
        <v>46090</v>
      </c>
      <c r="H375" s="358" t="s">
        <v>3644</v>
      </c>
      <c r="I375" s="358">
        <v>30</v>
      </c>
      <c r="J375" s="359" t="str">
        <f>IFERROR(VLOOKUP($A375,#REF!,3,0),"")</f>
        <v/>
      </c>
      <c r="K375" s="359">
        <f>IFERROR(VLOOKUP($A375,#REF!,4,0),AF375)</f>
        <v>0</v>
      </c>
      <c r="L375" s="359" t="str">
        <f>IFERROR(VLOOKUP($A375,#REF!,5,0),"")</f>
        <v/>
      </c>
      <c r="M375" s="359" t="str">
        <f>IFERROR(VLOOKUP($A375,#REF!,7,0),"")</f>
        <v/>
      </c>
      <c r="N375" s="359"/>
      <c r="O375" s="359" t="str">
        <f>IFERROR(VLOOKUP($A375,#REF!,6,0),"")</f>
        <v/>
      </c>
      <c r="P375" s="359" t="str">
        <f>IFERROR(VLOOKUP($A375,#REF!,9,0),"")</f>
        <v/>
      </c>
      <c r="Q375" s="359" t="str">
        <f>IFERROR(VLOOKUP($A375,#REF!,10,0),"")</f>
        <v/>
      </c>
      <c r="R375" s="359" t="str">
        <f>IFERROR(VLOOKUP($A375,#REF!,11,0),"")</f>
        <v/>
      </c>
      <c r="S375" s="359" t="str">
        <f>IFERROR(VLOOKUP($A375,#REF!,13,0),"")</f>
        <v/>
      </c>
      <c r="T375" s="359" t="str">
        <f>IFERROR(VLOOKUP($A375,#REF!,14,0),"")</f>
        <v/>
      </c>
      <c r="U375" s="359" t="str">
        <f>IFERROR(VLOOKUP($A375,#REF!,15,0),"")</f>
        <v/>
      </c>
      <c r="V375" s="359" t="str">
        <f>IFERROR(VLOOKUP($A375,#REF!,16,0),"")</f>
        <v/>
      </c>
      <c r="W375" s="359" t="str">
        <f>IFERROR(VLOOKUP($A375,#REF!,17,0),"")</f>
        <v/>
      </c>
      <c r="X375" s="359" t="str">
        <f>IFERROR(VLOOKUP($A375,#REF!,18,0),"")</f>
        <v/>
      </c>
      <c r="Y375" s="359" t="str">
        <f>IFERROR(VLOOKUP($A375,#REF!,19,0),"")</f>
        <v/>
      </c>
      <c r="Z375" s="400" t="str">
        <f>IFERROR(VLOOKUP($A375,#REF!,21,0),"")</f>
        <v/>
      </c>
      <c r="AA375" s="358"/>
      <c r="AB375" s="358"/>
      <c r="AC375" s="358" t="s">
        <v>3645</v>
      </c>
      <c r="AD375" s="358" t="s">
        <v>3646</v>
      </c>
      <c r="AE375" s="358"/>
      <c r="AF375" s="141"/>
      <c r="AG375" s="141"/>
      <c r="AH375" s="141"/>
      <c r="AI375" s="141"/>
      <c r="AJ375" s="141"/>
      <c r="AK375" s="141"/>
      <c r="AL375" s="141"/>
      <c r="AM375" s="141"/>
      <c r="AN375" s="120"/>
      <c r="AO375" s="120"/>
      <c r="AP375" s="120"/>
      <c r="AQ375" s="313"/>
      <c r="AR375" s="119"/>
      <c r="AS375" s="22"/>
      <c r="AT375" s="22"/>
      <c r="AU375" s="22"/>
      <c r="AV375" s="2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112"/>
      <c r="BH375" s="112"/>
      <c r="BI375" s="112"/>
      <c r="BJ375" s="112"/>
      <c r="BK375" s="82"/>
      <c r="BL375" s="82"/>
      <c r="BM375" s="348">
        <v>3</v>
      </c>
      <c r="BN375" s="348">
        <v>17</v>
      </c>
      <c r="BO375" s="349">
        <v>0</v>
      </c>
      <c r="BP375" s="349">
        <v>10</v>
      </c>
      <c r="BQ375" s="348">
        <v>5</v>
      </c>
      <c r="BR375" s="348">
        <f>SUM(BM375:BQ375)</f>
        <v>35</v>
      </c>
      <c r="BS375" s="350">
        <f>+BM375/BR375*BS$1</f>
        <v>0.25714285714285712</v>
      </c>
      <c r="BT375" s="351">
        <f>+BN375/BR375*BT$1</f>
        <v>1.4571428571428571</v>
      </c>
      <c r="BU375" s="351">
        <f t="shared" ref="BU375" si="27">+BO375/BR375*BU$1</f>
        <v>0</v>
      </c>
      <c r="BV375" s="351">
        <f>+BO375/BR375*BV$1</f>
        <v>0</v>
      </c>
      <c r="BW375" s="351">
        <f>+BP375/BR375*BW$1</f>
        <v>0.8571428571428571</v>
      </c>
      <c r="BZ375">
        <f t="shared" si="10"/>
        <v>1</v>
      </c>
    </row>
    <row r="376" spans="1:123" hidden="1">
      <c r="A376" s="35" t="str">
        <f t="shared" si="11"/>
        <v>ELPTMED_164/2646090</v>
      </c>
      <c r="C376" s="358" t="s">
        <v>2342</v>
      </c>
      <c r="D376" s="358">
        <v>373</v>
      </c>
      <c r="E376" s="360" t="s">
        <v>3647</v>
      </c>
      <c r="F376" s="400" t="s">
        <v>1212</v>
      </c>
      <c r="G376" s="384">
        <v>46090</v>
      </c>
      <c r="H376" s="358" t="s">
        <v>3644</v>
      </c>
      <c r="I376" s="358">
        <v>2</v>
      </c>
      <c r="J376" s="359" t="str">
        <f>IFERROR(VLOOKUP($A376,#REF!,3,0),"")</f>
        <v/>
      </c>
      <c r="K376" s="359">
        <f>IFERROR(VLOOKUP($A376,#REF!,4,0),AF376)</f>
        <v>0</v>
      </c>
      <c r="L376" s="359" t="str">
        <f>IFERROR(VLOOKUP($A376,#REF!,5,0),"")</f>
        <v/>
      </c>
      <c r="M376" s="359" t="str">
        <f>IFERROR(VLOOKUP($A376,#REF!,7,0),"")</f>
        <v/>
      </c>
      <c r="N376" s="359"/>
      <c r="O376" s="359" t="str">
        <f>IFERROR(VLOOKUP($A376,#REF!,6,0),"")</f>
        <v/>
      </c>
      <c r="P376" s="359" t="str">
        <f>IFERROR(VLOOKUP($A376,#REF!,9,0),"")</f>
        <v/>
      </c>
      <c r="Q376" s="359" t="str">
        <f>IFERROR(VLOOKUP($A376,#REF!,10,0),"")</f>
        <v/>
      </c>
      <c r="R376" s="359" t="str">
        <f>IFERROR(VLOOKUP($A376,#REF!,11,0),"")</f>
        <v/>
      </c>
      <c r="S376" s="359" t="str">
        <f>IFERROR(VLOOKUP($A376,#REF!,13,0),"")</f>
        <v/>
      </c>
      <c r="T376" s="359" t="str">
        <f>IFERROR(VLOOKUP($A376,#REF!,14,0),"")</f>
        <v/>
      </c>
      <c r="U376" s="359" t="str">
        <f>IFERROR(VLOOKUP($A376,#REF!,15,0),"")</f>
        <v/>
      </c>
      <c r="V376" s="359" t="str">
        <f>IFERROR(VLOOKUP($A376,#REF!,16,0),"")</f>
        <v/>
      </c>
      <c r="W376" s="359" t="str">
        <f>IFERROR(VLOOKUP($A376,#REF!,17,0),"")</f>
        <v/>
      </c>
      <c r="X376" s="359" t="str">
        <f>IFERROR(VLOOKUP($A376,#REF!,18,0),"")</f>
        <v/>
      </c>
      <c r="Y376" s="359" t="str">
        <f>IFERROR(VLOOKUP($A376,#REF!,19,0),"")</f>
        <v/>
      </c>
      <c r="Z376" s="400" t="str">
        <f>IFERROR(VLOOKUP($A376,#REF!,21,0),"")</f>
        <v/>
      </c>
      <c r="AA376" s="358"/>
      <c r="AB376" s="358"/>
      <c r="AC376" s="358" t="s">
        <v>3075</v>
      </c>
      <c r="AD376" s="358" t="s">
        <v>47</v>
      </c>
      <c r="AE376" s="358"/>
      <c r="AF376" s="141"/>
      <c r="AG376" s="141"/>
      <c r="AH376" s="141"/>
      <c r="AI376" s="141"/>
      <c r="AJ376" s="141"/>
      <c r="AK376" s="141"/>
      <c r="AL376" s="141"/>
      <c r="AM376" s="141"/>
      <c r="AN376" s="120"/>
      <c r="AO376" s="120"/>
      <c r="AP376" s="120"/>
      <c r="AQ376" s="313"/>
      <c r="AR376" s="119"/>
      <c r="AS376" s="22"/>
      <c r="AT376" s="22"/>
      <c r="AU376" s="22"/>
      <c r="AV376" s="2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112"/>
      <c r="BH376" s="112"/>
      <c r="BI376" s="112"/>
      <c r="BJ376" s="112"/>
      <c r="BK376" s="82"/>
      <c r="BL376" s="82"/>
      <c r="BN376" s="412"/>
      <c r="BO376" s="412"/>
      <c r="BP376" s="412"/>
      <c r="BQ376" s="412"/>
      <c r="BR376" s="412"/>
      <c r="BU376" s="351"/>
      <c r="BZ376">
        <f t="shared" si="10"/>
        <v>1</v>
      </c>
    </row>
    <row r="377" spans="1:123" hidden="1">
      <c r="A377" s="35" t="str">
        <f t="shared" si="11"/>
        <v>ELPTMED_165/2646090</v>
      </c>
      <c r="C377" s="358" t="s">
        <v>2342</v>
      </c>
      <c r="D377" s="358">
        <v>374</v>
      </c>
      <c r="E377" s="360" t="s">
        <v>3648</v>
      </c>
      <c r="F377" s="358" t="s">
        <v>1198</v>
      </c>
      <c r="G377" s="384">
        <v>46090</v>
      </c>
      <c r="H377" s="358" t="s">
        <v>3644</v>
      </c>
      <c r="I377" s="358">
        <v>11</v>
      </c>
      <c r="J377" s="359" t="str">
        <f>IFERROR(VLOOKUP($A377,#REF!,3,0),"")</f>
        <v/>
      </c>
      <c r="K377" s="359">
        <f>IFERROR(VLOOKUP($A377,#REF!,4,0),AF377)</f>
        <v>0</v>
      </c>
      <c r="L377" s="359" t="str">
        <f>IFERROR(VLOOKUP($A377,#REF!,5,0),"")</f>
        <v/>
      </c>
      <c r="M377" s="359" t="str">
        <f>IFERROR(VLOOKUP($A377,#REF!,7,0),"")</f>
        <v/>
      </c>
      <c r="N377" s="359"/>
      <c r="O377" s="359" t="str">
        <f>IFERROR(VLOOKUP($A377,#REF!,6,0),"")</f>
        <v/>
      </c>
      <c r="P377" s="359" t="str">
        <f>IFERROR(VLOOKUP($A377,#REF!,9,0),"")</f>
        <v/>
      </c>
      <c r="Q377" s="359" t="str">
        <f>IFERROR(VLOOKUP($A377,#REF!,10,0),"")</f>
        <v/>
      </c>
      <c r="R377" s="359" t="str">
        <f>IFERROR(VLOOKUP($A377,#REF!,11,0),"")</f>
        <v/>
      </c>
      <c r="S377" s="359" t="str">
        <f>IFERROR(VLOOKUP($A377,#REF!,13,0),"")</f>
        <v/>
      </c>
      <c r="T377" s="359" t="str">
        <f>IFERROR(VLOOKUP($A377,#REF!,14,0),"")</f>
        <v/>
      </c>
      <c r="U377" s="359" t="str">
        <f>IFERROR(VLOOKUP($A377,#REF!,15,0),"")</f>
        <v/>
      </c>
      <c r="V377" s="359" t="str">
        <f>IFERROR(VLOOKUP($A377,#REF!,16,0),"")</f>
        <v/>
      </c>
      <c r="W377" s="359" t="str">
        <f>IFERROR(VLOOKUP($A377,#REF!,17,0),"")</f>
        <v/>
      </c>
      <c r="X377" s="359" t="str">
        <f>IFERROR(VLOOKUP($A377,#REF!,18,0),"")</f>
        <v/>
      </c>
      <c r="Y377" s="359" t="str">
        <f>IFERROR(VLOOKUP($A377,#REF!,19,0),"")</f>
        <v/>
      </c>
      <c r="Z377" s="400" t="str">
        <f>IFERROR(VLOOKUP($A377,#REF!,21,0),"")</f>
        <v/>
      </c>
      <c r="AA377" s="358"/>
      <c r="AB377" s="358"/>
      <c r="AC377" s="358" t="s">
        <v>3492</v>
      </c>
      <c r="AD377" s="358" t="s">
        <v>3649</v>
      </c>
      <c r="AE377" s="358"/>
      <c r="AF377" s="141"/>
      <c r="AG377" s="141"/>
      <c r="AH377" s="141"/>
      <c r="AI377" s="141"/>
      <c r="AJ377" s="141"/>
      <c r="AK377" s="141"/>
      <c r="AL377" s="141"/>
      <c r="AM377" s="141"/>
      <c r="AN377" s="120"/>
      <c r="AO377" s="120"/>
      <c r="AP377" s="120"/>
      <c r="AQ377" s="313"/>
      <c r="AR377" s="119"/>
      <c r="AS377" s="22"/>
      <c r="AT377" s="22"/>
      <c r="AU377" s="22"/>
      <c r="AV377" s="2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112"/>
      <c r="BH377" s="112"/>
      <c r="BI377" s="112"/>
      <c r="BJ377" s="112"/>
      <c r="BK377" s="82"/>
      <c r="BL377" s="82"/>
      <c r="BN377" s="412"/>
      <c r="BO377" s="412"/>
      <c r="BP377" s="412"/>
      <c r="BQ377" s="412"/>
      <c r="BR377" s="412"/>
      <c r="BU377" s="351"/>
      <c r="BZ377">
        <f t="shared" si="10"/>
        <v>1</v>
      </c>
    </row>
    <row r="378" spans="1:123" hidden="1">
      <c r="A378" s="35" t="str">
        <f t="shared" si="11"/>
        <v>ELPTMED_166/2646090</v>
      </c>
      <c r="C378" s="358" t="s">
        <v>2342</v>
      </c>
      <c r="D378" s="358">
        <v>375</v>
      </c>
      <c r="E378" s="360" t="s">
        <v>3650</v>
      </c>
      <c r="F378" s="358" t="s">
        <v>798</v>
      </c>
      <c r="G378" s="384">
        <v>46090</v>
      </c>
      <c r="H378" s="358" t="s">
        <v>3644</v>
      </c>
      <c r="I378" s="358">
        <v>9</v>
      </c>
      <c r="J378" s="359" t="str">
        <f>IFERROR(VLOOKUP($A378,#REF!,3,0),"")</f>
        <v/>
      </c>
      <c r="K378" s="359">
        <f>IFERROR(VLOOKUP($A378,#REF!,4,0),AF378)</f>
        <v>0</v>
      </c>
      <c r="L378" s="359" t="str">
        <f>IFERROR(VLOOKUP($A378,#REF!,5,0),"")</f>
        <v/>
      </c>
      <c r="M378" s="359" t="str">
        <f>IFERROR(VLOOKUP($A378,#REF!,7,0),"")</f>
        <v/>
      </c>
      <c r="N378" s="359"/>
      <c r="O378" s="359" t="str">
        <f>IFERROR(VLOOKUP($A378,#REF!,6,0),"")</f>
        <v/>
      </c>
      <c r="P378" s="359" t="str">
        <f>IFERROR(VLOOKUP($A378,#REF!,9,0),"")</f>
        <v/>
      </c>
      <c r="Q378" s="359" t="str">
        <f>IFERROR(VLOOKUP($A378,#REF!,10,0),"")</f>
        <v/>
      </c>
      <c r="R378" s="359" t="str">
        <f>IFERROR(VLOOKUP($A378,#REF!,11,0),"")</f>
        <v/>
      </c>
      <c r="S378" s="359" t="str">
        <f>IFERROR(VLOOKUP($A378,#REF!,13,0),"")</f>
        <v/>
      </c>
      <c r="T378" s="359" t="str">
        <f>IFERROR(VLOOKUP($A378,#REF!,14,0),"")</f>
        <v/>
      </c>
      <c r="U378" s="359" t="str">
        <f>IFERROR(VLOOKUP($A378,#REF!,15,0),"")</f>
        <v/>
      </c>
      <c r="V378" s="359" t="str">
        <f>IFERROR(VLOOKUP($A378,#REF!,16,0),"")</f>
        <v/>
      </c>
      <c r="W378" s="359" t="str">
        <f>IFERROR(VLOOKUP($A378,#REF!,17,0),"")</f>
        <v/>
      </c>
      <c r="X378" s="359" t="str">
        <f>IFERROR(VLOOKUP($A378,#REF!,18,0),"")</f>
        <v/>
      </c>
      <c r="Y378" s="359" t="str">
        <f>IFERROR(VLOOKUP($A378,#REF!,19,0),"")</f>
        <v/>
      </c>
      <c r="Z378" s="400" t="str">
        <f>IFERROR(VLOOKUP($A378,#REF!,21,0),"")</f>
        <v/>
      </c>
      <c r="AA378" s="358"/>
      <c r="AB378" s="358"/>
      <c r="AC378" s="358" t="s">
        <v>2391</v>
      </c>
      <c r="AD378" s="358" t="s">
        <v>3651</v>
      </c>
      <c r="AE378" s="358"/>
      <c r="AF378" s="141"/>
      <c r="AG378" s="141"/>
      <c r="AH378" s="141"/>
      <c r="AI378" s="141"/>
      <c r="AJ378" s="141"/>
      <c r="AK378" s="141"/>
      <c r="AL378" s="141"/>
      <c r="AM378" s="141"/>
      <c r="AN378" s="120"/>
      <c r="AO378" s="120"/>
      <c r="AP378" s="120"/>
      <c r="AQ378" s="313"/>
      <c r="AR378" s="119"/>
      <c r="AS378" s="22"/>
      <c r="AT378" s="22"/>
      <c r="AU378" s="22"/>
      <c r="AV378" s="2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112"/>
      <c r="BH378" s="112"/>
      <c r="BI378" s="112"/>
      <c r="BJ378" s="112"/>
      <c r="BK378" s="82"/>
      <c r="BL378" s="82"/>
      <c r="BN378" s="412"/>
      <c r="BO378" s="412"/>
      <c r="BP378" s="412"/>
      <c r="BQ378" s="412"/>
      <c r="BR378" s="412"/>
      <c r="BU378" s="351"/>
      <c r="BZ378">
        <f t="shared" si="10"/>
        <v>1</v>
      </c>
    </row>
    <row r="379" spans="1:123" hidden="1">
      <c r="A379" s="35" t="str">
        <f t="shared" si="11"/>
        <v>ELPTMED_167/2646090</v>
      </c>
      <c r="C379" s="358" t="s">
        <v>2342</v>
      </c>
      <c r="D379" s="358">
        <v>376</v>
      </c>
      <c r="E379" s="360" t="s">
        <v>3652</v>
      </c>
      <c r="F379" s="358" t="s">
        <v>2975</v>
      </c>
      <c r="G379" s="384">
        <v>46090</v>
      </c>
      <c r="H379" s="358" t="s">
        <v>3644</v>
      </c>
      <c r="I379" s="358">
        <v>3</v>
      </c>
      <c r="J379" s="359" t="str">
        <f>IFERROR(VLOOKUP($A379,#REF!,3,0),"")</f>
        <v/>
      </c>
      <c r="K379" s="359">
        <f>IFERROR(VLOOKUP($A379,#REF!,4,0),AF379)</f>
        <v>0</v>
      </c>
      <c r="L379" s="359" t="str">
        <f>IFERROR(VLOOKUP($A379,#REF!,5,0),"")</f>
        <v/>
      </c>
      <c r="M379" s="359" t="str">
        <f>IFERROR(VLOOKUP($A379,#REF!,7,0),"")</f>
        <v/>
      </c>
      <c r="N379" s="359"/>
      <c r="O379" s="359" t="str">
        <f>IFERROR(VLOOKUP($A379,#REF!,6,0),"")</f>
        <v/>
      </c>
      <c r="P379" s="359" t="str">
        <f>IFERROR(VLOOKUP($A379,#REF!,9,0),"")</f>
        <v/>
      </c>
      <c r="Q379" s="359" t="str">
        <f>IFERROR(VLOOKUP($A379,#REF!,10,0),"")</f>
        <v/>
      </c>
      <c r="R379" s="359" t="str">
        <f>IFERROR(VLOOKUP($A379,#REF!,11,0),"")</f>
        <v/>
      </c>
      <c r="S379" s="359" t="str">
        <f>IFERROR(VLOOKUP($A379,#REF!,13,0),"")</f>
        <v/>
      </c>
      <c r="T379" s="359" t="str">
        <f>IFERROR(VLOOKUP($A379,#REF!,14,0),"")</f>
        <v/>
      </c>
      <c r="U379" s="359" t="str">
        <f>IFERROR(VLOOKUP($A379,#REF!,15,0),"")</f>
        <v/>
      </c>
      <c r="V379" s="359" t="str">
        <f>IFERROR(VLOOKUP($A379,#REF!,16,0),"")</f>
        <v/>
      </c>
      <c r="W379" s="359" t="str">
        <f>IFERROR(VLOOKUP($A379,#REF!,17,0),"")</f>
        <v/>
      </c>
      <c r="X379" s="359" t="str">
        <f>IFERROR(VLOOKUP($A379,#REF!,18,0),"")</f>
        <v/>
      </c>
      <c r="Y379" s="359" t="str">
        <f>IFERROR(VLOOKUP($A379,#REF!,19,0),"")</f>
        <v/>
      </c>
      <c r="Z379" s="400" t="str">
        <f>IFERROR(VLOOKUP($A379,#REF!,21,0),"")</f>
        <v/>
      </c>
      <c r="AA379" s="358"/>
      <c r="AB379" s="358"/>
      <c r="AC379" s="358" t="s">
        <v>1076</v>
      </c>
      <c r="AD379" s="358" t="s">
        <v>3357</v>
      </c>
      <c r="AE379" s="358"/>
      <c r="AF379" s="141"/>
      <c r="AG379" s="141"/>
      <c r="AH379" s="141"/>
      <c r="AI379" s="141"/>
      <c r="AJ379" s="141"/>
      <c r="AK379" s="141"/>
      <c r="AL379" s="141"/>
      <c r="AM379" s="141"/>
      <c r="AN379" s="120"/>
      <c r="AO379" s="120"/>
      <c r="AP379" s="120"/>
      <c r="AQ379" s="313"/>
      <c r="AR379" s="119"/>
      <c r="AS379" s="22"/>
      <c r="AT379" s="22"/>
      <c r="AU379" s="22"/>
      <c r="AV379" s="2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112"/>
      <c r="BH379" s="112"/>
      <c r="BI379" s="112"/>
      <c r="BJ379" s="112"/>
      <c r="BK379" s="82"/>
      <c r="BL379" s="82"/>
      <c r="BN379" s="412"/>
      <c r="BO379" s="412"/>
      <c r="BP379" s="412"/>
      <c r="BQ379" s="412"/>
      <c r="BR379" s="412"/>
      <c r="BU379" s="351"/>
      <c r="BZ379">
        <f t="shared" si="10"/>
        <v>1</v>
      </c>
    </row>
    <row r="380" spans="1:123" hidden="1">
      <c r="A380" s="35" t="str">
        <f t="shared" si="11"/>
        <v>ELPTMED_168/2646090</v>
      </c>
      <c r="C380" s="358" t="s">
        <v>2342</v>
      </c>
      <c r="D380" s="358">
        <v>377</v>
      </c>
      <c r="E380" s="360" t="s">
        <v>3653</v>
      </c>
      <c r="F380" s="358" t="s">
        <v>829</v>
      </c>
      <c r="G380" s="384">
        <v>46090</v>
      </c>
      <c r="H380" s="358" t="s">
        <v>3644</v>
      </c>
      <c r="I380" s="358">
        <v>16</v>
      </c>
      <c r="J380" s="359" t="str">
        <f>IFERROR(VLOOKUP($A380,#REF!,3,0),"")</f>
        <v/>
      </c>
      <c r="K380" s="359">
        <f>IFERROR(VLOOKUP($A380,#REF!,4,0),AF380)</f>
        <v>0</v>
      </c>
      <c r="L380" s="359" t="str">
        <f>IFERROR(VLOOKUP($A380,#REF!,5,0),"")</f>
        <v/>
      </c>
      <c r="M380" s="359" t="str">
        <f>IFERROR(VLOOKUP($A380,#REF!,7,0),"")</f>
        <v/>
      </c>
      <c r="N380" s="359"/>
      <c r="O380" s="359" t="str">
        <f>IFERROR(VLOOKUP($A380,#REF!,6,0),"")</f>
        <v/>
      </c>
      <c r="P380" s="359" t="str">
        <f>IFERROR(VLOOKUP($A380,#REF!,9,0),"")</f>
        <v/>
      </c>
      <c r="Q380" s="359" t="str">
        <f>IFERROR(VLOOKUP($A380,#REF!,10,0),"")</f>
        <v/>
      </c>
      <c r="R380" s="359" t="str">
        <f>IFERROR(VLOOKUP($A380,#REF!,11,0),"")</f>
        <v/>
      </c>
      <c r="S380" s="359" t="str">
        <f>IFERROR(VLOOKUP($A380,#REF!,13,0),"")</f>
        <v/>
      </c>
      <c r="T380" s="359" t="str">
        <f>IFERROR(VLOOKUP($A380,#REF!,14,0),"")</f>
        <v/>
      </c>
      <c r="U380" s="359" t="str">
        <f>IFERROR(VLOOKUP($A380,#REF!,15,0),"")</f>
        <v/>
      </c>
      <c r="V380" s="359" t="str">
        <f>IFERROR(VLOOKUP($A380,#REF!,16,0),"")</f>
        <v/>
      </c>
      <c r="W380" s="359" t="str">
        <f>IFERROR(VLOOKUP($A380,#REF!,17,0),"")</f>
        <v/>
      </c>
      <c r="X380" s="359" t="str">
        <f>IFERROR(VLOOKUP($A380,#REF!,18,0),"")</f>
        <v/>
      </c>
      <c r="Y380" s="359" t="str">
        <f>IFERROR(VLOOKUP($A380,#REF!,19,0),"")</f>
        <v/>
      </c>
      <c r="Z380" s="400" t="str">
        <f>IFERROR(VLOOKUP($A380,#REF!,21,0),"")</f>
        <v/>
      </c>
      <c r="AA380" s="358"/>
      <c r="AB380" s="358"/>
      <c r="AC380" s="358" t="s">
        <v>3654</v>
      </c>
      <c r="AD380" s="358" t="s">
        <v>1514</v>
      </c>
      <c r="AE380" s="358"/>
      <c r="AF380" s="141"/>
      <c r="AG380" s="141"/>
      <c r="AH380" s="141"/>
      <c r="AI380" s="141"/>
      <c r="AJ380" s="141"/>
      <c r="AK380" s="141"/>
      <c r="AL380" s="141"/>
      <c r="AM380" s="141"/>
      <c r="AN380" s="358" t="s">
        <v>3581</v>
      </c>
      <c r="AO380" s="120"/>
      <c r="AP380" s="120"/>
      <c r="AQ380" s="313"/>
      <c r="AR380" s="119"/>
      <c r="AS380" s="22"/>
      <c r="AT380" s="22"/>
      <c r="AU380" s="22"/>
      <c r="AV380" s="2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112"/>
      <c r="BH380" s="112"/>
      <c r="BI380" s="112"/>
      <c r="BJ380" s="112"/>
      <c r="BK380" s="82"/>
      <c r="BL380" s="82"/>
      <c r="BM380" s="348">
        <v>0</v>
      </c>
      <c r="BN380" s="348">
        <v>11</v>
      </c>
      <c r="BO380" s="349">
        <v>0</v>
      </c>
      <c r="BP380" s="349">
        <v>0</v>
      </c>
      <c r="BQ380" s="348">
        <v>5</v>
      </c>
      <c r="BR380" s="348">
        <f>SUM(BM380:BQ380)</f>
        <v>16</v>
      </c>
      <c r="BS380" s="350">
        <f>+BM380/BR380*BS$1</f>
        <v>0</v>
      </c>
      <c r="BT380" s="351">
        <f>+BN380/BR380*BT$1</f>
        <v>2.0625</v>
      </c>
      <c r="BU380" s="351">
        <f t="shared" ref="BU380" si="28">+BO380/BR380*BU$1</f>
        <v>0</v>
      </c>
      <c r="BV380" s="351">
        <f>+BO380/BR380*BV$1</f>
        <v>0</v>
      </c>
      <c r="BW380" s="351">
        <f>+BP380/BR380*BW$1</f>
        <v>0</v>
      </c>
      <c r="BZ380">
        <f t="shared" si="10"/>
        <v>1</v>
      </c>
    </row>
    <row r="381" spans="1:123" hidden="1">
      <c r="A381" s="35" t="str">
        <f t="shared" si="11"/>
        <v>ELPTMED_169/2646090</v>
      </c>
      <c r="C381" s="358" t="s">
        <v>2342</v>
      </c>
      <c r="D381" s="358">
        <v>378</v>
      </c>
      <c r="E381" s="360" t="s">
        <v>3655</v>
      </c>
      <c r="F381" s="358" t="s">
        <v>1574</v>
      </c>
      <c r="G381" s="384">
        <v>46090</v>
      </c>
      <c r="H381" s="358" t="s">
        <v>3644</v>
      </c>
      <c r="I381" s="358">
        <v>2</v>
      </c>
      <c r="J381" s="359" t="str">
        <f>IFERROR(VLOOKUP($A381,#REF!,3,0),"")</f>
        <v/>
      </c>
      <c r="K381" s="359">
        <f>IFERROR(VLOOKUP($A381,#REF!,4,0),AF381)</f>
        <v>0</v>
      </c>
      <c r="L381" s="359" t="str">
        <f>IFERROR(VLOOKUP($A381,#REF!,5,0),"")</f>
        <v/>
      </c>
      <c r="M381" s="359" t="str">
        <f>IFERROR(VLOOKUP($A381,#REF!,7,0),"")</f>
        <v/>
      </c>
      <c r="N381" s="359"/>
      <c r="O381" s="359" t="str">
        <f>IFERROR(VLOOKUP($A381,#REF!,6,0),"")</f>
        <v/>
      </c>
      <c r="P381" s="359" t="str">
        <f>IFERROR(VLOOKUP($A381,#REF!,9,0),"")</f>
        <v/>
      </c>
      <c r="Q381" s="359" t="str">
        <f>IFERROR(VLOOKUP($A381,#REF!,10,0),"")</f>
        <v/>
      </c>
      <c r="R381" s="359" t="str">
        <f>IFERROR(VLOOKUP($A381,#REF!,11,0),"")</f>
        <v/>
      </c>
      <c r="S381" s="359" t="str">
        <f>IFERROR(VLOOKUP($A381,#REF!,13,0),"")</f>
        <v/>
      </c>
      <c r="T381" s="359" t="str">
        <f>IFERROR(VLOOKUP($A381,#REF!,14,0),"")</f>
        <v/>
      </c>
      <c r="U381" s="359" t="str">
        <f>IFERROR(VLOOKUP($A381,#REF!,15,0),"")</f>
        <v/>
      </c>
      <c r="V381" s="359" t="str">
        <f>IFERROR(VLOOKUP($A381,#REF!,16,0),"")</f>
        <v/>
      </c>
      <c r="W381" s="359" t="str">
        <f>IFERROR(VLOOKUP($A381,#REF!,17,0),"")</f>
        <v/>
      </c>
      <c r="X381" s="359" t="str">
        <f>IFERROR(VLOOKUP($A381,#REF!,18,0),"")</f>
        <v/>
      </c>
      <c r="Y381" s="359" t="str">
        <f>IFERROR(VLOOKUP($A381,#REF!,19,0),"")</f>
        <v/>
      </c>
      <c r="Z381" s="400" t="str">
        <f>IFERROR(VLOOKUP($A381,#REF!,21,0),"")</f>
        <v/>
      </c>
      <c r="AA381" s="358"/>
      <c r="AB381" s="358"/>
      <c r="AC381" s="358" t="s">
        <v>1076</v>
      </c>
      <c r="AD381" s="358" t="s">
        <v>3357</v>
      </c>
      <c r="AE381" s="358"/>
      <c r="AF381" s="141"/>
      <c r="AG381" s="141"/>
      <c r="AH381" s="141"/>
      <c r="AI381" s="141"/>
      <c r="AJ381" s="141"/>
      <c r="AK381" s="141"/>
      <c r="AL381" s="141"/>
      <c r="AM381" s="141"/>
      <c r="AN381" s="120"/>
      <c r="AO381" s="120"/>
      <c r="AP381" s="120"/>
      <c r="AQ381" s="313"/>
      <c r="AR381" s="119"/>
      <c r="AS381" s="22"/>
      <c r="AT381" s="22"/>
      <c r="AU381" s="22"/>
      <c r="AV381" s="2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112"/>
      <c r="BH381" s="112"/>
      <c r="BI381" s="112"/>
      <c r="BJ381" s="112"/>
      <c r="BK381" s="82"/>
      <c r="BL381" s="82"/>
      <c r="BN381" s="412"/>
      <c r="BO381" s="412"/>
      <c r="BP381" s="412"/>
      <c r="BQ381" s="412"/>
      <c r="BR381" s="412"/>
      <c r="BZ381">
        <f t="shared" si="10"/>
        <v>1</v>
      </c>
    </row>
    <row r="382" spans="1:123" hidden="1">
      <c r="A382" s="35" t="str">
        <f t="shared" si="11"/>
        <v>ELPTMED_170/2646090</v>
      </c>
      <c r="C382" s="358" t="s">
        <v>2342</v>
      </c>
      <c r="D382" s="358">
        <v>379</v>
      </c>
      <c r="E382" s="360" t="s">
        <v>3656</v>
      </c>
      <c r="F382" s="358" t="s">
        <v>1208</v>
      </c>
      <c r="G382" s="384">
        <v>46090</v>
      </c>
      <c r="H382" s="358" t="s">
        <v>3644</v>
      </c>
      <c r="I382" s="358">
        <v>5</v>
      </c>
      <c r="J382" s="359" t="str">
        <f>IFERROR(VLOOKUP($A382,#REF!,3,0),"")</f>
        <v/>
      </c>
      <c r="K382" s="359">
        <f>IFERROR(VLOOKUP($A382,#REF!,4,0),AF382)</f>
        <v>0</v>
      </c>
      <c r="L382" s="359" t="str">
        <f>IFERROR(VLOOKUP($A382,#REF!,5,0),"")</f>
        <v/>
      </c>
      <c r="M382" s="359" t="str">
        <f>IFERROR(VLOOKUP($A382,#REF!,7,0),"")</f>
        <v/>
      </c>
      <c r="N382" s="359"/>
      <c r="O382" s="359" t="str">
        <f>IFERROR(VLOOKUP($A382,#REF!,6,0),"")</f>
        <v/>
      </c>
      <c r="P382" s="359" t="str">
        <f>IFERROR(VLOOKUP($A382,#REF!,9,0),"")</f>
        <v/>
      </c>
      <c r="Q382" s="359" t="str">
        <f>IFERROR(VLOOKUP($A382,#REF!,10,0),"")</f>
        <v/>
      </c>
      <c r="R382" s="359" t="str">
        <f>IFERROR(VLOOKUP($A382,#REF!,11,0),"")</f>
        <v/>
      </c>
      <c r="S382" s="359" t="str">
        <f>IFERROR(VLOOKUP($A382,#REF!,13,0),"")</f>
        <v/>
      </c>
      <c r="T382" s="359" t="str">
        <f>IFERROR(VLOOKUP($A382,#REF!,14,0),"")</f>
        <v/>
      </c>
      <c r="U382" s="359" t="str">
        <f>IFERROR(VLOOKUP($A382,#REF!,15,0),"")</f>
        <v/>
      </c>
      <c r="V382" s="359" t="str">
        <f>IFERROR(VLOOKUP($A382,#REF!,16,0),"")</f>
        <v/>
      </c>
      <c r="W382" s="359" t="str">
        <f>IFERROR(VLOOKUP($A382,#REF!,17,0),"")</f>
        <v/>
      </c>
      <c r="X382" s="359" t="str">
        <f>IFERROR(VLOOKUP($A382,#REF!,18,0),"")</f>
        <v/>
      </c>
      <c r="Y382" s="359" t="str">
        <f>IFERROR(VLOOKUP($A382,#REF!,19,0),"")</f>
        <v/>
      </c>
      <c r="Z382" s="400" t="str">
        <f>IFERROR(VLOOKUP($A382,#REF!,21,0),"")</f>
        <v/>
      </c>
      <c r="AA382" s="358"/>
      <c r="AB382" s="358"/>
      <c r="AC382" s="358" t="s">
        <v>3075</v>
      </c>
      <c r="AD382" s="358" t="s">
        <v>47</v>
      </c>
      <c r="AE382" s="358"/>
      <c r="AF382" s="141"/>
      <c r="AG382" s="141"/>
      <c r="AH382" s="141"/>
      <c r="AI382" s="141"/>
      <c r="AJ382" s="141"/>
      <c r="AK382" s="141"/>
      <c r="AL382" s="141"/>
      <c r="AM382" s="141"/>
      <c r="AN382" s="120"/>
      <c r="AO382" s="120"/>
      <c r="AP382" s="120"/>
      <c r="AQ382" s="313"/>
      <c r="AR382" s="119"/>
      <c r="AS382" s="22"/>
      <c r="AT382" s="22"/>
      <c r="AU382" s="22"/>
      <c r="AV382" s="2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112"/>
      <c r="BH382" s="112"/>
      <c r="BI382" s="112"/>
      <c r="BJ382" s="112"/>
      <c r="BK382" s="82"/>
      <c r="BL382" s="82"/>
      <c r="BN382" s="412"/>
      <c r="BO382" s="412"/>
      <c r="BP382" s="412"/>
      <c r="BQ382" s="412"/>
      <c r="BR382" s="412"/>
      <c r="BZ382">
        <f t="shared" si="10"/>
        <v>1</v>
      </c>
    </row>
    <row r="383" spans="1:123" hidden="1">
      <c r="A383" s="35" t="str">
        <f t="shared" si="11"/>
        <v>ELPTMED_171/2646090</v>
      </c>
      <c r="C383" s="358" t="s">
        <v>2342</v>
      </c>
      <c r="D383" s="358">
        <v>380</v>
      </c>
      <c r="E383" s="360" t="s">
        <v>3657</v>
      </c>
      <c r="F383" s="358" t="s">
        <v>779</v>
      </c>
      <c r="G383" s="384">
        <v>46090</v>
      </c>
      <c r="H383" s="358" t="s">
        <v>3644</v>
      </c>
      <c r="I383" s="358">
        <v>3</v>
      </c>
      <c r="J383" s="359" t="str">
        <f>IFERROR(VLOOKUP($A383,#REF!,3,0),"")</f>
        <v/>
      </c>
      <c r="K383" s="359">
        <f>IFERROR(VLOOKUP($A383,#REF!,4,0),AF383)</f>
        <v>0</v>
      </c>
      <c r="L383" s="359" t="str">
        <f>IFERROR(VLOOKUP($A383,#REF!,5,0),"")</f>
        <v/>
      </c>
      <c r="M383" s="359" t="str">
        <f>IFERROR(VLOOKUP($A383,#REF!,7,0),"")</f>
        <v/>
      </c>
      <c r="N383" s="359"/>
      <c r="O383" s="359" t="str">
        <f>IFERROR(VLOOKUP($A383,#REF!,6,0),"")</f>
        <v/>
      </c>
      <c r="P383" s="359" t="str">
        <f>IFERROR(VLOOKUP($A383,#REF!,9,0),"")</f>
        <v/>
      </c>
      <c r="Q383" s="359" t="str">
        <f>IFERROR(VLOOKUP($A383,#REF!,10,0),"")</f>
        <v/>
      </c>
      <c r="R383" s="359" t="str">
        <f>IFERROR(VLOOKUP($A383,#REF!,11,0),"")</f>
        <v/>
      </c>
      <c r="S383" s="359" t="str">
        <f>IFERROR(VLOOKUP($A383,#REF!,13,0),"")</f>
        <v/>
      </c>
      <c r="T383" s="359" t="str">
        <f>IFERROR(VLOOKUP($A383,#REF!,14,0),"")</f>
        <v/>
      </c>
      <c r="U383" s="359" t="str">
        <f>IFERROR(VLOOKUP($A383,#REF!,15,0),"")</f>
        <v/>
      </c>
      <c r="V383" s="359" t="str">
        <f>IFERROR(VLOOKUP($A383,#REF!,16,0),"")</f>
        <v/>
      </c>
      <c r="W383" s="359" t="str">
        <f>IFERROR(VLOOKUP($A383,#REF!,17,0),"")</f>
        <v/>
      </c>
      <c r="X383" s="359" t="str">
        <f>IFERROR(VLOOKUP($A383,#REF!,18,0),"")</f>
        <v/>
      </c>
      <c r="Y383" s="359" t="str">
        <f>IFERROR(VLOOKUP($A383,#REF!,19,0),"")</f>
        <v/>
      </c>
      <c r="Z383" s="400" t="str">
        <f>IFERROR(VLOOKUP($A383,#REF!,21,0),"")</f>
        <v/>
      </c>
      <c r="AA383" s="358"/>
      <c r="AB383" s="358"/>
      <c r="AC383" s="358" t="s">
        <v>3658</v>
      </c>
      <c r="AD383" s="358" t="s">
        <v>3659</v>
      </c>
      <c r="AE383" s="358"/>
      <c r="AF383" s="141"/>
      <c r="AG383" s="141"/>
      <c r="AH383" s="141"/>
      <c r="AI383" s="141"/>
      <c r="AJ383" s="141"/>
      <c r="AK383" s="141"/>
      <c r="AL383" s="141"/>
      <c r="AM383" s="141"/>
      <c r="AN383" s="120"/>
      <c r="AO383" s="120"/>
      <c r="AP383" s="120"/>
      <c r="AQ383" s="313"/>
      <c r="AR383" s="119"/>
      <c r="AS383" s="22"/>
      <c r="AT383" s="22"/>
      <c r="AU383" s="22"/>
      <c r="AV383" s="2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112"/>
      <c r="BH383" s="112"/>
      <c r="BI383" s="112"/>
      <c r="BJ383" s="112"/>
      <c r="BK383" s="82"/>
      <c r="BL383" s="82"/>
      <c r="BN383" s="412"/>
      <c r="BO383" s="412"/>
      <c r="BP383" s="412"/>
      <c r="BQ383" s="412"/>
      <c r="BR383" s="412"/>
      <c r="BZ383">
        <f t="shared" si="10"/>
        <v>1</v>
      </c>
    </row>
    <row r="384" spans="1:123" hidden="1">
      <c r="A384" s="35" t="str">
        <f t="shared" si="11"/>
        <v>ELPTMED_172/2646090</v>
      </c>
      <c r="C384" s="358" t="s">
        <v>2342</v>
      </c>
      <c r="D384" s="358">
        <v>381</v>
      </c>
      <c r="E384" s="360" t="s">
        <v>3660</v>
      </c>
      <c r="F384" s="358" t="s">
        <v>1184</v>
      </c>
      <c r="G384" s="384">
        <v>46090</v>
      </c>
      <c r="H384" s="358" t="s">
        <v>3644</v>
      </c>
      <c r="I384" s="358">
        <v>12</v>
      </c>
      <c r="J384" s="359" t="str">
        <f>IFERROR(VLOOKUP($A384,#REF!,3,0),"")</f>
        <v/>
      </c>
      <c r="K384" s="359">
        <f>IFERROR(VLOOKUP($A384,#REF!,4,0),AF384)</f>
        <v>0</v>
      </c>
      <c r="L384" s="359" t="str">
        <f>IFERROR(VLOOKUP($A384,#REF!,5,0),"")</f>
        <v/>
      </c>
      <c r="M384" s="359" t="str">
        <f>IFERROR(VLOOKUP($A384,#REF!,7,0),"")</f>
        <v/>
      </c>
      <c r="N384" s="359"/>
      <c r="O384" s="359" t="str">
        <f>IFERROR(VLOOKUP($A384,#REF!,6,0),"")</f>
        <v/>
      </c>
      <c r="P384" s="359" t="str">
        <f>IFERROR(VLOOKUP($A384,#REF!,9,0),"")</f>
        <v/>
      </c>
      <c r="Q384" s="359" t="str">
        <f>IFERROR(VLOOKUP($A384,#REF!,10,0),"")</f>
        <v/>
      </c>
      <c r="R384" s="359" t="str">
        <f>IFERROR(VLOOKUP($A384,#REF!,11,0),"")</f>
        <v/>
      </c>
      <c r="S384" s="359" t="str">
        <f>IFERROR(VLOOKUP($A384,#REF!,13,0),"")</f>
        <v/>
      </c>
      <c r="T384" s="359" t="str">
        <f>IFERROR(VLOOKUP($A384,#REF!,14,0),"")</f>
        <v/>
      </c>
      <c r="U384" s="359" t="str">
        <f>IFERROR(VLOOKUP($A384,#REF!,15,0),"")</f>
        <v/>
      </c>
      <c r="V384" s="359" t="str">
        <f>IFERROR(VLOOKUP($A384,#REF!,16,0),"")</f>
        <v/>
      </c>
      <c r="W384" s="359" t="str">
        <f>IFERROR(VLOOKUP($A384,#REF!,17,0),"")</f>
        <v/>
      </c>
      <c r="X384" s="359" t="str">
        <f>IFERROR(VLOOKUP($A384,#REF!,18,0),"")</f>
        <v/>
      </c>
      <c r="Y384" s="359" t="str">
        <f>IFERROR(VLOOKUP($A384,#REF!,19,0),"")</f>
        <v/>
      </c>
      <c r="Z384" s="400" t="str">
        <f>IFERROR(VLOOKUP($A384,#REF!,21,0),"")</f>
        <v/>
      </c>
      <c r="AA384" s="358"/>
      <c r="AB384" s="358"/>
      <c r="AC384" s="358" t="s">
        <v>3658</v>
      </c>
      <c r="AD384" s="358" t="s">
        <v>3659</v>
      </c>
      <c r="AE384" s="358"/>
      <c r="AF384" s="141"/>
      <c r="AG384" s="141"/>
      <c r="AH384" s="141"/>
      <c r="AI384" s="141"/>
      <c r="AJ384" s="141"/>
      <c r="AK384" s="141"/>
      <c r="AL384" s="141"/>
      <c r="AM384" s="141"/>
      <c r="AN384" s="120"/>
      <c r="AO384" s="120"/>
      <c r="AP384" s="120"/>
      <c r="AQ384" s="313"/>
      <c r="AR384" s="119"/>
      <c r="AS384" s="22"/>
      <c r="AT384" s="22"/>
      <c r="AU384" s="22"/>
      <c r="AV384" s="2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112"/>
      <c r="BH384" s="112"/>
      <c r="BI384" s="112"/>
      <c r="BJ384" s="112"/>
      <c r="BK384" s="82"/>
      <c r="BL384" s="82"/>
      <c r="BN384" s="412"/>
      <c r="BO384" s="412"/>
      <c r="BP384" s="412"/>
      <c r="BQ384" s="412"/>
      <c r="BR384" s="412"/>
      <c r="BZ384">
        <f t="shared" si="10"/>
        <v>1</v>
      </c>
    </row>
    <row r="385" spans="1:123" hidden="1">
      <c r="A385" s="35" t="str">
        <f t="shared" si="11"/>
        <v>ELPTMED_173/2646090</v>
      </c>
      <c r="C385" s="358" t="s">
        <v>2342</v>
      </c>
      <c r="D385" s="358">
        <v>382</v>
      </c>
      <c r="E385" s="360" t="s">
        <v>3661</v>
      </c>
      <c r="F385" s="358" t="s">
        <v>1544</v>
      </c>
      <c r="G385" s="384">
        <v>46090</v>
      </c>
      <c r="H385" s="358" t="s">
        <v>3644</v>
      </c>
      <c r="I385" s="358">
        <v>4</v>
      </c>
      <c r="J385" s="359" t="str">
        <f>IFERROR(VLOOKUP($A385,#REF!,3,0),"")</f>
        <v/>
      </c>
      <c r="K385" s="359">
        <f>IFERROR(VLOOKUP($A385,#REF!,4,0),AF385)</f>
        <v>0</v>
      </c>
      <c r="L385" s="359" t="str">
        <f>IFERROR(VLOOKUP($A385,#REF!,5,0),"")</f>
        <v/>
      </c>
      <c r="M385" s="359" t="str">
        <f>IFERROR(VLOOKUP($A385,#REF!,7,0),"")</f>
        <v/>
      </c>
      <c r="N385" s="359"/>
      <c r="O385" s="359" t="str">
        <f>IFERROR(VLOOKUP($A385,#REF!,6,0),"")</f>
        <v/>
      </c>
      <c r="P385" s="359" t="str">
        <f>IFERROR(VLOOKUP($A385,#REF!,9,0),"")</f>
        <v/>
      </c>
      <c r="Q385" s="359" t="str">
        <f>IFERROR(VLOOKUP($A385,#REF!,10,0),"")</f>
        <v/>
      </c>
      <c r="R385" s="359" t="str">
        <f>IFERROR(VLOOKUP($A385,#REF!,11,0),"")</f>
        <v/>
      </c>
      <c r="S385" s="359" t="str">
        <f>IFERROR(VLOOKUP($A385,#REF!,13,0),"")</f>
        <v/>
      </c>
      <c r="T385" s="359" t="str">
        <f>IFERROR(VLOOKUP($A385,#REF!,14,0),"")</f>
        <v/>
      </c>
      <c r="U385" s="359" t="str">
        <f>IFERROR(VLOOKUP($A385,#REF!,15,0),"")</f>
        <v/>
      </c>
      <c r="V385" s="359" t="str">
        <f>IFERROR(VLOOKUP($A385,#REF!,16,0),"")</f>
        <v/>
      </c>
      <c r="W385" s="359" t="str">
        <f>IFERROR(VLOOKUP($A385,#REF!,17,0),"")</f>
        <v/>
      </c>
      <c r="X385" s="359" t="str">
        <f>IFERROR(VLOOKUP($A385,#REF!,18,0),"")</f>
        <v/>
      </c>
      <c r="Y385" s="359" t="str">
        <f>IFERROR(VLOOKUP($A385,#REF!,19,0),"")</f>
        <v/>
      </c>
      <c r="Z385" s="400" t="str">
        <f>IFERROR(VLOOKUP($A385,#REF!,21,0),"")</f>
        <v/>
      </c>
      <c r="AA385" s="358"/>
      <c r="AB385" s="358"/>
      <c r="AC385" s="358" t="s">
        <v>127</v>
      </c>
      <c r="AD385" s="358" t="s">
        <v>3586</v>
      </c>
      <c r="AE385" s="358"/>
      <c r="AF385" s="141"/>
      <c r="AG385" s="141"/>
      <c r="AH385" s="141"/>
      <c r="AI385" s="141"/>
      <c r="AJ385" s="141"/>
      <c r="AK385" s="141"/>
      <c r="AL385" s="141"/>
      <c r="AM385" s="141"/>
      <c r="AN385" s="120"/>
      <c r="AO385" s="120"/>
      <c r="AP385" s="120"/>
      <c r="AQ385" s="313"/>
      <c r="AR385" s="119"/>
      <c r="AS385" s="22"/>
      <c r="AT385" s="22"/>
      <c r="AU385" s="22"/>
      <c r="AV385" s="2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112"/>
      <c r="BH385" s="112"/>
      <c r="BI385" s="112"/>
      <c r="BJ385" s="112"/>
      <c r="BK385" s="82"/>
      <c r="BL385" s="82"/>
      <c r="BN385" s="412"/>
      <c r="BO385" s="412"/>
      <c r="BP385" s="412"/>
      <c r="BQ385" s="412"/>
      <c r="BR385" s="412"/>
      <c r="BZ385">
        <f t="shared" ref="BZ385:BZ454" si="29">IF(G385&gt;1,1,"")</f>
        <v>1</v>
      </c>
    </row>
    <row r="386" spans="1:123" hidden="1">
      <c r="A386" s="35" t="str">
        <f t="shared" si="11"/>
        <v>ELPTMED_174/2646090</v>
      </c>
      <c r="C386" s="358" t="s">
        <v>2342</v>
      </c>
      <c r="D386" s="358">
        <v>383</v>
      </c>
      <c r="E386" s="360" t="s">
        <v>3662</v>
      </c>
      <c r="F386" s="358" t="s">
        <v>2440</v>
      </c>
      <c r="G386" s="384">
        <v>46090</v>
      </c>
      <c r="H386" s="358" t="s">
        <v>3644</v>
      </c>
      <c r="I386" s="358">
        <v>1</v>
      </c>
      <c r="J386" s="359" t="str">
        <f>IFERROR(VLOOKUP($A386,#REF!,3,0),"")</f>
        <v/>
      </c>
      <c r="K386" s="359">
        <f>IFERROR(VLOOKUP($A386,#REF!,4,0),AF386)</f>
        <v>0</v>
      </c>
      <c r="L386" s="359" t="str">
        <f>IFERROR(VLOOKUP($A386,#REF!,5,0),"")</f>
        <v/>
      </c>
      <c r="M386" s="359" t="str">
        <f>IFERROR(VLOOKUP($A386,#REF!,7,0),"")</f>
        <v/>
      </c>
      <c r="N386" s="359"/>
      <c r="O386" s="359" t="str">
        <f>IFERROR(VLOOKUP($A386,#REF!,6,0),"")</f>
        <v/>
      </c>
      <c r="P386" s="359" t="str">
        <f>IFERROR(VLOOKUP($A386,#REF!,9,0),"")</f>
        <v/>
      </c>
      <c r="Q386" s="359" t="str">
        <f>IFERROR(VLOOKUP($A386,#REF!,10,0),"")</f>
        <v/>
      </c>
      <c r="R386" s="359" t="str">
        <f>IFERROR(VLOOKUP($A386,#REF!,11,0),"")</f>
        <v/>
      </c>
      <c r="S386" s="359" t="str">
        <f>IFERROR(VLOOKUP($A386,#REF!,13,0),"")</f>
        <v/>
      </c>
      <c r="T386" s="359" t="str">
        <f>IFERROR(VLOOKUP($A386,#REF!,14,0),"")</f>
        <v/>
      </c>
      <c r="U386" s="359" t="str">
        <f>IFERROR(VLOOKUP($A386,#REF!,15,0),"")</f>
        <v/>
      </c>
      <c r="V386" s="359" t="str">
        <f>IFERROR(VLOOKUP($A386,#REF!,16,0),"")</f>
        <v/>
      </c>
      <c r="W386" s="359" t="str">
        <f>IFERROR(VLOOKUP($A386,#REF!,17,0),"")</f>
        <v/>
      </c>
      <c r="X386" s="359" t="str">
        <f>IFERROR(VLOOKUP($A386,#REF!,18,0),"")</f>
        <v/>
      </c>
      <c r="Y386" s="359" t="str">
        <f>IFERROR(VLOOKUP($A386,#REF!,19,0),"")</f>
        <v/>
      </c>
      <c r="Z386" s="400" t="str">
        <f>IFERROR(VLOOKUP($A386,#REF!,21,0),"")</f>
        <v/>
      </c>
      <c r="AA386" s="358"/>
      <c r="AB386" s="358"/>
      <c r="AC386" s="358" t="s">
        <v>127</v>
      </c>
      <c r="AD386" s="358" t="s">
        <v>3586</v>
      </c>
      <c r="AE386" s="358"/>
      <c r="AF386" s="141"/>
      <c r="AG386" s="141"/>
      <c r="AH386" s="141"/>
      <c r="AI386" s="141"/>
      <c r="AJ386" s="141"/>
      <c r="AK386" s="141"/>
      <c r="AL386" s="141"/>
      <c r="AM386" s="141"/>
      <c r="AN386" s="120"/>
      <c r="AO386" s="120"/>
      <c r="AP386" s="120"/>
      <c r="AQ386" s="313"/>
      <c r="AR386" s="119"/>
      <c r="AS386" s="22"/>
      <c r="AT386" s="22"/>
      <c r="AU386" s="22"/>
      <c r="AV386" s="2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112"/>
      <c r="BH386" s="112"/>
      <c r="BI386" s="112"/>
      <c r="BJ386" s="112"/>
      <c r="BK386" s="82"/>
      <c r="BL386" s="82"/>
      <c r="BN386" s="412"/>
      <c r="BO386" s="412"/>
      <c r="BP386" s="412"/>
      <c r="BQ386" s="412"/>
      <c r="BR386" s="412"/>
      <c r="BZ386">
        <f t="shared" si="29"/>
        <v>1</v>
      </c>
    </row>
    <row r="387" spans="1:123" hidden="1">
      <c r="A387" s="35" t="str">
        <f t="shared" si="11"/>
        <v>ELPTMED_175/2646090</v>
      </c>
      <c r="C387" s="358" t="s">
        <v>2342</v>
      </c>
      <c r="D387" s="358">
        <v>384</v>
      </c>
      <c r="E387" s="360" t="s">
        <v>3663</v>
      </c>
      <c r="F387" s="358" t="s">
        <v>1245</v>
      </c>
      <c r="G387" s="384">
        <v>46090</v>
      </c>
      <c r="H387" s="358" t="s">
        <v>3644</v>
      </c>
      <c r="I387" s="358">
        <v>2</v>
      </c>
      <c r="J387" s="359" t="str">
        <f>IFERROR(VLOOKUP($A387,#REF!,3,0),"")</f>
        <v/>
      </c>
      <c r="K387" s="359">
        <f>IFERROR(VLOOKUP($A387,#REF!,4,0),AF387)</f>
        <v>0</v>
      </c>
      <c r="L387" s="359" t="str">
        <f>IFERROR(VLOOKUP($A387,#REF!,5,0),"")</f>
        <v/>
      </c>
      <c r="M387" s="359" t="str">
        <f>IFERROR(VLOOKUP($A387,#REF!,7,0),"")</f>
        <v/>
      </c>
      <c r="N387" s="359"/>
      <c r="O387" s="359" t="str">
        <f>IFERROR(VLOOKUP($A387,#REF!,6,0),"")</f>
        <v/>
      </c>
      <c r="P387" s="359" t="str">
        <f>IFERROR(VLOOKUP($A387,#REF!,9,0),"")</f>
        <v/>
      </c>
      <c r="Q387" s="359" t="str">
        <f>IFERROR(VLOOKUP($A387,#REF!,10,0),"")</f>
        <v/>
      </c>
      <c r="R387" s="359" t="str">
        <f>IFERROR(VLOOKUP($A387,#REF!,11,0),"")</f>
        <v/>
      </c>
      <c r="S387" s="359" t="str">
        <f>IFERROR(VLOOKUP($A387,#REF!,13,0),"")</f>
        <v/>
      </c>
      <c r="T387" s="359" t="str">
        <f>IFERROR(VLOOKUP($A387,#REF!,14,0),"")</f>
        <v/>
      </c>
      <c r="U387" s="359" t="str">
        <f>IFERROR(VLOOKUP($A387,#REF!,15,0),"")</f>
        <v/>
      </c>
      <c r="V387" s="359" t="str">
        <f>IFERROR(VLOOKUP($A387,#REF!,16,0),"")</f>
        <v/>
      </c>
      <c r="W387" s="359" t="str">
        <f>IFERROR(VLOOKUP($A387,#REF!,17,0),"")</f>
        <v/>
      </c>
      <c r="X387" s="359" t="str">
        <f>IFERROR(VLOOKUP($A387,#REF!,18,0),"")</f>
        <v/>
      </c>
      <c r="Y387" s="359" t="str">
        <f>IFERROR(VLOOKUP($A387,#REF!,19,0),"")</f>
        <v/>
      </c>
      <c r="Z387" s="400" t="str">
        <f>IFERROR(VLOOKUP($A387,#REF!,21,0),"")</f>
        <v/>
      </c>
      <c r="AA387" s="358"/>
      <c r="AB387" s="358"/>
      <c r="AC387" s="358" t="s">
        <v>1077</v>
      </c>
      <c r="AD387" s="358" t="s">
        <v>1138</v>
      </c>
      <c r="AE387" s="358"/>
      <c r="AF387" s="141"/>
      <c r="AG387" s="141"/>
      <c r="AH387" s="141"/>
      <c r="AI387" s="141"/>
      <c r="AJ387" s="141"/>
      <c r="AK387" s="141"/>
      <c r="AL387" s="141"/>
      <c r="AM387" s="141"/>
      <c r="AN387" s="120"/>
      <c r="AO387" s="120"/>
      <c r="AP387" s="120"/>
      <c r="AQ387" s="313"/>
      <c r="AR387" s="119"/>
      <c r="AS387" s="22"/>
      <c r="AT387" s="22"/>
      <c r="AU387" s="22"/>
      <c r="AV387" s="2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112"/>
      <c r="BH387" s="112"/>
      <c r="BI387" s="112"/>
      <c r="BJ387" s="112"/>
      <c r="BK387" s="82"/>
      <c r="BL387" s="82"/>
      <c r="BN387" s="412"/>
      <c r="BO387" s="412"/>
      <c r="BP387" s="412"/>
      <c r="BQ387" s="412"/>
      <c r="BR387" s="412"/>
      <c r="BZ387">
        <f t="shared" si="29"/>
        <v>1</v>
      </c>
    </row>
    <row r="388" spans="1:123" hidden="1">
      <c r="A388" s="35" t="str">
        <f t="shared" si="11"/>
        <v>ELPTMED_176/2646090</v>
      </c>
      <c r="C388" s="358" t="s">
        <v>2342</v>
      </c>
      <c r="D388" s="358">
        <v>385</v>
      </c>
      <c r="E388" s="360" t="s">
        <v>3664</v>
      </c>
      <c r="F388" s="358" t="s">
        <v>3546</v>
      </c>
      <c r="G388" s="384">
        <v>46090</v>
      </c>
      <c r="H388" s="358" t="s">
        <v>3644</v>
      </c>
      <c r="I388" s="358">
        <v>1</v>
      </c>
      <c r="J388" s="359" t="str">
        <f>IFERROR(VLOOKUP($A388,#REF!,3,0),"")</f>
        <v/>
      </c>
      <c r="K388" s="359">
        <f>IFERROR(VLOOKUP($A388,#REF!,4,0),AF388)</f>
        <v>0</v>
      </c>
      <c r="L388" s="359" t="str">
        <f>IFERROR(VLOOKUP($A388,#REF!,5,0),"")</f>
        <v/>
      </c>
      <c r="M388" s="359" t="str">
        <f>IFERROR(VLOOKUP($A388,#REF!,7,0),"")</f>
        <v/>
      </c>
      <c r="N388" s="359"/>
      <c r="O388" s="359" t="str">
        <f>IFERROR(VLOOKUP($A388,#REF!,6,0),"")</f>
        <v/>
      </c>
      <c r="P388" s="359" t="str">
        <f>IFERROR(VLOOKUP($A388,#REF!,9,0),"")</f>
        <v/>
      </c>
      <c r="Q388" s="359" t="str">
        <f>IFERROR(VLOOKUP($A388,#REF!,10,0),"")</f>
        <v/>
      </c>
      <c r="R388" s="359" t="str">
        <f>IFERROR(VLOOKUP($A388,#REF!,11,0),"")</f>
        <v/>
      </c>
      <c r="S388" s="359" t="str">
        <f>IFERROR(VLOOKUP($A388,#REF!,13,0),"")</f>
        <v/>
      </c>
      <c r="T388" s="359" t="str">
        <f>IFERROR(VLOOKUP($A388,#REF!,14,0),"")</f>
        <v/>
      </c>
      <c r="U388" s="359" t="str">
        <f>IFERROR(VLOOKUP($A388,#REF!,15,0),"")</f>
        <v/>
      </c>
      <c r="V388" s="359" t="str">
        <f>IFERROR(VLOOKUP($A388,#REF!,16,0),"")</f>
        <v/>
      </c>
      <c r="W388" s="359" t="str">
        <f>IFERROR(VLOOKUP($A388,#REF!,17,0),"")</f>
        <v/>
      </c>
      <c r="X388" s="359" t="str">
        <f>IFERROR(VLOOKUP($A388,#REF!,18,0),"")</f>
        <v/>
      </c>
      <c r="Y388" s="359" t="str">
        <f>IFERROR(VLOOKUP($A388,#REF!,19,0),"")</f>
        <v/>
      </c>
      <c r="Z388" s="400" t="str">
        <f>IFERROR(VLOOKUP($A388,#REF!,21,0),"")</f>
        <v/>
      </c>
      <c r="AA388" s="358"/>
      <c r="AB388" s="358"/>
      <c r="AC388" s="358" t="s">
        <v>3075</v>
      </c>
      <c r="AD388" s="358" t="s">
        <v>47</v>
      </c>
      <c r="AE388" s="358"/>
      <c r="AF388" s="141"/>
      <c r="AG388" s="141"/>
      <c r="AH388" s="141"/>
      <c r="AI388" s="141"/>
      <c r="AJ388" s="141"/>
      <c r="AK388" s="141"/>
      <c r="AL388" s="141"/>
      <c r="AM388" s="141"/>
      <c r="AN388" s="120"/>
      <c r="AO388" s="120"/>
      <c r="AP388" s="120"/>
      <c r="AQ388" s="313"/>
      <c r="AR388" s="119"/>
      <c r="AS388" s="22"/>
      <c r="AT388" s="22"/>
      <c r="AU388" s="22"/>
      <c r="AV388" s="2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112"/>
      <c r="BH388" s="112"/>
      <c r="BI388" s="112"/>
      <c r="BJ388" s="112"/>
      <c r="BK388" s="82"/>
      <c r="BL388" s="82"/>
      <c r="BN388" s="412"/>
      <c r="BO388" s="412"/>
      <c r="BP388" s="412"/>
      <c r="BQ388" s="412"/>
      <c r="BR388" s="412"/>
      <c r="BZ388">
        <f t="shared" si="29"/>
        <v>1</v>
      </c>
    </row>
    <row r="389" spans="1:123" hidden="1">
      <c r="A389" s="35" t="str">
        <f t="shared" ref="A389:A452" si="30">E389&amp;G389</f>
        <v>ELPTMED_177/2646090</v>
      </c>
      <c r="C389" s="358" t="s">
        <v>2342</v>
      </c>
      <c r="D389" s="358">
        <v>386</v>
      </c>
      <c r="E389" s="360" t="s">
        <v>3665</v>
      </c>
      <c r="F389" s="358" t="s">
        <v>960</v>
      </c>
      <c r="G389" s="384">
        <v>46090</v>
      </c>
      <c r="H389" s="358" t="s">
        <v>3644</v>
      </c>
      <c r="I389" s="358">
        <v>1</v>
      </c>
      <c r="J389" s="359" t="str">
        <f>IFERROR(VLOOKUP($A389,#REF!,3,0),"")</f>
        <v/>
      </c>
      <c r="K389" s="359">
        <f>IFERROR(VLOOKUP($A389,#REF!,4,0),AF389)</f>
        <v>0</v>
      </c>
      <c r="L389" s="359" t="str">
        <f>IFERROR(VLOOKUP($A389,#REF!,5,0),"")</f>
        <v/>
      </c>
      <c r="M389" s="359" t="str">
        <f>IFERROR(VLOOKUP($A389,#REF!,7,0),"")</f>
        <v/>
      </c>
      <c r="N389" s="359"/>
      <c r="O389" s="359" t="str">
        <f>IFERROR(VLOOKUP($A389,#REF!,6,0),"")</f>
        <v/>
      </c>
      <c r="P389" s="359" t="str">
        <f>IFERROR(VLOOKUP($A389,#REF!,9,0),"")</f>
        <v/>
      </c>
      <c r="Q389" s="359" t="str">
        <f>IFERROR(VLOOKUP($A389,#REF!,10,0),"")</f>
        <v/>
      </c>
      <c r="R389" s="359" t="str">
        <f>IFERROR(VLOOKUP($A389,#REF!,11,0),"")</f>
        <v/>
      </c>
      <c r="S389" s="359" t="str">
        <f>IFERROR(VLOOKUP($A389,#REF!,13,0),"")</f>
        <v/>
      </c>
      <c r="T389" s="359" t="str">
        <f>IFERROR(VLOOKUP($A389,#REF!,14,0),"")</f>
        <v/>
      </c>
      <c r="U389" s="359" t="str">
        <f>IFERROR(VLOOKUP($A389,#REF!,15,0),"")</f>
        <v/>
      </c>
      <c r="V389" s="359" t="str">
        <f>IFERROR(VLOOKUP($A389,#REF!,16,0),"")</f>
        <v/>
      </c>
      <c r="W389" s="359" t="str">
        <f>IFERROR(VLOOKUP($A389,#REF!,17,0),"")</f>
        <v/>
      </c>
      <c r="X389" s="359" t="str">
        <f>IFERROR(VLOOKUP($A389,#REF!,18,0),"")</f>
        <v/>
      </c>
      <c r="Y389" s="359" t="str">
        <f>IFERROR(VLOOKUP($A389,#REF!,19,0),"")</f>
        <v/>
      </c>
      <c r="Z389" s="400" t="str">
        <f>IFERROR(VLOOKUP($A389,#REF!,21,0),"")</f>
        <v/>
      </c>
      <c r="AA389" s="358"/>
      <c r="AB389" s="358"/>
      <c r="AC389" s="358" t="s">
        <v>3075</v>
      </c>
      <c r="AD389" s="358" t="s">
        <v>47</v>
      </c>
      <c r="AE389" s="358"/>
      <c r="AF389" s="141"/>
      <c r="AG389" s="141"/>
      <c r="AH389" s="141"/>
      <c r="AI389" s="141"/>
      <c r="AJ389" s="141"/>
      <c r="AK389" s="141"/>
      <c r="AL389" s="141"/>
      <c r="AM389" s="141"/>
      <c r="AN389" s="120"/>
      <c r="AO389" s="120"/>
      <c r="AP389" s="120"/>
      <c r="AQ389" s="313"/>
      <c r="AR389" s="119"/>
      <c r="AS389" s="22"/>
      <c r="AT389" s="22"/>
      <c r="AU389" s="22"/>
      <c r="AV389" s="2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112"/>
      <c r="BH389" s="112"/>
      <c r="BI389" s="112"/>
      <c r="BJ389" s="112"/>
      <c r="BK389" s="82"/>
      <c r="BL389" s="82"/>
      <c r="BN389" s="412"/>
      <c r="BO389" s="412"/>
      <c r="BP389" s="412"/>
      <c r="BQ389" s="412"/>
      <c r="BR389" s="412"/>
      <c r="BZ389">
        <f t="shared" si="29"/>
        <v>1</v>
      </c>
    </row>
    <row r="390" spans="1:123" hidden="1">
      <c r="A390" s="35" t="str">
        <f t="shared" si="30"/>
        <v>ELPTMED_179/2646090</v>
      </c>
      <c r="C390" s="358" t="s">
        <v>2342</v>
      </c>
      <c r="D390" s="358">
        <v>387</v>
      </c>
      <c r="E390" s="360" t="s">
        <v>3666</v>
      </c>
      <c r="F390" s="358" t="s">
        <v>3667</v>
      </c>
      <c r="G390" s="384">
        <v>46090</v>
      </c>
      <c r="H390" s="358" t="s">
        <v>140</v>
      </c>
      <c r="I390" s="358">
        <v>6</v>
      </c>
      <c r="J390" s="359" t="str">
        <f>IFERROR(VLOOKUP($A390,#REF!,3,0),"")</f>
        <v/>
      </c>
      <c r="K390" s="359">
        <f>IFERROR(VLOOKUP($A390,#REF!,4,0),AF390)</f>
        <v>0</v>
      </c>
      <c r="L390" s="359" t="str">
        <f>IFERROR(VLOOKUP($A390,#REF!,5,0),"")</f>
        <v/>
      </c>
      <c r="M390" s="359" t="str">
        <f>IFERROR(VLOOKUP($A390,#REF!,7,0),"")</f>
        <v/>
      </c>
      <c r="N390" s="359"/>
      <c r="O390" s="359" t="str">
        <f>IFERROR(VLOOKUP($A390,#REF!,6,0),"")</f>
        <v/>
      </c>
      <c r="P390" s="359" t="str">
        <f>IFERROR(VLOOKUP($A390,#REF!,9,0),"")</f>
        <v/>
      </c>
      <c r="Q390" s="359" t="str">
        <f>IFERROR(VLOOKUP($A390,#REF!,10,0),"")</f>
        <v/>
      </c>
      <c r="R390" s="359" t="str">
        <f>IFERROR(VLOOKUP($A390,#REF!,11,0),"")</f>
        <v/>
      </c>
      <c r="S390" s="359" t="str">
        <f>IFERROR(VLOOKUP($A390,#REF!,13,0),"")</f>
        <v/>
      </c>
      <c r="T390" s="359" t="str">
        <f>IFERROR(VLOOKUP($A390,#REF!,14,0),"")</f>
        <v/>
      </c>
      <c r="U390" s="359" t="str">
        <f>IFERROR(VLOOKUP($A390,#REF!,15,0),"")</f>
        <v/>
      </c>
      <c r="V390" s="359" t="str">
        <f>IFERROR(VLOOKUP($A390,#REF!,16,0),"")</f>
        <v/>
      </c>
      <c r="W390" s="359" t="str">
        <f>IFERROR(VLOOKUP($A390,#REF!,17,0),"")</f>
        <v/>
      </c>
      <c r="X390" s="359" t="str">
        <f>IFERROR(VLOOKUP($A390,#REF!,18,0),"")</f>
        <v/>
      </c>
      <c r="Y390" s="359" t="str">
        <f>IFERROR(VLOOKUP($A390,#REF!,19,0),"")</f>
        <v/>
      </c>
      <c r="Z390" s="400" t="str">
        <f>IFERROR(VLOOKUP($A390,#REF!,21,0),"")</f>
        <v/>
      </c>
      <c r="AA390" s="358"/>
      <c r="AB390" s="358"/>
      <c r="AC390" s="358" t="s">
        <v>3075</v>
      </c>
      <c r="AD390" s="358" t="s">
        <v>47</v>
      </c>
      <c r="AE390" s="358"/>
      <c r="AF390" s="141"/>
      <c r="AG390" s="141"/>
      <c r="AH390" s="141"/>
      <c r="AI390" s="141"/>
      <c r="AJ390" s="141"/>
      <c r="AK390" s="141"/>
      <c r="AL390" s="141"/>
      <c r="AM390" s="141"/>
      <c r="AN390" s="120"/>
      <c r="AO390" s="120"/>
      <c r="AP390" s="120"/>
      <c r="AQ390" s="313"/>
      <c r="AR390" s="119"/>
      <c r="AS390" s="22"/>
      <c r="AT390" s="22"/>
      <c r="AU390" s="22"/>
      <c r="AV390" s="2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112"/>
      <c r="BH390" s="112"/>
      <c r="BI390" s="112"/>
      <c r="BJ390" s="112"/>
      <c r="BK390" s="82"/>
      <c r="BL390" s="82"/>
      <c r="BN390" s="412"/>
      <c r="BO390" s="412"/>
      <c r="BP390" s="412"/>
      <c r="BQ390" s="412"/>
      <c r="BR390" s="412"/>
      <c r="BZ390">
        <f t="shared" si="29"/>
        <v>1</v>
      </c>
    </row>
    <row r="391" spans="1:123" hidden="1">
      <c r="A391" s="35" t="str">
        <f t="shared" si="30"/>
        <v>ELPTMED_180/2646090</v>
      </c>
      <c r="C391" s="358" t="s">
        <v>2342</v>
      </c>
      <c r="D391" s="358">
        <v>388</v>
      </c>
      <c r="E391" s="360" t="s">
        <v>3668</v>
      </c>
      <c r="F391" s="358" t="s">
        <v>1250</v>
      </c>
      <c r="G391" s="384">
        <v>46090</v>
      </c>
      <c r="H391" s="358" t="s">
        <v>3644</v>
      </c>
      <c r="I391" s="358">
        <v>13</v>
      </c>
      <c r="J391" s="359" t="str">
        <f>IFERROR(VLOOKUP($A391,#REF!,3,0),"")</f>
        <v/>
      </c>
      <c r="K391" s="359">
        <f>IFERROR(VLOOKUP($A391,#REF!,4,0),AF391)</f>
        <v>0</v>
      </c>
      <c r="L391" s="359" t="str">
        <f>IFERROR(VLOOKUP($A391,#REF!,5,0),"")</f>
        <v/>
      </c>
      <c r="M391" s="359" t="str">
        <f>IFERROR(VLOOKUP($A391,#REF!,7,0),"")</f>
        <v/>
      </c>
      <c r="N391" s="359"/>
      <c r="O391" s="359" t="str">
        <f>IFERROR(VLOOKUP($A391,#REF!,6,0),"")</f>
        <v/>
      </c>
      <c r="P391" s="359" t="str">
        <f>IFERROR(VLOOKUP($A391,#REF!,9,0),"")</f>
        <v/>
      </c>
      <c r="Q391" s="359" t="str">
        <f>IFERROR(VLOOKUP($A391,#REF!,10,0),"")</f>
        <v/>
      </c>
      <c r="R391" s="359" t="str">
        <f>IFERROR(VLOOKUP($A391,#REF!,11,0),"")</f>
        <v/>
      </c>
      <c r="S391" s="359" t="str">
        <f>IFERROR(VLOOKUP($A391,#REF!,13,0),"")</f>
        <v/>
      </c>
      <c r="T391" s="359" t="str">
        <f>IFERROR(VLOOKUP($A391,#REF!,14,0),"")</f>
        <v/>
      </c>
      <c r="U391" s="359" t="str">
        <f>IFERROR(VLOOKUP($A391,#REF!,15,0),"")</f>
        <v/>
      </c>
      <c r="V391" s="359" t="str">
        <f>IFERROR(VLOOKUP($A391,#REF!,16,0),"")</f>
        <v/>
      </c>
      <c r="W391" s="359" t="str">
        <f>IFERROR(VLOOKUP($A391,#REF!,17,0),"")</f>
        <v/>
      </c>
      <c r="X391" s="359" t="str">
        <f>IFERROR(VLOOKUP($A391,#REF!,18,0),"")</f>
        <v/>
      </c>
      <c r="Y391" s="359" t="str">
        <f>IFERROR(VLOOKUP($A391,#REF!,19,0),"")</f>
        <v/>
      </c>
      <c r="Z391" s="400" t="str">
        <f>IFERROR(VLOOKUP($A391,#REF!,21,0),"")</f>
        <v/>
      </c>
      <c r="AA391" s="358"/>
      <c r="AB391" s="358"/>
      <c r="AC391" s="358" t="s">
        <v>3075</v>
      </c>
      <c r="AD391" s="358" t="s">
        <v>1138</v>
      </c>
      <c r="AE391" s="358"/>
      <c r="AF391" s="141"/>
      <c r="AG391" s="141"/>
      <c r="AH391" s="141"/>
      <c r="AI391" s="141"/>
      <c r="AJ391" s="141"/>
      <c r="AK391" s="141"/>
      <c r="AL391" s="141"/>
      <c r="AM391" s="141"/>
      <c r="AN391" s="120"/>
      <c r="AO391" s="120"/>
      <c r="AP391" s="120"/>
      <c r="AQ391" s="313"/>
      <c r="AR391" s="119"/>
      <c r="AS391" s="22"/>
      <c r="AT391" s="22"/>
      <c r="AU391" s="22"/>
      <c r="AV391" s="2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112"/>
      <c r="BH391" s="112"/>
      <c r="BI391" s="112"/>
      <c r="BJ391" s="112"/>
      <c r="BK391" s="82"/>
      <c r="BL391" s="82"/>
      <c r="BN391" s="412"/>
      <c r="BO391" s="412"/>
      <c r="BP391" s="412"/>
      <c r="BQ391" s="412"/>
      <c r="BR391" s="412"/>
      <c r="BZ391">
        <f t="shared" si="29"/>
        <v>1</v>
      </c>
    </row>
    <row r="392" spans="1:123" hidden="1">
      <c r="A392" s="35" t="str">
        <f t="shared" si="30"/>
        <v>ELPTMED_181/2646090</v>
      </c>
      <c r="C392" s="358" t="s">
        <v>2342</v>
      </c>
      <c r="D392" s="358">
        <v>389</v>
      </c>
      <c r="E392" s="360" t="s">
        <v>3669</v>
      </c>
      <c r="F392" s="282" t="s">
        <v>3670</v>
      </c>
      <c r="G392" s="384">
        <v>46090</v>
      </c>
      <c r="H392" s="358" t="s">
        <v>3644</v>
      </c>
      <c r="I392" s="358">
        <v>1</v>
      </c>
      <c r="J392" s="359" t="str">
        <f>IFERROR(VLOOKUP($A392,#REF!,3,0),"")</f>
        <v/>
      </c>
      <c r="K392" s="359">
        <f>IFERROR(VLOOKUP($A392,#REF!,4,0),AF392)</f>
        <v>0</v>
      </c>
      <c r="L392" s="359" t="str">
        <f>IFERROR(VLOOKUP($A392,#REF!,5,0),"")</f>
        <v/>
      </c>
      <c r="M392" s="359" t="str">
        <f>IFERROR(VLOOKUP($A392,#REF!,7,0),"")</f>
        <v/>
      </c>
      <c r="N392" s="359"/>
      <c r="O392" s="359" t="str">
        <f>IFERROR(VLOOKUP($A392,#REF!,6,0),"")</f>
        <v/>
      </c>
      <c r="P392" s="359" t="str">
        <f>IFERROR(VLOOKUP($A392,#REF!,9,0),"")</f>
        <v/>
      </c>
      <c r="Q392" s="359" t="str">
        <f>IFERROR(VLOOKUP($A392,#REF!,10,0),"")</f>
        <v/>
      </c>
      <c r="R392" s="359" t="str">
        <f>IFERROR(VLOOKUP($A392,#REF!,11,0),"")</f>
        <v/>
      </c>
      <c r="S392" s="359" t="str">
        <f>IFERROR(VLOOKUP($A392,#REF!,13,0),"")</f>
        <v/>
      </c>
      <c r="T392" s="359" t="str">
        <f>IFERROR(VLOOKUP($A392,#REF!,14,0),"")</f>
        <v/>
      </c>
      <c r="U392" s="359" t="str">
        <f>IFERROR(VLOOKUP($A392,#REF!,15,0),"")</f>
        <v/>
      </c>
      <c r="V392" s="359" t="str">
        <f>IFERROR(VLOOKUP($A392,#REF!,16,0),"")</f>
        <v/>
      </c>
      <c r="W392" s="359" t="str">
        <f>IFERROR(VLOOKUP($A392,#REF!,17,0),"")</f>
        <v/>
      </c>
      <c r="X392" s="359" t="str">
        <f>IFERROR(VLOOKUP($A392,#REF!,18,0),"")</f>
        <v/>
      </c>
      <c r="Y392" s="359" t="str">
        <f>IFERROR(VLOOKUP($A392,#REF!,19,0),"")</f>
        <v/>
      </c>
      <c r="Z392" s="400" t="str">
        <f>IFERROR(VLOOKUP($A392,#REF!,21,0),"")</f>
        <v/>
      </c>
      <c r="AA392" s="358"/>
      <c r="AB392" s="358"/>
      <c r="AC392" s="358" t="s">
        <v>3075</v>
      </c>
      <c r="AD392" s="358" t="s">
        <v>1138</v>
      </c>
      <c r="AE392" s="358"/>
      <c r="AF392" s="141"/>
      <c r="AG392" s="141"/>
      <c r="AH392" s="141"/>
      <c r="AI392" s="141"/>
      <c r="AJ392" s="141"/>
      <c r="AK392" s="141"/>
      <c r="AL392" s="141"/>
      <c r="AM392" s="141"/>
      <c r="AN392" s="120"/>
      <c r="AO392" s="120"/>
      <c r="AP392" s="120"/>
      <c r="AQ392" s="313"/>
      <c r="AR392" s="119"/>
      <c r="AS392" s="22"/>
      <c r="AT392" s="22"/>
      <c r="AU392" s="22"/>
      <c r="AV392" s="2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112"/>
      <c r="BH392" s="112"/>
      <c r="BI392" s="112"/>
      <c r="BJ392" s="112"/>
      <c r="BK392" s="82"/>
      <c r="BL392" s="82"/>
      <c r="BN392" s="412"/>
      <c r="BO392" s="412"/>
      <c r="BP392" s="412"/>
      <c r="BQ392" s="412"/>
      <c r="BR392" s="412"/>
      <c r="BZ392">
        <f t="shared" si="29"/>
        <v>1</v>
      </c>
    </row>
    <row r="393" spans="1:123" hidden="1">
      <c r="A393" s="35" t="str">
        <f t="shared" si="30"/>
        <v>ELPTSEEP_002/2646090</v>
      </c>
      <c r="C393" s="358" t="s">
        <v>2342</v>
      </c>
      <c r="D393" s="358">
        <v>390</v>
      </c>
      <c r="E393" s="360" t="s">
        <v>3671</v>
      </c>
      <c r="F393" s="282" t="s">
        <v>3672</v>
      </c>
      <c r="G393" s="384">
        <v>46090</v>
      </c>
      <c r="H393" s="358" t="s">
        <v>140</v>
      </c>
      <c r="I393" s="358">
        <v>2</v>
      </c>
      <c r="J393" s="359" t="str">
        <f>IFERROR(VLOOKUP($A393,#REF!,3,0),"")</f>
        <v/>
      </c>
      <c r="K393" s="359">
        <f>IFERROR(VLOOKUP($A393,#REF!,4,0),AF393)</f>
        <v>0</v>
      </c>
      <c r="L393" s="359" t="str">
        <f>IFERROR(VLOOKUP($A393,#REF!,5,0),"")</f>
        <v/>
      </c>
      <c r="M393" s="359" t="str">
        <f>IFERROR(VLOOKUP($A393,#REF!,7,0),"")</f>
        <v/>
      </c>
      <c r="N393" s="359"/>
      <c r="O393" s="359" t="str">
        <f>IFERROR(VLOOKUP($A393,#REF!,6,0),"")</f>
        <v/>
      </c>
      <c r="P393" s="359" t="str">
        <f>IFERROR(VLOOKUP($A393,#REF!,9,0),"")</f>
        <v/>
      </c>
      <c r="Q393" s="359" t="str">
        <f>IFERROR(VLOOKUP($A393,#REF!,10,0),"")</f>
        <v/>
      </c>
      <c r="R393" s="359" t="str">
        <f>IFERROR(VLOOKUP($A393,#REF!,11,0),"")</f>
        <v/>
      </c>
      <c r="S393" s="359" t="str">
        <f>IFERROR(VLOOKUP($A393,#REF!,13,0),"")</f>
        <v/>
      </c>
      <c r="T393" s="359" t="str">
        <f>IFERROR(VLOOKUP($A393,#REF!,14,0),"")</f>
        <v/>
      </c>
      <c r="U393" s="359" t="str">
        <f>IFERROR(VLOOKUP($A393,#REF!,15,0),"")</f>
        <v/>
      </c>
      <c r="V393" s="359" t="str">
        <f>IFERROR(VLOOKUP($A393,#REF!,16,0),"")</f>
        <v/>
      </c>
      <c r="W393" s="359" t="str">
        <f>IFERROR(VLOOKUP($A393,#REF!,17,0),"")</f>
        <v/>
      </c>
      <c r="X393" s="359" t="str">
        <f>IFERROR(VLOOKUP($A393,#REF!,18,0),"")</f>
        <v/>
      </c>
      <c r="Y393" s="359" t="str">
        <f>IFERROR(VLOOKUP($A393,#REF!,19,0),"")</f>
        <v/>
      </c>
      <c r="Z393" s="400" t="str">
        <f>IFERROR(VLOOKUP($A393,#REF!,21,0),"")</f>
        <v/>
      </c>
      <c r="AA393" s="358"/>
      <c r="AB393" s="358"/>
      <c r="AC393" s="358" t="s">
        <v>3075</v>
      </c>
      <c r="AD393" s="358" t="s">
        <v>47</v>
      </c>
      <c r="AE393" s="358"/>
      <c r="AF393" s="141"/>
      <c r="AG393" s="141"/>
      <c r="AH393" s="141"/>
      <c r="AI393" s="141"/>
      <c r="AJ393" s="141"/>
      <c r="AK393" s="141"/>
      <c r="AL393" s="141"/>
      <c r="AM393" s="141"/>
      <c r="AN393" s="120"/>
      <c r="AO393" s="120"/>
      <c r="AP393" s="120"/>
      <c r="AQ393" s="313"/>
      <c r="AR393" s="119"/>
      <c r="AS393" s="22"/>
      <c r="AT393" s="22"/>
      <c r="AU393" s="22"/>
      <c r="AV393" s="2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112"/>
      <c r="BH393" s="112"/>
      <c r="BI393" s="112"/>
      <c r="BJ393" s="112"/>
      <c r="BK393" s="82"/>
      <c r="BL393" s="82"/>
      <c r="BN393" s="412"/>
      <c r="BO393" s="412"/>
      <c r="BP393" s="412"/>
      <c r="BQ393" s="412"/>
      <c r="BR393" s="412"/>
      <c r="BZ393">
        <f t="shared" si="29"/>
        <v>1</v>
      </c>
    </row>
    <row r="394" spans="1:123" hidden="1">
      <c r="A394" s="35" t="str">
        <f t="shared" si="30"/>
        <v>ELPTTCV_037/2646090</v>
      </c>
      <c r="C394" s="358" t="s">
        <v>2342</v>
      </c>
      <c r="D394" s="358">
        <v>391</v>
      </c>
      <c r="E394" s="360" t="s">
        <v>3673</v>
      </c>
      <c r="F394" s="358" t="s">
        <v>1184</v>
      </c>
      <c r="G394" s="384">
        <v>46090</v>
      </c>
      <c r="H394" s="358" t="s">
        <v>3644</v>
      </c>
      <c r="I394" s="358">
        <v>7</v>
      </c>
      <c r="J394" s="359" t="str">
        <f>IFERROR(VLOOKUP($A394,#REF!,3,0),"")</f>
        <v/>
      </c>
      <c r="K394" s="359">
        <f>IFERROR(VLOOKUP($A394,#REF!,4,0),AF394)</f>
        <v>0</v>
      </c>
      <c r="L394" s="359" t="str">
        <f>IFERROR(VLOOKUP($A394,#REF!,5,0),"")</f>
        <v/>
      </c>
      <c r="M394" s="359" t="str">
        <f>IFERROR(VLOOKUP($A394,#REF!,7,0),"")</f>
        <v/>
      </c>
      <c r="N394" s="359"/>
      <c r="O394" s="359" t="str">
        <f>IFERROR(VLOOKUP($A394,#REF!,6,0),"")</f>
        <v/>
      </c>
      <c r="P394" s="359" t="str">
        <f>IFERROR(VLOOKUP($A394,#REF!,9,0),"")</f>
        <v/>
      </c>
      <c r="Q394" s="359" t="str">
        <f>IFERROR(VLOOKUP($A394,#REF!,10,0),"")</f>
        <v/>
      </c>
      <c r="R394" s="359" t="str">
        <f>IFERROR(VLOOKUP($A394,#REF!,11,0),"")</f>
        <v/>
      </c>
      <c r="S394" s="359" t="str">
        <f>IFERROR(VLOOKUP($A394,#REF!,13,0),"")</f>
        <v/>
      </c>
      <c r="T394" s="359" t="str">
        <f>IFERROR(VLOOKUP($A394,#REF!,14,0),"")</f>
        <v/>
      </c>
      <c r="U394" s="359" t="str">
        <f>IFERROR(VLOOKUP($A394,#REF!,15,0),"")</f>
        <v/>
      </c>
      <c r="V394" s="359" t="str">
        <f>IFERROR(VLOOKUP($A394,#REF!,16,0),"")</f>
        <v/>
      </c>
      <c r="W394" s="359" t="str">
        <f>IFERROR(VLOOKUP($A394,#REF!,17,0),"")</f>
        <v/>
      </c>
      <c r="X394" s="359" t="str">
        <f>IFERROR(VLOOKUP($A394,#REF!,18,0),"")</f>
        <v/>
      </c>
      <c r="Y394" s="359" t="str">
        <f>IFERROR(VLOOKUP($A394,#REF!,19,0),"")</f>
        <v/>
      </c>
      <c r="Z394" s="400" t="str">
        <f>IFERROR(VLOOKUP($A394,#REF!,21,0),"")</f>
        <v/>
      </c>
      <c r="AA394" s="358"/>
      <c r="AB394" s="358"/>
      <c r="AC394" s="358" t="s">
        <v>1721</v>
      </c>
      <c r="AD394" s="358" t="s">
        <v>1638</v>
      </c>
      <c r="AE394" s="358"/>
      <c r="AF394" s="141"/>
      <c r="AG394" s="141"/>
      <c r="AH394" s="141"/>
      <c r="AI394" s="141"/>
      <c r="AJ394" s="141"/>
      <c r="AK394" s="141"/>
      <c r="AL394" s="141"/>
      <c r="AM394" s="141"/>
      <c r="AN394" s="120"/>
      <c r="AO394" s="120"/>
      <c r="AP394" s="120"/>
      <c r="AQ394" s="313"/>
      <c r="AR394" s="119"/>
      <c r="AS394" s="22"/>
      <c r="AT394" s="22"/>
      <c r="AU394" s="22"/>
      <c r="AV394" s="2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112"/>
      <c r="BH394" s="112"/>
      <c r="BI394" s="112"/>
      <c r="BJ394" s="112"/>
      <c r="BK394" s="82"/>
      <c r="BL394" s="82"/>
      <c r="BN394" s="412"/>
      <c r="BO394" s="412"/>
      <c r="BP394" s="412"/>
      <c r="BQ394" s="412"/>
      <c r="BR394" s="412"/>
      <c r="BZ394">
        <f t="shared" si="29"/>
        <v>1</v>
      </c>
    </row>
    <row r="395" spans="1:123" hidden="1">
      <c r="A395" s="35" t="str">
        <f t="shared" si="30"/>
        <v>ELPTTCV_038/2646090</v>
      </c>
      <c r="C395" s="358" t="s">
        <v>2342</v>
      </c>
      <c r="D395" s="358">
        <v>392</v>
      </c>
      <c r="E395" s="360" t="s">
        <v>3674</v>
      </c>
      <c r="F395" s="384" t="s">
        <v>779</v>
      </c>
      <c r="G395" s="384">
        <v>46090</v>
      </c>
      <c r="H395" s="358" t="s">
        <v>3644</v>
      </c>
      <c r="I395" s="358">
        <v>1</v>
      </c>
      <c r="J395" s="359" t="str">
        <f>IFERROR(VLOOKUP($A395,#REF!,3,0),"")</f>
        <v/>
      </c>
      <c r="K395" s="359">
        <f>IFERROR(VLOOKUP($A395,#REF!,4,0),AF395)</f>
        <v>0</v>
      </c>
      <c r="L395" s="359" t="str">
        <f>IFERROR(VLOOKUP($A395,#REF!,5,0),"")</f>
        <v/>
      </c>
      <c r="M395" s="359" t="str">
        <f>IFERROR(VLOOKUP($A395,#REF!,7,0),"")</f>
        <v/>
      </c>
      <c r="N395" s="359"/>
      <c r="O395" s="359" t="str">
        <f>IFERROR(VLOOKUP($A395,#REF!,6,0),"")</f>
        <v/>
      </c>
      <c r="P395" s="359" t="str">
        <f>IFERROR(VLOOKUP($A395,#REF!,9,0),"")</f>
        <v/>
      </c>
      <c r="Q395" s="359" t="str">
        <f>IFERROR(VLOOKUP($A395,#REF!,10,0),"")</f>
        <v/>
      </c>
      <c r="R395" s="359" t="str">
        <f>IFERROR(VLOOKUP($A395,#REF!,11,0),"")</f>
        <v/>
      </c>
      <c r="S395" s="359" t="str">
        <f>IFERROR(VLOOKUP($A395,#REF!,13,0),"")</f>
        <v/>
      </c>
      <c r="T395" s="359" t="str">
        <f>IFERROR(VLOOKUP($A395,#REF!,14,0),"")</f>
        <v/>
      </c>
      <c r="U395" s="359" t="str">
        <f>IFERROR(VLOOKUP($A395,#REF!,15,0),"")</f>
        <v/>
      </c>
      <c r="V395" s="359" t="str">
        <f>IFERROR(VLOOKUP($A395,#REF!,16,0),"")</f>
        <v/>
      </c>
      <c r="W395" s="359" t="str">
        <f>IFERROR(VLOOKUP($A395,#REF!,17,0),"")</f>
        <v/>
      </c>
      <c r="X395" s="359" t="str">
        <f>IFERROR(VLOOKUP($A395,#REF!,18,0),"")</f>
        <v/>
      </c>
      <c r="Y395" s="359" t="str">
        <f>IFERROR(VLOOKUP($A395,#REF!,19,0),"")</f>
        <v/>
      </c>
      <c r="Z395" s="400" t="str">
        <f>IFERROR(VLOOKUP($A395,#REF!,21,0),"")</f>
        <v/>
      </c>
      <c r="AA395" s="358"/>
      <c r="AB395" s="358"/>
      <c r="AC395" s="358" t="s">
        <v>1721</v>
      </c>
      <c r="AD395" s="358" t="s">
        <v>1638</v>
      </c>
      <c r="AE395" s="358"/>
      <c r="AF395" s="141"/>
      <c r="AG395" s="141"/>
      <c r="AH395" s="141"/>
      <c r="AI395" s="141"/>
      <c r="AJ395" s="141"/>
      <c r="AK395" s="141"/>
      <c r="AL395" s="141"/>
      <c r="AM395" s="141"/>
      <c r="AN395" s="120"/>
      <c r="AO395" s="120"/>
      <c r="AP395" s="120"/>
      <c r="AQ395" s="313"/>
      <c r="AR395" s="119"/>
      <c r="AS395" s="22"/>
      <c r="AT395" s="22"/>
      <c r="AU395" s="22"/>
      <c r="AV395" s="2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112"/>
      <c r="BH395" s="112"/>
      <c r="BI395" s="112"/>
      <c r="BJ395" s="112"/>
      <c r="BK395" s="82"/>
      <c r="BL395" s="82"/>
      <c r="BN395" s="412"/>
      <c r="BO395" s="412"/>
      <c r="BP395" s="412"/>
      <c r="BQ395" s="412"/>
      <c r="BR395" s="412"/>
      <c r="BZ395">
        <f t="shared" si="29"/>
        <v>1</v>
      </c>
    </row>
    <row r="396" spans="1:123" hidden="1">
      <c r="A396" s="35" t="str">
        <f t="shared" si="30"/>
        <v>ELPTTCV_039/2646090</v>
      </c>
      <c r="C396" s="358" t="s">
        <v>2342</v>
      </c>
      <c r="D396" s="358">
        <v>393</v>
      </c>
      <c r="E396" s="360" t="s">
        <v>3675</v>
      </c>
      <c r="F396" s="358" t="s">
        <v>937</v>
      </c>
      <c r="G396" s="384">
        <v>46090</v>
      </c>
      <c r="H396" s="358" t="s">
        <v>3644</v>
      </c>
      <c r="I396" s="358">
        <v>2</v>
      </c>
      <c r="J396" s="359" t="str">
        <f>IFERROR(VLOOKUP($A396,#REF!,3,0),"")</f>
        <v/>
      </c>
      <c r="K396" s="359">
        <f>IFERROR(VLOOKUP($A396,#REF!,4,0),AF396)</f>
        <v>0</v>
      </c>
      <c r="L396" s="359" t="str">
        <f>IFERROR(VLOOKUP($A396,#REF!,5,0),"")</f>
        <v/>
      </c>
      <c r="M396" s="359" t="str">
        <f>IFERROR(VLOOKUP($A396,#REF!,7,0),"")</f>
        <v/>
      </c>
      <c r="N396" s="359"/>
      <c r="O396" s="359" t="str">
        <f>IFERROR(VLOOKUP($A396,#REF!,6,0),"")</f>
        <v/>
      </c>
      <c r="P396" s="359" t="str">
        <f>IFERROR(VLOOKUP($A396,#REF!,9,0),"")</f>
        <v/>
      </c>
      <c r="Q396" s="359" t="str">
        <f>IFERROR(VLOOKUP($A396,#REF!,10,0),"")</f>
        <v/>
      </c>
      <c r="R396" s="359" t="str">
        <f>IFERROR(VLOOKUP($A396,#REF!,11,0),"")</f>
        <v/>
      </c>
      <c r="S396" s="359" t="str">
        <f>IFERROR(VLOOKUP($A396,#REF!,13,0),"")</f>
        <v/>
      </c>
      <c r="T396" s="359" t="str">
        <f>IFERROR(VLOOKUP($A396,#REF!,14,0),"")</f>
        <v/>
      </c>
      <c r="U396" s="359" t="str">
        <f>IFERROR(VLOOKUP($A396,#REF!,15,0),"")</f>
        <v/>
      </c>
      <c r="V396" s="359" t="str">
        <f>IFERROR(VLOOKUP($A396,#REF!,16,0),"")</f>
        <v/>
      </c>
      <c r="W396" s="359" t="str">
        <f>IFERROR(VLOOKUP($A396,#REF!,17,0),"")</f>
        <v/>
      </c>
      <c r="X396" s="359" t="str">
        <f>IFERROR(VLOOKUP($A396,#REF!,18,0),"")</f>
        <v/>
      </c>
      <c r="Y396" s="359" t="str">
        <f>IFERROR(VLOOKUP($A396,#REF!,19,0),"")</f>
        <v/>
      </c>
      <c r="Z396" s="400" t="str">
        <f>IFERROR(VLOOKUP($A396,#REF!,21,0),"")</f>
        <v/>
      </c>
      <c r="AA396" s="358"/>
      <c r="AB396" s="358"/>
      <c r="AC396" s="358" t="s">
        <v>1721</v>
      </c>
      <c r="AD396" s="358" t="s">
        <v>1638</v>
      </c>
      <c r="AE396" s="358"/>
      <c r="AF396" s="141"/>
      <c r="AG396" s="141"/>
      <c r="AH396" s="141"/>
      <c r="AI396" s="141"/>
      <c r="AJ396" s="141"/>
      <c r="AK396" s="141"/>
      <c r="AL396" s="141"/>
      <c r="AM396" s="141"/>
      <c r="AN396" s="120"/>
      <c r="AO396" s="120"/>
      <c r="AP396" s="120"/>
      <c r="AQ396" s="313"/>
      <c r="AR396" s="119"/>
      <c r="AS396" s="22"/>
      <c r="AT396" s="22"/>
      <c r="AU396" s="22"/>
      <c r="AV396" s="2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112"/>
      <c r="BH396" s="112"/>
      <c r="BI396" s="112"/>
      <c r="BJ396" s="112"/>
      <c r="BK396" s="82"/>
      <c r="BL396" s="82"/>
      <c r="BN396" s="412"/>
      <c r="BO396" s="412"/>
      <c r="BP396" s="412"/>
      <c r="BQ396" s="412"/>
      <c r="BR396" s="412"/>
      <c r="BZ396">
        <f t="shared" si="29"/>
        <v>1</v>
      </c>
    </row>
    <row r="397" spans="1:123" hidden="1">
      <c r="A397" s="35" t="str">
        <f t="shared" si="30"/>
        <v>ELPTTCV_040/2646090</v>
      </c>
      <c r="C397" s="358" t="s">
        <v>2342</v>
      </c>
      <c r="D397" s="358">
        <v>394</v>
      </c>
      <c r="E397" s="360" t="s">
        <v>3676</v>
      </c>
      <c r="F397" s="358" t="s">
        <v>829</v>
      </c>
      <c r="G397" s="384">
        <v>46090</v>
      </c>
      <c r="H397" s="358" t="s">
        <v>3644</v>
      </c>
      <c r="I397" s="358">
        <v>1</v>
      </c>
      <c r="J397" s="359" t="str">
        <f>IFERROR(VLOOKUP($A397,#REF!,3,0),"")</f>
        <v/>
      </c>
      <c r="K397" s="359">
        <f>IFERROR(VLOOKUP($A397,#REF!,4,0),AF397)</f>
        <v>0</v>
      </c>
      <c r="L397" s="359" t="str">
        <f>IFERROR(VLOOKUP($A397,#REF!,5,0),"")</f>
        <v/>
      </c>
      <c r="M397" s="359" t="str">
        <f>IFERROR(VLOOKUP($A397,#REF!,7,0),"")</f>
        <v/>
      </c>
      <c r="N397" s="359"/>
      <c r="O397" s="359" t="str">
        <f>IFERROR(VLOOKUP($A397,#REF!,6,0),"")</f>
        <v/>
      </c>
      <c r="P397" s="359" t="str">
        <f>IFERROR(VLOOKUP($A397,#REF!,9,0),"")</f>
        <v/>
      </c>
      <c r="Q397" s="359" t="str">
        <f>IFERROR(VLOOKUP($A397,#REF!,10,0),"")</f>
        <v/>
      </c>
      <c r="R397" s="359" t="str">
        <f>IFERROR(VLOOKUP($A397,#REF!,11,0),"")</f>
        <v/>
      </c>
      <c r="S397" s="359" t="str">
        <f>IFERROR(VLOOKUP($A397,#REF!,13,0),"")</f>
        <v/>
      </c>
      <c r="T397" s="359" t="str">
        <f>IFERROR(VLOOKUP($A397,#REF!,14,0),"")</f>
        <v/>
      </c>
      <c r="U397" s="359" t="str">
        <f>IFERROR(VLOOKUP($A397,#REF!,15,0),"")</f>
        <v/>
      </c>
      <c r="V397" s="359" t="str">
        <f>IFERROR(VLOOKUP($A397,#REF!,16,0),"")</f>
        <v/>
      </c>
      <c r="W397" s="359" t="str">
        <f>IFERROR(VLOOKUP($A397,#REF!,17,0),"")</f>
        <v/>
      </c>
      <c r="X397" s="359" t="str">
        <f>IFERROR(VLOOKUP($A397,#REF!,18,0),"")</f>
        <v/>
      </c>
      <c r="Y397" s="359" t="str">
        <f>IFERROR(VLOOKUP($A397,#REF!,19,0),"")</f>
        <v/>
      </c>
      <c r="Z397" s="400" t="str">
        <f>IFERROR(VLOOKUP($A397,#REF!,21,0),"")</f>
        <v/>
      </c>
      <c r="AA397" s="358"/>
      <c r="AB397" s="358"/>
      <c r="AC397" s="358" t="s">
        <v>1721</v>
      </c>
      <c r="AD397" s="358" t="s">
        <v>1638</v>
      </c>
      <c r="AE397" s="358"/>
      <c r="AF397" s="141"/>
      <c r="AG397" s="141"/>
      <c r="AH397" s="141"/>
      <c r="AI397" s="141"/>
      <c r="AJ397" s="141"/>
      <c r="AK397" s="141"/>
      <c r="AL397" s="141"/>
      <c r="AM397" s="141"/>
      <c r="AN397" s="120"/>
      <c r="AO397" s="120"/>
      <c r="AP397" s="120"/>
      <c r="AQ397" s="313"/>
      <c r="AR397" s="119"/>
      <c r="AS397" s="22"/>
      <c r="AT397" s="22"/>
      <c r="AU397" s="22"/>
      <c r="AV397" s="2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112"/>
      <c r="BH397" s="112"/>
      <c r="BI397" s="112"/>
      <c r="BJ397" s="112"/>
      <c r="BK397" s="82"/>
      <c r="BL397" s="82"/>
      <c r="BN397" s="412"/>
      <c r="BO397" s="412"/>
      <c r="BP397" s="412"/>
      <c r="BQ397" s="412"/>
      <c r="BR397" s="412"/>
      <c r="BZ397">
        <f t="shared" si="29"/>
        <v>1</v>
      </c>
    </row>
    <row r="398" spans="1:123" s="272" customFormat="1" hidden="1">
      <c r="A398" s="35" t="str">
        <f t="shared" si="30"/>
        <v>M156/2646090</v>
      </c>
      <c r="B398" s="35"/>
      <c r="C398" s="358" t="s">
        <v>24</v>
      </c>
      <c r="D398" s="358">
        <v>395</v>
      </c>
      <c r="E398" s="358" t="s">
        <v>3677</v>
      </c>
      <c r="F398" s="358" t="s">
        <v>34</v>
      </c>
      <c r="G398" s="384">
        <v>46090</v>
      </c>
      <c r="H398" s="358" t="s">
        <v>364</v>
      </c>
      <c r="I398" s="403">
        <v>12</v>
      </c>
      <c r="J398" s="359" t="str">
        <f>IFERROR(VLOOKUP($A398,#REF!,3,0),"")</f>
        <v/>
      </c>
      <c r="K398" s="359" t="str">
        <f>IFERROR(VLOOKUP($A398,#REF!,4,0),AF398)</f>
        <v>INT</v>
      </c>
      <c r="L398" s="359" t="str">
        <f>IFERROR(VLOOKUP($A398,#REF!,5,0),"")</f>
        <v/>
      </c>
      <c r="M398" s="359" t="str">
        <f>IFERROR(VLOOKUP($A398,#REF!,7,0),"")</f>
        <v/>
      </c>
      <c r="N398" s="359">
        <f>IF(I398&lt;10,10,I398)</f>
        <v>12</v>
      </c>
      <c r="O398" s="359" t="str">
        <f>IFERROR(VLOOKUP($A398,#REF!,6,0),"")</f>
        <v/>
      </c>
      <c r="P398" s="359" t="e">
        <f>+O398*N398</f>
        <v>#VALUE!</v>
      </c>
      <c r="Q398" s="359" t="str">
        <f>IFERROR(VLOOKUP($A398,#REF!,10,0),"")</f>
        <v/>
      </c>
      <c r="R398" s="359" t="str">
        <f>IFERROR(VLOOKUP($A398,#REF!,11,0),"")</f>
        <v/>
      </c>
      <c r="S398" s="359" t="str">
        <f>IFERROR(VLOOKUP($A398,#REF!,13,0),"")</f>
        <v/>
      </c>
      <c r="T398" s="359" t="str">
        <f>IFERROR(VLOOKUP($A398,#REF!,14,0),"")</f>
        <v/>
      </c>
      <c r="U398" s="359" t="str">
        <f>IFERROR(VLOOKUP($A398,#REF!,15,0),"")</f>
        <v/>
      </c>
      <c r="V398" s="359" t="str">
        <f>IFERROR(VLOOKUP($A398,#REF!,16,0),"")</f>
        <v/>
      </c>
      <c r="W398" s="359" t="str">
        <f>IFERROR(VLOOKUP($A398,#REF!,17,0),"")</f>
        <v/>
      </c>
      <c r="X398" s="359" t="str">
        <f>IFERROR(VLOOKUP($A398,#REF!,18,0),"")</f>
        <v/>
      </c>
      <c r="Y398" s="359" t="str">
        <f>IFERROR(VLOOKUP($A398,#REF!,19,0),"")</f>
        <v/>
      </c>
      <c r="Z398" s="400" t="str">
        <f>IFERROR(VLOOKUP($A398,#REF!,21,0),"")</f>
        <v/>
      </c>
      <c r="AA398" s="358"/>
      <c r="AB398" s="358"/>
      <c r="AC398" s="358" t="s">
        <v>1076</v>
      </c>
      <c r="AD398" s="358" t="s">
        <v>3357</v>
      </c>
      <c r="AE398" s="141"/>
      <c r="AF398" s="141" t="s">
        <v>3077</v>
      </c>
      <c r="AG398" s="141" t="s">
        <v>2102</v>
      </c>
      <c r="AH398" s="141" t="s">
        <v>3627</v>
      </c>
      <c r="AI398" s="141" t="s">
        <v>3627</v>
      </c>
      <c r="AJ398" s="141" t="s">
        <v>2050</v>
      </c>
      <c r="AK398" s="141"/>
      <c r="AL398" s="141"/>
      <c r="AM398" s="141"/>
      <c r="AN398" s="120"/>
      <c r="AO398" s="120"/>
      <c r="AP398" s="120"/>
      <c r="AQ398" s="313"/>
      <c r="AR398" s="119"/>
      <c r="AS398" s="22"/>
      <c r="AT398" s="22"/>
      <c r="AU398" s="22"/>
      <c r="AV398" s="2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112"/>
      <c r="BH398" s="112"/>
      <c r="BI398" s="112"/>
      <c r="BJ398" s="112"/>
      <c r="BK398" s="82"/>
      <c r="BL398" s="82"/>
      <c r="BM398"/>
      <c r="BN398" s="412"/>
      <c r="BO398" s="412"/>
      <c r="BP398" s="412"/>
      <c r="BQ398" s="412"/>
      <c r="BR398" s="412"/>
      <c r="BS398" s="96"/>
      <c r="BT398" s="96"/>
      <c r="BU398" s="96"/>
      <c r="BV398" s="96"/>
      <c r="BW398"/>
      <c r="BX398"/>
      <c r="BY398"/>
      <c r="BZ398">
        <f t="shared" si="29"/>
        <v>1</v>
      </c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</row>
    <row r="399" spans="1:123" s="272" customFormat="1" hidden="1">
      <c r="A399" s="35" t="str">
        <f t="shared" si="30"/>
        <v>M091/2646090</v>
      </c>
      <c r="B399" s="35"/>
      <c r="C399" s="358" t="s">
        <v>24</v>
      </c>
      <c r="D399" s="358">
        <v>396</v>
      </c>
      <c r="E399" s="358" t="s">
        <v>3678</v>
      </c>
      <c r="F399" s="358" t="s">
        <v>43</v>
      </c>
      <c r="G399" s="384">
        <v>46090</v>
      </c>
      <c r="H399" s="358" t="s">
        <v>97</v>
      </c>
      <c r="I399" s="358">
        <v>13</v>
      </c>
      <c r="J399" s="359" t="str">
        <f>IFERROR(VLOOKUP($A399,#REF!,3,0),"")</f>
        <v/>
      </c>
      <c r="K399" s="359" t="str">
        <f>IFERROR(VLOOKUP($A399,#REF!,4,0),AF399)</f>
        <v>EXT</v>
      </c>
      <c r="L399" s="359" t="str">
        <f>IFERROR(VLOOKUP($A399,#REF!,5,0),"")</f>
        <v/>
      </c>
      <c r="M399" s="359" t="str">
        <f>IFERROR(VLOOKUP($A399,#REF!,7,0),"")</f>
        <v/>
      </c>
      <c r="N399" s="359"/>
      <c r="O399" s="359" t="str">
        <f>IFERROR(VLOOKUP($A399,#REF!,6,0),"")</f>
        <v/>
      </c>
      <c r="P399" s="359" t="str">
        <f>IFERROR(VLOOKUP($A399,#REF!,9,0),"")</f>
        <v/>
      </c>
      <c r="Q399" s="359" t="str">
        <f>IFERROR(VLOOKUP($A399,#REF!,10,0),"")</f>
        <v/>
      </c>
      <c r="R399" s="359" t="str">
        <f>IFERROR(VLOOKUP($A399,#REF!,11,0),"")</f>
        <v/>
      </c>
      <c r="S399" s="359" t="str">
        <f>IFERROR(VLOOKUP($A399,#REF!,13,0),"")</f>
        <v/>
      </c>
      <c r="T399" s="359" t="str">
        <f>IFERROR(VLOOKUP($A399,#REF!,14,0),"")</f>
        <v/>
      </c>
      <c r="U399" s="359" t="str">
        <f>IFERROR(VLOOKUP($A399,#REF!,15,0),"")</f>
        <v/>
      </c>
      <c r="V399" s="359" t="str">
        <f>IFERROR(VLOOKUP($A399,#REF!,16,0),"")</f>
        <v/>
      </c>
      <c r="W399" s="359" t="str">
        <f>IFERROR(VLOOKUP($A399,#REF!,17,0),"")</f>
        <v/>
      </c>
      <c r="X399" s="359" t="str">
        <f>IFERROR(VLOOKUP($A399,#REF!,18,0),"")</f>
        <v/>
      </c>
      <c r="Y399" s="359" t="str">
        <f>IFERROR(VLOOKUP($A399,#REF!,19,0),"")</f>
        <v/>
      </c>
      <c r="Z399" s="400" t="str">
        <f>IFERROR(VLOOKUP($A399,#REF!,21,0),"")</f>
        <v/>
      </c>
      <c r="AA399" s="358"/>
      <c r="AB399" s="358"/>
      <c r="AC399" s="358" t="s">
        <v>3075</v>
      </c>
      <c r="AD399" s="358" t="s">
        <v>47</v>
      </c>
      <c r="AE399" s="141"/>
      <c r="AF399" s="141" t="s">
        <v>3082</v>
      </c>
      <c r="AG399" s="141" t="s">
        <v>2074</v>
      </c>
      <c r="AH399" s="141" t="s">
        <v>3641</v>
      </c>
      <c r="AI399" s="141" t="s">
        <v>3641</v>
      </c>
      <c r="AJ399" s="141" t="s">
        <v>2050</v>
      </c>
      <c r="AK399" s="141"/>
      <c r="AL399" s="141"/>
      <c r="AM399" s="141"/>
      <c r="AN399" s="120"/>
      <c r="AO399" s="120"/>
      <c r="AP399" s="120"/>
      <c r="AQ399" s="313"/>
      <c r="AR399" s="119"/>
      <c r="AS399" s="22"/>
      <c r="AT399" s="22"/>
      <c r="AU399" s="22"/>
      <c r="AV399" s="2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112"/>
      <c r="BH399" s="112"/>
      <c r="BI399" s="112"/>
      <c r="BJ399" s="112"/>
      <c r="BK399" s="82"/>
      <c r="BL399" s="82"/>
      <c r="BM399"/>
      <c r="BN399" s="412"/>
      <c r="BO399" s="412"/>
      <c r="BP399" s="412"/>
      <c r="BQ399" s="412"/>
      <c r="BR399" s="412"/>
      <c r="BS399" s="96"/>
      <c r="BT399" s="96"/>
      <c r="BU399" s="96"/>
      <c r="BV399" s="96"/>
      <c r="BW399"/>
      <c r="BX399"/>
      <c r="BY399"/>
      <c r="BZ399">
        <f t="shared" si="29"/>
        <v>1</v>
      </c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</row>
    <row r="400" spans="1:123" s="275" customFormat="1" hidden="1">
      <c r="A400" s="35" t="str">
        <f t="shared" si="30"/>
        <v>M182/2646090</v>
      </c>
      <c r="B400" s="364"/>
      <c r="C400" s="358" t="s">
        <v>24</v>
      </c>
      <c r="D400" s="358">
        <v>397</v>
      </c>
      <c r="E400" s="141" t="s">
        <v>3679</v>
      </c>
      <c r="F400" s="141" t="s">
        <v>657</v>
      </c>
      <c r="G400" s="128">
        <v>46090</v>
      </c>
      <c r="H400" s="141" t="s">
        <v>439</v>
      </c>
      <c r="I400" s="141">
        <v>13</v>
      </c>
      <c r="J400" s="359" t="str">
        <f>IFERROR(VLOOKUP($A400,#REF!,3,0),"")</f>
        <v/>
      </c>
      <c r="K400" s="359" t="str">
        <f>IFERROR(VLOOKUP($A400,#REF!,4,0),AF400)</f>
        <v>EXT</v>
      </c>
      <c r="L400" s="359" t="str">
        <f>IFERROR(VLOOKUP($A400,#REF!,5,0),"")</f>
        <v/>
      </c>
      <c r="M400" s="359" t="str">
        <f>IFERROR(VLOOKUP($A400,#REF!,7,0),"")</f>
        <v/>
      </c>
      <c r="N400" s="359"/>
      <c r="O400" s="359" t="str">
        <f>IFERROR(VLOOKUP($A400,#REF!,6,0),"")</f>
        <v/>
      </c>
      <c r="P400" s="359" t="str">
        <f>IFERROR(VLOOKUP($A400,#REF!,9,0),"")</f>
        <v/>
      </c>
      <c r="Q400" s="359" t="str">
        <f>IFERROR(VLOOKUP($A400,#REF!,10,0),"")</f>
        <v/>
      </c>
      <c r="R400" s="359" t="str">
        <f>IFERROR(VLOOKUP($A400,#REF!,11,0),"")</f>
        <v/>
      </c>
      <c r="S400" s="359" t="str">
        <f>IFERROR(VLOOKUP($A400,#REF!,13,0),"")</f>
        <v/>
      </c>
      <c r="T400" s="359" t="str">
        <f>IFERROR(VLOOKUP($A400,#REF!,14,0),"")</f>
        <v/>
      </c>
      <c r="U400" s="359" t="str">
        <f>IFERROR(VLOOKUP($A400,#REF!,15,0),"")</f>
        <v/>
      </c>
      <c r="V400" s="359" t="str">
        <f>IFERROR(VLOOKUP($A400,#REF!,16,0),"")</f>
        <v/>
      </c>
      <c r="W400" s="359" t="str">
        <f>IFERROR(VLOOKUP($A400,#REF!,17,0),"")</f>
        <v/>
      </c>
      <c r="X400" s="359" t="str">
        <f>IFERROR(VLOOKUP($A400,#REF!,18,0),"")</f>
        <v/>
      </c>
      <c r="Y400" s="359" t="str">
        <f>IFERROR(VLOOKUP($A400,#REF!,19,0),"")</f>
        <v/>
      </c>
      <c r="Z400" s="400" t="str">
        <f>IFERROR(VLOOKUP($A400,#REF!,21,0),"")</f>
        <v/>
      </c>
      <c r="AA400" s="141"/>
      <c r="AB400" s="141"/>
      <c r="AC400" s="141" t="s">
        <v>3075</v>
      </c>
      <c r="AD400" s="141" t="s">
        <v>47</v>
      </c>
      <c r="AE400" s="141"/>
      <c r="AF400" s="141" t="s">
        <v>3082</v>
      </c>
      <c r="AG400" s="141" t="s">
        <v>2056</v>
      </c>
      <c r="AH400" s="141" t="s">
        <v>3627</v>
      </c>
      <c r="AI400" s="141" t="s">
        <v>3627</v>
      </c>
      <c r="AJ400" s="141" t="s">
        <v>2050</v>
      </c>
      <c r="AK400" s="141"/>
      <c r="AL400" s="141"/>
      <c r="AM400" s="141"/>
      <c r="AN400" s="273"/>
      <c r="AO400" s="273"/>
      <c r="AP400" s="273"/>
      <c r="AQ400" s="314"/>
      <c r="AR400" s="274"/>
      <c r="AS400" s="104"/>
      <c r="AT400" s="104"/>
      <c r="AU400" s="104"/>
      <c r="AV400" s="104"/>
      <c r="AW400" s="100" t="s">
        <v>30</v>
      </c>
      <c r="AX400" s="95"/>
      <c r="AY400" s="95"/>
      <c r="AZ400" s="95"/>
      <c r="BA400" s="95"/>
      <c r="BB400" s="95"/>
      <c r="BC400" s="95"/>
      <c r="BD400" s="95"/>
      <c r="BE400" s="95"/>
      <c r="BF400" s="95"/>
      <c r="BG400" s="114"/>
      <c r="BH400" s="114"/>
      <c r="BI400" s="114"/>
      <c r="BJ400" s="114"/>
      <c r="BK400" s="95"/>
      <c r="BL400" s="95"/>
      <c r="BM400"/>
      <c r="BN400" s="412"/>
      <c r="BO400" s="412"/>
      <c r="BP400" s="412"/>
      <c r="BQ400" s="412"/>
      <c r="BR400" s="412"/>
      <c r="BS400" s="96"/>
      <c r="BT400" s="96"/>
      <c r="BU400" s="96"/>
      <c r="BV400" s="96"/>
      <c r="BW400"/>
      <c r="BZ400">
        <f t="shared" si="29"/>
        <v>1</v>
      </c>
    </row>
    <row r="401" spans="1:123" s="272" customFormat="1" hidden="1">
      <c r="A401" s="35" t="str">
        <f t="shared" si="30"/>
        <v>007/2646090</v>
      </c>
      <c r="B401" s="35"/>
      <c r="C401" s="358" t="s">
        <v>24</v>
      </c>
      <c r="D401" s="358">
        <v>398</v>
      </c>
      <c r="E401" s="141" t="s">
        <v>3401</v>
      </c>
      <c r="F401" s="141" t="s">
        <v>34</v>
      </c>
      <c r="G401" s="128">
        <v>46090</v>
      </c>
      <c r="H401" s="141" t="s">
        <v>439</v>
      </c>
      <c r="I401" s="141">
        <v>12</v>
      </c>
      <c r="J401" s="359" t="str">
        <f>IFERROR(VLOOKUP($A401,#REF!,3,0),"")</f>
        <v/>
      </c>
      <c r="K401" s="359" t="str">
        <f>IFERROR(VLOOKUP($A401,#REF!,4,0),AF401)</f>
        <v>INT</v>
      </c>
      <c r="L401" s="359" t="str">
        <f>IFERROR(VLOOKUP($A401,#REF!,5,0),"")</f>
        <v/>
      </c>
      <c r="M401" s="359" t="str">
        <f>IFERROR(VLOOKUP($A401,#REF!,7,0),"")</f>
        <v/>
      </c>
      <c r="N401" s="359">
        <f>IF(I401&lt;10,10,I401)</f>
        <v>12</v>
      </c>
      <c r="O401" s="359" t="str">
        <f>IFERROR(VLOOKUP($A401,#REF!,6,0),"")</f>
        <v/>
      </c>
      <c r="P401" s="359" t="e">
        <f>+O401*N401</f>
        <v>#VALUE!</v>
      </c>
      <c r="Q401" s="359" t="str">
        <f>IFERROR(VLOOKUP($A401,#REF!,10,0),"")</f>
        <v/>
      </c>
      <c r="R401" s="359" t="str">
        <f>IFERROR(VLOOKUP($A401,#REF!,11,0),"")</f>
        <v/>
      </c>
      <c r="S401" s="359" t="str">
        <f>IFERROR(VLOOKUP($A401,#REF!,13,0),"")</f>
        <v/>
      </c>
      <c r="T401" s="359" t="str">
        <f>IFERROR(VLOOKUP($A401,#REF!,14,0),"")</f>
        <v/>
      </c>
      <c r="U401" s="359" t="str">
        <f>IFERROR(VLOOKUP($A401,#REF!,15,0),"")</f>
        <v/>
      </c>
      <c r="V401" s="359" t="str">
        <f>IFERROR(VLOOKUP($A401,#REF!,16,0),"")</f>
        <v/>
      </c>
      <c r="W401" s="359" t="str">
        <f>IFERROR(VLOOKUP($A401,#REF!,17,0),"")</f>
        <v/>
      </c>
      <c r="X401" s="359" t="str">
        <f>IFERROR(VLOOKUP($A401,#REF!,18,0),"")</f>
        <v/>
      </c>
      <c r="Y401" s="359" t="str">
        <f>IFERROR(VLOOKUP($A401,#REF!,19,0),"")</f>
        <v/>
      </c>
      <c r="Z401" s="400" t="str">
        <f>IFERROR(VLOOKUP($A401,#REF!,21,0),"")</f>
        <v/>
      </c>
      <c r="AA401" s="141"/>
      <c r="AB401" s="141"/>
      <c r="AC401" s="141" t="s">
        <v>1721</v>
      </c>
      <c r="AD401" s="141" t="s">
        <v>1638</v>
      </c>
      <c r="AE401" s="141"/>
      <c r="AF401" s="141" t="s">
        <v>3077</v>
      </c>
      <c r="AG401" s="141" t="s">
        <v>2316</v>
      </c>
      <c r="AH401" s="141" t="s">
        <v>3627</v>
      </c>
      <c r="AI401" s="141" t="s">
        <v>3627</v>
      </c>
      <c r="AJ401" s="141" t="s">
        <v>2050</v>
      </c>
      <c r="AK401" s="141"/>
      <c r="AL401" s="141"/>
      <c r="AM401" s="141"/>
      <c r="AN401" s="120"/>
      <c r="AO401" s="120"/>
      <c r="AP401" s="120"/>
      <c r="AQ401" s="313"/>
      <c r="AR401" s="119"/>
      <c r="AS401" s="22"/>
      <c r="AT401" s="22"/>
      <c r="AU401" s="22"/>
      <c r="AV401" s="2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112"/>
      <c r="BH401" s="112"/>
      <c r="BI401" s="112"/>
      <c r="BJ401" s="112"/>
      <c r="BK401" s="82"/>
      <c r="BL401" s="82"/>
      <c r="BM401"/>
      <c r="BN401" s="412"/>
      <c r="BO401" s="412"/>
      <c r="BP401" s="412"/>
      <c r="BQ401" s="412"/>
      <c r="BR401" s="412"/>
      <c r="BS401" s="96"/>
      <c r="BT401" s="96"/>
      <c r="BU401" s="96"/>
      <c r="BV401" s="96"/>
      <c r="BW401"/>
      <c r="BX401"/>
      <c r="BY401"/>
      <c r="BZ401">
        <f t="shared" si="29"/>
        <v>1</v>
      </c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</row>
    <row r="402" spans="1:123" s="272" customFormat="1" hidden="1">
      <c r="A402" s="35" t="str">
        <f t="shared" si="30"/>
        <v>M103/2646091</v>
      </c>
      <c r="B402" s="35"/>
      <c r="C402" s="358" t="s">
        <v>24</v>
      </c>
      <c r="D402" s="358">
        <v>399</v>
      </c>
      <c r="E402" s="358" t="s">
        <v>3680</v>
      </c>
      <c r="F402" s="358" t="s">
        <v>3681</v>
      </c>
      <c r="G402" s="384">
        <v>46091</v>
      </c>
      <c r="H402" s="358" t="s">
        <v>3350</v>
      </c>
      <c r="I402" s="358">
        <v>7</v>
      </c>
      <c r="J402" s="359" t="str">
        <f>IFERROR(VLOOKUP($A402,#REF!,3,0),"")</f>
        <v/>
      </c>
      <c r="K402" s="359" t="str">
        <f>IFERROR(VLOOKUP($A402,#REF!,4,0),AF402)</f>
        <v>EXT</v>
      </c>
      <c r="L402" s="359" t="str">
        <f>IFERROR(VLOOKUP($A402,#REF!,5,0),"")</f>
        <v/>
      </c>
      <c r="M402" s="359" t="str">
        <f>IFERROR(VLOOKUP($A402,#REF!,7,0),"")</f>
        <v/>
      </c>
      <c r="N402" s="359"/>
      <c r="O402" s="359" t="str">
        <f>IFERROR(VLOOKUP($A402,#REF!,6,0),"")</f>
        <v/>
      </c>
      <c r="P402" s="359" t="str">
        <f>IFERROR(VLOOKUP($A402,#REF!,9,0),"")</f>
        <v/>
      </c>
      <c r="Q402" s="359" t="str">
        <f>IFERROR(VLOOKUP($A402,#REF!,10,0),"")</f>
        <v/>
      </c>
      <c r="R402" s="359" t="str">
        <f>IFERROR(VLOOKUP($A402,#REF!,11,0),"")</f>
        <v/>
      </c>
      <c r="S402" s="359" t="str">
        <f>IFERROR(VLOOKUP($A402,#REF!,13,0),"")</f>
        <v/>
      </c>
      <c r="T402" s="359" t="str">
        <f>IFERROR(VLOOKUP($A402,#REF!,14,0),"")</f>
        <v/>
      </c>
      <c r="U402" s="359" t="str">
        <f>IFERROR(VLOOKUP($A402,#REF!,15,0),"")</f>
        <v/>
      </c>
      <c r="V402" s="359" t="str">
        <f>IFERROR(VLOOKUP($A402,#REF!,16,0),"")</f>
        <v/>
      </c>
      <c r="W402" s="359" t="str">
        <f>IFERROR(VLOOKUP($A402,#REF!,17,0),"")</f>
        <v/>
      </c>
      <c r="X402" s="359" t="str">
        <f>IFERROR(VLOOKUP($A402,#REF!,18,0),"")</f>
        <v/>
      </c>
      <c r="Y402" s="359" t="str">
        <f>IFERROR(VLOOKUP($A402,#REF!,19,0),"")</f>
        <v/>
      </c>
      <c r="Z402" s="400" t="str">
        <f>IFERROR(VLOOKUP($A402,#REF!,21,0),"")</f>
        <v/>
      </c>
      <c r="AA402" s="358"/>
      <c r="AB402" s="358"/>
      <c r="AC402" s="358" t="s">
        <v>1077</v>
      </c>
      <c r="AD402" s="358" t="s">
        <v>1138</v>
      </c>
      <c r="AE402" s="141"/>
      <c r="AF402" s="141" t="s">
        <v>3082</v>
      </c>
      <c r="AG402" s="141" t="s">
        <v>2640</v>
      </c>
      <c r="AH402" s="141" t="s">
        <v>3627</v>
      </c>
      <c r="AI402" s="141" t="s">
        <v>3627</v>
      </c>
      <c r="AJ402" s="141" t="s">
        <v>3682</v>
      </c>
      <c r="AK402" s="141"/>
      <c r="AL402" s="141"/>
      <c r="AM402" s="141"/>
      <c r="AN402" s="120"/>
      <c r="AO402" s="120"/>
      <c r="AP402" s="120"/>
      <c r="AQ402" s="313"/>
      <c r="AR402" s="119"/>
      <c r="AS402" s="22"/>
      <c r="AT402" s="22"/>
      <c r="AU402" s="22"/>
      <c r="AV402" s="2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112"/>
      <c r="BH402" s="112"/>
      <c r="BI402" s="112"/>
      <c r="BJ402" s="112"/>
      <c r="BK402" s="82"/>
      <c r="BL402" s="82"/>
      <c r="BM402"/>
      <c r="BN402" s="412"/>
      <c r="BO402" s="412"/>
      <c r="BP402" s="412"/>
      <c r="BQ402" s="412"/>
      <c r="BR402" s="412"/>
      <c r="BS402" s="96"/>
      <c r="BT402" s="96"/>
      <c r="BU402" s="96"/>
      <c r="BV402" s="96"/>
      <c r="BW402"/>
      <c r="BX402"/>
      <c r="BY402"/>
      <c r="BZ402">
        <f t="shared" si="29"/>
        <v>1</v>
      </c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</row>
    <row r="403" spans="1:123" s="272" customFormat="1" hidden="1">
      <c r="A403" s="35" t="str">
        <f t="shared" si="30"/>
        <v>010/2646093</v>
      </c>
      <c r="B403" s="35"/>
      <c r="C403" s="358" t="s">
        <v>24</v>
      </c>
      <c r="D403" s="358">
        <v>400</v>
      </c>
      <c r="E403" s="358" t="s">
        <v>3683</v>
      </c>
      <c r="F403" s="358" t="s">
        <v>43</v>
      </c>
      <c r="G403" s="384">
        <v>46093</v>
      </c>
      <c r="H403" s="358" t="s">
        <v>167</v>
      </c>
      <c r="I403" s="358">
        <v>9</v>
      </c>
      <c r="J403" s="359" t="str">
        <f>IFERROR(VLOOKUP($A403,#REF!,3,0),"")</f>
        <v/>
      </c>
      <c r="K403" s="359" t="str">
        <f>IFERROR(VLOOKUP($A403,#REF!,4,0),AF403)</f>
        <v>EXT</v>
      </c>
      <c r="L403" s="359" t="str">
        <f>IFERROR(VLOOKUP($A403,#REF!,5,0),"")</f>
        <v/>
      </c>
      <c r="M403" s="359" t="str">
        <f>IFERROR(VLOOKUP($A403,#REF!,7,0),"")</f>
        <v/>
      </c>
      <c r="N403" s="359"/>
      <c r="O403" s="359" t="str">
        <f>IFERROR(VLOOKUP($A403,#REF!,6,0),"")</f>
        <v/>
      </c>
      <c r="P403" s="359" t="str">
        <f>IFERROR(VLOOKUP($A403,#REF!,9,0),"")</f>
        <v/>
      </c>
      <c r="Q403" s="359" t="str">
        <f>IFERROR(VLOOKUP($A403,#REF!,10,0),"")</f>
        <v/>
      </c>
      <c r="R403" s="359" t="str">
        <f>IFERROR(VLOOKUP($A403,#REF!,11,0),"")</f>
        <v/>
      </c>
      <c r="S403" s="359" t="str">
        <f>IFERROR(VLOOKUP($A403,#REF!,13,0),"")</f>
        <v/>
      </c>
      <c r="T403" s="359" t="str">
        <f>IFERROR(VLOOKUP($A403,#REF!,14,0),"")</f>
        <v/>
      </c>
      <c r="U403" s="359" t="str">
        <f>IFERROR(VLOOKUP($A403,#REF!,15,0),"")</f>
        <v/>
      </c>
      <c r="V403" s="359" t="str">
        <f>IFERROR(VLOOKUP($A403,#REF!,16,0),"")</f>
        <v/>
      </c>
      <c r="W403" s="359" t="str">
        <f>IFERROR(VLOOKUP($A403,#REF!,17,0),"")</f>
        <v/>
      </c>
      <c r="X403" s="359" t="str">
        <f>IFERROR(VLOOKUP($A403,#REF!,18,0),"")</f>
        <v/>
      </c>
      <c r="Y403" s="359" t="str">
        <f>IFERROR(VLOOKUP($A403,#REF!,19,0),"")</f>
        <v/>
      </c>
      <c r="Z403" s="400" t="str">
        <f>IFERROR(VLOOKUP($A403,#REF!,21,0),"")</f>
        <v/>
      </c>
      <c r="AA403" s="358"/>
      <c r="AB403" s="358"/>
      <c r="AC403" s="358" t="s">
        <v>1721</v>
      </c>
      <c r="AD403" s="141" t="s">
        <v>1638</v>
      </c>
      <c r="AE403" s="141"/>
      <c r="AF403" s="141" t="s">
        <v>3082</v>
      </c>
      <c r="AG403" s="141" t="s">
        <v>3396</v>
      </c>
      <c r="AH403" s="141" t="s">
        <v>3684</v>
      </c>
      <c r="AI403" s="141" t="s">
        <v>3684</v>
      </c>
      <c r="AJ403" s="141" t="s">
        <v>2050</v>
      </c>
      <c r="AK403" s="141"/>
      <c r="AL403" s="141"/>
      <c r="AM403" s="141"/>
      <c r="AN403" s="120"/>
      <c r="AO403" s="120"/>
      <c r="AP403" s="120"/>
      <c r="AQ403" s="313"/>
      <c r="AR403" s="119"/>
      <c r="AS403" s="22"/>
      <c r="AT403" s="22"/>
      <c r="AU403" s="22"/>
      <c r="AV403" s="22"/>
      <c r="AW403" s="82" t="s">
        <v>30</v>
      </c>
      <c r="AX403" s="82"/>
      <c r="AY403" s="82"/>
      <c r="AZ403" s="82"/>
      <c r="BA403" s="82"/>
      <c r="BB403" s="82"/>
      <c r="BC403" s="82"/>
      <c r="BD403" s="82"/>
      <c r="BE403" s="82"/>
      <c r="BF403" s="82"/>
      <c r="BG403" s="112"/>
      <c r="BH403" s="112"/>
      <c r="BI403" s="112"/>
      <c r="BJ403" s="112"/>
      <c r="BK403" s="82"/>
      <c r="BL403" s="82"/>
      <c r="BM403"/>
      <c r="BN403" s="412"/>
      <c r="BO403" s="412"/>
      <c r="BP403" s="412"/>
      <c r="BQ403" s="412"/>
      <c r="BR403" s="412"/>
      <c r="BS403" s="96"/>
      <c r="BT403" s="96"/>
      <c r="BU403" s="96"/>
      <c r="BV403" s="96"/>
      <c r="BW403"/>
      <c r="BX403"/>
      <c r="BY403"/>
      <c r="BZ403">
        <f t="shared" si="29"/>
        <v>1</v>
      </c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</row>
    <row r="404" spans="1:123" hidden="1">
      <c r="A404" s="35" t="str">
        <f t="shared" si="30"/>
        <v>M183/2646093</v>
      </c>
      <c r="C404" s="358" t="s">
        <v>24</v>
      </c>
      <c r="D404" s="358">
        <v>401</v>
      </c>
      <c r="E404" s="358" t="s">
        <v>3685</v>
      </c>
      <c r="F404" s="358" t="s">
        <v>374</v>
      </c>
      <c r="G404" s="384">
        <v>46093</v>
      </c>
      <c r="H404" s="358" t="s">
        <v>646</v>
      </c>
      <c r="I404" s="358">
        <v>9</v>
      </c>
      <c r="J404" s="359" t="str">
        <f>IFERROR(VLOOKUP($A404,#REF!,3,0),"")</f>
        <v/>
      </c>
      <c r="K404" s="359" t="str">
        <f>IFERROR(VLOOKUP($A404,#REF!,4,0),AF404)</f>
        <v>INT</v>
      </c>
      <c r="L404" s="359" t="str">
        <f>IFERROR(VLOOKUP($A404,#REF!,5,0),"")</f>
        <v/>
      </c>
      <c r="M404" s="359" t="str">
        <f>IFERROR(VLOOKUP($A404,#REF!,7,0),"")</f>
        <v/>
      </c>
      <c r="N404" s="359">
        <f t="shared" ref="N404:N417" si="31">IF(I404&lt;10,10,I404)</f>
        <v>10</v>
      </c>
      <c r="O404" s="359" t="str">
        <f>IFERROR(VLOOKUP($A404,#REF!,6,0),"")</f>
        <v/>
      </c>
      <c r="P404" s="359" t="e">
        <f t="shared" ref="P404:P417" si="32">+O404*N404</f>
        <v>#VALUE!</v>
      </c>
      <c r="Q404" s="359" t="str">
        <f>IFERROR(VLOOKUP($A404,#REF!,10,0),"")</f>
        <v/>
      </c>
      <c r="R404" s="359" t="str">
        <f>IFERROR(VLOOKUP($A404,#REF!,11,0),"")</f>
        <v/>
      </c>
      <c r="S404" s="359" t="str">
        <f>IFERROR(VLOOKUP($A404,#REF!,13,0),"")</f>
        <v/>
      </c>
      <c r="T404" s="359" t="str">
        <f>IFERROR(VLOOKUP($A404,#REF!,14,0),"")</f>
        <v/>
      </c>
      <c r="U404" s="359" t="str">
        <f>IFERROR(VLOOKUP($A404,#REF!,15,0),"")</f>
        <v/>
      </c>
      <c r="V404" s="359" t="str">
        <f>IFERROR(VLOOKUP($A404,#REF!,16,0),"")</f>
        <v/>
      </c>
      <c r="W404" s="359" t="str">
        <f>IFERROR(VLOOKUP($A404,#REF!,17,0),"")</f>
        <v/>
      </c>
      <c r="X404" s="359" t="str">
        <f>IFERROR(VLOOKUP($A404,#REF!,18,0),"")</f>
        <v/>
      </c>
      <c r="Y404" s="359" t="str">
        <f>IFERROR(VLOOKUP($A404,#REF!,19,0),"")</f>
        <v/>
      </c>
      <c r="Z404" s="400" t="str">
        <f>IFERROR(VLOOKUP($A404,#REF!,21,0),"")</f>
        <v/>
      </c>
      <c r="AA404" s="358"/>
      <c r="AB404" s="358"/>
      <c r="AC404" s="358" t="s">
        <v>1077</v>
      </c>
      <c r="AD404" s="358" t="s">
        <v>1138</v>
      </c>
      <c r="AE404" s="141"/>
      <c r="AF404" s="141" t="s">
        <v>3077</v>
      </c>
      <c r="AG404" s="285" t="s">
        <v>2135</v>
      </c>
      <c r="AH404" s="141" t="s">
        <v>3684</v>
      </c>
      <c r="AI404" s="141" t="s">
        <v>3684</v>
      </c>
      <c r="AJ404" s="141" t="s">
        <v>2050</v>
      </c>
      <c r="AK404" s="141"/>
      <c r="AL404" s="141"/>
      <c r="AM404" s="141"/>
      <c r="AN404" s="120"/>
      <c r="AO404" s="120"/>
      <c r="AP404" s="120"/>
      <c r="AQ404" s="313"/>
      <c r="AR404" s="119"/>
      <c r="AS404" s="22"/>
      <c r="AT404" s="22"/>
      <c r="AU404" s="22"/>
      <c r="AV404" s="22"/>
      <c r="AW404" s="82" t="s">
        <v>30</v>
      </c>
      <c r="AX404" s="82"/>
      <c r="AY404" s="82"/>
      <c r="AZ404" s="82"/>
      <c r="BA404" s="82"/>
      <c r="BB404" s="82"/>
      <c r="BC404" s="82"/>
      <c r="BD404" s="82"/>
      <c r="BE404" s="82"/>
      <c r="BF404" s="82"/>
      <c r="BG404" s="112"/>
      <c r="BH404" s="112"/>
      <c r="BI404" s="112"/>
      <c r="BJ404" s="112"/>
      <c r="BK404" s="82"/>
      <c r="BL404" s="82"/>
      <c r="BN404" s="412"/>
      <c r="BO404" s="412"/>
      <c r="BP404" s="412"/>
      <c r="BQ404" s="412"/>
      <c r="BR404" s="412"/>
      <c r="BZ404">
        <f t="shared" si="29"/>
        <v>1</v>
      </c>
    </row>
    <row r="405" spans="1:123" s="278" customFormat="1" hidden="1">
      <c r="A405" s="35" t="str">
        <f t="shared" si="30"/>
        <v>M197/2646093</v>
      </c>
      <c r="B405" s="362"/>
      <c r="C405" s="141" t="s">
        <v>24</v>
      </c>
      <c r="D405" s="358">
        <v>402</v>
      </c>
      <c r="E405" s="141" t="s">
        <v>3686</v>
      </c>
      <c r="F405" s="141" t="s">
        <v>406</v>
      </c>
      <c r="G405" s="128">
        <v>46093</v>
      </c>
      <c r="H405" s="141" t="s">
        <v>65</v>
      </c>
      <c r="I405" s="141">
        <v>13</v>
      </c>
      <c r="J405" s="359" t="str">
        <f>IFERROR(VLOOKUP($A405,#REF!,3,0),"")</f>
        <v/>
      </c>
      <c r="K405" s="359" t="str">
        <f>IFERROR(VLOOKUP($A405,#REF!,4,0),AF405)</f>
        <v>INT</v>
      </c>
      <c r="L405" s="359" t="str">
        <f>IFERROR(VLOOKUP($A405,#REF!,5,0),"")</f>
        <v/>
      </c>
      <c r="M405" s="359" t="str">
        <f>IFERROR(VLOOKUP($A405,#REF!,7,0),"")</f>
        <v/>
      </c>
      <c r="N405" s="359">
        <f t="shared" si="31"/>
        <v>13</v>
      </c>
      <c r="O405" s="359" t="str">
        <f>IFERROR(VLOOKUP($A405,#REF!,6,0),"")</f>
        <v/>
      </c>
      <c r="P405" s="359" t="e">
        <f t="shared" si="32"/>
        <v>#VALUE!</v>
      </c>
      <c r="Q405" s="359" t="str">
        <f>IFERROR(VLOOKUP($A405,#REF!,10,0),"")</f>
        <v/>
      </c>
      <c r="R405" s="359" t="str">
        <f>IFERROR(VLOOKUP($A405,#REF!,11,0),"")</f>
        <v/>
      </c>
      <c r="S405" s="359" t="str">
        <f>IFERROR(VLOOKUP($A405,#REF!,13,0),"")</f>
        <v/>
      </c>
      <c r="T405" s="359" t="str">
        <f>IFERROR(VLOOKUP($A405,#REF!,14,0),"")</f>
        <v/>
      </c>
      <c r="U405" s="359" t="str">
        <f>IFERROR(VLOOKUP($A405,#REF!,15,0),"")</f>
        <v/>
      </c>
      <c r="V405" s="359" t="str">
        <f>IFERROR(VLOOKUP($A405,#REF!,16,0),"")</f>
        <v/>
      </c>
      <c r="W405" s="359" t="str">
        <f>IFERROR(VLOOKUP($A405,#REF!,17,0),"")</f>
        <v/>
      </c>
      <c r="X405" s="359" t="str">
        <f>IFERROR(VLOOKUP($A405,#REF!,18,0),"")</f>
        <v/>
      </c>
      <c r="Y405" s="359" t="str">
        <f>IFERROR(VLOOKUP($A405,#REF!,19,0),"")</f>
        <v/>
      </c>
      <c r="Z405" s="400" t="str">
        <f>IFERROR(VLOOKUP($A405,#REF!,21,0),"")</f>
        <v/>
      </c>
      <c r="AA405" s="141"/>
      <c r="AB405" s="141"/>
      <c r="AC405" s="141" t="s">
        <v>1077</v>
      </c>
      <c r="AD405" s="141" t="s">
        <v>1138</v>
      </c>
      <c r="AE405" s="141"/>
      <c r="AF405" s="141" t="s">
        <v>3077</v>
      </c>
      <c r="AG405" s="285" t="s">
        <v>3687</v>
      </c>
      <c r="AH405" s="141" t="s">
        <v>3684</v>
      </c>
      <c r="AI405" s="141" t="s">
        <v>3684</v>
      </c>
      <c r="AJ405" s="141" t="s">
        <v>3688</v>
      </c>
      <c r="AK405" s="141"/>
      <c r="AL405" s="141"/>
      <c r="AM405" s="141"/>
      <c r="AN405" s="276"/>
      <c r="AO405" s="276"/>
      <c r="AP405" s="276"/>
      <c r="AQ405" s="320"/>
      <c r="AR405" s="277"/>
      <c r="AS405" s="250"/>
      <c r="AT405" s="250"/>
      <c r="AU405" s="250"/>
      <c r="AV405" s="82" t="s">
        <v>30</v>
      </c>
      <c r="AW405" s="100"/>
      <c r="AX405" s="100"/>
      <c r="AY405" s="100"/>
      <c r="AZ405" s="100"/>
      <c r="BA405" s="100"/>
      <c r="BB405" s="100"/>
      <c r="BC405" s="100"/>
      <c r="BD405" s="100"/>
      <c r="BE405" s="100"/>
      <c r="BF405" s="100"/>
      <c r="BG405" s="111"/>
      <c r="BH405" s="111"/>
      <c r="BI405" s="111"/>
      <c r="BJ405" s="111"/>
      <c r="BK405" s="100"/>
      <c r="BL405" s="100"/>
      <c r="BM405"/>
      <c r="BN405" s="412"/>
      <c r="BO405" s="412"/>
      <c r="BP405" s="412"/>
      <c r="BQ405" s="412"/>
      <c r="BR405" s="412"/>
      <c r="BS405" s="96"/>
      <c r="BT405" s="96"/>
      <c r="BU405" s="96"/>
      <c r="BV405" s="96"/>
      <c r="BW405"/>
      <c r="BZ405">
        <f t="shared" si="29"/>
        <v>1</v>
      </c>
    </row>
    <row r="406" spans="1:123" hidden="1">
      <c r="A406" s="35" t="str">
        <f t="shared" si="30"/>
        <v>M198/2646094</v>
      </c>
      <c r="C406" s="358" t="s">
        <v>24</v>
      </c>
      <c r="D406" s="358">
        <v>403</v>
      </c>
      <c r="E406" s="141" t="s">
        <v>3689</v>
      </c>
      <c r="F406" s="141" t="s">
        <v>374</v>
      </c>
      <c r="G406" s="128">
        <v>46094</v>
      </c>
      <c r="H406" s="141" t="s">
        <v>65</v>
      </c>
      <c r="I406" s="141">
        <v>15</v>
      </c>
      <c r="J406" s="359" t="str">
        <f>IFERROR(VLOOKUP($A406,#REF!,3,0),"")</f>
        <v/>
      </c>
      <c r="K406" s="359" t="s">
        <v>3690</v>
      </c>
      <c r="L406" s="359" t="str">
        <f>IFERROR(VLOOKUP($A406,#REF!,5,0),"")</f>
        <v/>
      </c>
      <c r="M406" s="359" t="str">
        <f>IFERROR(VLOOKUP($A406,#REF!,7,0),"")</f>
        <v/>
      </c>
      <c r="N406" s="359">
        <f t="shared" si="31"/>
        <v>15</v>
      </c>
      <c r="O406" s="359" t="str">
        <f>IFERROR(VLOOKUP($A406,#REF!,6,0),"")</f>
        <v/>
      </c>
      <c r="P406" s="359" t="e">
        <f t="shared" si="32"/>
        <v>#VALUE!</v>
      </c>
      <c r="Q406" s="359" t="str">
        <f>IFERROR(VLOOKUP($A406,#REF!,10,0),"")</f>
        <v/>
      </c>
      <c r="R406" s="359" t="str">
        <f>IFERROR(VLOOKUP($A406,#REF!,11,0),"")</f>
        <v/>
      </c>
      <c r="S406" s="359" t="str">
        <f>IFERROR(VLOOKUP($A406,#REF!,13,0),"")</f>
        <v/>
      </c>
      <c r="T406" s="359" t="str">
        <f>IFERROR(VLOOKUP($A406,#REF!,14,0),"")</f>
        <v/>
      </c>
      <c r="U406" s="359" t="str">
        <f>IFERROR(VLOOKUP($A406,#REF!,15,0),"")</f>
        <v/>
      </c>
      <c r="V406" s="359" t="str">
        <f>IFERROR(VLOOKUP($A406,#REF!,16,0),"")</f>
        <v/>
      </c>
      <c r="W406" s="359" t="str">
        <f>IFERROR(VLOOKUP($A406,#REF!,17,0),"")</f>
        <v/>
      </c>
      <c r="X406" s="359" t="str">
        <f>IFERROR(VLOOKUP($A406,#REF!,18,0),"")</f>
        <v/>
      </c>
      <c r="Y406" s="359" t="str">
        <f>IFERROR(VLOOKUP($A406,#REF!,19,0),"")</f>
        <v/>
      </c>
      <c r="Z406" s="400" t="str">
        <f>IFERROR(VLOOKUP($A406,#REF!,21,0),"")</f>
        <v/>
      </c>
      <c r="AA406" s="141"/>
      <c r="AB406" s="141"/>
      <c r="AC406" s="141" t="s">
        <v>1077</v>
      </c>
      <c r="AD406" s="141" t="s">
        <v>1138</v>
      </c>
      <c r="AE406" s="141"/>
      <c r="AF406" s="141" t="s">
        <v>3082</v>
      </c>
      <c r="AG406" s="285" t="s">
        <v>2203</v>
      </c>
      <c r="AH406" s="141" t="s">
        <v>3691</v>
      </c>
      <c r="AI406" s="141" t="s">
        <v>3691</v>
      </c>
      <c r="AJ406" s="141" t="s">
        <v>3688</v>
      </c>
      <c r="AK406" s="141"/>
      <c r="AL406" s="141"/>
      <c r="AM406" s="141"/>
      <c r="AN406" s="331" t="s">
        <v>2863</v>
      </c>
      <c r="AO406" s="120"/>
      <c r="AP406" s="120"/>
      <c r="AQ406" s="313"/>
      <c r="AR406" s="119"/>
      <c r="AS406" s="22"/>
      <c r="AT406" s="22"/>
      <c r="AU406" s="22"/>
      <c r="AV406" s="2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112"/>
      <c r="BH406" s="112"/>
      <c r="BI406" s="112"/>
      <c r="BJ406" s="112"/>
      <c r="BK406" s="82"/>
      <c r="BL406" s="82"/>
      <c r="BN406" s="412"/>
      <c r="BO406" s="412"/>
      <c r="BP406" s="412"/>
      <c r="BQ406" s="412"/>
      <c r="BR406" s="412"/>
      <c r="BZ406">
        <f t="shared" si="29"/>
        <v>1</v>
      </c>
    </row>
    <row r="407" spans="1:123" hidden="1">
      <c r="A407" s="35" t="str">
        <f t="shared" si="30"/>
        <v>M140/2646095</v>
      </c>
      <c r="C407" s="358" t="s">
        <v>24</v>
      </c>
      <c r="D407" s="358">
        <v>404</v>
      </c>
      <c r="E407" s="358" t="s">
        <v>3692</v>
      </c>
      <c r="F407" s="358" t="s">
        <v>43</v>
      </c>
      <c r="G407" s="384">
        <v>46095</v>
      </c>
      <c r="H407" s="358" t="s">
        <v>3693</v>
      </c>
      <c r="I407" s="358">
        <v>21</v>
      </c>
      <c r="J407" s="359" t="str">
        <f>IFERROR(VLOOKUP($A407,#REF!,3,0),"")</f>
        <v/>
      </c>
      <c r="K407" s="359" t="str">
        <f>IFERROR(VLOOKUP($A407,#REF!,4,0),AF407)</f>
        <v>INT</v>
      </c>
      <c r="L407" s="359" t="str">
        <f>IFERROR(VLOOKUP($A407,#REF!,5,0),"")</f>
        <v/>
      </c>
      <c r="M407" s="359" t="str">
        <f>IFERROR(VLOOKUP($A407,#REF!,7,0),"")</f>
        <v/>
      </c>
      <c r="N407" s="359">
        <f t="shared" si="31"/>
        <v>21</v>
      </c>
      <c r="O407" s="359" t="str">
        <f>IFERROR(VLOOKUP($A407,#REF!,6,0),"")</f>
        <v/>
      </c>
      <c r="P407" s="359" t="e">
        <f t="shared" si="32"/>
        <v>#VALUE!</v>
      </c>
      <c r="Q407" s="359" t="str">
        <f>IFERROR(VLOOKUP($A407,#REF!,10,0),"")</f>
        <v/>
      </c>
      <c r="R407" s="359" t="str">
        <f>IFERROR(VLOOKUP($A407,#REF!,11,0),"")</f>
        <v/>
      </c>
      <c r="S407" s="359" t="str">
        <f>IFERROR(VLOOKUP($A407,#REF!,13,0),"")</f>
        <v/>
      </c>
      <c r="T407" s="359" t="str">
        <f>IFERROR(VLOOKUP($A407,#REF!,14,0),"")</f>
        <v/>
      </c>
      <c r="U407" s="359" t="str">
        <f>IFERROR(VLOOKUP($A407,#REF!,15,0),"")</f>
        <v/>
      </c>
      <c r="V407" s="359" t="str">
        <f>IFERROR(VLOOKUP($A407,#REF!,16,0),"")</f>
        <v/>
      </c>
      <c r="W407" s="359" t="str">
        <f>IFERROR(VLOOKUP($A407,#REF!,17,0),"")</f>
        <v/>
      </c>
      <c r="X407" s="359" t="str">
        <f>IFERROR(VLOOKUP($A407,#REF!,18,0),"")</f>
        <v/>
      </c>
      <c r="Y407" s="359" t="str">
        <f>IFERROR(VLOOKUP($A407,#REF!,19,0),"")</f>
        <v/>
      </c>
      <c r="Z407" s="400" t="str">
        <f>IFERROR(VLOOKUP($A407,#REF!,21,0),"")</f>
        <v/>
      </c>
      <c r="AA407" s="358"/>
      <c r="AB407" s="358"/>
      <c r="AC407" s="358" t="s">
        <v>1077</v>
      </c>
      <c r="AD407" s="358" t="s">
        <v>1138</v>
      </c>
      <c r="AE407" s="141"/>
      <c r="AF407" s="141" t="s">
        <v>3077</v>
      </c>
      <c r="AG407" s="141" t="s">
        <v>2108</v>
      </c>
      <c r="AH407" s="141" t="s">
        <v>3627</v>
      </c>
      <c r="AI407" s="141" t="s">
        <v>3627</v>
      </c>
      <c r="AJ407" s="141" t="s">
        <v>3682</v>
      </c>
      <c r="AK407" s="141"/>
      <c r="AL407" s="141"/>
      <c r="AM407" s="141"/>
      <c r="AN407" s="331" t="s">
        <v>2863</v>
      </c>
      <c r="AO407" s="120"/>
      <c r="AP407" s="120"/>
      <c r="AQ407" s="313"/>
      <c r="AR407" s="119"/>
      <c r="AS407" s="22"/>
      <c r="AT407" s="22"/>
      <c r="AU407" s="22"/>
      <c r="AV407" s="82" t="s">
        <v>30</v>
      </c>
      <c r="AW407" s="82" t="s">
        <v>30</v>
      </c>
      <c r="AX407" s="82"/>
      <c r="AY407" s="82"/>
      <c r="AZ407" s="82"/>
      <c r="BA407" s="82"/>
      <c r="BB407" s="82"/>
      <c r="BC407" s="82"/>
      <c r="BD407" s="82"/>
      <c r="BE407" s="82"/>
      <c r="BF407" s="82"/>
      <c r="BG407" s="112"/>
      <c r="BH407" s="112"/>
      <c r="BI407" s="112"/>
      <c r="BJ407" s="112"/>
      <c r="BK407" s="82"/>
      <c r="BL407" s="82"/>
      <c r="BN407" s="412"/>
      <c r="BO407" s="412"/>
      <c r="BP407" s="412"/>
      <c r="BQ407" s="412"/>
      <c r="BR407" s="412"/>
      <c r="BZ407">
        <f t="shared" si="29"/>
        <v>1</v>
      </c>
    </row>
    <row r="408" spans="1:123" s="272" customFormat="1" hidden="1">
      <c r="A408" s="35" t="str">
        <f t="shared" si="30"/>
        <v>M164/2646095</v>
      </c>
      <c r="B408" s="35"/>
      <c r="C408" s="358" t="s">
        <v>24</v>
      </c>
      <c r="D408" s="358">
        <v>405</v>
      </c>
      <c r="E408" s="358" t="s">
        <v>3694</v>
      </c>
      <c r="F408" s="358" t="s">
        <v>34</v>
      </c>
      <c r="G408" s="384">
        <v>46095</v>
      </c>
      <c r="H408" s="358" t="s">
        <v>1342</v>
      </c>
      <c r="I408" s="358">
        <v>9</v>
      </c>
      <c r="J408" s="359" t="str">
        <f>IFERROR(VLOOKUP($A408,#REF!,3,0),"")</f>
        <v/>
      </c>
      <c r="K408" s="359" t="str">
        <f>IFERROR(VLOOKUP($A408,#REF!,4,0),AF408)</f>
        <v>INT</v>
      </c>
      <c r="L408" s="359" t="str">
        <f>IFERROR(VLOOKUP($A408,#REF!,5,0),"")</f>
        <v/>
      </c>
      <c r="M408" s="359" t="str">
        <f>IFERROR(VLOOKUP($A408,#REF!,7,0),"")</f>
        <v/>
      </c>
      <c r="N408" s="359">
        <f t="shared" si="31"/>
        <v>10</v>
      </c>
      <c r="O408" s="359" t="str">
        <f>IFERROR(VLOOKUP($A408,#REF!,6,0),"")</f>
        <v/>
      </c>
      <c r="P408" s="359" t="e">
        <f t="shared" si="32"/>
        <v>#VALUE!</v>
      </c>
      <c r="Q408" s="359" t="str">
        <f>IFERROR(VLOOKUP($A408,#REF!,10,0),"")</f>
        <v/>
      </c>
      <c r="R408" s="359" t="str">
        <f>IFERROR(VLOOKUP($A408,#REF!,11,0),"")</f>
        <v/>
      </c>
      <c r="S408" s="359" t="str">
        <f>IFERROR(VLOOKUP($A408,#REF!,13,0),"")</f>
        <v/>
      </c>
      <c r="T408" s="359" t="str">
        <f>IFERROR(VLOOKUP($A408,#REF!,14,0),"")</f>
        <v/>
      </c>
      <c r="U408" s="359" t="str">
        <f>IFERROR(VLOOKUP($A408,#REF!,15,0),"")</f>
        <v/>
      </c>
      <c r="V408" s="359" t="str">
        <f>IFERROR(VLOOKUP($A408,#REF!,16,0),"")</f>
        <v/>
      </c>
      <c r="W408" s="359" t="str">
        <f>IFERROR(VLOOKUP($A408,#REF!,17,0),"")</f>
        <v/>
      </c>
      <c r="X408" s="359" t="str">
        <f>IFERROR(VLOOKUP($A408,#REF!,18,0),"")</f>
        <v/>
      </c>
      <c r="Y408" s="359" t="str">
        <f>IFERROR(VLOOKUP($A408,#REF!,19,0),"")</f>
        <v/>
      </c>
      <c r="Z408" s="400" t="str">
        <f>IFERROR(VLOOKUP($A408,#REF!,21,0),"")</f>
        <v/>
      </c>
      <c r="AA408" s="358"/>
      <c r="AB408" s="358"/>
      <c r="AC408" s="358" t="s">
        <v>2391</v>
      </c>
      <c r="AD408" s="358" t="s">
        <v>3651</v>
      </c>
      <c r="AE408" s="141"/>
      <c r="AF408" s="141" t="s">
        <v>3077</v>
      </c>
      <c r="AG408" s="141" t="s">
        <v>2123</v>
      </c>
      <c r="AH408" s="141" t="s">
        <v>3695</v>
      </c>
      <c r="AI408" s="141" t="s">
        <v>3691</v>
      </c>
      <c r="AJ408" s="141" t="s">
        <v>3682</v>
      </c>
      <c r="AK408" s="141"/>
      <c r="AL408" s="141"/>
      <c r="AM408" s="141"/>
      <c r="AN408" s="120"/>
      <c r="AO408" s="120"/>
      <c r="AP408" s="120"/>
      <c r="AQ408" s="313"/>
      <c r="AR408" s="119"/>
      <c r="AS408" s="22"/>
      <c r="AT408" s="22"/>
      <c r="AU408" s="22"/>
      <c r="AV408" s="22"/>
      <c r="AW408" s="82" t="s">
        <v>30</v>
      </c>
      <c r="AX408" s="82"/>
      <c r="AY408" s="82"/>
      <c r="AZ408" s="82"/>
      <c r="BA408" s="82"/>
      <c r="BB408" s="82"/>
      <c r="BC408" s="82"/>
      <c r="BD408" s="82"/>
      <c r="BE408" s="82"/>
      <c r="BF408" s="82"/>
      <c r="BG408" s="112"/>
      <c r="BH408" s="112"/>
      <c r="BI408" s="112"/>
      <c r="BJ408" s="112"/>
      <c r="BK408" s="82"/>
      <c r="BL408" s="82"/>
      <c r="BM408"/>
      <c r="BN408" s="412"/>
      <c r="BO408" s="412"/>
      <c r="BP408" s="412"/>
      <c r="BQ408" s="412"/>
      <c r="BR408" s="412"/>
      <c r="BS408" s="96"/>
      <c r="BT408" s="96"/>
      <c r="BU408" s="96"/>
      <c r="BV408" s="96"/>
      <c r="BW408"/>
      <c r="BX408"/>
      <c r="BY408"/>
      <c r="BZ408">
        <f t="shared" si="29"/>
        <v>1</v>
      </c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</row>
    <row r="409" spans="1:123" hidden="1">
      <c r="A409" s="35" t="str">
        <f t="shared" si="30"/>
        <v>M071/2646095</v>
      </c>
      <c r="C409" s="358" t="s">
        <v>24</v>
      </c>
      <c r="D409" s="358">
        <v>406</v>
      </c>
      <c r="E409" s="358" t="s">
        <v>3696</v>
      </c>
      <c r="F409" s="358" t="s">
        <v>34</v>
      </c>
      <c r="G409" s="384">
        <v>46095</v>
      </c>
      <c r="H409" s="358" t="s">
        <v>3697</v>
      </c>
      <c r="I409" s="358">
        <v>16</v>
      </c>
      <c r="J409" s="359" t="str">
        <f>IFERROR(VLOOKUP($A409,#REF!,3,0),"")</f>
        <v/>
      </c>
      <c r="K409" s="359" t="str">
        <f>IFERROR(VLOOKUP($A409,#REF!,4,0),AF409)</f>
        <v>INT</v>
      </c>
      <c r="L409" s="359" t="str">
        <f>IFERROR(VLOOKUP($A409,#REF!,5,0),"")</f>
        <v/>
      </c>
      <c r="M409" s="359" t="str">
        <f>IFERROR(VLOOKUP($A409,#REF!,7,0),"")</f>
        <v/>
      </c>
      <c r="N409" s="359">
        <f t="shared" si="31"/>
        <v>16</v>
      </c>
      <c r="O409" s="359" t="str">
        <f>IFERROR(VLOOKUP($A409,#REF!,6,0),"")</f>
        <v/>
      </c>
      <c r="P409" s="359" t="e">
        <f t="shared" si="32"/>
        <v>#VALUE!</v>
      </c>
      <c r="Q409" s="359" t="str">
        <f>IFERROR(VLOOKUP($A409,#REF!,10,0),"")</f>
        <v/>
      </c>
      <c r="R409" s="359" t="str">
        <f>IFERROR(VLOOKUP($A409,#REF!,11,0),"")</f>
        <v/>
      </c>
      <c r="S409" s="359" t="str">
        <f>IFERROR(VLOOKUP($A409,#REF!,13,0),"")</f>
        <v/>
      </c>
      <c r="T409" s="359" t="str">
        <f>IFERROR(VLOOKUP($A409,#REF!,14,0),"")</f>
        <v/>
      </c>
      <c r="U409" s="359" t="str">
        <f>IFERROR(VLOOKUP($A409,#REF!,15,0),"")</f>
        <v/>
      </c>
      <c r="V409" s="359" t="str">
        <f>IFERROR(VLOOKUP($A409,#REF!,16,0),"")</f>
        <v/>
      </c>
      <c r="W409" s="359" t="str">
        <f>IFERROR(VLOOKUP($A409,#REF!,17,0),"")</f>
        <v/>
      </c>
      <c r="X409" s="359" t="str">
        <f>IFERROR(VLOOKUP($A409,#REF!,18,0),"")</f>
        <v/>
      </c>
      <c r="Y409" s="359" t="str">
        <f>IFERROR(VLOOKUP($A409,#REF!,19,0),"")</f>
        <v/>
      </c>
      <c r="Z409" s="400" t="str">
        <f>IFERROR(VLOOKUP($A409,#REF!,21,0),"")</f>
        <v/>
      </c>
      <c r="AA409" s="358"/>
      <c r="AB409" s="358"/>
      <c r="AC409" s="358" t="s">
        <v>1077</v>
      </c>
      <c r="AD409" s="358" t="s">
        <v>1138</v>
      </c>
      <c r="AE409" s="141"/>
      <c r="AF409" s="141" t="s">
        <v>3077</v>
      </c>
      <c r="AG409" s="141" t="s">
        <v>2115</v>
      </c>
      <c r="AH409" s="141" t="s">
        <v>3691</v>
      </c>
      <c r="AI409" s="141" t="s">
        <v>3691</v>
      </c>
      <c r="AJ409" s="141" t="s">
        <v>3682</v>
      </c>
      <c r="AK409" s="141"/>
      <c r="AL409" s="141"/>
      <c r="AM409" s="141"/>
      <c r="AN409" s="331" t="s">
        <v>2863</v>
      </c>
      <c r="AO409" s="120"/>
      <c r="AP409" s="120"/>
      <c r="AQ409" s="313"/>
      <c r="AR409" s="119"/>
      <c r="AS409" s="22"/>
      <c r="AT409" s="22"/>
      <c r="AU409" s="22"/>
      <c r="AV409" s="82" t="s">
        <v>30</v>
      </c>
      <c r="AW409" s="82" t="s">
        <v>30</v>
      </c>
      <c r="AX409" s="82" t="s">
        <v>30</v>
      </c>
      <c r="AY409" s="95" t="s">
        <v>32</v>
      </c>
      <c r="AZ409" s="95" t="s">
        <v>32</v>
      </c>
      <c r="BA409" s="95" t="s">
        <v>32</v>
      </c>
      <c r="BB409" s="82"/>
      <c r="BC409" s="82" t="s">
        <v>30</v>
      </c>
      <c r="BD409" s="82" t="s">
        <v>30</v>
      </c>
      <c r="BE409" s="82" t="s">
        <v>30</v>
      </c>
      <c r="BF409" s="82" t="s">
        <v>30</v>
      </c>
      <c r="BG409" s="112"/>
      <c r="BH409" s="112"/>
      <c r="BI409" s="112"/>
      <c r="BJ409" s="112"/>
      <c r="BK409" s="82"/>
      <c r="BL409" s="82"/>
      <c r="BN409" s="412"/>
      <c r="BO409" s="412"/>
      <c r="BP409" s="412"/>
      <c r="BQ409" s="412"/>
      <c r="BR409" s="412"/>
      <c r="BZ409">
        <f t="shared" si="29"/>
        <v>1</v>
      </c>
    </row>
    <row r="410" spans="1:123" hidden="1">
      <c r="A410" s="35" t="str">
        <f t="shared" si="30"/>
        <v>021/2646095</v>
      </c>
      <c r="C410" s="358" t="s">
        <v>24</v>
      </c>
      <c r="D410" s="358">
        <v>407</v>
      </c>
      <c r="E410" s="358" t="s">
        <v>3698</v>
      </c>
      <c r="F410" s="358" t="s">
        <v>83</v>
      </c>
      <c r="G410" s="384">
        <v>46095</v>
      </c>
      <c r="H410" s="358" t="s">
        <v>65</v>
      </c>
      <c r="I410" s="358">
        <v>15</v>
      </c>
      <c r="J410" s="359" t="str">
        <f>IFERROR(VLOOKUP($A410,#REF!,3,0),"")</f>
        <v/>
      </c>
      <c r="K410" s="359" t="str">
        <f>IFERROR(VLOOKUP($A410,#REF!,4,0),AF410)</f>
        <v>INT</v>
      </c>
      <c r="L410" s="359" t="str">
        <f>IFERROR(VLOOKUP($A410,#REF!,5,0),"")</f>
        <v/>
      </c>
      <c r="M410" s="359" t="str">
        <f>IFERROR(VLOOKUP($A410,#REF!,7,0),"")</f>
        <v/>
      </c>
      <c r="N410" s="359">
        <f t="shared" si="31"/>
        <v>15</v>
      </c>
      <c r="O410" s="359" t="str">
        <f>IFERROR(VLOOKUP($A410,#REF!,6,0),"")</f>
        <v/>
      </c>
      <c r="P410" s="359" t="e">
        <f t="shared" si="32"/>
        <v>#VALUE!</v>
      </c>
      <c r="Q410" s="359" t="str">
        <f>IFERROR(VLOOKUP($A410,#REF!,10,0),"")</f>
        <v/>
      </c>
      <c r="R410" s="359" t="str">
        <f>IFERROR(VLOOKUP($A410,#REF!,11,0),"")</f>
        <v/>
      </c>
      <c r="S410" s="359" t="str">
        <f>IFERROR(VLOOKUP($A410,#REF!,13,0),"")</f>
        <v/>
      </c>
      <c r="T410" s="359" t="str">
        <f>IFERROR(VLOOKUP($A410,#REF!,14,0),"")</f>
        <v/>
      </c>
      <c r="U410" s="359" t="str">
        <f>IFERROR(VLOOKUP($A410,#REF!,15,0),"")</f>
        <v/>
      </c>
      <c r="V410" s="359" t="str">
        <f>IFERROR(VLOOKUP($A410,#REF!,16,0),"")</f>
        <v/>
      </c>
      <c r="W410" s="359" t="str">
        <f>IFERROR(VLOOKUP($A410,#REF!,17,0),"")</f>
        <v/>
      </c>
      <c r="X410" s="359" t="str">
        <f>IFERROR(VLOOKUP($A410,#REF!,18,0),"")</f>
        <v/>
      </c>
      <c r="Y410" s="359" t="str">
        <f>IFERROR(VLOOKUP($A410,#REF!,19,0),"")</f>
        <v/>
      </c>
      <c r="Z410" s="400" t="str">
        <f>IFERROR(VLOOKUP($A410,#REF!,21,0),"")</f>
        <v/>
      </c>
      <c r="AA410" s="358"/>
      <c r="AB410" s="358"/>
      <c r="AC410" s="358" t="s">
        <v>1721</v>
      </c>
      <c r="AD410" s="141" t="s">
        <v>1638</v>
      </c>
      <c r="AE410" s="141"/>
      <c r="AF410" s="141" t="s">
        <v>3077</v>
      </c>
      <c r="AG410" s="285" t="s">
        <v>3699</v>
      </c>
      <c r="AH410" s="141" t="s">
        <v>3700</v>
      </c>
      <c r="AI410" s="141" t="s">
        <v>3700</v>
      </c>
      <c r="AJ410" s="141" t="s">
        <v>3701</v>
      </c>
      <c r="AK410" s="141"/>
      <c r="AL410" s="141"/>
      <c r="AM410" s="141"/>
      <c r="AN410" s="331" t="s">
        <v>2863</v>
      </c>
      <c r="AO410" s="120"/>
      <c r="AP410" s="120"/>
      <c r="AQ410" s="313"/>
      <c r="AR410" s="119"/>
      <c r="AS410" s="22"/>
      <c r="AT410" s="22"/>
      <c r="AU410" s="22"/>
      <c r="AV410" s="82" t="s">
        <v>30</v>
      </c>
      <c r="AW410" s="82" t="s">
        <v>30</v>
      </c>
      <c r="AX410" s="82"/>
      <c r="AY410" s="82"/>
      <c r="AZ410" s="82"/>
      <c r="BA410" s="82"/>
      <c r="BB410" s="82"/>
      <c r="BC410" s="82"/>
      <c r="BD410" s="82"/>
      <c r="BE410" s="82"/>
      <c r="BF410" s="82"/>
      <c r="BG410" s="112"/>
      <c r="BH410" s="112"/>
      <c r="BI410" s="112"/>
      <c r="BJ410" s="112"/>
      <c r="BK410" s="82"/>
      <c r="BL410" s="82"/>
      <c r="BN410" s="412"/>
      <c r="BO410" s="412"/>
      <c r="BP410" s="412"/>
      <c r="BQ410" s="412"/>
      <c r="BR410" s="412"/>
      <c r="BZ410">
        <f t="shared" si="29"/>
        <v>1</v>
      </c>
    </row>
    <row r="411" spans="1:123" s="272" customFormat="1" hidden="1">
      <c r="A411" s="35" t="str">
        <f t="shared" si="30"/>
        <v>M199/2646095</v>
      </c>
      <c r="B411" s="35"/>
      <c r="C411" s="358" t="s">
        <v>24</v>
      </c>
      <c r="D411" s="358">
        <v>408</v>
      </c>
      <c r="E411" s="358" t="s">
        <v>3702</v>
      </c>
      <c r="F411" s="358" t="s">
        <v>34</v>
      </c>
      <c r="G411" s="384">
        <v>46095</v>
      </c>
      <c r="H411" s="358" t="s">
        <v>3703</v>
      </c>
      <c r="I411" s="358">
        <v>16</v>
      </c>
      <c r="J411" s="359" t="str">
        <f>IFERROR(VLOOKUP($A411,#REF!,3,0),"")</f>
        <v/>
      </c>
      <c r="K411" s="359" t="str">
        <f>IFERROR(VLOOKUP($A411,#REF!,4,0),AF411)</f>
        <v>INT</v>
      </c>
      <c r="L411" s="359" t="str">
        <f>IFERROR(VLOOKUP($A411,#REF!,5,0),"")</f>
        <v/>
      </c>
      <c r="M411" s="359" t="str">
        <f>IFERROR(VLOOKUP($A411,#REF!,7,0),"")</f>
        <v/>
      </c>
      <c r="N411" s="359">
        <f t="shared" si="31"/>
        <v>16</v>
      </c>
      <c r="O411" s="359" t="str">
        <f>IFERROR(VLOOKUP($A411,#REF!,6,0),"")</f>
        <v/>
      </c>
      <c r="P411" s="359" t="e">
        <f t="shared" si="32"/>
        <v>#VALUE!</v>
      </c>
      <c r="Q411" s="359" t="str">
        <f>IFERROR(VLOOKUP($A411,#REF!,10,0),"")</f>
        <v/>
      </c>
      <c r="R411" s="359" t="str">
        <f>IFERROR(VLOOKUP($A411,#REF!,11,0),"")</f>
        <v/>
      </c>
      <c r="S411" s="359" t="str">
        <f>IFERROR(VLOOKUP($A411,#REF!,13,0),"")</f>
        <v/>
      </c>
      <c r="T411" s="359" t="str">
        <f>IFERROR(VLOOKUP($A411,#REF!,14,0),"")</f>
        <v/>
      </c>
      <c r="U411" s="359" t="str">
        <f>IFERROR(VLOOKUP($A411,#REF!,15,0),"")</f>
        <v/>
      </c>
      <c r="V411" s="359" t="str">
        <f>IFERROR(VLOOKUP($A411,#REF!,16,0),"")</f>
        <v/>
      </c>
      <c r="W411" s="359" t="str">
        <f>IFERROR(VLOOKUP($A411,#REF!,17,0),"")</f>
        <v/>
      </c>
      <c r="X411" s="359" t="str">
        <f>IFERROR(VLOOKUP($A411,#REF!,18,0),"")</f>
        <v/>
      </c>
      <c r="Y411" s="359" t="str">
        <f>IFERROR(VLOOKUP($A411,#REF!,19,0),"")</f>
        <v/>
      </c>
      <c r="Z411" s="400" t="str">
        <f>IFERROR(VLOOKUP($A411,#REF!,21,0),"")</f>
        <v/>
      </c>
      <c r="AA411" s="358"/>
      <c r="AB411" s="358"/>
      <c r="AC411" s="358" t="s">
        <v>1076</v>
      </c>
      <c r="AD411" s="358" t="s">
        <v>3357</v>
      </c>
      <c r="AE411" s="141"/>
      <c r="AF411" s="141" t="s">
        <v>3077</v>
      </c>
      <c r="AG411" s="285" t="s">
        <v>3704</v>
      </c>
      <c r="AH411" s="141" t="s">
        <v>3700</v>
      </c>
      <c r="AI411" s="141" t="s">
        <v>3700</v>
      </c>
      <c r="AJ411" s="141" t="s">
        <v>3705</v>
      </c>
      <c r="AK411" s="141"/>
      <c r="AL411" s="141"/>
      <c r="AM411" s="141"/>
      <c r="AN411" s="331" t="s">
        <v>2863</v>
      </c>
      <c r="AO411" s="120"/>
      <c r="AP411" s="120"/>
      <c r="AQ411" s="313"/>
      <c r="AR411" s="119"/>
      <c r="AS411" s="22"/>
      <c r="AT411" s="22"/>
      <c r="AU411" s="22"/>
      <c r="AV411" s="2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112"/>
      <c r="BH411" s="112"/>
      <c r="BI411" s="112"/>
      <c r="BJ411" s="112"/>
      <c r="BK411" s="82"/>
      <c r="BL411" s="82"/>
      <c r="BM411"/>
      <c r="BN411" s="412"/>
      <c r="BO411" s="412"/>
      <c r="BP411" s="412"/>
      <c r="BQ411" s="412"/>
      <c r="BR411" s="412"/>
      <c r="BS411" s="96"/>
      <c r="BT411" s="96"/>
      <c r="BU411" s="96"/>
      <c r="BV411" s="96"/>
      <c r="BW411"/>
      <c r="BX411"/>
      <c r="BY411"/>
      <c r="BZ411">
        <f t="shared" si="29"/>
        <v>1</v>
      </c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</row>
    <row r="412" spans="1:123" hidden="1">
      <c r="A412" s="35" t="str">
        <f t="shared" si="30"/>
        <v>066/2646095</v>
      </c>
      <c r="C412" s="358" t="s">
        <v>24</v>
      </c>
      <c r="D412" s="358">
        <v>409</v>
      </c>
      <c r="E412" s="358" t="s">
        <v>3706</v>
      </c>
      <c r="F412" s="358" t="s">
        <v>34</v>
      </c>
      <c r="G412" s="384">
        <v>46095</v>
      </c>
      <c r="H412" s="358" t="s">
        <v>614</v>
      </c>
      <c r="I412" s="358">
        <v>34</v>
      </c>
      <c r="J412" s="359" t="str">
        <f>IFERROR(VLOOKUP($A412,#REF!,3,0),"")</f>
        <v/>
      </c>
      <c r="K412" s="359" t="str">
        <f>IFERROR(VLOOKUP($A412,#REF!,4,0),AF412)</f>
        <v>INT</v>
      </c>
      <c r="L412" s="359" t="str">
        <f>IFERROR(VLOOKUP($A412,#REF!,5,0),"")</f>
        <v/>
      </c>
      <c r="M412" s="359" t="str">
        <f>IFERROR(VLOOKUP($A412,#REF!,7,0),"")</f>
        <v/>
      </c>
      <c r="N412" s="359">
        <f t="shared" si="31"/>
        <v>34</v>
      </c>
      <c r="O412" s="359" t="str">
        <f>IFERROR(VLOOKUP($A412,#REF!,6,0),"")</f>
        <v/>
      </c>
      <c r="P412" s="359" t="e">
        <f t="shared" si="32"/>
        <v>#VALUE!</v>
      </c>
      <c r="Q412" s="359" t="str">
        <f>IFERROR(VLOOKUP($A412,#REF!,10,0),"")</f>
        <v/>
      </c>
      <c r="R412" s="359" t="str">
        <f>IFERROR(VLOOKUP($A412,#REF!,11,0),"")</f>
        <v/>
      </c>
      <c r="S412" s="359" t="str">
        <f>IFERROR(VLOOKUP($A412,#REF!,13,0),"")</f>
        <v/>
      </c>
      <c r="T412" s="359" t="str">
        <f>IFERROR(VLOOKUP($A412,#REF!,14,0),"")</f>
        <v/>
      </c>
      <c r="U412" s="359" t="str">
        <f>IFERROR(VLOOKUP($A412,#REF!,15,0),"")</f>
        <v/>
      </c>
      <c r="V412" s="359" t="str">
        <f>IFERROR(VLOOKUP($A412,#REF!,16,0),"")</f>
        <v/>
      </c>
      <c r="W412" s="359" t="str">
        <f>IFERROR(VLOOKUP($A412,#REF!,17,0),"")</f>
        <v/>
      </c>
      <c r="X412" s="359" t="str">
        <f>IFERROR(VLOOKUP($A412,#REF!,18,0),"")</f>
        <v/>
      </c>
      <c r="Y412" s="359" t="str">
        <f>IFERROR(VLOOKUP($A412,#REF!,19,0),"")</f>
        <v/>
      </c>
      <c r="Z412" s="400" t="str">
        <f>IFERROR(VLOOKUP($A412,#REF!,21,0),"")</f>
        <v/>
      </c>
      <c r="AA412" s="358"/>
      <c r="AB412" s="358"/>
      <c r="AC412" s="358" t="s">
        <v>1721</v>
      </c>
      <c r="AD412" s="141" t="s">
        <v>1638</v>
      </c>
      <c r="AE412" s="141"/>
      <c r="AF412" s="141" t="s">
        <v>3077</v>
      </c>
      <c r="AG412" s="141" t="s">
        <v>2052</v>
      </c>
      <c r="AH412" s="141" t="s">
        <v>3684</v>
      </c>
      <c r="AI412" s="141" t="s">
        <v>3684</v>
      </c>
      <c r="AJ412" s="271" t="s">
        <v>3707</v>
      </c>
      <c r="AK412" s="271"/>
      <c r="AL412" s="271"/>
      <c r="AM412" s="271"/>
      <c r="AN412" s="331" t="s">
        <v>2863</v>
      </c>
      <c r="AO412" s="120"/>
      <c r="AP412" s="120"/>
      <c r="AQ412" s="313"/>
      <c r="AR412" s="119"/>
      <c r="AS412" s="22"/>
      <c r="AT412" s="22"/>
      <c r="AU412" s="22"/>
      <c r="AV412" s="82" t="s">
        <v>30</v>
      </c>
      <c r="AW412" s="82" t="s">
        <v>30</v>
      </c>
      <c r="AX412" s="82"/>
      <c r="AY412" s="82" t="s">
        <v>30</v>
      </c>
      <c r="AZ412" s="82"/>
      <c r="BA412" s="82" t="s">
        <v>30</v>
      </c>
      <c r="BB412" s="82" t="s">
        <v>30</v>
      </c>
      <c r="BC412" s="82" t="s">
        <v>30</v>
      </c>
      <c r="BD412" s="82" t="s">
        <v>30</v>
      </c>
      <c r="BE412" s="82" t="s">
        <v>30</v>
      </c>
      <c r="BF412" s="82" t="s">
        <v>30</v>
      </c>
      <c r="BG412" s="112"/>
      <c r="BH412" s="112"/>
      <c r="BI412" s="112"/>
      <c r="BJ412" s="112"/>
      <c r="BK412" s="82"/>
      <c r="BL412" s="82"/>
      <c r="BN412" s="412"/>
      <c r="BO412" s="412"/>
      <c r="BP412" s="412"/>
      <c r="BQ412" s="412"/>
      <c r="BR412" s="412"/>
      <c r="BZ412">
        <f t="shared" si="29"/>
        <v>1</v>
      </c>
    </row>
    <row r="413" spans="1:123" hidden="1">
      <c r="A413" s="35" t="str">
        <f t="shared" si="30"/>
        <v>073/2646095</v>
      </c>
      <c r="C413" s="358" t="s">
        <v>24</v>
      </c>
      <c r="D413" s="358">
        <v>410</v>
      </c>
      <c r="E413" s="358" t="s">
        <v>3708</v>
      </c>
      <c r="F413" s="358" t="s">
        <v>34</v>
      </c>
      <c r="G413" s="384">
        <v>46095</v>
      </c>
      <c r="H413" s="358" t="s">
        <v>670</v>
      </c>
      <c r="I413" s="358">
        <v>11</v>
      </c>
      <c r="J413" s="359" t="str">
        <f>IFERROR(VLOOKUP($A413,#REF!,3,0),"")</f>
        <v/>
      </c>
      <c r="K413" s="359" t="str">
        <f>IFERROR(VLOOKUP($A413,#REF!,4,0),AF413)</f>
        <v>INT</v>
      </c>
      <c r="L413" s="359" t="str">
        <f>IFERROR(VLOOKUP($A413,#REF!,5,0),"")</f>
        <v/>
      </c>
      <c r="M413" s="359" t="str">
        <f>IFERROR(VLOOKUP($A413,#REF!,7,0),"")</f>
        <v/>
      </c>
      <c r="N413" s="359">
        <f t="shared" si="31"/>
        <v>11</v>
      </c>
      <c r="O413" s="359" t="str">
        <f>IFERROR(VLOOKUP($A413,#REF!,6,0),"")</f>
        <v/>
      </c>
      <c r="P413" s="359" t="e">
        <f t="shared" si="32"/>
        <v>#VALUE!</v>
      </c>
      <c r="Q413" s="359" t="str">
        <f>IFERROR(VLOOKUP($A413,#REF!,10,0),"")</f>
        <v/>
      </c>
      <c r="R413" s="359" t="str">
        <f>IFERROR(VLOOKUP($A413,#REF!,11,0),"")</f>
        <v/>
      </c>
      <c r="S413" s="359" t="str">
        <f>IFERROR(VLOOKUP($A413,#REF!,13,0),"")</f>
        <v/>
      </c>
      <c r="T413" s="359" t="str">
        <f>IFERROR(VLOOKUP($A413,#REF!,14,0),"")</f>
        <v/>
      </c>
      <c r="U413" s="359" t="str">
        <f>IFERROR(VLOOKUP($A413,#REF!,15,0),"")</f>
        <v/>
      </c>
      <c r="V413" s="359" t="str">
        <f>IFERROR(VLOOKUP($A413,#REF!,16,0),"")</f>
        <v/>
      </c>
      <c r="W413" s="359" t="str">
        <f>IFERROR(VLOOKUP($A413,#REF!,17,0),"")</f>
        <v/>
      </c>
      <c r="X413" s="359" t="str">
        <f>IFERROR(VLOOKUP($A413,#REF!,18,0),"")</f>
        <v/>
      </c>
      <c r="Y413" s="359" t="str">
        <f>IFERROR(VLOOKUP($A413,#REF!,19,0),"")</f>
        <v/>
      </c>
      <c r="Z413" s="400" t="str">
        <f>IFERROR(VLOOKUP($A413,#REF!,21,0),"")</f>
        <v/>
      </c>
      <c r="AA413" s="358"/>
      <c r="AB413" s="358"/>
      <c r="AC413" s="358" t="s">
        <v>1721</v>
      </c>
      <c r="AD413" s="358" t="s">
        <v>1638</v>
      </c>
      <c r="AE413" s="141"/>
      <c r="AF413" s="141" t="s">
        <v>3077</v>
      </c>
      <c r="AG413" s="141" t="s">
        <v>3709</v>
      </c>
      <c r="AH413" s="141" t="s">
        <v>3700</v>
      </c>
      <c r="AI413" s="141" t="s">
        <v>3700</v>
      </c>
      <c r="AJ413" s="279" t="s">
        <v>3710</v>
      </c>
      <c r="AK413" s="279"/>
      <c r="AL413" s="279"/>
      <c r="AM413" s="279"/>
      <c r="AN413" s="120"/>
      <c r="AO413" s="120"/>
      <c r="AP413" s="120"/>
      <c r="AQ413" s="313"/>
      <c r="AR413" s="119"/>
      <c r="AS413" s="22"/>
      <c r="AT413" s="22"/>
      <c r="AU413" s="22"/>
      <c r="AV413" s="2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112"/>
      <c r="BH413" s="112"/>
      <c r="BI413" s="112"/>
      <c r="BJ413" s="112"/>
      <c r="BK413" s="82"/>
      <c r="BL413" s="82"/>
      <c r="BN413" s="412"/>
      <c r="BO413" s="412"/>
      <c r="BP413" s="412"/>
      <c r="BQ413" s="412"/>
      <c r="BR413" s="412"/>
      <c r="BZ413">
        <f t="shared" si="29"/>
        <v>1</v>
      </c>
    </row>
    <row r="414" spans="1:123" hidden="1">
      <c r="A414" s="35" t="str">
        <f t="shared" si="30"/>
        <v>074/2646095</v>
      </c>
      <c r="C414" s="358" t="s">
        <v>24</v>
      </c>
      <c r="D414" s="358">
        <v>411</v>
      </c>
      <c r="E414" s="358" t="s">
        <v>3711</v>
      </c>
      <c r="F414" s="358" t="s">
        <v>34</v>
      </c>
      <c r="G414" s="384">
        <v>46095</v>
      </c>
      <c r="H414" s="358" t="s">
        <v>77</v>
      </c>
      <c r="I414" s="358">
        <v>7</v>
      </c>
      <c r="J414" s="359" t="str">
        <f>IFERROR(VLOOKUP($A414,#REF!,3,0),"")</f>
        <v/>
      </c>
      <c r="K414" s="359" t="str">
        <f>IFERROR(VLOOKUP($A414,#REF!,4,0),AF414)</f>
        <v>INT</v>
      </c>
      <c r="L414" s="359" t="str">
        <f>IFERROR(VLOOKUP($A414,#REF!,5,0),"")</f>
        <v/>
      </c>
      <c r="M414" s="359" t="str">
        <f>IFERROR(VLOOKUP($A414,#REF!,7,0),"")</f>
        <v/>
      </c>
      <c r="N414" s="359">
        <f t="shared" si="31"/>
        <v>10</v>
      </c>
      <c r="O414" s="359" t="str">
        <f>IFERROR(VLOOKUP($A414,#REF!,6,0),"")</f>
        <v/>
      </c>
      <c r="P414" s="359" t="e">
        <f t="shared" si="32"/>
        <v>#VALUE!</v>
      </c>
      <c r="Q414" s="359" t="str">
        <f>IFERROR(VLOOKUP($A414,#REF!,10,0),"")</f>
        <v/>
      </c>
      <c r="R414" s="359" t="str">
        <f>IFERROR(VLOOKUP($A414,#REF!,11,0),"")</f>
        <v/>
      </c>
      <c r="S414" s="359" t="str">
        <f>IFERROR(VLOOKUP($A414,#REF!,13,0),"")</f>
        <v/>
      </c>
      <c r="T414" s="359" t="str">
        <f>IFERROR(VLOOKUP($A414,#REF!,14,0),"")</f>
        <v/>
      </c>
      <c r="U414" s="359" t="str">
        <f>IFERROR(VLOOKUP($A414,#REF!,15,0),"")</f>
        <v/>
      </c>
      <c r="V414" s="359" t="str">
        <f>IFERROR(VLOOKUP($A414,#REF!,16,0),"")</f>
        <v/>
      </c>
      <c r="W414" s="359" t="str">
        <f>IFERROR(VLOOKUP($A414,#REF!,17,0),"")</f>
        <v/>
      </c>
      <c r="X414" s="359" t="str">
        <f>IFERROR(VLOOKUP($A414,#REF!,18,0),"")</f>
        <v/>
      </c>
      <c r="Y414" s="359" t="str">
        <f>IFERROR(VLOOKUP($A414,#REF!,19,0),"")</f>
        <v/>
      </c>
      <c r="Z414" s="400" t="str">
        <f>IFERROR(VLOOKUP($A414,#REF!,21,0),"")</f>
        <v/>
      </c>
      <c r="AA414" s="358"/>
      <c r="AB414" s="358"/>
      <c r="AC414" s="358" t="s">
        <v>1721</v>
      </c>
      <c r="AD414" s="358" t="s">
        <v>1638</v>
      </c>
      <c r="AE414" s="141"/>
      <c r="AF414" s="141" t="s">
        <v>3077</v>
      </c>
      <c r="AG414" s="141" t="s">
        <v>2126</v>
      </c>
      <c r="AH414" s="141" t="s">
        <v>3712</v>
      </c>
      <c r="AI414" s="141" t="s">
        <v>3712</v>
      </c>
      <c r="AJ414" s="279" t="s">
        <v>3713</v>
      </c>
      <c r="AK414" s="279"/>
      <c r="AL414" s="279"/>
      <c r="AM414" s="279"/>
      <c r="AN414" s="120"/>
      <c r="AO414" s="120"/>
      <c r="AP414" s="120"/>
      <c r="AQ414" s="313"/>
      <c r="AR414" s="119"/>
      <c r="AS414" s="22"/>
      <c r="AT414" s="22"/>
      <c r="AU414" s="22"/>
      <c r="AV414" s="22"/>
      <c r="AW414" s="82"/>
      <c r="AX414" s="82"/>
      <c r="AY414" s="95" t="s">
        <v>32</v>
      </c>
      <c r="AZ414" s="95" t="s">
        <v>32</v>
      </c>
      <c r="BA414" s="95" t="s">
        <v>32</v>
      </c>
      <c r="BB414" s="82"/>
      <c r="BC414" s="82" t="s">
        <v>30</v>
      </c>
      <c r="BD414" s="82" t="s">
        <v>30</v>
      </c>
      <c r="BE414" s="82" t="s">
        <v>30</v>
      </c>
      <c r="BF414" s="82" t="s">
        <v>30</v>
      </c>
      <c r="BG414" s="112"/>
      <c r="BH414" s="112"/>
      <c r="BI414" s="112"/>
      <c r="BJ414" s="112"/>
      <c r="BK414" s="82"/>
      <c r="BL414" s="82"/>
      <c r="BN414" s="412"/>
      <c r="BO414" s="412"/>
      <c r="BP414" s="412"/>
      <c r="BQ414" s="412"/>
      <c r="BR414" s="412"/>
      <c r="BZ414">
        <f t="shared" si="29"/>
        <v>1</v>
      </c>
    </row>
    <row r="415" spans="1:123" hidden="1">
      <c r="A415" s="35" t="str">
        <f t="shared" si="30"/>
        <v>M194/2646095</v>
      </c>
      <c r="C415" s="358" t="s">
        <v>24</v>
      </c>
      <c r="D415" s="358">
        <v>412</v>
      </c>
      <c r="E415" s="358" t="s">
        <v>3714</v>
      </c>
      <c r="F415" s="358" t="s">
        <v>34</v>
      </c>
      <c r="G415" s="384">
        <v>46095</v>
      </c>
      <c r="H415" s="358" t="s">
        <v>77</v>
      </c>
      <c r="I415" s="358">
        <v>6</v>
      </c>
      <c r="J415" s="359" t="str">
        <f>IFERROR(VLOOKUP($A415,#REF!,3,0),"")</f>
        <v/>
      </c>
      <c r="K415" s="359" t="str">
        <f>IFERROR(VLOOKUP($A415,#REF!,4,0),AF415)</f>
        <v>INT</v>
      </c>
      <c r="L415" s="359" t="str">
        <f>IFERROR(VLOOKUP($A415,#REF!,5,0),"")</f>
        <v/>
      </c>
      <c r="M415" s="359" t="str">
        <f>IFERROR(VLOOKUP($A415,#REF!,7,0),"")</f>
        <v/>
      </c>
      <c r="N415" s="359">
        <f t="shared" si="31"/>
        <v>10</v>
      </c>
      <c r="O415" s="359" t="str">
        <f>IFERROR(VLOOKUP($A415,#REF!,6,0),"")</f>
        <v/>
      </c>
      <c r="P415" s="359" t="e">
        <f t="shared" si="32"/>
        <v>#VALUE!</v>
      </c>
      <c r="Q415" s="359" t="str">
        <f>IFERROR(VLOOKUP($A415,#REF!,10,0),"")</f>
        <v/>
      </c>
      <c r="R415" s="359" t="str">
        <f>IFERROR(VLOOKUP($A415,#REF!,11,0),"")</f>
        <v/>
      </c>
      <c r="S415" s="359" t="str">
        <f>IFERROR(VLOOKUP($A415,#REF!,13,0),"")</f>
        <v/>
      </c>
      <c r="T415" s="359" t="str">
        <f>IFERROR(VLOOKUP($A415,#REF!,14,0),"")</f>
        <v/>
      </c>
      <c r="U415" s="359" t="str">
        <f>IFERROR(VLOOKUP($A415,#REF!,15,0),"")</f>
        <v/>
      </c>
      <c r="V415" s="359" t="str">
        <f>IFERROR(VLOOKUP($A415,#REF!,16,0),"")</f>
        <v/>
      </c>
      <c r="W415" s="359" t="str">
        <f>IFERROR(VLOOKUP($A415,#REF!,17,0),"")</f>
        <v/>
      </c>
      <c r="X415" s="359" t="str">
        <f>IFERROR(VLOOKUP($A415,#REF!,18,0),"")</f>
        <v/>
      </c>
      <c r="Y415" s="359" t="str">
        <f>IFERROR(VLOOKUP($A415,#REF!,19,0),"")</f>
        <v/>
      </c>
      <c r="Z415" s="400" t="str">
        <f>IFERROR(VLOOKUP($A415,#REF!,21,0),"")</f>
        <v/>
      </c>
      <c r="AA415" s="358"/>
      <c r="AB415" s="358"/>
      <c r="AC415" s="358" t="s">
        <v>2391</v>
      </c>
      <c r="AD415" s="358" t="s">
        <v>3651</v>
      </c>
      <c r="AE415" s="141"/>
      <c r="AF415" s="141" t="s">
        <v>3077</v>
      </c>
      <c r="AG415" s="223" t="s">
        <v>401</v>
      </c>
      <c r="AH415" s="141" t="s">
        <v>3712</v>
      </c>
      <c r="AI415" s="141" t="s">
        <v>3712</v>
      </c>
      <c r="AJ415" s="286" t="s">
        <v>401</v>
      </c>
      <c r="AK415" s="286"/>
      <c r="AL415" s="286"/>
      <c r="AM415" s="286"/>
      <c r="AN415" s="120"/>
      <c r="AO415" s="120"/>
      <c r="AP415" s="120"/>
      <c r="AQ415" s="313"/>
      <c r="AR415" s="119"/>
      <c r="AS415" s="22"/>
      <c r="AT415" s="22"/>
      <c r="AU415" s="22"/>
      <c r="AV415" s="22"/>
      <c r="AW415" s="82"/>
      <c r="AX415" s="82"/>
      <c r="AY415" s="95" t="s">
        <v>32</v>
      </c>
      <c r="AZ415" s="95" t="s">
        <v>32</v>
      </c>
      <c r="BA415" s="95" t="s">
        <v>32</v>
      </c>
      <c r="BB415" s="82"/>
      <c r="BC415" s="82" t="s">
        <v>30</v>
      </c>
      <c r="BD415" s="82" t="s">
        <v>30</v>
      </c>
      <c r="BE415" s="82" t="s">
        <v>30</v>
      </c>
      <c r="BF415" s="82" t="s">
        <v>30</v>
      </c>
      <c r="BG415" s="112"/>
      <c r="BH415" s="112"/>
      <c r="BI415" s="112"/>
      <c r="BJ415" s="112"/>
      <c r="BK415" s="82"/>
      <c r="BL415" s="82"/>
      <c r="BN415" s="412"/>
      <c r="BO415" s="412"/>
      <c r="BP415" s="412"/>
      <c r="BQ415" s="412"/>
      <c r="BR415" s="412"/>
      <c r="BZ415">
        <f t="shared" si="29"/>
        <v>1</v>
      </c>
    </row>
    <row r="416" spans="1:123" s="272" customFormat="1" hidden="1">
      <c r="A416" s="35" t="str">
        <f t="shared" si="30"/>
        <v>M110/2646095</v>
      </c>
      <c r="B416" s="35"/>
      <c r="C416" s="358" t="s">
        <v>24</v>
      </c>
      <c r="D416" s="358">
        <v>413</v>
      </c>
      <c r="E416" s="358" t="s">
        <v>3715</v>
      </c>
      <c r="F416" s="358" t="s">
        <v>102</v>
      </c>
      <c r="G416" s="128">
        <v>46095</v>
      </c>
      <c r="H416" s="141" t="s">
        <v>3716</v>
      </c>
      <c r="I416" s="358">
        <v>12</v>
      </c>
      <c r="J416" s="359" t="str">
        <f>IFERROR(VLOOKUP($A416,#REF!,3,0),"")</f>
        <v/>
      </c>
      <c r="K416" s="359" t="str">
        <f>IFERROR(VLOOKUP($A416,#REF!,4,0),AF416)</f>
        <v>INT</v>
      </c>
      <c r="L416" s="359" t="str">
        <f>IFERROR(VLOOKUP($A416,#REF!,5,0),"")</f>
        <v/>
      </c>
      <c r="M416" s="359" t="str">
        <f>IFERROR(VLOOKUP($A416,#REF!,7,0),"")</f>
        <v/>
      </c>
      <c r="N416" s="359">
        <f t="shared" si="31"/>
        <v>12</v>
      </c>
      <c r="O416" s="359" t="str">
        <f>IFERROR(VLOOKUP($A416,#REF!,6,0),"")</f>
        <v/>
      </c>
      <c r="P416" s="359" t="e">
        <f t="shared" si="32"/>
        <v>#VALUE!</v>
      </c>
      <c r="Q416" s="359" t="str">
        <f>IFERROR(VLOOKUP($A416,#REF!,10,0),"")</f>
        <v/>
      </c>
      <c r="R416" s="359" t="str">
        <f>IFERROR(VLOOKUP($A416,#REF!,11,0),"")</f>
        <v/>
      </c>
      <c r="S416" s="359" t="str">
        <f>IFERROR(VLOOKUP($A416,#REF!,13,0),"")</f>
        <v/>
      </c>
      <c r="T416" s="359" t="str">
        <f>IFERROR(VLOOKUP($A416,#REF!,14,0),"")</f>
        <v/>
      </c>
      <c r="U416" s="359" t="str">
        <f>IFERROR(VLOOKUP($A416,#REF!,15,0),"")</f>
        <v/>
      </c>
      <c r="V416" s="359" t="str">
        <f>IFERROR(VLOOKUP($A416,#REF!,16,0),"")</f>
        <v/>
      </c>
      <c r="W416" s="359" t="str">
        <f>IFERROR(VLOOKUP($A416,#REF!,17,0),"")</f>
        <v/>
      </c>
      <c r="X416" s="359" t="str">
        <f>IFERROR(VLOOKUP($A416,#REF!,18,0),"")</f>
        <v/>
      </c>
      <c r="Y416" s="359" t="str">
        <f>IFERROR(VLOOKUP($A416,#REF!,19,0),"")</f>
        <v/>
      </c>
      <c r="Z416" s="400" t="str">
        <f>IFERROR(VLOOKUP($A416,#REF!,21,0),"")</f>
        <v/>
      </c>
      <c r="AA416" s="358"/>
      <c r="AB416" s="358"/>
      <c r="AC416" s="358" t="s">
        <v>1077</v>
      </c>
      <c r="AD416" s="358" t="s">
        <v>1138</v>
      </c>
      <c r="AE416" s="141" t="s">
        <v>3717</v>
      </c>
      <c r="AF416" s="141" t="s">
        <v>3077</v>
      </c>
      <c r="AG416" s="141" t="s">
        <v>2135</v>
      </c>
      <c r="AH416" s="141" t="s">
        <v>3712</v>
      </c>
      <c r="AI416" s="141" t="s">
        <v>3712</v>
      </c>
      <c r="AJ416" s="141" t="s">
        <v>2050</v>
      </c>
      <c r="AK416" s="141"/>
      <c r="AL416" s="141"/>
      <c r="AM416" s="141"/>
      <c r="AN416" s="120" t="s">
        <v>32</v>
      </c>
      <c r="AO416" s="120"/>
      <c r="AP416" s="120"/>
      <c r="AQ416" s="313"/>
      <c r="AR416" s="119"/>
      <c r="AS416" s="22"/>
      <c r="AT416" s="22"/>
      <c r="AU416" s="22"/>
      <c r="AV416" s="93" t="s">
        <v>30</v>
      </c>
      <c r="AW416" s="82"/>
      <c r="AX416" s="82"/>
      <c r="AY416" s="82" t="s">
        <v>30</v>
      </c>
      <c r="AZ416" s="82" t="s">
        <v>30</v>
      </c>
      <c r="BA416" s="82" t="s">
        <v>30</v>
      </c>
      <c r="BB416" s="82" t="s">
        <v>30</v>
      </c>
      <c r="BC416" s="82" t="s">
        <v>30</v>
      </c>
      <c r="BD416" s="82" t="s">
        <v>30</v>
      </c>
      <c r="BE416" s="82" t="s">
        <v>30</v>
      </c>
      <c r="BF416" s="82" t="s">
        <v>30</v>
      </c>
      <c r="BG416" s="112"/>
      <c r="BH416" s="112"/>
      <c r="BI416" s="112"/>
      <c r="BJ416" s="112"/>
      <c r="BK416" s="82"/>
      <c r="BL416" s="82"/>
      <c r="BM416"/>
      <c r="BN416" s="412"/>
      <c r="BO416" s="412"/>
      <c r="BP416" s="412"/>
      <c r="BQ416" s="412"/>
      <c r="BR416" s="412"/>
      <c r="BS416" s="96"/>
      <c r="BT416" s="96"/>
      <c r="BU416" s="96"/>
      <c r="BV416" s="96"/>
      <c r="BW416"/>
      <c r="BX416"/>
      <c r="BY416"/>
      <c r="BZ416">
        <f t="shared" si="29"/>
        <v>1</v>
      </c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</row>
    <row r="417" spans="1:123" s="272" customFormat="1" ht="15" hidden="1" customHeight="1">
      <c r="A417" s="35" t="str">
        <f t="shared" si="30"/>
        <v>M193/2646095</v>
      </c>
      <c r="B417" s="35"/>
      <c r="C417" s="358" t="s">
        <v>24</v>
      </c>
      <c r="D417" s="358">
        <v>414</v>
      </c>
      <c r="E417" s="358" t="s">
        <v>3718</v>
      </c>
      <c r="F417" s="358" t="s">
        <v>34</v>
      </c>
      <c r="G417" s="384">
        <v>46095</v>
      </c>
      <c r="H417" s="358" t="s">
        <v>1124</v>
      </c>
      <c r="I417" s="358">
        <v>9</v>
      </c>
      <c r="J417" s="359" t="str">
        <f>IFERROR(VLOOKUP($A417,#REF!,3,0),"")</f>
        <v/>
      </c>
      <c r="K417" s="359" t="str">
        <f>IFERROR(VLOOKUP($A417,#REF!,4,0),AF417)</f>
        <v>INT</v>
      </c>
      <c r="L417" s="359" t="str">
        <f>IFERROR(VLOOKUP($A417,#REF!,5,0),"")</f>
        <v/>
      </c>
      <c r="M417" s="359" t="str">
        <f>IFERROR(VLOOKUP($A417,#REF!,7,0),"")</f>
        <v/>
      </c>
      <c r="N417" s="359">
        <f t="shared" si="31"/>
        <v>10</v>
      </c>
      <c r="O417" s="359" t="str">
        <f>IFERROR(VLOOKUP($A417,#REF!,6,0),"")</f>
        <v/>
      </c>
      <c r="P417" s="359" t="e">
        <f t="shared" si="32"/>
        <v>#VALUE!</v>
      </c>
      <c r="Q417" s="359" t="str">
        <f>IFERROR(VLOOKUP($A417,#REF!,10,0),"")</f>
        <v/>
      </c>
      <c r="R417" s="359" t="str">
        <f>IFERROR(VLOOKUP($A417,#REF!,11,0),"")</f>
        <v/>
      </c>
      <c r="S417" s="359" t="str">
        <f>IFERROR(VLOOKUP($A417,#REF!,13,0),"")</f>
        <v/>
      </c>
      <c r="T417" s="359" t="str">
        <f>IFERROR(VLOOKUP($A417,#REF!,14,0),"")</f>
        <v/>
      </c>
      <c r="U417" s="359" t="str">
        <f>IFERROR(VLOOKUP($A417,#REF!,15,0),"")</f>
        <v/>
      </c>
      <c r="V417" s="359" t="str">
        <f>IFERROR(VLOOKUP($A417,#REF!,16,0),"")</f>
        <v/>
      </c>
      <c r="W417" s="359" t="str">
        <f>IFERROR(VLOOKUP($A417,#REF!,17,0),"")</f>
        <v/>
      </c>
      <c r="X417" s="359" t="str">
        <f>IFERROR(VLOOKUP($A417,#REF!,18,0),"")</f>
        <v/>
      </c>
      <c r="Y417" s="359" t="str">
        <f>IFERROR(VLOOKUP($A417,#REF!,19,0),"")</f>
        <v/>
      </c>
      <c r="Z417" s="400" t="str">
        <f>IFERROR(VLOOKUP($A417,#REF!,21,0),"")</f>
        <v/>
      </c>
      <c r="AA417" s="358"/>
      <c r="AB417" s="358"/>
      <c r="AC417" s="358" t="s">
        <v>2391</v>
      </c>
      <c r="AD417" s="358" t="s">
        <v>3651</v>
      </c>
      <c r="AE417" s="284" t="s">
        <v>3719</v>
      </c>
      <c r="AF417" s="141" t="s">
        <v>3077</v>
      </c>
      <c r="AG417" s="141" t="s">
        <v>3720</v>
      </c>
      <c r="AH417" s="141" t="s">
        <v>3700</v>
      </c>
      <c r="AI417" s="141" t="s">
        <v>3700</v>
      </c>
      <c r="AJ417" s="141" t="s">
        <v>110</v>
      </c>
      <c r="AK417" s="141"/>
      <c r="AL417" s="141"/>
      <c r="AM417" s="141"/>
      <c r="AN417" s="120"/>
      <c r="AO417" s="120"/>
      <c r="AP417" s="120"/>
      <c r="AQ417" s="313"/>
      <c r="AR417" s="119"/>
      <c r="AS417" s="22"/>
      <c r="AT417" s="22"/>
      <c r="AU417" s="22"/>
      <c r="AV417" s="93" t="s">
        <v>30</v>
      </c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112"/>
      <c r="BH417" s="112"/>
      <c r="BI417" s="112"/>
      <c r="BJ417" s="112"/>
      <c r="BK417" s="82"/>
      <c r="BL417" s="82"/>
      <c r="BM417"/>
      <c r="BN417" s="412"/>
      <c r="BO417" s="412"/>
      <c r="BP417" s="412"/>
      <c r="BQ417" s="412"/>
      <c r="BR417" s="412"/>
      <c r="BS417" s="96"/>
      <c r="BT417" s="96"/>
      <c r="BU417" s="96"/>
      <c r="BV417" s="96"/>
      <c r="BW417"/>
      <c r="BX417"/>
      <c r="BY417"/>
      <c r="BZ417">
        <f t="shared" si="29"/>
        <v>1</v>
      </c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</row>
    <row r="418" spans="1:123" s="272" customFormat="1" ht="15" hidden="1" customHeight="1">
      <c r="A418" s="35" t="str">
        <f t="shared" si="30"/>
        <v>ELPTMED_183/2646097</v>
      </c>
      <c r="B418" s="35"/>
      <c r="C418" s="358" t="s">
        <v>2342</v>
      </c>
      <c r="D418" s="358">
        <v>415</v>
      </c>
      <c r="E418" s="73" t="s">
        <v>3721</v>
      </c>
      <c r="F418" s="358" t="s">
        <v>937</v>
      </c>
      <c r="G418" s="384">
        <v>46097</v>
      </c>
      <c r="H418" s="358" t="s">
        <v>3644</v>
      </c>
      <c r="I418" s="358">
        <v>14</v>
      </c>
      <c r="J418" s="359" t="str">
        <f>IFERROR(VLOOKUP($A418,#REF!,3,0),"")</f>
        <v/>
      </c>
      <c r="K418" s="359">
        <f>IFERROR(VLOOKUP($A418,#REF!,4,0),AF418)</f>
        <v>0</v>
      </c>
      <c r="L418" s="359" t="str">
        <f>IFERROR(VLOOKUP($A418,#REF!,5,0),"")</f>
        <v/>
      </c>
      <c r="M418" s="359" t="str">
        <f>IFERROR(VLOOKUP($A418,#REF!,7,0),"")</f>
        <v/>
      </c>
      <c r="N418" s="359"/>
      <c r="O418" s="359" t="str">
        <f>IFERROR(VLOOKUP($A418,#REF!,6,0),"")</f>
        <v/>
      </c>
      <c r="P418" s="359" t="str">
        <f>IFERROR(VLOOKUP($A418,#REF!,9,0),"")</f>
        <v/>
      </c>
      <c r="Q418" s="359" t="str">
        <f>IFERROR(VLOOKUP($A418,#REF!,10,0),"")</f>
        <v/>
      </c>
      <c r="R418" s="359" t="str">
        <f>IFERROR(VLOOKUP($A418,#REF!,11,0),"")</f>
        <v/>
      </c>
      <c r="S418" s="359" t="str">
        <f>IFERROR(VLOOKUP($A418,#REF!,13,0),"")</f>
        <v/>
      </c>
      <c r="T418" s="359" t="str">
        <f>IFERROR(VLOOKUP($A418,#REF!,14,0),"")</f>
        <v/>
      </c>
      <c r="U418" s="359" t="str">
        <f>IFERROR(VLOOKUP($A418,#REF!,15,0),"")</f>
        <v/>
      </c>
      <c r="V418" s="359" t="str">
        <f>IFERROR(VLOOKUP($A418,#REF!,16,0),"")</f>
        <v/>
      </c>
      <c r="W418" s="359" t="str">
        <f>IFERROR(VLOOKUP($A418,#REF!,17,0),"")</f>
        <v/>
      </c>
      <c r="X418" s="359" t="str">
        <f>IFERROR(VLOOKUP($A418,#REF!,18,0),"")</f>
        <v/>
      </c>
      <c r="Y418" s="359" t="str">
        <f>IFERROR(VLOOKUP($A418,#REF!,19,0),"")</f>
        <v/>
      </c>
      <c r="Z418" s="400" t="str">
        <f>IFERROR(VLOOKUP($A418,#REF!,21,0),"")</f>
        <v/>
      </c>
      <c r="AA418" s="358"/>
      <c r="AB418" s="358"/>
      <c r="AC418" s="358" t="s">
        <v>3492</v>
      </c>
      <c r="AD418" s="358" t="s">
        <v>3722</v>
      </c>
      <c r="AE418" s="284" t="s">
        <v>3723</v>
      </c>
      <c r="AF418" s="284"/>
      <c r="AG418" s="141"/>
      <c r="AH418" s="141"/>
      <c r="AI418" s="141"/>
      <c r="AJ418" s="141"/>
      <c r="AK418" s="141"/>
      <c r="AL418" s="141"/>
      <c r="AM418" s="141"/>
      <c r="AN418" s="120"/>
      <c r="AO418" s="120"/>
      <c r="AP418" s="120"/>
      <c r="AQ418" s="313"/>
      <c r="AR418" s="119"/>
      <c r="AS418" s="22"/>
      <c r="AT418" s="22"/>
      <c r="AU418" s="22"/>
      <c r="AV418" s="2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112"/>
      <c r="BH418" s="112"/>
      <c r="BI418" s="112"/>
      <c r="BJ418" s="112"/>
      <c r="BK418" s="82"/>
      <c r="BL418" s="82"/>
      <c r="BM418"/>
      <c r="BN418" s="412"/>
      <c r="BO418" s="412"/>
      <c r="BP418" s="412"/>
      <c r="BQ418" s="412"/>
      <c r="BR418" s="412"/>
      <c r="BS418" s="96"/>
      <c r="BT418" s="96"/>
      <c r="BU418" s="96"/>
      <c r="BV418" s="96"/>
      <c r="BW418"/>
      <c r="BX418"/>
      <c r="BY418"/>
      <c r="BZ418">
        <f t="shared" si="29"/>
        <v>1</v>
      </c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</row>
    <row r="419" spans="1:123" s="272" customFormat="1" ht="15" hidden="1" customHeight="1">
      <c r="A419" s="35" t="str">
        <f t="shared" si="30"/>
        <v>ELPTMED_184/2646097</v>
      </c>
      <c r="B419" s="35"/>
      <c r="C419" s="358" t="s">
        <v>2342</v>
      </c>
      <c r="D419" s="358">
        <v>416</v>
      </c>
      <c r="E419" s="73" t="s">
        <v>3724</v>
      </c>
      <c r="F419" s="358" t="s">
        <v>829</v>
      </c>
      <c r="G419" s="384">
        <v>46097</v>
      </c>
      <c r="H419" s="358" t="s">
        <v>3644</v>
      </c>
      <c r="I419" s="358">
        <v>44</v>
      </c>
      <c r="J419" s="359" t="str">
        <f>IFERROR(VLOOKUP($A419,#REF!,3,0),"")</f>
        <v/>
      </c>
      <c r="K419" s="359">
        <f>IFERROR(VLOOKUP($A419,#REF!,4,0),AF419)</f>
        <v>0</v>
      </c>
      <c r="L419" s="359" t="str">
        <f>IFERROR(VLOOKUP($A419,#REF!,5,0),"")</f>
        <v/>
      </c>
      <c r="M419" s="359" t="str">
        <f>IFERROR(VLOOKUP($A419,#REF!,7,0),"")</f>
        <v/>
      </c>
      <c r="N419" s="359"/>
      <c r="O419" s="359" t="str">
        <f>IFERROR(VLOOKUP($A419,#REF!,6,0),"")</f>
        <v/>
      </c>
      <c r="P419" s="359" t="str">
        <f>IFERROR(VLOOKUP($A419,#REF!,9,0),"")</f>
        <v/>
      </c>
      <c r="Q419" s="359" t="str">
        <f>IFERROR(VLOOKUP($A419,#REF!,10,0),"")</f>
        <v/>
      </c>
      <c r="R419" s="359" t="str">
        <f>IFERROR(VLOOKUP($A419,#REF!,11,0),"")</f>
        <v/>
      </c>
      <c r="S419" s="359" t="str">
        <f>IFERROR(VLOOKUP($A419,#REF!,13,0),"")</f>
        <v/>
      </c>
      <c r="T419" s="359" t="str">
        <f>IFERROR(VLOOKUP($A419,#REF!,14,0),"")</f>
        <v/>
      </c>
      <c r="U419" s="359" t="str">
        <f>IFERROR(VLOOKUP($A419,#REF!,15,0),"")</f>
        <v/>
      </c>
      <c r="V419" s="359" t="str">
        <f>IFERROR(VLOOKUP($A419,#REF!,16,0),"")</f>
        <v/>
      </c>
      <c r="W419" s="359" t="str">
        <f>IFERROR(VLOOKUP($A419,#REF!,17,0),"")</f>
        <v/>
      </c>
      <c r="X419" s="359" t="str">
        <f>IFERROR(VLOOKUP($A419,#REF!,18,0),"")</f>
        <v/>
      </c>
      <c r="Y419" s="359" t="str">
        <f>IFERROR(VLOOKUP($A419,#REF!,19,0),"")</f>
        <v/>
      </c>
      <c r="Z419" s="400" t="str">
        <f>IFERROR(VLOOKUP($A419,#REF!,21,0),"")</f>
        <v/>
      </c>
      <c r="AA419" s="358"/>
      <c r="AB419" s="358"/>
      <c r="AC419" s="358" t="s">
        <v>3725</v>
      </c>
      <c r="AD419" s="358" t="s">
        <v>3726</v>
      </c>
      <c r="AE419" s="284" t="s">
        <v>3727</v>
      </c>
      <c r="AF419" s="284"/>
      <c r="AG419" s="141"/>
      <c r="AH419" s="141"/>
      <c r="AI419" s="141"/>
      <c r="AJ419" s="141"/>
      <c r="AK419" s="141"/>
      <c r="AL419" s="141"/>
      <c r="AM419" s="141"/>
      <c r="AN419" s="358" t="s">
        <v>3581</v>
      </c>
      <c r="AO419" s="120"/>
      <c r="AP419" s="120"/>
      <c r="AQ419" s="313"/>
      <c r="AR419" s="119"/>
      <c r="AS419" s="22"/>
      <c r="AT419" s="22"/>
      <c r="AU419" s="22"/>
      <c r="AV419" s="2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112"/>
      <c r="BH419" s="112"/>
      <c r="BI419" s="112"/>
      <c r="BJ419" s="112"/>
      <c r="BK419" s="82"/>
      <c r="BL419" s="82"/>
      <c r="BM419" s="348">
        <v>2</v>
      </c>
      <c r="BN419" s="348">
        <v>3</v>
      </c>
      <c r="BO419" s="349">
        <v>0</v>
      </c>
      <c r="BP419" s="349">
        <v>0</v>
      </c>
      <c r="BQ419" s="348">
        <v>39</v>
      </c>
      <c r="BR419" s="348">
        <f>SUM(BM419:BQ419)</f>
        <v>44</v>
      </c>
      <c r="BS419" s="350">
        <f>+BM419/BR419*BS$1</f>
        <v>0.13636363636363635</v>
      </c>
      <c r="BT419" s="351">
        <f>+BN419/BR419*BT$1</f>
        <v>0.20454545454545453</v>
      </c>
      <c r="BU419" s="348"/>
      <c r="BV419" s="351">
        <f>+BO419/BR419*BV$1</f>
        <v>0</v>
      </c>
      <c r="BW419" s="351">
        <f>+BP419/BR419*BW$1</f>
        <v>0</v>
      </c>
      <c r="BX419"/>
      <c r="BY419"/>
      <c r="BZ419">
        <f t="shared" si="29"/>
        <v>1</v>
      </c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</row>
    <row r="420" spans="1:123" s="272" customFormat="1" ht="15" hidden="1" customHeight="1">
      <c r="A420" s="35" t="str">
        <f t="shared" si="30"/>
        <v>ELPTMED_185/2646097</v>
      </c>
      <c r="B420" s="35"/>
      <c r="C420" s="358" t="s">
        <v>2342</v>
      </c>
      <c r="D420" s="358">
        <v>417</v>
      </c>
      <c r="E420" s="73" t="s">
        <v>3728</v>
      </c>
      <c r="F420" s="358" t="s">
        <v>3729</v>
      </c>
      <c r="G420" s="384">
        <v>46097</v>
      </c>
      <c r="H420" s="358" t="s">
        <v>3644</v>
      </c>
      <c r="I420" s="358">
        <v>1</v>
      </c>
      <c r="J420" s="359" t="str">
        <f>IFERROR(VLOOKUP($A420,#REF!,3,0),"")</f>
        <v/>
      </c>
      <c r="K420" s="359">
        <f>IFERROR(VLOOKUP($A420,#REF!,4,0),AF420)</f>
        <v>0</v>
      </c>
      <c r="L420" s="359" t="str">
        <f>IFERROR(VLOOKUP($A420,#REF!,5,0),"")</f>
        <v/>
      </c>
      <c r="M420" s="359" t="str">
        <f>IFERROR(VLOOKUP($A420,#REF!,7,0),"")</f>
        <v/>
      </c>
      <c r="N420" s="359"/>
      <c r="O420" s="359" t="str">
        <f>IFERROR(VLOOKUP($A420,#REF!,6,0),"")</f>
        <v/>
      </c>
      <c r="P420" s="359" t="str">
        <f>IFERROR(VLOOKUP($A420,#REF!,9,0),"")</f>
        <v/>
      </c>
      <c r="Q420" s="359" t="str">
        <f>IFERROR(VLOOKUP($A420,#REF!,10,0),"")</f>
        <v/>
      </c>
      <c r="R420" s="359" t="str">
        <f>IFERROR(VLOOKUP($A420,#REF!,11,0),"")</f>
        <v/>
      </c>
      <c r="S420" s="359" t="str">
        <f>IFERROR(VLOOKUP($A420,#REF!,13,0),"")</f>
        <v/>
      </c>
      <c r="T420" s="359" t="str">
        <f>IFERROR(VLOOKUP($A420,#REF!,14,0),"")</f>
        <v/>
      </c>
      <c r="U420" s="359" t="str">
        <f>IFERROR(VLOOKUP($A420,#REF!,15,0),"")</f>
        <v/>
      </c>
      <c r="V420" s="359" t="str">
        <f>IFERROR(VLOOKUP($A420,#REF!,16,0),"")</f>
        <v/>
      </c>
      <c r="W420" s="359" t="str">
        <f>IFERROR(VLOOKUP($A420,#REF!,17,0),"")</f>
        <v/>
      </c>
      <c r="X420" s="359" t="str">
        <f>IFERROR(VLOOKUP($A420,#REF!,18,0),"")</f>
        <v/>
      </c>
      <c r="Y420" s="359" t="str">
        <f>IFERROR(VLOOKUP($A420,#REF!,19,0),"")</f>
        <v/>
      </c>
      <c r="Z420" s="400" t="str">
        <f>IFERROR(VLOOKUP($A420,#REF!,21,0),"")</f>
        <v/>
      </c>
      <c r="AA420" s="358"/>
      <c r="AB420" s="358"/>
      <c r="AC420" s="358" t="s">
        <v>127</v>
      </c>
      <c r="AD420" s="358" t="s">
        <v>178</v>
      </c>
      <c r="AE420" s="284"/>
      <c r="AF420" s="284"/>
      <c r="AG420" s="141"/>
      <c r="AH420" s="141"/>
      <c r="AI420" s="141"/>
      <c r="AJ420" s="141"/>
      <c r="AK420" s="141"/>
      <c r="AL420" s="141"/>
      <c r="AM420" s="141"/>
      <c r="AN420" s="120"/>
      <c r="AO420" s="120"/>
      <c r="AP420" s="120"/>
      <c r="AQ420" s="313"/>
      <c r="AR420" s="119"/>
      <c r="AS420" s="22"/>
      <c r="AT420" s="22"/>
      <c r="AU420" s="22"/>
      <c r="AV420" s="2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112"/>
      <c r="BH420" s="112"/>
      <c r="BI420" s="112"/>
      <c r="BJ420" s="112"/>
      <c r="BK420" s="82"/>
      <c r="BL420" s="82"/>
      <c r="BM420"/>
      <c r="BN420" s="412"/>
      <c r="BO420" s="412"/>
      <c r="BP420" s="412"/>
      <c r="BQ420" s="412"/>
      <c r="BR420" s="412"/>
      <c r="BS420" s="96"/>
      <c r="BT420" s="96"/>
      <c r="BU420" s="96"/>
      <c r="BV420" s="96"/>
      <c r="BW420"/>
      <c r="BX420"/>
      <c r="BY420"/>
      <c r="BZ420">
        <f t="shared" si="29"/>
        <v>1</v>
      </c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</row>
    <row r="421" spans="1:123" s="272" customFormat="1" ht="15" hidden="1" customHeight="1">
      <c r="A421" s="35" t="str">
        <f t="shared" si="30"/>
        <v>ELPTMED_186/2646097</v>
      </c>
      <c r="B421" s="35"/>
      <c r="C421" s="358" t="s">
        <v>2342</v>
      </c>
      <c r="D421" s="358">
        <v>418</v>
      </c>
      <c r="E421" s="73" t="s">
        <v>3730</v>
      </c>
      <c r="F421" s="358" t="s">
        <v>1198</v>
      </c>
      <c r="G421" s="384">
        <v>46097</v>
      </c>
      <c r="H421" s="358" t="s">
        <v>3644</v>
      </c>
      <c r="I421" s="358">
        <v>4</v>
      </c>
      <c r="J421" s="359" t="str">
        <f>IFERROR(VLOOKUP($A421,#REF!,3,0),"")</f>
        <v/>
      </c>
      <c r="K421" s="359">
        <f>IFERROR(VLOOKUP($A421,#REF!,4,0),AF421)</f>
        <v>0</v>
      </c>
      <c r="L421" s="359" t="str">
        <f>IFERROR(VLOOKUP($A421,#REF!,5,0),"")</f>
        <v/>
      </c>
      <c r="M421" s="359" t="str">
        <f>IFERROR(VLOOKUP($A421,#REF!,7,0),"")</f>
        <v/>
      </c>
      <c r="N421" s="359"/>
      <c r="O421" s="359" t="str">
        <f>IFERROR(VLOOKUP($A421,#REF!,6,0),"")</f>
        <v/>
      </c>
      <c r="P421" s="359" t="str">
        <f>IFERROR(VLOOKUP($A421,#REF!,9,0),"")</f>
        <v/>
      </c>
      <c r="Q421" s="359" t="str">
        <f>IFERROR(VLOOKUP($A421,#REF!,10,0),"")</f>
        <v/>
      </c>
      <c r="R421" s="359" t="str">
        <f>IFERROR(VLOOKUP($A421,#REF!,11,0),"")</f>
        <v/>
      </c>
      <c r="S421" s="359" t="str">
        <f>IFERROR(VLOOKUP($A421,#REF!,13,0),"")</f>
        <v/>
      </c>
      <c r="T421" s="359" t="str">
        <f>IFERROR(VLOOKUP($A421,#REF!,14,0),"")</f>
        <v/>
      </c>
      <c r="U421" s="359" t="str">
        <f>IFERROR(VLOOKUP($A421,#REF!,15,0),"")</f>
        <v/>
      </c>
      <c r="V421" s="359" t="str">
        <f>IFERROR(VLOOKUP($A421,#REF!,16,0),"")</f>
        <v/>
      </c>
      <c r="W421" s="359" t="str">
        <f>IFERROR(VLOOKUP($A421,#REF!,17,0),"")</f>
        <v/>
      </c>
      <c r="X421" s="359" t="str">
        <f>IFERROR(VLOOKUP($A421,#REF!,18,0),"")</f>
        <v/>
      </c>
      <c r="Y421" s="359" t="str">
        <f>IFERROR(VLOOKUP($A421,#REF!,19,0),"")</f>
        <v/>
      </c>
      <c r="Z421" s="400" t="str">
        <f>IFERROR(VLOOKUP($A421,#REF!,21,0),"")</f>
        <v/>
      </c>
      <c r="AA421" s="358"/>
      <c r="AB421" s="358"/>
      <c r="AC421" s="358" t="s">
        <v>3075</v>
      </c>
      <c r="AD421" s="358" t="s">
        <v>47</v>
      </c>
      <c r="AE421" s="284"/>
      <c r="AF421" s="284"/>
      <c r="AG421" s="141"/>
      <c r="AH421" s="141"/>
      <c r="AI421" s="141"/>
      <c r="AJ421" s="141"/>
      <c r="AK421" s="141"/>
      <c r="AL421" s="141"/>
      <c r="AM421" s="141"/>
      <c r="AN421" s="120"/>
      <c r="AO421" s="120"/>
      <c r="AP421" s="120"/>
      <c r="AQ421" s="313"/>
      <c r="AR421" s="119"/>
      <c r="AS421" s="22"/>
      <c r="AT421" s="22"/>
      <c r="AU421" s="22"/>
      <c r="AV421" s="2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112"/>
      <c r="BH421" s="112"/>
      <c r="BI421" s="112"/>
      <c r="BJ421" s="112"/>
      <c r="BK421" s="82"/>
      <c r="BL421" s="82"/>
      <c r="BM421"/>
      <c r="BN421" s="412"/>
      <c r="BO421" s="412"/>
      <c r="BP421" s="412"/>
      <c r="BQ421" s="412"/>
      <c r="BR421" s="412"/>
      <c r="BS421" s="96"/>
      <c r="BT421" s="96"/>
      <c r="BU421" s="96"/>
      <c r="BV421" s="96"/>
      <c r="BW421"/>
      <c r="BX421"/>
      <c r="BY421"/>
      <c r="BZ421">
        <f t="shared" si="29"/>
        <v>1</v>
      </c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</row>
    <row r="422" spans="1:123" s="272" customFormat="1" ht="15" hidden="1" customHeight="1">
      <c r="A422" s="35" t="str">
        <f t="shared" si="30"/>
        <v>ELPTMED_187/2646097</v>
      </c>
      <c r="B422" s="35"/>
      <c r="C422" s="358" t="s">
        <v>2342</v>
      </c>
      <c r="D422" s="358">
        <v>419</v>
      </c>
      <c r="E422" s="73" t="s">
        <v>3731</v>
      </c>
      <c r="F422" s="358" t="s">
        <v>818</v>
      </c>
      <c r="G422" s="384">
        <v>46097</v>
      </c>
      <c r="H422" s="358" t="s">
        <v>3644</v>
      </c>
      <c r="I422" s="358">
        <v>2</v>
      </c>
      <c r="J422" s="359" t="str">
        <f>IFERROR(VLOOKUP($A422,#REF!,3,0),"")</f>
        <v/>
      </c>
      <c r="K422" s="359">
        <f>IFERROR(VLOOKUP($A422,#REF!,4,0),AF422)</f>
        <v>0</v>
      </c>
      <c r="L422" s="359" t="str">
        <f>IFERROR(VLOOKUP($A422,#REF!,5,0),"")</f>
        <v/>
      </c>
      <c r="M422" s="359" t="str">
        <f>IFERROR(VLOOKUP($A422,#REF!,7,0),"")</f>
        <v/>
      </c>
      <c r="N422" s="359"/>
      <c r="O422" s="359" t="str">
        <f>IFERROR(VLOOKUP($A422,#REF!,6,0),"")</f>
        <v/>
      </c>
      <c r="P422" s="359" t="str">
        <f>IFERROR(VLOOKUP($A422,#REF!,9,0),"")</f>
        <v/>
      </c>
      <c r="Q422" s="359" t="str">
        <f>IFERROR(VLOOKUP($A422,#REF!,10,0),"")</f>
        <v/>
      </c>
      <c r="R422" s="359" t="str">
        <f>IFERROR(VLOOKUP($A422,#REF!,11,0),"")</f>
        <v/>
      </c>
      <c r="S422" s="359" t="str">
        <f>IFERROR(VLOOKUP($A422,#REF!,13,0),"")</f>
        <v/>
      </c>
      <c r="T422" s="359" t="str">
        <f>IFERROR(VLOOKUP($A422,#REF!,14,0),"")</f>
        <v/>
      </c>
      <c r="U422" s="359" t="str">
        <f>IFERROR(VLOOKUP($A422,#REF!,15,0),"")</f>
        <v/>
      </c>
      <c r="V422" s="359" t="str">
        <f>IFERROR(VLOOKUP($A422,#REF!,16,0),"")</f>
        <v/>
      </c>
      <c r="W422" s="359" t="str">
        <f>IFERROR(VLOOKUP($A422,#REF!,17,0),"")</f>
        <v/>
      </c>
      <c r="X422" s="359" t="str">
        <f>IFERROR(VLOOKUP($A422,#REF!,18,0),"")</f>
        <v/>
      </c>
      <c r="Y422" s="359" t="str">
        <f>IFERROR(VLOOKUP($A422,#REF!,19,0),"")</f>
        <v/>
      </c>
      <c r="Z422" s="400" t="str">
        <f>IFERROR(VLOOKUP($A422,#REF!,21,0),"")</f>
        <v/>
      </c>
      <c r="AA422" s="358"/>
      <c r="AB422" s="358"/>
      <c r="AC422" s="358" t="s">
        <v>3075</v>
      </c>
      <c r="AD422" s="358" t="s">
        <v>47</v>
      </c>
      <c r="AE422" s="284"/>
      <c r="AF422" s="284"/>
      <c r="AG422" s="141"/>
      <c r="AH422" s="141"/>
      <c r="AI422" s="141"/>
      <c r="AJ422" s="141"/>
      <c r="AK422" s="141"/>
      <c r="AL422" s="141"/>
      <c r="AM422" s="141"/>
      <c r="AN422" s="120"/>
      <c r="AO422" s="120"/>
      <c r="AP422" s="120"/>
      <c r="AQ422" s="313"/>
      <c r="AR422" s="119"/>
      <c r="AS422" s="22"/>
      <c r="AT422" s="22"/>
      <c r="AU422" s="22"/>
      <c r="AV422" s="2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112"/>
      <c r="BH422" s="112"/>
      <c r="BI422" s="112"/>
      <c r="BJ422" s="112"/>
      <c r="BK422" s="82"/>
      <c r="BL422" s="82"/>
      <c r="BM422"/>
      <c r="BN422" s="412"/>
      <c r="BO422" s="412"/>
      <c r="BP422" s="412"/>
      <c r="BQ422" s="412"/>
      <c r="BR422" s="412"/>
      <c r="BS422" s="96"/>
      <c r="BT422" s="96"/>
      <c r="BU422" s="96"/>
      <c r="BV422" s="96"/>
      <c r="BW422"/>
      <c r="BX422"/>
      <c r="BY422"/>
      <c r="BZ422">
        <f t="shared" si="29"/>
        <v>1</v>
      </c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</row>
    <row r="423" spans="1:123" s="272" customFormat="1" ht="15" hidden="1" customHeight="1">
      <c r="A423" s="35" t="str">
        <f t="shared" si="30"/>
        <v>ELPTMED_188/2646097</v>
      </c>
      <c r="B423" s="35"/>
      <c r="C423" s="358" t="s">
        <v>2342</v>
      </c>
      <c r="D423" s="358">
        <v>420</v>
      </c>
      <c r="E423" s="73" t="s">
        <v>3732</v>
      </c>
      <c r="F423" s="358" t="s">
        <v>1184</v>
      </c>
      <c r="G423" s="384">
        <v>46097</v>
      </c>
      <c r="H423" s="358" t="s">
        <v>3644</v>
      </c>
      <c r="I423" s="358">
        <v>2</v>
      </c>
      <c r="J423" s="359" t="str">
        <f>IFERROR(VLOOKUP($A423,#REF!,3,0),"")</f>
        <v/>
      </c>
      <c r="K423" s="359">
        <f>IFERROR(VLOOKUP($A423,#REF!,4,0),AF423)</f>
        <v>0</v>
      </c>
      <c r="L423" s="359" t="str">
        <f>IFERROR(VLOOKUP($A423,#REF!,5,0),"")</f>
        <v/>
      </c>
      <c r="M423" s="359" t="str">
        <f>IFERROR(VLOOKUP($A423,#REF!,7,0),"")</f>
        <v/>
      </c>
      <c r="N423" s="359"/>
      <c r="O423" s="359" t="str">
        <f>IFERROR(VLOOKUP($A423,#REF!,6,0),"")</f>
        <v/>
      </c>
      <c r="P423" s="359" t="str">
        <f>IFERROR(VLOOKUP($A423,#REF!,9,0),"")</f>
        <v/>
      </c>
      <c r="Q423" s="359" t="str">
        <f>IFERROR(VLOOKUP($A423,#REF!,10,0),"")</f>
        <v/>
      </c>
      <c r="R423" s="359" t="str">
        <f>IFERROR(VLOOKUP($A423,#REF!,11,0),"")</f>
        <v/>
      </c>
      <c r="S423" s="359" t="str">
        <f>IFERROR(VLOOKUP($A423,#REF!,13,0),"")</f>
        <v/>
      </c>
      <c r="T423" s="359" t="str">
        <f>IFERROR(VLOOKUP($A423,#REF!,14,0),"")</f>
        <v/>
      </c>
      <c r="U423" s="359" t="str">
        <f>IFERROR(VLOOKUP($A423,#REF!,15,0),"")</f>
        <v/>
      </c>
      <c r="V423" s="359" t="str">
        <f>IFERROR(VLOOKUP($A423,#REF!,16,0),"")</f>
        <v/>
      </c>
      <c r="W423" s="359" t="str">
        <f>IFERROR(VLOOKUP($A423,#REF!,17,0),"")</f>
        <v/>
      </c>
      <c r="X423" s="359" t="str">
        <f>IFERROR(VLOOKUP($A423,#REF!,18,0),"")</f>
        <v/>
      </c>
      <c r="Y423" s="359" t="str">
        <f>IFERROR(VLOOKUP($A423,#REF!,19,0),"")</f>
        <v/>
      </c>
      <c r="Z423" s="400" t="str">
        <f>IFERROR(VLOOKUP($A423,#REF!,21,0),"")</f>
        <v/>
      </c>
      <c r="AA423" s="358"/>
      <c r="AB423" s="358"/>
      <c r="AC423" s="358" t="s">
        <v>3075</v>
      </c>
      <c r="AD423" s="358" t="s">
        <v>47</v>
      </c>
      <c r="AE423" s="284"/>
      <c r="AF423" s="284"/>
      <c r="AG423" s="141"/>
      <c r="AH423" s="141"/>
      <c r="AI423" s="141"/>
      <c r="AJ423" s="141"/>
      <c r="AK423" s="141"/>
      <c r="AL423" s="141"/>
      <c r="AM423" s="141"/>
      <c r="AN423" s="120"/>
      <c r="AO423" s="120"/>
      <c r="AP423" s="120"/>
      <c r="AQ423" s="313"/>
      <c r="AR423" s="119"/>
      <c r="AS423" s="22"/>
      <c r="AT423" s="22"/>
      <c r="AU423" s="22"/>
      <c r="AV423" s="2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112"/>
      <c r="BH423" s="112"/>
      <c r="BI423" s="112"/>
      <c r="BJ423" s="112"/>
      <c r="BK423" s="82"/>
      <c r="BL423" s="82"/>
      <c r="BM423"/>
      <c r="BN423" s="412"/>
      <c r="BO423" s="412"/>
      <c r="BP423" s="412"/>
      <c r="BQ423" s="412"/>
      <c r="BR423" s="412"/>
      <c r="BS423" s="96"/>
      <c r="BT423" s="96"/>
      <c r="BU423" s="96"/>
      <c r="BV423" s="96"/>
      <c r="BW423"/>
      <c r="BX423"/>
      <c r="BY423"/>
      <c r="BZ423">
        <f t="shared" si="29"/>
        <v>1</v>
      </c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</row>
    <row r="424" spans="1:123" s="272" customFormat="1" ht="15" hidden="1" customHeight="1">
      <c r="A424" s="35" t="str">
        <f t="shared" si="30"/>
        <v>ELPTMED_189/2646097</v>
      </c>
      <c r="B424" s="35"/>
      <c r="C424" s="358" t="s">
        <v>2342</v>
      </c>
      <c r="D424" s="358">
        <v>421</v>
      </c>
      <c r="E424" s="73" t="s">
        <v>3733</v>
      </c>
      <c r="F424" s="358" t="s">
        <v>1245</v>
      </c>
      <c r="G424" s="384">
        <v>46097</v>
      </c>
      <c r="H424" s="358" t="s">
        <v>3644</v>
      </c>
      <c r="I424" s="358">
        <v>1</v>
      </c>
      <c r="J424" s="359" t="str">
        <f>IFERROR(VLOOKUP($A424,#REF!,3,0),"")</f>
        <v/>
      </c>
      <c r="K424" s="359">
        <f>IFERROR(VLOOKUP($A424,#REF!,4,0),AF424)</f>
        <v>0</v>
      </c>
      <c r="L424" s="359" t="str">
        <f>IFERROR(VLOOKUP($A424,#REF!,5,0),"")</f>
        <v/>
      </c>
      <c r="M424" s="359" t="str">
        <f>IFERROR(VLOOKUP($A424,#REF!,7,0),"")</f>
        <v/>
      </c>
      <c r="N424" s="359"/>
      <c r="O424" s="359" t="str">
        <f>IFERROR(VLOOKUP($A424,#REF!,6,0),"")</f>
        <v/>
      </c>
      <c r="P424" s="359" t="str">
        <f>IFERROR(VLOOKUP($A424,#REF!,9,0),"")</f>
        <v/>
      </c>
      <c r="Q424" s="359" t="str">
        <f>IFERROR(VLOOKUP($A424,#REF!,10,0),"")</f>
        <v/>
      </c>
      <c r="R424" s="359" t="str">
        <f>IFERROR(VLOOKUP($A424,#REF!,11,0),"")</f>
        <v/>
      </c>
      <c r="S424" s="359" t="str">
        <f>IFERROR(VLOOKUP($A424,#REF!,13,0),"")</f>
        <v/>
      </c>
      <c r="T424" s="359" t="str">
        <f>IFERROR(VLOOKUP($A424,#REF!,14,0),"")</f>
        <v/>
      </c>
      <c r="U424" s="359" t="str">
        <f>IFERROR(VLOOKUP($A424,#REF!,15,0),"")</f>
        <v/>
      </c>
      <c r="V424" s="359" t="str">
        <f>IFERROR(VLOOKUP($A424,#REF!,16,0),"")</f>
        <v/>
      </c>
      <c r="W424" s="359" t="str">
        <f>IFERROR(VLOOKUP($A424,#REF!,17,0),"")</f>
        <v/>
      </c>
      <c r="X424" s="359" t="str">
        <f>IFERROR(VLOOKUP($A424,#REF!,18,0),"")</f>
        <v/>
      </c>
      <c r="Y424" s="359" t="str">
        <f>IFERROR(VLOOKUP($A424,#REF!,19,0),"")</f>
        <v/>
      </c>
      <c r="Z424" s="400" t="str">
        <f>IFERROR(VLOOKUP($A424,#REF!,21,0),"")</f>
        <v/>
      </c>
      <c r="AA424" s="358"/>
      <c r="AB424" s="358"/>
      <c r="AC424" s="358" t="s">
        <v>1077</v>
      </c>
      <c r="AD424" s="358" t="s">
        <v>1138</v>
      </c>
      <c r="AE424" s="284"/>
      <c r="AF424" s="284"/>
      <c r="AG424" s="141"/>
      <c r="AH424" s="141"/>
      <c r="AI424" s="141"/>
      <c r="AJ424" s="141"/>
      <c r="AK424" s="141"/>
      <c r="AL424" s="141"/>
      <c r="AM424" s="141"/>
      <c r="AN424" s="120"/>
      <c r="AO424" s="120"/>
      <c r="AP424" s="120"/>
      <c r="AQ424" s="313"/>
      <c r="AR424" s="119"/>
      <c r="AS424" s="22"/>
      <c r="AT424" s="22"/>
      <c r="AU424" s="22"/>
      <c r="AV424" s="2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112"/>
      <c r="BH424" s="112"/>
      <c r="BI424" s="112"/>
      <c r="BJ424" s="112"/>
      <c r="BK424" s="82"/>
      <c r="BL424" s="82"/>
      <c r="BM424"/>
      <c r="BN424" s="412"/>
      <c r="BO424" s="412"/>
      <c r="BP424" s="412"/>
      <c r="BQ424" s="412"/>
      <c r="BR424" s="412"/>
      <c r="BS424" s="96"/>
      <c r="BT424" s="96"/>
      <c r="BU424" s="96"/>
      <c r="BV424" s="96"/>
      <c r="BW424"/>
      <c r="BX424"/>
      <c r="BY424"/>
      <c r="BZ424">
        <f t="shared" si="29"/>
        <v>1</v>
      </c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</row>
    <row r="425" spans="1:123" s="272" customFormat="1" ht="15" hidden="1" customHeight="1">
      <c r="A425" s="35" t="str">
        <f t="shared" si="30"/>
        <v>ELPTMED_190/2646097</v>
      </c>
      <c r="B425" s="35"/>
      <c r="C425" s="358" t="s">
        <v>2342</v>
      </c>
      <c r="D425" s="358">
        <v>422</v>
      </c>
      <c r="E425" s="73" t="s">
        <v>3734</v>
      </c>
      <c r="F425" s="358" t="s">
        <v>1887</v>
      </c>
      <c r="G425" s="384">
        <v>46097</v>
      </c>
      <c r="H425" s="358" t="s">
        <v>3644</v>
      </c>
      <c r="I425" s="358">
        <v>1</v>
      </c>
      <c r="J425" s="359" t="str">
        <f>IFERROR(VLOOKUP($A425,#REF!,3,0),"")</f>
        <v/>
      </c>
      <c r="K425" s="359">
        <f>IFERROR(VLOOKUP($A425,#REF!,4,0),AF425)</f>
        <v>0</v>
      </c>
      <c r="L425" s="359" t="str">
        <f>IFERROR(VLOOKUP($A425,#REF!,5,0),"")</f>
        <v/>
      </c>
      <c r="M425" s="359" t="str">
        <f>IFERROR(VLOOKUP($A425,#REF!,7,0),"")</f>
        <v/>
      </c>
      <c r="N425" s="359"/>
      <c r="O425" s="359" t="str">
        <f>IFERROR(VLOOKUP($A425,#REF!,6,0),"")</f>
        <v/>
      </c>
      <c r="P425" s="359" t="str">
        <f>IFERROR(VLOOKUP($A425,#REF!,9,0),"")</f>
        <v/>
      </c>
      <c r="Q425" s="359" t="str">
        <f>IFERROR(VLOOKUP($A425,#REF!,10,0),"")</f>
        <v/>
      </c>
      <c r="R425" s="359" t="str">
        <f>IFERROR(VLOOKUP($A425,#REF!,11,0),"")</f>
        <v/>
      </c>
      <c r="S425" s="359" t="str">
        <f>IFERROR(VLOOKUP($A425,#REF!,13,0),"")</f>
        <v/>
      </c>
      <c r="T425" s="359" t="str">
        <f>IFERROR(VLOOKUP($A425,#REF!,14,0),"")</f>
        <v/>
      </c>
      <c r="U425" s="359" t="str">
        <f>IFERROR(VLOOKUP($A425,#REF!,15,0),"")</f>
        <v/>
      </c>
      <c r="V425" s="359" t="str">
        <f>IFERROR(VLOOKUP($A425,#REF!,16,0),"")</f>
        <v/>
      </c>
      <c r="W425" s="359" t="str">
        <f>IFERROR(VLOOKUP($A425,#REF!,17,0),"")</f>
        <v/>
      </c>
      <c r="X425" s="359" t="str">
        <f>IFERROR(VLOOKUP($A425,#REF!,18,0),"")</f>
        <v/>
      </c>
      <c r="Y425" s="359" t="str">
        <f>IFERROR(VLOOKUP($A425,#REF!,19,0),"")</f>
        <v/>
      </c>
      <c r="Z425" s="400" t="str">
        <f>IFERROR(VLOOKUP($A425,#REF!,21,0),"")</f>
        <v/>
      </c>
      <c r="AA425" s="358"/>
      <c r="AB425" s="358"/>
      <c r="AC425" s="358" t="s">
        <v>3075</v>
      </c>
      <c r="AD425" s="358" t="s">
        <v>47</v>
      </c>
      <c r="AE425" s="284"/>
      <c r="AF425" s="284"/>
      <c r="AG425" s="141"/>
      <c r="AH425" s="141"/>
      <c r="AI425" s="141"/>
      <c r="AJ425" s="141"/>
      <c r="AK425" s="141"/>
      <c r="AL425" s="141"/>
      <c r="AM425" s="141"/>
      <c r="AN425" s="120"/>
      <c r="AO425" s="120"/>
      <c r="AP425" s="120"/>
      <c r="AQ425" s="313"/>
      <c r="AR425" s="119"/>
      <c r="AS425" s="22"/>
      <c r="AT425" s="22"/>
      <c r="AU425" s="22"/>
      <c r="AV425" s="2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112"/>
      <c r="BH425" s="112"/>
      <c r="BI425" s="112"/>
      <c r="BJ425" s="112"/>
      <c r="BK425" s="82"/>
      <c r="BL425" s="82"/>
      <c r="BM425"/>
      <c r="BN425" s="412"/>
      <c r="BO425" s="412"/>
      <c r="BP425" s="412"/>
      <c r="BQ425" s="412"/>
      <c r="BR425" s="412"/>
      <c r="BS425" s="96"/>
      <c r="BT425" s="96"/>
      <c r="BU425" s="96"/>
      <c r="BV425" s="96"/>
      <c r="BW425"/>
      <c r="BX425"/>
      <c r="BY425"/>
      <c r="BZ425">
        <f t="shared" si="29"/>
        <v>1</v>
      </c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</row>
    <row r="426" spans="1:123" s="272" customFormat="1" ht="15" hidden="1" customHeight="1">
      <c r="A426" s="35" t="str">
        <f t="shared" si="30"/>
        <v>ELPTMED_191/2646097</v>
      </c>
      <c r="B426" s="35"/>
      <c r="C426" s="358" t="s">
        <v>2342</v>
      </c>
      <c r="D426" s="358">
        <v>423</v>
      </c>
      <c r="E426" s="73" t="s">
        <v>3735</v>
      </c>
      <c r="F426" s="358" t="s">
        <v>1424</v>
      </c>
      <c r="G426" s="384">
        <v>46097</v>
      </c>
      <c r="H426" s="358" t="s">
        <v>3644</v>
      </c>
      <c r="I426" s="358">
        <v>1</v>
      </c>
      <c r="J426" s="359" t="str">
        <f>IFERROR(VLOOKUP($A426,#REF!,3,0),"")</f>
        <v/>
      </c>
      <c r="K426" s="359">
        <f>IFERROR(VLOOKUP($A426,#REF!,4,0),AF426)</f>
        <v>0</v>
      </c>
      <c r="L426" s="359" t="str">
        <f>IFERROR(VLOOKUP($A426,#REF!,5,0),"")</f>
        <v/>
      </c>
      <c r="M426" s="359" t="str">
        <f>IFERROR(VLOOKUP($A426,#REF!,7,0),"")</f>
        <v/>
      </c>
      <c r="N426" s="359"/>
      <c r="O426" s="359" t="str">
        <f>IFERROR(VLOOKUP($A426,#REF!,6,0),"")</f>
        <v/>
      </c>
      <c r="P426" s="359" t="str">
        <f>IFERROR(VLOOKUP($A426,#REF!,9,0),"")</f>
        <v/>
      </c>
      <c r="Q426" s="359" t="str">
        <f>IFERROR(VLOOKUP($A426,#REF!,10,0),"")</f>
        <v/>
      </c>
      <c r="R426" s="359" t="str">
        <f>IFERROR(VLOOKUP($A426,#REF!,11,0),"")</f>
        <v/>
      </c>
      <c r="S426" s="359" t="str">
        <f>IFERROR(VLOOKUP($A426,#REF!,13,0),"")</f>
        <v/>
      </c>
      <c r="T426" s="359" t="str">
        <f>IFERROR(VLOOKUP($A426,#REF!,14,0),"")</f>
        <v/>
      </c>
      <c r="U426" s="359" t="str">
        <f>IFERROR(VLOOKUP($A426,#REF!,15,0),"")</f>
        <v/>
      </c>
      <c r="V426" s="359" t="str">
        <f>IFERROR(VLOOKUP($A426,#REF!,16,0),"")</f>
        <v/>
      </c>
      <c r="W426" s="359" t="str">
        <f>IFERROR(VLOOKUP($A426,#REF!,17,0),"")</f>
        <v/>
      </c>
      <c r="X426" s="359" t="str">
        <f>IFERROR(VLOOKUP($A426,#REF!,18,0),"")</f>
        <v/>
      </c>
      <c r="Y426" s="359" t="str">
        <f>IFERROR(VLOOKUP($A426,#REF!,19,0),"")</f>
        <v/>
      </c>
      <c r="Z426" s="400" t="str">
        <f>IFERROR(VLOOKUP($A426,#REF!,21,0),"")</f>
        <v/>
      </c>
      <c r="AA426" s="358"/>
      <c r="AB426" s="358"/>
      <c r="AC426" s="358" t="s">
        <v>3075</v>
      </c>
      <c r="AD426" s="358" t="s">
        <v>47</v>
      </c>
      <c r="AE426" s="284"/>
      <c r="AF426" s="284"/>
      <c r="AG426" s="141"/>
      <c r="AH426" s="141"/>
      <c r="AI426" s="141"/>
      <c r="AJ426" s="141"/>
      <c r="AK426" s="141"/>
      <c r="AL426" s="141"/>
      <c r="AM426" s="141"/>
      <c r="AN426" s="120"/>
      <c r="AO426" s="120"/>
      <c r="AP426" s="120"/>
      <c r="AQ426" s="313"/>
      <c r="AR426" s="119"/>
      <c r="AS426" s="22"/>
      <c r="AT426" s="22"/>
      <c r="AU426" s="22"/>
      <c r="AV426" s="2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112"/>
      <c r="BH426" s="112"/>
      <c r="BI426" s="112"/>
      <c r="BJ426" s="112"/>
      <c r="BK426" s="82"/>
      <c r="BL426" s="82"/>
      <c r="BM426"/>
      <c r="BN426" s="412"/>
      <c r="BO426" s="412"/>
      <c r="BP426" s="412"/>
      <c r="BQ426" s="412"/>
      <c r="BR426" s="412"/>
      <c r="BS426" s="96"/>
      <c r="BT426" s="96"/>
      <c r="BU426" s="96"/>
      <c r="BV426" s="96"/>
      <c r="BW426"/>
      <c r="BX426"/>
      <c r="BY426"/>
      <c r="BZ426">
        <f t="shared" si="29"/>
        <v>1</v>
      </c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</row>
    <row r="427" spans="1:123" s="272" customFormat="1" ht="15" hidden="1" customHeight="1">
      <c r="A427" s="35" t="str">
        <f t="shared" si="30"/>
        <v>ELPTMED_192/2646097</v>
      </c>
      <c r="B427" s="35"/>
      <c r="C427" s="358" t="s">
        <v>2342</v>
      </c>
      <c r="D427" s="358">
        <v>424</v>
      </c>
      <c r="E427" s="73" t="s">
        <v>3736</v>
      </c>
      <c r="F427" s="358" t="s">
        <v>1212</v>
      </c>
      <c r="G427" s="384">
        <v>46097</v>
      </c>
      <c r="H427" s="358" t="s">
        <v>3644</v>
      </c>
      <c r="I427" s="358">
        <v>2</v>
      </c>
      <c r="J427" s="359" t="str">
        <f>IFERROR(VLOOKUP($A427,#REF!,3,0),"")</f>
        <v/>
      </c>
      <c r="K427" s="359">
        <f>IFERROR(VLOOKUP($A427,#REF!,4,0),AF427)</f>
        <v>0</v>
      </c>
      <c r="L427" s="359" t="str">
        <f>IFERROR(VLOOKUP($A427,#REF!,5,0),"")</f>
        <v/>
      </c>
      <c r="M427" s="359" t="str">
        <f>IFERROR(VLOOKUP($A427,#REF!,7,0),"")</f>
        <v/>
      </c>
      <c r="N427" s="359"/>
      <c r="O427" s="359" t="str">
        <f>IFERROR(VLOOKUP($A427,#REF!,6,0),"")</f>
        <v/>
      </c>
      <c r="P427" s="359" t="str">
        <f>IFERROR(VLOOKUP($A427,#REF!,9,0),"")</f>
        <v/>
      </c>
      <c r="Q427" s="359" t="str">
        <f>IFERROR(VLOOKUP($A427,#REF!,10,0),"")</f>
        <v/>
      </c>
      <c r="R427" s="359" t="str">
        <f>IFERROR(VLOOKUP($A427,#REF!,11,0),"")</f>
        <v/>
      </c>
      <c r="S427" s="359" t="str">
        <f>IFERROR(VLOOKUP($A427,#REF!,13,0),"")</f>
        <v/>
      </c>
      <c r="T427" s="359" t="str">
        <f>IFERROR(VLOOKUP($A427,#REF!,14,0),"")</f>
        <v/>
      </c>
      <c r="U427" s="359" t="str">
        <f>IFERROR(VLOOKUP($A427,#REF!,15,0),"")</f>
        <v/>
      </c>
      <c r="V427" s="359" t="str">
        <f>IFERROR(VLOOKUP($A427,#REF!,16,0),"")</f>
        <v/>
      </c>
      <c r="W427" s="359" t="str">
        <f>IFERROR(VLOOKUP($A427,#REF!,17,0),"")</f>
        <v/>
      </c>
      <c r="X427" s="359" t="str">
        <f>IFERROR(VLOOKUP($A427,#REF!,18,0),"")</f>
        <v/>
      </c>
      <c r="Y427" s="359" t="str">
        <f>IFERROR(VLOOKUP($A427,#REF!,19,0),"")</f>
        <v/>
      </c>
      <c r="Z427" s="400" t="str">
        <f>IFERROR(VLOOKUP($A427,#REF!,21,0),"")</f>
        <v/>
      </c>
      <c r="AA427" s="358"/>
      <c r="AB427" s="358"/>
      <c r="AC427" s="358" t="s">
        <v>3075</v>
      </c>
      <c r="AD427" s="358" t="s">
        <v>47</v>
      </c>
      <c r="AE427" s="284"/>
      <c r="AF427" s="284"/>
      <c r="AG427" s="141"/>
      <c r="AH427" s="141"/>
      <c r="AI427" s="141"/>
      <c r="AJ427" s="141"/>
      <c r="AK427" s="141"/>
      <c r="AL427" s="141"/>
      <c r="AM427" s="141"/>
      <c r="AN427" s="120"/>
      <c r="AO427" s="120"/>
      <c r="AP427" s="120"/>
      <c r="AQ427" s="313"/>
      <c r="AR427" s="119"/>
      <c r="AS427" s="22"/>
      <c r="AT427" s="22"/>
      <c r="AU427" s="22"/>
      <c r="AV427" s="2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112"/>
      <c r="BH427" s="112"/>
      <c r="BI427" s="112"/>
      <c r="BJ427" s="112"/>
      <c r="BK427" s="82"/>
      <c r="BL427" s="82"/>
      <c r="BM427"/>
      <c r="BN427" s="412"/>
      <c r="BO427" s="412"/>
      <c r="BP427" s="412"/>
      <c r="BQ427" s="412"/>
      <c r="BR427" s="412"/>
      <c r="BS427" s="96"/>
      <c r="BT427" s="96"/>
      <c r="BU427" s="96"/>
      <c r="BV427" s="96"/>
      <c r="BW427"/>
      <c r="BX427"/>
      <c r="BY427"/>
      <c r="BZ427">
        <f t="shared" si="29"/>
        <v>1</v>
      </c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</row>
    <row r="428" spans="1:123" s="272" customFormat="1" ht="15" hidden="1" customHeight="1">
      <c r="A428" s="35" t="str">
        <f t="shared" si="30"/>
        <v>ELPTMED_193/2646097</v>
      </c>
      <c r="B428" s="35"/>
      <c r="C428" s="358" t="s">
        <v>2342</v>
      </c>
      <c r="D428" s="358">
        <v>425</v>
      </c>
      <c r="E428" s="73" t="s">
        <v>3737</v>
      </c>
      <c r="F428" s="358" t="s">
        <v>308</v>
      </c>
      <c r="G428" s="384">
        <v>46097</v>
      </c>
      <c r="H428" s="358" t="s">
        <v>3644</v>
      </c>
      <c r="I428" s="358">
        <v>1</v>
      </c>
      <c r="J428" s="359" t="str">
        <f>IFERROR(VLOOKUP($A428,#REF!,3,0),"")</f>
        <v/>
      </c>
      <c r="K428" s="359">
        <f>IFERROR(VLOOKUP($A428,#REF!,4,0),AF428)</f>
        <v>0</v>
      </c>
      <c r="L428" s="359" t="str">
        <f>IFERROR(VLOOKUP($A428,#REF!,5,0),"")</f>
        <v/>
      </c>
      <c r="M428" s="359" t="str">
        <f>IFERROR(VLOOKUP($A428,#REF!,7,0),"")</f>
        <v/>
      </c>
      <c r="N428" s="359"/>
      <c r="O428" s="359" t="str">
        <f>IFERROR(VLOOKUP($A428,#REF!,6,0),"")</f>
        <v/>
      </c>
      <c r="P428" s="359" t="str">
        <f>IFERROR(VLOOKUP($A428,#REF!,9,0),"")</f>
        <v/>
      </c>
      <c r="Q428" s="359" t="str">
        <f>IFERROR(VLOOKUP($A428,#REF!,10,0),"")</f>
        <v/>
      </c>
      <c r="R428" s="359" t="str">
        <f>IFERROR(VLOOKUP($A428,#REF!,11,0),"")</f>
        <v/>
      </c>
      <c r="S428" s="359" t="str">
        <f>IFERROR(VLOOKUP($A428,#REF!,13,0),"")</f>
        <v/>
      </c>
      <c r="T428" s="359" t="str">
        <f>IFERROR(VLOOKUP($A428,#REF!,14,0),"")</f>
        <v/>
      </c>
      <c r="U428" s="359" t="str">
        <f>IFERROR(VLOOKUP($A428,#REF!,15,0),"")</f>
        <v/>
      </c>
      <c r="V428" s="359" t="str">
        <f>IFERROR(VLOOKUP($A428,#REF!,16,0),"")</f>
        <v/>
      </c>
      <c r="W428" s="359" t="str">
        <f>IFERROR(VLOOKUP($A428,#REF!,17,0),"")</f>
        <v/>
      </c>
      <c r="X428" s="359" t="str">
        <f>IFERROR(VLOOKUP($A428,#REF!,18,0),"")</f>
        <v/>
      </c>
      <c r="Y428" s="359" t="str">
        <f>IFERROR(VLOOKUP($A428,#REF!,19,0),"")</f>
        <v/>
      </c>
      <c r="Z428" s="400" t="str">
        <f>IFERROR(VLOOKUP($A428,#REF!,21,0),"")</f>
        <v/>
      </c>
      <c r="AA428" s="358"/>
      <c r="AB428" s="358"/>
      <c r="AC428" s="358" t="s">
        <v>3075</v>
      </c>
      <c r="AD428" s="358" t="s">
        <v>47</v>
      </c>
      <c r="AE428" s="284"/>
      <c r="AF428" s="284"/>
      <c r="AG428" s="141"/>
      <c r="AH428" s="141"/>
      <c r="AI428" s="141"/>
      <c r="AJ428" s="141"/>
      <c r="AK428" s="141"/>
      <c r="AL428" s="141"/>
      <c r="AM428" s="141"/>
      <c r="AN428" s="120"/>
      <c r="AO428" s="120"/>
      <c r="AP428" s="120"/>
      <c r="AQ428" s="313"/>
      <c r="AR428" s="119"/>
      <c r="AS428" s="22"/>
      <c r="AT428" s="22"/>
      <c r="AU428" s="22"/>
      <c r="AV428" s="2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112"/>
      <c r="BH428" s="112"/>
      <c r="BI428" s="112"/>
      <c r="BJ428" s="112"/>
      <c r="BK428" s="82"/>
      <c r="BL428" s="82"/>
      <c r="BM428"/>
      <c r="BN428" s="412"/>
      <c r="BO428" s="412"/>
      <c r="BP428" s="412"/>
      <c r="BQ428" s="412"/>
      <c r="BR428" s="412"/>
      <c r="BS428" s="96"/>
      <c r="BT428" s="96"/>
      <c r="BU428" s="96"/>
      <c r="BV428" s="96"/>
      <c r="BW428"/>
      <c r="BX428"/>
      <c r="BY428"/>
      <c r="BZ428">
        <f t="shared" si="29"/>
        <v>1</v>
      </c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</row>
    <row r="429" spans="1:123" s="272" customFormat="1" ht="15" hidden="1" customHeight="1">
      <c r="A429" s="35" t="str">
        <f t="shared" si="30"/>
        <v>ELPTMED_194/2646097</v>
      </c>
      <c r="B429" s="35"/>
      <c r="C429" s="358" t="s">
        <v>2342</v>
      </c>
      <c r="D429" s="358">
        <v>426</v>
      </c>
      <c r="E429" s="73" t="s">
        <v>3738</v>
      </c>
      <c r="F429" s="358" t="s">
        <v>3739</v>
      </c>
      <c r="G429" s="384">
        <v>46097</v>
      </c>
      <c r="H429" s="358" t="s">
        <v>3644</v>
      </c>
      <c r="I429" s="358">
        <v>1</v>
      </c>
      <c r="J429" s="359" t="str">
        <f>IFERROR(VLOOKUP($A429,#REF!,3,0),"")</f>
        <v/>
      </c>
      <c r="K429" s="359">
        <f>IFERROR(VLOOKUP($A429,#REF!,4,0),AF429)</f>
        <v>0</v>
      </c>
      <c r="L429" s="359" t="str">
        <f>IFERROR(VLOOKUP($A429,#REF!,5,0),"")</f>
        <v/>
      </c>
      <c r="M429" s="359" t="str">
        <f>IFERROR(VLOOKUP($A429,#REF!,7,0),"")</f>
        <v/>
      </c>
      <c r="N429" s="359"/>
      <c r="O429" s="359" t="str">
        <f>IFERROR(VLOOKUP($A429,#REF!,6,0),"")</f>
        <v/>
      </c>
      <c r="P429" s="359" t="str">
        <f>IFERROR(VLOOKUP($A429,#REF!,9,0),"")</f>
        <v/>
      </c>
      <c r="Q429" s="359" t="str">
        <f>IFERROR(VLOOKUP($A429,#REF!,10,0),"")</f>
        <v/>
      </c>
      <c r="R429" s="359" t="str">
        <f>IFERROR(VLOOKUP($A429,#REF!,11,0),"")</f>
        <v/>
      </c>
      <c r="S429" s="359" t="str">
        <f>IFERROR(VLOOKUP($A429,#REF!,13,0),"")</f>
        <v/>
      </c>
      <c r="T429" s="359" t="str">
        <f>IFERROR(VLOOKUP($A429,#REF!,14,0),"")</f>
        <v/>
      </c>
      <c r="U429" s="359" t="str">
        <f>IFERROR(VLOOKUP($A429,#REF!,15,0),"")</f>
        <v/>
      </c>
      <c r="V429" s="359" t="str">
        <f>IFERROR(VLOOKUP($A429,#REF!,16,0),"")</f>
        <v/>
      </c>
      <c r="W429" s="359" t="str">
        <f>IFERROR(VLOOKUP($A429,#REF!,17,0),"")</f>
        <v/>
      </c>
      <c r="X429" s="359" t="str">
        <f>IFERROR(VLOOKUP($A429,#REF!,18,0),"")</f>
        <v/>
      </c>
      <c r="Y429" s="359" t="str">
        <f>IFERROR(VLOOKUP($A429,#REF!,19,0),"")</f>
        <v/>
      </c>
      <c r="Z429" s="400" t="str">
        <f>IFERROR(VLOOKUP($A429,#REF!,21,0),"")</f>
        <v/>
      </c>
      <c r="AA429" s="358"/>
      <c r="AB429" s="358"/>
      <c r="AC429" s="358" t="s">
        <v>3075</v>
      </c>
      <c r="AD429" s="358" t="s">
        <v>47</v>
      </c>
      <c r="AE429" s="284"/>
      <c r="AF429" s="284"/>
      <c r="AG429" s="141"/>
      <c r="AH429" s="141"/>
      <c r="AI429" s="141"/>
      <c r="AJ429" s="141"/>
      <c r="AK429" s="141"/>
      <c r="AL429" s="141"/>
      <c r="AM429" s="141"/>
      <c r="AN429" s="120"/>
      <c r="AO429" s="120"/>
      <c r="AP429" s="120"/>
      <c r="AQ429" s="313"/>
      <c r="AR429" s="119"/>
      <c r="AS429" s="22"/>
      <c r="AT429" s="22"/>
      <c r="AU429" s="22"/>
      <c r="AV429" s="2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112"/>
      <c r="BH429" s="112"/>
      <c r="BI429" s="112"/>
      <c r="BJ429" s="112"/>
      <c r="BK429" s="82"/>
      <c r="BL429" s="82"/>
      <c r="BM429"/>
      <c r="BN429" s="412"/>
      <c r="BO429" s="412"/>
      <c r="BP429" s="412"/>
      <c r="BQ429" s="412"/>
      <c r="BR429" s="412"/>
      <c r="BS429" s="96"/>
      <c r="BT429" s="96"/>
      <c r="BU429" s="96"/>
      <c r="BV429" s="96"/>
      <c r="BW429"/>
      <c r="BX429"/>
      <c r="BY429"/>
      <c r="BZ429">
        <f t="shared" si="29"/>
        <v>1</v>
      </c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</row>
    <row r="430" spans="1:123" s="272" customFormat="1" ht="15" hidden="1" customHeight="1">
      <c r="A430" s="35" t="str">
        <f t="shared" si="30"/>
        <v>ELPTMED_195/2646097</v>
      </c>
      <c r="B430" s="35"/>
      <c r="C430" s="358" t="s">
        <v>2342</v>
      </c>
      <c r="D430" s="358">
        <v>427</v>
      </c>
      <c r="E430" s="73" t="s">
        <v>3740</v>
      </c>
      <c r="F430" s="358" t="s">
        <v>1025</v>
      </c>
      <c r="G430" s="384">
        <v>46097</v>
      </c>
      <c r="H430" s="358" t="s">
        <v>3644</v>
      </c>
      <c r="I430" s="358">
        <v>1</v>
      </c>
      <c r="J430" s="359" t="str">
        <f>IFERROR(VLOOKUP($A430,#REF!,3,0),"")</f>
        <v/>
      </c>
      <c r="K430" s="359">
        <f>IFERROR(VLOOKUP($A430,#REF!,4,0),AF430)</f>
        <v>0</v>
      </c>
      <c r="L430" s="359" t="str">
        <f>IFERROR(VLOOKUP($A430,#REF!,5,0),"")</f>
        <v/>
      </c>
      <c r="M430" s="359" t="str">
        <f>IFERROR(VLOOKUP($A430,#REF!,7,0),"")</f>
        <v/>
      </c>
      <c r="N430" s="359"/>
      <c r="O430" s="359" t="str">
        <f>IFERROR(VLOOKUP($A430,#REF!,6,0),"")</f>
        <v/>
      </c>
      <c r="P430" s="359" t="str">
        <f>IFERROR(VLOOKUP($A430,#REF!,9,0),"")</f>
        <v/>
      </c>
      <c r="Q430" s="359" t="str">
        <f>IFERROR(VLOOKUP($A430,#REF!,10,0),"")</f>
        <v/>
      </c>
      <c r="R430" s="359" t="str">
        <f>IFERROR(VLOOKUP($A430,#REF!,11,0),"")</f>
        <v/>
      </c>
      <c r="S430" s="359" t="str">
        <f>IFERROR(VLOOKUP($A430,#REF!,13,0),"")</f>
        <v/>
      </c>
      <c r="T430" s="359" t="str">
        <f>IFERROR(VLOOKUP($A430,#REF!,14,0),"")</f>
        <v/>
      </c>
      <c r="U430" s="359" t="str">
        <f>IFERROR(VLOOKUP($A430,#REF!,15,0),"")</f>
        <v/>
      </c>
      <c r="V430" s="359" t="str">
        <f>IFERROR(VLOOKUP($A430,#REF!,16,0),"")</f>
        <v/>
      </c>
      <c r="W430" s="359" t="str">
        <f>IFERROR(VLOOKUP($A430,#REF!,17,0),"")</f>
        <v/>
      </c>
      <c r="X430" s="359" t="str">
        <f>IFERROR(VLOOKUP($A430,#REF!,18,0),"")</f>
        <v/>
      </c>
      <c r="Y430" s="359" t="str">
        <f>IFERROR(VLOOKUP($A430,#REF!,19,0),"")</f>
        <v/>
      </c>
      <c r="Z430" s="400" t="str">
        <f>IFERROR(VLOOKUP($A430,#REF!,21,0),"")</f>
        <v/>
      </c>
      <c r="AA430" s="358"/>
      <c r="AB430" s="358"/>
      <c r="AC430" s="358" t="s">
        <v>127</v>
      </c>
      <c r="AD430" s="358" t="s">
        <v>178</v>
      </c>
      <c r="AE430" s="284"/>
      <c r="AF430" s="284"/>
      <c r="AG430" s="141"/>
      <c r="AH430" s="141"/>
      <c r="AI430" s="141"/>
      <c r="AJ430" s="141"/>
      <c r="AK430" s="141"/>
      <c r="AL430" s="141"/>
      <c r="AM430" s="141"/>
      <c r="AN430" s="120"/>
      <c r="AO430" s="120"/>
      <c r="AP430" s="120"/>
      <c r="AQ430" s="313"/>
      <c r="AR430" s="119"/>
      <c r="AS430" s="22"/>
      <c r="AT430" s="22"/>
      <c r="AU430" s="22"/>
      <c r="AV430" s="2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112"/>
      <c r="BH430" s="112"/>
      <c r="BI430" s="112"/>
      <c r="BJ430" s="112"/>
      <c r="BK430" s="82"/>
      <c r="BL430" s="82"/>
      <c r="BM430"/>
      <c r="BN430" s="412"/>
      <c r="BO430" s="412"/>
      <c r="BP430" s="412"/>
      <c r="BQ430" s="412"/>
      <c r="BR430" s="412"/>
      <c r="BS430" s="96"/>
      <c r="BT430" s="96"/>
      <c r="BU430" s="96"/>
      <c r="BV430" s="96"/>
      <c r="BW430"/>
      <c r="BX430"/>
      <c r="BY430"/>
      <c r="BZ430">
        <f t="shared" si="29"/>
        <v>1</v>
      </c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</row>
    <row r="431" spans="1:123" s="272" customFormat="1" ht="15" hidden="1" customHeight="1">
      <c r="A431" s="35" t="str">
        <f t="shared" si="30"/>
        <v>ELPTMED_196/2646097</v>
      </c>
      <c r="B431" s="35"/>
      <c r="C431" s="358" t="s">
        <v>2342</v>
      </c>
      <c r="D431" s="358">
        <v>428</v>
      </c>
      <c r="E431" s="73" t="s">
        <v>3741</v>
      </c>
      <c r="F431" s="358" t="s">
        <v>971</v>
      </c>
      <c r="G431" s="384">
        <v>46097</v>
      </c>
      <c r="H431" s="358" t="s">
        <v>3644</v>
      </c>
      <c r="I431" s="358">
        <v>2</v>
      </c>
      <c r="J431" s="359" t="str">
        <f>IFERROR(VLOOKUP($A431,#REF!,3,0),"")</f>
        <v/>
      </c>
      <c r="K431" s="359">
        <f>IFERROR(VLOOKUP($A431,#REF!,4,0),AF431)</f>
        <v>0</v>
      </c>
      <c r="L431" s="359" t="str">
        <f>IFERROR(VLOOKUP($A431,#REF!,5,0),"")</f>
        <v/>
      </c>
      <c r="M431" s="359" t="str">
        <f>IFERROR(VLOOKUP($A431,#REF!,7,0),"")</f>
        <v/>
      </c>
      <c r="N431" s="359"/>
      <c r="O431" s="359" t="str">
        <f>IFERROR(VLOOKUP($A431,#REF!,6,0),"")</f>
        <v/>
      </c>
      <c r="P431" s="359" t="str">
        <f>IFERROR(VLOOKUP($A431,#REF!,9,0),"")</f>
        <v/>
      </c>
      <c r="Q431" s="359" t="str">
        <f>IFERROR(VLOOKUP($A431,#REF!,10,0),"")</f>
        <v/>
      </c>
      <c r="R431" s="359" t="str">
        <f>IFERROR(VLOOKUP($A431,#REF!,11,0),"")</f>
        <v/>
      </c>
      <c r="S431" s="359" t="str">
        <f>IFERROR(VLOOKUP($A431,#REF!,13,0),"")</f>
        <v/>
      </c>
      <c r="T431" s="359" t="str">
        <f>IFERROR(VLOOKUP($A431,#REF!,14,0),"")</f>
        <v/>
      </c>
      <c r="U431" s="359" t="str">
        <f>IFERROR(VLOOKUP($A431,#REF!,15,0),"")</f>
        <v/>
      </c>
      <c r="V431" s="359" t="str">
        <f>IFERROR(VLOOKUP($A431,#REF!,16,0),"")</f>
        <v/>
      </c>
      <c r="W431" s="359" t="str">
        <f>IFERROR(VLOOKUP($A431,#REF!,17,0),"")</f>
        <v/>
      </c>
      <c r="X431" s="359" t="str">
        <f>IFERROR(VLOOKUP($A431,#REF!,18,0),"")</f>
        <v/>
      </c>
      <c r="Y431" s="359" t="str">
        <f>IFERROR(VLOOKUP($A431,#REF!,19,0),"")</f>
        <v/>
      </c>
      <c r="Z431" s="400" t="str">
        <f>IFERROR(VLOOKUP($A431,#REF!,21,0),"")</f>
        <v/>
      </c>
      <c r="AA431" s="358"/>
      <c r="AB431" s="358"/>
      <c r="AC431" s="358" t="s">
        <v>3654</v>
      </c>
      <c r="AD431" s="358" t="s">
        <v>1514</v>
      </c>
      <c r="AE431" s="284" t="s">
        <v>3742</v>
      </c>
      <c r="AF431" s="284"/>
      <c r="AG431" s="141"/>
      <c r="AH431" s="141"/>
      <c r="AI431" s="141"/>
      <c r="AJ431" s="141"/>
      <c r="AK431" s="141"/>
      <c r="AL431" s="141"/>
      <c r="AM431" s="141"/>
      <c r="AN431" s="120"/>
      <c r="AO431" s="120"/>
      <c r="AP431" s="120"/>
      <c r="AQ431" s="313"/>
      <c r="AR431" s="119"/>
      <c r="AS431" s="22"/>
      <c r="AT431" s="22"/>
      <c r="AU431" s="22"/>
      <c r="AV431" s="2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112"/>
      <c r="BH431" s="112"/>
      <c r="BI431" s="112"/>
      <c r="BJ431" s="112"/>
      <c r="BK431" s="82"/>
      <c r="BL431" s="82"/>
      <c r="BM431"/>
      <c r="BN431" s="412"/>
      <c r="BO431" s="412"/>
      <c r="BP431" s="412"/>
      <c r="BQ431" s="412"/>
      <c r="BR431" s="412"/>
      <c r="BS431" s="96"/>
      <c r="BT431" s="96"/>
      <c r="BU431" s="96"/>
      <c r="BV431" s="96"/>
      <c r="BW431"/>
      <c r="BX431"/>
      <c r="BY431"/>
      <c r="BZ431">
        <f t="shared" si="29"/>
        <v>1</v>
      </c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</row>
    <row r="432" spans="1:123" s="272" customFormat="1" ht="15" hidden="1" customHeight="1">
      <c r="A432" s="35" t="str">
        <f t="shared" si="30"/>
        <v>ELPTMED_197/2646097</v>
      </c>
      <c r="B432" s="35"/>
      <c r="C432" s="358" t="s">
        <v>2342</v>
      </c>
      <c r="D432" s="358">
        <v>429</v>
      </c>
      <c r="E432" s="73" t="s">
        <v>3743</v>
      </c>
      <c r="F432" s="358" t="s">
        <v>3744</v>
      </c>
      <c r="G432" s="384">
        <v>46097</v>
      </c>
      <c r="H432" s="358" t="s">
        <v>3644</v>
      </c>
      <c r="I432" s="358">
        <v>1</v>
      </c>
      <c r="J432" s="359" t="str">
        <f>IFERROR(VLOOKUP($A432,#REF!,3,0),"")</f>
        <v/>
      </c>
      <c r="K432" s="359">
        <f>IFERROR(VLOOKUP($A432,#REF!,4,0),AF432)</f>
        <v>0</v>
      </c>
      <c r="L432" s="359" t="str">
        <f>IFERROR(VLOOKUP($A432,#REF!,5,0),"")</f>
        <v/>
      </c>
      <c r="M432" s="359" t="str">
        <f>IFERROR(VLOOKUP($A432,#REF!,7,0),"")</f>
        <v/>
      </c>
      <c r="N432" s="359"/>
      <c r="O432" s="359" t="str">
        <f>IFERROR(VLOOKUP($A432,#REF!,6,0),"")</f>
        <v/>
      </c>
      <c r="P432" s="359" t="str">
        <f>IFERROR(VLOOKUP($A432,#REF!,9,0),"")</f>
        <v/>
      </c>
      <c r="Q432" s="359" t="str">
        <f>IFERROR(VLOOKUP($A432,#REF!,10,0),"")</f>
        <v/>
      </c>
      <c r="R432" s="359" t="str">
        <f>IFERROR(VLOOKUP($A432,#REF!,11,0),"")</f>
        <v/>
      </c>
      <c r="S432" s="359" t="str">
        <f>IFERROR(VLOOKUP($A432,#REF!,13,0),"")</f>
        <v/>
      </c>
      <c r="T432" s="359" t="str">
        <f>IFERROR(VLOOKUP($A432,#REF!,14,0),"")</f>
        <v/>
      </c>
      <c r="U432" s="359" t="str">
        <f>IFERROR(VLOOKUP($A432,#REF!,15,0),"")</f>
        <v/>
      </c>
      <c r="V432" s="359" t="str">
        <f>IFERROR(VLOOKUP($A432,#REF!,16,0),"")</f>
        <v/>
      </c>
      <c r="W432" s="359" t="str">
        <f>IFERROR(VLOOKUP($A432,#REF!,17,0),"")</f>
        <v/>
      </c>
      <c r="X432" s="359" t="str">
        <f>IFERROR(VLOOKUP($A432,#REF!,18,0),"")</f>
        <v/>
      </c>
      <c r="Y432" s="359" t="str">
        <f>IFERROR(VLOOKUP($A432,#REF!,19,0),"")</f>
        <v/>
      </c>
      <c r="Z432" s="400" t="str">
        <f>IFERROR(VLOOKUP($A432,#REF!,21,0),"")</f>
        <v/>
      </c>
      <c r="AA432" s="358"/>
      <c r="AB432" s="358"/>
      <c r="AC432" s="358" t="s">
        <v>1076</v>
      </c>
      <c r="AD432" s="358" t="s">
        <v>3357</v>
      </c>
      <c r="AE432" s="284"/>
      <c r="AF432" s="284"/>
      <c r="AG432" s="141"/>
      <c r="AH432" s="141"/>
      <c r="AI432" s="141"/>
      <c r="AJ432" s="141"/>
      <c r="AK432" s="141"/>
      <c r="AL432" s="141"/>
      <c r="AM432" s="141"/>
      <c r="AN432" s="120"/>
      <c r="AO432" s="120"/>
      <c r="AP432" s="120"/>
      <c r="AQ432" s="313"/>
      <c r="AR432" s="119"/>
      <c r="AS432" s="22"/>
      <c r="AT432" s="22"/>
      <c r="AU432" s="22"/>
      <c r="AV432" s="2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112"/>
      <c r="BH432" s="112"/>
      <c r="BI432" s="112"/>
      <c r="BJ432" s="112"/>
      <c r="BK432" s="82"/>
      <c r="BL432" s="82"/>
      <c r="BM432"/>
      <c r="BN432" s="412"/>
      <c r="BO432" s="412"/>
      <c r="BP432" s="412"/>
      <c r="BQ432" s="412"/>
      <c r="BR432" s="412"/>
      <c r="BS432" s="96"/>
      <c r="BT432" s="96"/>
      <c r="BU432" s="96"/>
      <c r="BV432" s="96"/>
      <c r="BW432"/>
      <c r="BX432"/>
      <c r="BY432"/>
      <c r="BZ432">
        <f t="shared" si="29"/>
        <v>1</v>
      </c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</row>
    <row r="433" spans="1:123" s="272" customFormat="1" ht="15" hidden="1" customHeight="1">
      <c r="A433" s="35" t="str">
        <f t="shared" si="30"/>
        <v>ELPTMED_198/2646097</v>
      </c>
      <c r="B433" s="35"/>
      <c r="C433" s="358" t="s">
        <v>2342</v>
      </c>
      <c r="D433" s="358">
        <v>430</v>
      </c>
      <c r="E433" s="73" t="s">
        <v>3745</v>
      </c>
      <c r="F433" s="317" t="s">
        <v>3746</v>
      </c>
      <c r="G433" s="384">
        <v>46097</v>
      </c>
      <c r="H433" s="358" t="s">
        <v>3644</v>
      </c>
      <c r="I433" s="358">
        <v>1</v>
      </c>
      <c r="J433" s="359" t="str">
        <f>IFERROR(VLOOKUP($A433,#REF!,3,0),"")</f>
        <v/>
      </c>
      <c r="K433" s="359">
        <f>IFERROR(VLOOKUP($A433,#REF!,4,0),AF433)</f>
        <v>0</v>
      </c>
      <c r="L433" s="359" t="str">
        <f>IFERROR(VLOOKUP($A433,#REF!,5,0),"")</f>
        <v/>
      </c>
      <c r="M433" s="359" t="str">
        <f>IFERROR(VLOOKUP($A433,#REF!,7,0),"")</f>
        <v/>
      </c>
      <c r="N433" s="359"/>
      <c r="O433" s="359" t="str">
        <f>IFERROR(VLOOKUP($A433,#REF!,6,0),"")</f>
        <v/>
      </c>
      <c r="P433" s="359" t="str">
        <f>IFERROR(VLOOKUP($A433,#REF!,9,0),"")</f>
        <v/>
      </c>
      <c r="Q433" s="359" t="str">
        <f>IFERROR(VLOOKUP($A433,#REF!,10,0),"")</f>
        <v/>
      </c>
      <c r="R433" s="359" t="str">
        <f>IFERROR(VLOOKUP($A433,#REF!,11,0),"")</f>
        <v/>
      </c>
      <c r="S433" s="359" t="str">
        <f>IFERROR(VLOOKUP($A433,#REF!,13,0),"")</f>
        <v/>
      </c>
      <c r="T433" s="359" t="str">
        <f>IFERROR(VLOOKUP($A433,#REF!,14,0),"")</f>
        <v/>
      </c>
      <c r="U433" s="359" t="str">
        <f>IFERROR(VLOOKUP($A433,#REF!,15,0),"")</f>
        <v/>
      </c>
      <c r="V433" s="359" t="str">
        <f>IFERROR(VLOOKUP($A433,#REF!,16,0),"")</f>
        <v/>
      </c>
      <c r="W433" s="359" t="str">
        <f>IFERROR(VLOOKUP($A433,#REF!,17,0),"")</f>
        <v/>
      </c>
      <c r="X433" s="359" t="str">
        <f>IFERROR(VLOOKUP($A433,#REF!,18,0),"")</f>
        <v/>
      </c>
      <c r="Y433" s="359" t="str">
        <f>IFERROR(VLOOKUP($A433,#REF!,19,0),"")</f>
        <v/>
      </c>
      <c r="Z433" s="400" t="str">
        <f>IFERROR(VLOOKUP($A433,#REF!,21,0),"")</f>
        <v/>
      </c>
      <c r="AA433" s="358"/>
      <c r="AB433" s="358"/>
      <c r="AC433" s="358" t="s">
        <v>1076</v>
      </c>
      <c r="AD433" s="358" t="s">
        <v>3357</v>
      </c>
      <c r="AE433" s="284"/>
      <c r="AF433" s="284"/>
      <c r="AG433" s="141"/>
      <c r="AH433" s="141"/>
      <c r="AI433" s="141"/>
      <c r="AJ433" s="141"/>
      <c r="AK433" s="141"/>
      <c r="AL433" s="141"/>
      <c r="AM433" s="141"/>
      <c r="AN433" s="120"/>
      <c r="AO433" s="120"/>
      <c r="AP433" s="120"/>
      <c r="AQ433" s="313"/>
      <c r="AR433" s="119"/>
      <c r="AS433" s="22"/>
      <c r="AT433" s="22"/>
      <c r="AU433" s="22"/>
      <c r="AV433" s="2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112"/>
      <c r="BH433" s="112"/>
      <c r="BI433" s="112"/>
      <c r="BJ433" s="112"/>
      <c r="BK433" s="82"/>
      <c r="BL433" s="82"/>
      <c r="BM433"/>
      <c r="BN433" s="412"/>
      <c r="BO433" s="412"/>
      <c r="BP433" s="412"/>
      <c r="BQ433" s="412"/>
      <c r="BR433" s="412"/>
      <c r="BS433" s="96"/>
      <c r="BT433" s="96"/>
      <c r="BU433" s="96"/>
      <c r="BV433" s="96"/>
      <c r="BW433"/>
      <c r="BX433"/>
      <c r="BY433"/>
      <c r="BZ433">
        <f t="shared" si="29"/>
        <v>1</v>
      </c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</row>
    <row r="434" spans="1:123" s="272" customFormat="1" ht="15" hidden="1" customHeight="1">
      <c r="A434" s="35" t="str">
        <f t="shared" si="30"/>
        <v>ELPTMED_199/2646097</v>
      </c>
      <c r="B434" s="35"/>
      <c r="C434" s="358" t="s">
        <v>2342</v>
      </c>
      <c r="D434" s="358">
        <v>431</v>
      </c>
      <c r="E434" s="73" t="s">
        <v>3747</v>
      </c>
      <c r="F434" s="358" t="s">
        <v>1544</v>
      </c>
      <c r="G434" s="384">
        <v>46097</v>
      </c>
      <c r="H434" s="358" t="s">
        <v>3644</v>
      </c>
      <c r="I434" s="358">
        <v>4</v>
      </c>
      <c r="J434" s="359" t="str">
        <f>IFERROR(VLOOKUP($A434,#REF!,3,0),"")</f>
        <v/>
      </c>
      <c r="K434" s="359">
        <f>IFERROR(VLOOKUP($A434,#REF!,4,0),AF434)</f>
        <v>0</v>
      </c>
      <c r="L434" s="359" t="str">
        <f>IFERROR(VLOOKUP($A434,#REF!,5,0),"")</f>
        <v/>
      </c>
      <c r="M434" s="359" t="str">
        <f>IFERROR(VLOOKUP($A434,#REF!,7,0),"")</f>
        <v/>
      </c>
      <c r="N434" s="359"/>
      <c r="O434" s="359" t="str">
        <f>IFERROR(VLOOKUP($A434,#REF!,6,0),"")</f>
        <v/>
      </c>
      <c r="P434" s="359" t="str">
        <f>IFERROR(VLOOKUP($A434,#REF!,9,0),"")</f>
        <v/>
      </c>
      <c r="Q434" s="359" t="str">
        <f>IFERROR(VLOOKUP($A434,#REF!,10,0),"")</f>
        <v/>
      </c>
      <c r="R434" s="359" t="str">
        <f>IFERROR(VLOOKUP($A434,#REF!,11,0),"")</f>
        <v/>
      </c>
      <c r="S434" s="359" t="str">
        <f>IFERROR(VLOOKUP($A434,#REF!,13,0),"")</f>
        <v/>
      </c>
      <c r="T434" s="359" t="str">
        <f>IFERROR(VLOOKUP($A434,#REF!,14,0),"")</f>
        <v/>
      </c>
      <c r="U434" s="359" t="str">
        <f>IFERROR(VLOOKUP($A434,#REF!,15,0),"")</f>
        <v/>
      </c>
      <c r="V434" s="359" t="str">
        <f>IFERROR(VLOOKUP($A434,#REF!,16,0),"")</f>
        <v/>
      </c>
      <c r="W434" s="359" t="str">
        <f>IFERROR(VLOOKUP($A434,#REF!,17,0),"")</f>
        <v/>
      </c>
      <c r="X434" s="359" t="str">
        <f>IFERROR(VLOOKUP($A434,#REF!,18,0),"")</f>
        <v/>
      </c>
      <c r="Y434" s="359" t="str">
        <f>IFERROR(VLOOKUP($A434,#REF!,19,0),"")</f>
        <v/>
      </c>
      <c r="Z434" s="400" t="str">
        <f>IFERROR(VLOOKUP($A434,#REF!,21,0),"")</f>
        <v/>
      </c>
      <c r="AA434" s="358"/>
      <c r="AB434" s="358"/>
      <c r="AC434" s="358" t="s">
        <v>127</v>
      </c>
      <c r="AD434" s="358" t="s">
        <v>178</v>
      </c>
      <c r="AE434" s="284"/>
      <c r="AF434" s="284"/>
      <c r="AG434" s="141"/>
      <c r="AH434" s="141"/>
      <c r="AI434" s="141"/>
      <c r="AJ434" s="141"/>
      <c r="AK434" s="141"/>
      <c r="AL434" s="141"/>
      <c r="AM434" s="141"/>
      <c r="AN434" s="120"/>
      <c r="AO434" s="120"/>
      <c r="AP434" s="120"/>
      <c r="AQ434" s="313"/>
      <c r="AR434" s="119"/>
      <c r="AS434" s="22"/>
      <c r="AT434" s="22"/>
      <c r="AU434" s="22"/>
      <c r="AV434" s="2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112"/>
      <c r="BH434" s="112"/>
      <c r="BI434" s="112"/>
      <c r="BJ434" s="112"/>
      <c r="BK434" s="82"/>
      <c r="BL434" s="82"/>
      <c r="BM434"/>
      <c r="BN434" s="412"/>
      <c r="BO434" s="412"/>
      <c r="BP434" s="412"/>
      <c r="BQ434" s="412"/>
      <c r="BR434" s="412"/>
      <c r="BS434" s="96"/>
      <c r="BT434" s="96"/>
      <c r="BU434" s="96"/>
      <c r="BV434" s="96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</row>
    <row r="435" spans="1:123" s="272" customFormat="1" ht="14.25" hidden="1" customHeight="1">
      <c r="A435" s="35" t="str">
        <f t="shared" si="30"/>
        <v>ELPTMED_200/2646097</v>
      </c>
      <c r="B435" s="35"/>
      <c r="C435" s="358" t="s">
        <v>2342</v>
      </c>
      <c r="D435" s="358">
        <v>432</v>
      </c>
      <c r="E435" s="73" t="s">
        <v>3748</v>
      </c>
      <c r="F435" s="358" t="s">
        <v>779</v>
      </c>
      <c r="G435" s="384">
        <v>46097</v>
      </c>
      <c r="H435" s="358" t="s">
        <v>3644</v>
      </c>
      <c r="I435" s="358">
        <v>2</v>
      </c>
      <c r="J435" s="359" t="str">
        <f>IFERROR(VLOOKUP($A435,#REF!,3,0),"")</f>
        <v/>
      </c>
      <c r="K435" s="359">
        <f>IFERROR(VLOOKUP($A435,#REF!,4,0),AF435)</f>
        <v>0</v>
      </c>
      <c r="L435" s="359" t="str">
        <f>IFERROR(VLOOKUP($A435,#REF!,5,0),"")</f>
        <v/>
      </c>
      <c r="M435" s="359" t="str">
        <f>IFERROR(VLOOKUP($A435,#REF!,7,0),"")</f>
        <v/>
      </c>
      <c r="N435" s="359"/>
      <c r="O435" s="359" t="str">
        <f>IFERROR(VLOOKUP($A435,#REF!,6,0),"")</f>
        <v/>
      </c>
      <c r="P435" s="359" t="str">
        <f>IFERROR(VLOOKUP($A435,#REF!,9,0),"")</f>
        <v/>
      </c>
      <c r="Q435" s="359" t="str">
        <f>IFERROR(VLOOKUP($A435,#REF!,10,0),"")</f>
        <v/>
      </c>
      <c r="R435" s="359" t="str">
        <f>IFERROR(VLOOKUP($A435,#REF!,11,0),"")</f>
        <v/>
      </c>
      <c r="S435" s="359" t="str">
        <f>IFERROR(VLOOKUP($A435,#REF!,13,0),"")</f>
        <v/>
      </c>
      <c r="T435" s="359" t="str">
        <f>IFERROR(VLOOKUP($A435,#REF!,14,0),"")</f>
        <v/>
      </c>
      <c r="U435" s="359" t="str">
        <f>IFERROR(VLOOKUP($A435,#REF!,15,0),"")</f>
        <v/>
      </c>
      <c r="V435" s="359" t="str">
        <f>IFERROR(VLOOKUP($A435,#REF!,16,0),"")</f>
        <v/>
      </c>
      <c r="W435" s="359" t="str">
        <f>IFERROR(VLOOKUP($A435,#REF!,17,0),"")</f>
        <v/>
      </c>
      <c r="X435" s="359" t="str">
        <f>IFERROR(VLOOKUP($A435,#REF!,18,0),"")</f>
        <v/>
      </c>
      <c r="Y435" s="359" t="str">
        <f>IFERROR(VLOOKUP($A435,#REF!,19,0),"")</f>
        <v/>
      </c>
      <c r="Z435" s="400" t="str">
        <f>IFERROR(VLOOKUP($A435,#REF!,21,0),"")</f>
        <v/>
      </c>
      <c r="AA435" s="358"/>
      <c r="AB435" s="358"/>
      <c r="AC435" s="358" t="s">
        <v>1076</v>
      </c>
      <c r="AD435" s="358" t="s">
        <v>3357</v>
      </c>
      <c r="AE435" s="284"/>
      <c r="AF435" s="284"/>
      <c r="AG435" s="141"/>
      <c r="AH435" s="141"/>
      <c r="AI435" s="141"/>
      <c r="AJ435" s="141"/>
      <c r="AK435" s="141"/>
      <c r="AL435" s="141"/>
      <c r="AM435" s="141"/>
      <c r="AN435" s="120"/>
      <c r="AO435" s="120"/>
      <c r="AP435" s="120"/>
      <c r="AQ435" s="313"/>
      <c r="AR435" s="119"/>
      <c r="AS435" s="22"/>
      <c r="AT435" s="22"/>
      <c r="AU435" s="22"/>
      <c r="AV435" s="2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112"/>
      <c r="BH435" s="112"/>
      <c r="BI435" s="112"/>
      <c r="BJ435" s="112"/>
      <c r="BK435" s="82"/>
      <c r="BL435" s="82"/>
      <c r="BM435"/>
      <c r="BN435" s="412"/>
      <c r="BO435" s="412"/>
      <c r="BP435" s="412"/>
      <c r="BQ435" s="412"/>
      <c r="BR435" s="412"/>
      <c r="BS435" s="96"/>
      <c r="BT435" s="96"/>
      <c r="BU435" s="96"/>
      <c r="BV435" s="96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</row>
    <row r="436" spans="1:123" s="272" customFormat="1" ht="15" hidden="1" customHeight="1">
      <c r="A436" s="35" t="str">
        <f t="shared" si="30"/>
        <v>ELPTTCV_041/2646097</v>
      </c>
      <c r="B436" s="35"/>
      <c r="C436" s="358" t="s">
        <v>2342</v>
      </c>
      <c r="D436" s="358">
        <v>433</v>
      </c>
      <c r="E436" s="73" t="s">
        <v>3749</v>
      </c>
      <c r="F436" s="358" t="s">
        <v>865</v>
      </c>
      <c r="G436" s="384">
        <v>46097</v>
      </c>
      <c r="H436" s="358" t="s">
        <v>3644</v>
      </c>
      <c r="I436" s="358">
        <v>2</v>
      </c>
      <c r="J436" s="359" t="str">
        <f>IFERROR(VLOOKUP($A436,#REF!,3,0),"")</f>
        <v/>
      </c>
      <c r="K436" s="359">
        <f>IFERROR(VLOOKUP($A436,#REF!,4,0),AF436)</f>
        <v>0</v>
      </c>
      <c r="L436" s="359" t="str">
        <f>IFERROR(VLOOKUP($A436,#REF!,5,0),"")</f>
        <v/>
      </c>
      <c r="M436" s="359" t="str">
        <f>IFERROR(VLOOKUP($A436,#REF!,7,0),"")</f>
        <v/>
      </c>
      <c r="N436" s="359"/>
      <c r="O436" s="359" t="str">
        <f>IFERROR(VLOOKUP($A436,#REF!,6,0),"")</f>
        <v/>
      </c>
      <c r="P436" s="359" t="str">
        <f>IFERROR(VLOOKUP($A436,#REF!,9,0),"")</f>
        <v/>
      </c>
      <c r="Q436" s="359" t="str">
        <f>IFERROR(VLOOKUP($A436,#REF!,10,0),"")</f>
        <v/>
      </c>
      <c r="R436" s="359" t="str">
        <f>IFERROR(VLOOKUP($A436,#REF!,11,0),"")</f>
        <v/>
      </c>
      <c r="S436" s="359" t="str">
        <f>IFERROR(VLOOKUP($A436,#REF!,13,0),"")</f>
        <v/>
      </c>
      <c r="T436" s="359" t="str">
        <f>IFERROR(VLOOKUP($A436,#REF!,14,0),"")</f>
        <v/>
      </c>
      <c r="U436" s="359" t="str">
        <f>IFERROR(VLOOKUP($A436,#REF!,15,0),"")</f>
        <v/>
      </c>
      <c r="V436" s="359" t="str">
        <f>IFERROR(VLOOKUP($A436,#REF!,16,0),"")</f>
        <v/>
      </c>
      <c r="W436" s="359" t="str">
        <f>IFERROR(VLOOKUP($A436,#REF!,17,0),"")</f>
        <v/>
      </c>
      <c r="X436" s="359" t="str">
        <f>IFERROR(VLOOKUP($A436,#REF!,18,0),"")</f>
        <v/>
      </c>
      <c r="Y436" s="359" t="str">
        <f>IFERROR(VLOOKUP($A436,#REF!,19,0),"")</f>
        <v/>
      </c>
      <c r="Z436" s="400" t="str">
        <f>IFERROR(VLOOKUP($A436,#REF!,21,0),"")</f>
        <v/>
      </c>
      <c r="AA436" s="358"/>
      <c r="AB436" s="358"/>
      <c r="AC436" s="358" t="s">
        <v>1721</v>
      </c>
      <c r="AD436" s="358" t="s">
        <v>1638</v>
      </c>
      <c r="AE436" s="284"/>
      <c r="AF436" s="284"/>
      <c r="AG436" s="141"/>
      <c r="AH436" s="141"/>
      <c r="AI436" s="141"/>
      <c r="AJ436" s="141"/>
      <c r="AK436" s="141"/>
      <c r="AL436" s="141"/>
      <c r="AM436" s="141"/>
      <c r="AN436" s="120"/>
      <c r="AO436" s="120"/>
      <c r="AP436" s="120"/>
      <c r="AQ436" s="313"/>
      <c r="AR436" s="119"/>
      <c r="AS436" s="22"/>
      <c r="AT436" s="22"/>
      <c r="AU436" s="22"/>
      <c r="AV436" s="2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112"/>
      <c r="BH436" s="112"/>
      <c r="BI436" s="112"/>
      <c r="BJ436" s="112"/>
      <c r="BK436" s="82"/>
      <c r="BL436" s="82"/>
      <c r="BM436"/>
      <c r="BN436" s="412"/>
      <c r="BO436" s="412"/>
      <c r="BP436" s="412"/>
      <c r="BQ436" s="412"/>
      <c r="BR436" s="412"/>
      <c r="BS436" s="96"/>
      <c r="BT436" s="96"/>
      <c r="BU436" s="96"/>
      <c r="BV436" s="9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</row>
    <row r="437" spans="1:123" s="272" customFormat="1" ht="15" hidden="1" customHeight="1">
      <c r="A437" s="35" t="str">
        <f t="shared" si="30"/>
        <v>ELPTTCV_042/2646097</v>
      </c>
      <c r="B437" s="35"/>
      <c r="C437" s="358" t="s">
        <v>2342</v>
      </c>
      <c r="D437" s="358">
        <v>434</v>
      </c>
      <c r="E437" s="73" t="s">
        <v>3750</v>
      </c>
      <c r="F437" s="358" t="s">
        <v>779</v>
      </c>
      <c r="G437" s="384">
        <v>46097</v>
      </c>
      <c r="H437" s="358" t="s">
        <v>3644</v>
      </c>
      <c r="I437" s="358">
        <v>1</v>
      </c>
      <c r="J437" s="359" t="str">
        <f>IFERROR(VLOOKUP($A437,#REF!,3,0),"")</f>
        <v/>
      </c>
      <c r="K437" s="359">
        <f>IFERROR(VLOOKUP($A437,#REF!,4,0),AF437)</f>
        <v>0</v>
      </c>
      <c r="L437" s="359" t="str">
        <f>IFERROR(VLOOKUP($A437,#REF!,5,0),"")</f>
        <v/>
      </c>
      <c r="M437" s="359" t="str">
        <f>IFERROR(VLOOKUP($A437,#REF!,7,0),"")</f>
        <v/>
      </c>
      <c r="N437" s="359"/>
      <c r="O437" s="359" t="str">
        <f>IFERROR(VLOOKUP($A437,#REF!,6,0),"")</f>
        <v/>
      </c>
      <c r="P437" s="359" t="str">
        <f>IFERROR(VLOOKUP($A437,#REF!,9,0),"")</f>
        <v/>
      </c>
      <c r="Q437" s="359" t="str">
        <f>IFERROR(VLOOKUP($A437,#REF!,10,0),"")</f>
        <v/>
      </c>
      <c r="R437" s="359" t="str">
        <f>IFERROR(VLOOKUP($A437,#REF!,11,0),"")</f>
        <v/>
      </c>
      <c r="S437" s="359" t="str">
        <f>IFERROR(VLOOKUP($A437,#REF!,13,0),"")</f>
        <v/>
      </c>
      <c r="T437" s="359" t="str">
        <f>IFERROR(VLOOKUP($A437,#REF!,14,0),"")</f>
        <v/>
      </c>
      <c r="U437" s="359" t="str">
        <f>IFERROR(VLOOKUP($A437,#REF!,15,0),"")</f>
        <v/>
      </c>
      <c r="V437" s="359" t="str">
        <f>IFERROR(VLOOKUP($A437,#REF!,16,0),"")</f>
        <v/>
      </c>
      <c r="W437" s="359" t="str">
        <f>IFERROR(VLOOKUP($A437,#REF!,17,0),"")</f>
        <v/>
      </c>
      <c r="X437" s="359" t="str">
        <f>IFERROR(VLOOKUP($A437,#REF!,18,0),"")</f>
        <v/>
      </c>
      <c r="Y437" s="359" t="str">
        <f>IFERROR(VLOOKUP($A437,#REF!,19,0),"")</f>
        <v/>
      </c>
      <c r="Z437" s="400" t="str">
        <f>IFERROR(VLOOKUP($A437,#REF!,21,0),"")</f>
        <v/>
      </c>
      <c r="AA437" s="358"/>
      <c r="AB437" s="358"/>
      <c r="AC437" s="358" t="s">
        <v>1721</v>
      </c>
      <c r="AD437" s="358" t="s">
        <v>1638</v>
      </c>
      <c r="AE437" s="284"/>
      <c r="AF437" s="284"/>
      <c r="AG437" s="141"/>
      <c r="AH437" s="141"/>
      <c r="AI437" s="141"/>
      <c r="AJ437" s="141"/>
      <c r="AK437" s="141"/>
      <c r="AL437" s="141"/>
      <c r="AM437" s="141"/>
      <c r="AN437" s="120"/>
      <c r="AO437" s="120"/>
      <c r="AP437" s="120"/>
      <c r="AQ437" s="313"/>
      <c r="AR437" s="119"/>
      <c r="AS437" s="22"/>
      <c r="AT437" s="22"/>
      <c r="AU437" s="22"/>
      <c r="AV437" s="2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112"/>
      <c r="BH437" s="112"/>
      <c r="BI437" s="112"/>
      <c r="BJ437" s="112"/>
      <c r="BK437" s="82"/>
      <c r="BL437" s="82"/>
      <c r="BM437"/>
      <c r="BN437" s="412"/>
      <c r="BO437" s="412"/>
      <c r="BP437" s="412"/>
      <c r="BQ437" s="412"/>
      <c r="BR437" s="412"/>
      <c r="BS437" s="96"/>
      <c r="BT437" s="96"/>
      <c r="BU437" s="96"/>
      <c r="BV437" s="96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</row>
    <row r="438" spans="1:123" s="272" customFormat="1" ht="15" hidden="1" customHeight="1">
      <c r="A438" s="35" t="str">
        <f t="shared" si="30"/>
        <v>ELPTTCV_043/2646097</v>
      </c>
      <c r="B438" s="35"/>
      <c r="C438" s="358" t="s">
        <v>2342</v>
      </c>
      <c r="D438" s="358">
        <v>435</v>
      </c>
      <c r="E438" s="73" t="s">
        <v>3751</v>
      </c>
      <c r="F438" s="358" t="s">
        <v>829</v>
      </c>
      <c r="G438" s="384">
        <v>46097</v>
      </c>
      <c r="H438" s="358" t="s">
        <v>3644</v>
      </c>
      <c r="I438" s="358">
        <v>5</v>
      </c>
      <c r="J438" s="359" t="str">
        <f>IFERROR(VLOOKUP($A438,#REF!,3,0),"")</f>
        <v/>
      </c>
      <c r="K438" s="359">
        <f>IFERROR(VLOOKUP($A438,#REF!,4,0),AF438)</f>
        <v>0</v>
      </c>
      <c r="L438" s="359" t="str">
        <f>IFERROR(VLOOKUP($A438,#REF!,5,0),"")</f>
        <v/>
      </c>
      <c r="M438" s="359" t="str">
        <f>IFERROR(VLOOKUP($A438,#REF!,7,0),"")</f>
        <v/>
      </c>
      <c r="N438" s="359"/>
      <c r="O438" s="359" t="str">
        <f>IFERROR(VLOOKUP($A438,#REF!,6,0),"")</f>
        <v/>
      </c>
      <c r="P438" s="359" t="str">
        <f>IFERROR(VLOOKUP($A438,#REF!,9,0),"")</f>
        <v/>
      </c>
      <c r="Q438" s="359" t="str">
        <f>IFERROR(VLOOKUP($A438,#REF!,10,0),"")</f>
        <v/>
      </c>
      <c r="R438" s="359" t="str">
        <f>IFERROR(VLOOKUP($A438,#REF!,11,0),"")</f>
        <v/>
      </c>
      <c r="S438" s="359" t="str">
        <f>IFERROR(VLOOKUP($A438,#REF!,13,0),"")</f>
        <v/>
      </c>
      <c r="T438" s="359" t="str">
        <f>IFERROR(VLOOKUP($A438,#REF!,14,0),"")</f>
        <v/>
      </c>
      <c r="U438" s="359" t="str">
        <f>IFERROR(VLOOKUP($A438,#REF!,15,0),"")</f>
        <v/>
      </c>
      <c r="V438" s="359" t="str">
        <f>IFERROR(VLOOKUP($A438,#REF!,16,0),"")</f>
        <v/>
      </c>
      <c r="W438" s="359" t="str">
        <f>IFERROR(VLOOKUP($A438,#REF!,17,0),"")</f>
        <v/>
      </c>
      <c r="X438" s="359" t="str">
        <f>IFERROR(VLOOKUP($A438,#REF!,18,0),"")</f>
        <v/>
      </c>
      <c r="Y438" s="359" t="str">
        <f>IFERROR(VLOOKUP($A438,#REF!,19,0),"")</f>
        <v/>
      </c>
      <c r="Z438" s="400" t="str">
        <f>IFERROR(VLOOKUP($A438,#REF!,21,0),"")</f>
        <v/>
      </c>
      <c r="AA438" s="358"/>
      <c r="AB438" s="358"/>
      <c r="AC438" s="358" t="s">
        <v>1721</v>
      </c>
      <c r="AD438" s="358" t="s">
        <v>1638</v>
      </c>
      <c r="AE438" s="284"/>
      <c r="AF438" s="284"/>
      <c r="AG438" s="141"/>
      <c r="AH438" s="141"/>
      <c r="AI438" s="141"/>
      <c r="AJ438" s="141"/>
      <c r="AK438" s="141"/>
      <c r="AL438" s="141"/>
      <c r="AM438" s="141"/>
      <c r="AN438" s="120"/>
      <c r="AO438" s="120"/>
      <c r="AP438" s="120"/>
      <c r="AQ438" s="313"/>
      <c r="AR438" s="119"/>
      <c r="AS438" s="22"/>
      <c r="AT438" s="22"/>
      <c r="AU438" s="22"/>
      <c r="AV438" s="2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112"/>
      <c r="BH438" s="112"/>
      <c r="BI438" s="112"/>
      <c r="BJ438" s="112"/>
      <c r="BK438" s="82"/>
      <c r="BL438" s="82"/>
      <c r="BM438"/>
      <c r="BN438" s="412"/>
      <c r="BO438" s="412"/>
      <c r="BP438" s="412"/>
      <c r="BQ438" s="412"/>
      <c r="BR438" s="412"/>
      <c r="BS438" s="96"/>
      <c r="BT438" s="96"/>
      <c r="BU438" s="96"/>
      <c r="BV438" s="96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</row>
    <row r="439" spans="1:123" s="272" customFormat="1" ht="15" hidden="1" customHeight="1">
      <c r="A439" s="35" t="str">
        <f t="shared" si="30"/>
        <v>ELPTTCV_044/2646097</v>
      </c>
      <c r="B439" s="35"/>
      <c r="C439" s="358" t="s">
        <v>2342</v>
      </c>
      <c r="D439" s="358">
        <v>436</v>
      </c>
      <c r="E439" s="73" t="s">
        <v>3752</v>
      </c>
      <c r="F439" s="358" t="s">
        <v>3753</v>
      </c>
      <c r="G439" s="384">
        <v>46097</v>
      </c>
      <c r="H439" s="358" t="s">
        <v>3644</v>
      </c>
      <c r="I439" s="358">
        <v>2</v>
      </c>
      <c r="J439" s="359" t="str">
        <f>IFERROR(VLOOKUP($A439,#REF!,3,0),"")</f>
        <v/>
      </c>
      <c r="K439" s="359">
        <f>IFERROR(VLOOKUP($A439,#REF!,4,0),AF439)</f>
        <v>0</v>
      </c>
      <c r="L439" s="359" t="str">
        <f>IFERROR(VLOOKUP($A439,#REF!,5,0),"")</f>
        <v/>
      </c>
      <c r="M439" s="359" t="str">
        <f>IFERROR(VLOOKUP($A439,#REF!,7,0),"")</f>
        <v/>
      </c>
      <c r="N439" s="359"/>
      <c r="O439" s="359" t="str">
        <f>IFERROR(VLOOKUP($A439,#REF!,6,0),"")</f>
        <v/>
      </c>
      <c r="P439" s="359" t="str">
        <f>IFERROR(VLOOKUP($A439,#REF!,9,0),"")</f>
        <v/>
      </c>
      <c r="Q439" s="359" t="str">
        <f>IFERROR(VLOOKUP($A439,#REF!,10,0),"")</f>
        <v/>
      </c>
      <c r="R439" s="359" t="str">
        <f>IFERROR(VLOOKUP($A439,#REF!,11,0),"")</f>
        <v/>
      </c>
      <c r="S439" s="359" t="str">
        <f>IFERROR(VLOOKUP($A439,#REF!,13,0),"")</f>
        <v/>
      </c>
      <c r="T439" s="359" t="str">
        <f>IFERROR(VLOOKUP($A439,#REF!,14,0),"")</f>
        <v/>
      </c>
      <c r="U439" s="359" t="str">
        <f>IFERROR(VLOOKUP($A439,#REF!,15,0),"")</f>
        <v/>
      </c>
      <c r="V439" s="359" t="str">
        <f>IFERROR(VLOOKUP($A439,#REF!,16,0),"")</f>
        <v/>
      </c>
      <c r="W439" s="359" t="str">
        <f>IFERROR(VLOOKUP($A439,#REF!,17,0),"")</f>
        <v/>
      </c>
      <c r="X439" s="359" t="str">
        <f>IFERROR(VLOOKUP($A439,#REF!,18,0),"")</f>
        <v/>
      </c>
      <c r="Y439" s="359" t="str">
        <f>IFERROR(VLOOKUP($A439,#REF!,19,0),"")</f>
        <v/>
      </c>
      <c r="Z439" s="400" t="str">
        <f>IFERROR(VLOOKUP($A439,#REF!,21,0),"")</f>
        <v/>
      </c>
      <c r="AA439" s="358"/>
      <c r="AB439" s="358"/>
      <c r="AC439" s="358" t="s">
        <v>1721</v>
      </c>
      <c r="AD439" s="358" t="s">
        <v>1638</v>
      </c>
      <c r="AE439" s="284"/>
      <c r="AF439" s="284"/>
      <c r="AG439" s="141"/>
      <c r="AH439" s="141"/>
      <c r="AI439" s="141"/>
      <c r="AJ439" s="141"/>
      <c r="AK439" s="141"/>
      <c r="AL439" s="141"/>
      <c r="AM439" s="141"/>
      <c r="AN439" s="120"/>
      <c r="AO439" s="120"/>
      <c r="AP439" s="120"/>
      <c r="AQ439" s="313"/>
      <c r="AR439" s="119"/>
      <c r="AS439" s="22"/>
      <c r="AT439" s="22"/>
      <c r="AU439" s="22"/>
      <c r="AV439" s="2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112"/>
      <c r="BH439" s="112"/>
      <c r="BI439" s="112"/>
      <c r="BJ439" s="112"/>
      <c r="BK439" s="82"/>
      <c r="BL439" s="82"/>
      <c r="BM439"/>
      <c r="BN439" s="412"/>
      <c r="BO439" s="412"/>
      <c r="BP439" s="412"/>
      <c r="BQ439" s="412"/>
      <c r="BR439" s="412"/>
      <c r="BS439" s="96"/>
      <c r="BT439" s="96"/>
      <c r="BU439" s="96"/>
      <c r="BV439" s="96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</row>
    <row r="440" spans="1:123" s="272" customFormat="1" ht="15" hidden="1" customHeight="1">
      <c r="A440" s="35" t="str">
        <f t="shared" si="30"/>
        <v>ELPTTCV_045/2646097</v>
      </c>
      <c r="B440" s="35"/>
      <c r="C440" s="358" t="s">
        <v>2342</v>
      </c>
      <c r="D440" s="358">
        <v>437</v>
      </c>
      <c r="E440" s="73" t="s">
        <v>3754</v>
      </c>
      <c r="F440" s="358" t="s">
        <v>1184</v>
      </c>
      <c r="G440" s="384">
        <v>46097</v>
      </c>
      <c r="H440" s="358" t="s">
        <v>3644</v>
      </c>
      <c r="I440" s="358">
        <v>2</v>
      </c>
      <c r="J440" s="359" t="str">
        <f>IFERROR(VLOOKUP($A440,#REF!,3,0),"")</f>
        <v/>
      </c>
      <c r="K440" s="359">
        <f>IFERROR(VLOOKUP($A440,#REF!,4,0),AF440)</f>
        <v>0</v>
      </c>
      <c r="L440" s="359" t="str">
        <f>IFERROR(VLOOKUP($A440,#REF!,5,0),"")</f>
        <v/>
      </c>
      <c r="M440" s="359" t="str">
        <f>IFERROR(VLOOKUP($A440,#REF!,7,0),"")</f>
        <v/>
      </c>
      <c r="N440" s="359"/>
      <c r="O440" s="359" t="str">
        <f>IFERROR(VLOOKUP($A440,#REF!,6,0),"")</f>
        <v/>
      </c>
      <c r="P440" s="359" t="str">
        <f>IFERROR(VLOOKUP($A440,#REF!,9,0),"")</f>
        <v/>
      </c>
      <c r="Q440" s="359" t="str">
        <f>IFERROR(VLOOKUP($A440,#REF!,10,0),"")</f>
        <v/>
      </c>
      <c r="R440" s="359" t="str">
        <f>IFERROR(VLOOKUP($A440,#REF!,11,0),"")</f>
        <v/>
      </c>
      <c r="S440" s="359" t="str">
        <f>IFERROR(VLOOKUP($A440,#REF!,13,0),"")</f>
        <v/>
      </c>
      <c r="T440" s="359" t="str">
        <f>IFERROR(VLOOKUP($A440,#REF!,14,0),"")</f>
        <v/>
      </c>
      <c r="U440" s="359" t="str">
        <f>IFERROR(VLOOKUP($A440,#REF!,15,0),"")</f>
        <v/>
      </c>
      <c r="V440" s="359" t="str">
        <f>IFERROR(VLOOKUP($A440,#REF!,16,0),"")</f>
        <v/>
      </c>
      <c r="W440" s="359" t="str">
        <f>IFERROR(VLOOKUP($A440,#REF!,17,0),"")</f>
        <v/>
      </c>
      <c r="X440" s="359" t="str">
        <f>IFERROR(VLOOKUP($A440,#REF!,18,0),"")</f>
        <v/>
      </c>
      <c r="Y440" s="359" t="str">
        <f>IFERROR(VLOOKUP($A440,#REF!,19,0),"")</f>
        <v/>
      </c>
      <c r="Z440" s="400" t="str">
        <f>IFERROR(VLOOKUP($A440,#REF!,21,0),"")</f>
        <v/>
      </c>
      <c r="AA440" s="358"/>
      <c r="AB440" s="358"/>
      <c r="AC440" s="358" t="s">
        <v>1721</v>
      </c>
      <c r="AD440" s="358" t="s">
        <v>1638</v>
      </c>
      <c r="AE440" s="284"/>
      <c r="AF440" s="284"/>
      <c r="AG440" s="141"/>
      <c r="AH440" s="141"/>
      <c r="AI440" s="141"/>
      <c r="AJ440" s="141"/>
      <c r="AK440" s="141"/>
      <c r="AL440" s="141"/>
      <c r="AM440" s="141"/>
      <c r="AN440" s="120"/>
      <c r="AO440" s="120"/>
      <c r="AP440" s="120"/>
      <c r="AQ440" s="313"/>
      <c r="AR440" s="119"/>
      <c r="AS440" s="22"/>
      <c r="AT440" s="22"/>
      <c r="AU440" s="22"/>
      <c r="AV440" s="2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112"/>
      <c r="BH440" s="112"/>
      <c r="BI440" s="112"/>
      <c r="BJ440" s="112"/>
      <c r="BK440" s="82"/>
      <c r="BL440" s="82"/>
      <c r="BM440"/>
      <c r="BN440" s="412"/>
      <c r="BO440" s="412"/>
      <c r="BP440" s="412"/>
      <c r="BQ440" s="412"/>
      <c r="BR440" s="412"/>
      <c r="BS440" s="96"/>
      <c r="BT440" s="96"/>
      <c r="BU440" s="96"/>
      <c r="BV440" s="96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</row>
    <row r="441" spans="1:123" s="272" customFormat="1" ht="15" hidden="1" customHeight="1">
      <c r="A441" s="35" t="str">
        <f t="shared" si="30"/>
        <v>S009/2646097</v>
      </c>
      <c r="B441" s="35"/>
      <c r="C441" s="358" t="s">
        <v>24</v>
      </c>
      <c r="D441" s="358">
        <v>438</v>
      </c>
      <c r="E441" s="360" t="s">
        <v>3755</v>
      </c>
      <c r="F441" s="358" t="s">
        <v>1754</v>
      </c>
      <c r="G441" s="384">
        <v>46097</v>
      </c>
      <c r="H441" s="358" t="s">
        <v>3756</v>
      </c>
      <c r="I441" s="358">
        <v>13</v>
      </c>
      <c r="J441" s="359" t="str">
        <f>IFERROR(VLOOKUP($A441,#REF!,3,0),"")</f>
        <v/>
      </c>
      <c r="K441" s="359">
        <f>IFERROR(VLOOKUP($A441,#REF!,4,0),AF441)</f>
        <v>0</v>
      </c>
      <c r="L441" s="359" t="str">
        <f>IFERROR(VLOOKUP($A441,#REF!,5,0),"")</f>
        <v/>
      </c>
      <c r="M441" s="359" t="str">
        <f>IFERROR(VLOOKUP($A441,#REF!,7,0),"")</f>
        <v/>
      </c>
      <c r="N441" s="359"/>
      <c r="O441" s="359" t="str">
        <f>IFERROR(VLOOKUP($A441,#REF!,6,0),"")</f>
        <v/>
      </c>
      <c r="P441" s="359" t="str">
        <f>IFERROR(VLOOKUP($A441,#REF!,9,0),"")</f>
        <v/>
      </c>
      <c r="Q441" s="359" t="str">
        <f>IFERROR(VLOOKUP($A441,#REF!,10,0),"")</f>
        <v/>
      </c>
      <c r="R441" s="359" t="str">
        <f>IFERROR(VLOOKUP($A441,#REF!,11,0),"")</f>
        <v/>
      </c>
      <c r="S441" s="359" t="str">
        <f>IFERROR(VLOOKUP($A441,#REF!,13,0),"")</f>
        <v/>
      </c>
      <c r="T441" s="359" t="str">
        <f>IFERROR(VLOOKUP($A441,#REF!,14,0),"")</f>
        <v/>
      </c>
      <c r="U441" s="359" t="str">
        <f>IFERROR(VLOOKUP($A441,#REF!,15,0),"")</f>
        <v/>
      </c>
      <c r="V441" s="359" t="str">
        <f>IFERROR(VLOOKUP($A441,#REF!,16,0),"")</f>
        <v/>
      </c>
      <c r="W441" s="359" t="str">
        <f>IFERROR(VLOOKUP($A441,#REF!,17,0),"")</f>
        <v/>
      </c>
      <c r="X441" s="359" t="str">
        <f>IFERROR(VLOOKUP($A441,#REF!,18,0),"")</f>
        <v/>
      </c>
      <c r="Y441" s="359" t="str">
        <f>IFERROR(VLOOKUP($A441,#REF!,19,0),"")</f>
        <v/>
      </c>
      <c r="Z441" s="400" t="str">
        <f>IFERROR(VLOOKUP($A441,#REF!,21,0),"")</f>
        <v/>
      </c>
      <c r="AA441" s="358"/>
      <c r="AB441" s="358"/>
      <c r="AC441" s="358" t="s">
        <v>1755</v>
      </c>
      <c r="AD441" s="358" t="s">
        <v>3757</v>
      </c>
      <c r="AE441" s="284"/>
      <c r="AF441" s="284"/>
      <c r="AG441" s="141"/>
      <c r="AH441" s="141"/>
      <c r="AI441" s="141"/>
      <c r="AJ441" s="141"/>
      <c r="AK441" s="141"/>
      <c r="AL441" s="141"/>
      <c r="AM441" s="141"/>
      <c r="AN441" s="120"/>
      <c r="AO441" s="120"/>
      <c r="AP441" s="120"/>
      <c r="AQ441" s="313"/>
      <c r="AR441" s="119"/>
      <c r="AS441" s="22"/>
      <c r="AT441" s="22"/>
      <c r="AU441" s="22"/>
      <c r="AV441" s="2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112"/>
      <c r="BH441" s="112"/>
      <c r="BI441" s="112"/>
      <c r="BJ441" s="112"/>
      <c r="BK441" s="82"/>
      <c r="BL441" s="82"/>
      <c r="BM441"/>
      <c r="BN441" s="412"/>
      <c r="BO441" s="412"/>
      <c r="BP441" s="412"/>
      <c r="BQ441" s="412"/>
      <c r="BR441" s="412"/>
      <c r="BS441" s="96"/>
      <c r="BT441" s="96"/>
      <c r="BU441" s="96"/>
      <c r="BV441" s="96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</row>
    <row r="442" spans="1:123" s="272" customFormat="1" ht="14.25" hidden="1" customHeight="1">
      <c r="A442" s="35" t="str">
        <f t="shared" si="30"/>
        <v>M092/2646097</v>
      </c>
      <c r="B442" s="35"/>
      <c r="C442" s="358" t="s">
        <v>24</v>
      </c>
      <c r="D442" s="358">
        <v>439</v>
      </c>
      <c r="E442" s="73" t="s">
        <v>3758</v>
      </c>
      <c r="F442" s="358" t="s">
        <v>50</v>
      </c>
      <c r="G442" s="384">
        <v>46097</v>
      </c>
      <c r="H442" s="358" t="s">
        <v>97</v>
      </c>
      <c r="I442" s="358">
        <v>13</v>
      </c>
      <c r="J442" s="359" t="str">
        <f>IFERROR(VLOOKUP($A442,#REF!,3,0),"")</f>
        <v/>
      </c>
      <c r="K442" s="359" t="str">
        <f>IFERROR(VLOOKUP($A442,#REF!,4,0),AF442)</f>
        <v>EXT</v>
      </c>
      <c r="L442" s="359" t="str">
        <f>IFERROR(VLOOKUP($A442,#REF!,5,0),"")</f>
        <v/>
      </c>
      <c r="M442" s="359" t="str">
        <f>IFERROR(VLOOKUP($A442,#REF!,7,0),"")</f>
        <v/>
      </c>
      <c r="N442" s="359"/>
      <c r="O442" s="359" t="str">
        <f>IFERROR(VLOOKUP($A442,#REF!,6,0),"")</f>
        <v/>
      </c>
      <c r="P442" s="359" t="str">
        <f>IFERROR(VLOOKUP($A442,#REF!,9,0),"")</f>
        <v/>
      </c>
      <c r="Q442" s="359" t="str">
        <f>IFERROR(VLOOKUP($A442,#REF!,10,0),"")</f>
        <v/>
      </c>
      <c r="R442" s="359" t="str">
        <f>IFERROR(VLOOKUP($A442,#REF!,11,0),"")</f>
        <v/>
      </c>
      <c r="S442" s="359" t="str">
        <f>IFERROR(VLOOKUP($A442,#REF!,13,0),"")</f>
        <v/>
      </c>
      <c r="T442" s="359" t="str">
        <f>IFERROR(VLOOKUP($A442,#REF!,14,0),"")</f>
        <v/>
      </c>
      <c r="U442" s="359" t="str">
        <f>IFERROR(VLOOKUP($A442,#REF!,15,0),"")</f>
        <v/>
      </c>
      <c r="V442" s="359" t="str">
        <f>IFERROR(VLOOKUP($A442,#REF!,16,0),"")</f>
        <v/>
      </c>
      <c r="W442" s="359" t="str">
        <f>IFERROR(VLOOKUP($A442,#REF!,17,0),"")</f>
        <v/>
      </c>
      <c r="X442" s="359" t="str">
        <f>IFERROR(VLOOKUP($A442,#REF!,18,0),"")</f>
        <v/>
      </c>
      <c r="Y442" s="359" t="str">
        <f>IFERROR(VLOOKUP($A442,#REF!,19,0),"")</f>
        <v/>
      </c>
      <c r="Z442" s="400" t="str">
        <f>IFERROR(VLOOKUP($A442,#REF!,21,0),"")</f>
        <v/>
      </c>
      <c r="AA442" s="358"/>
      <c r="AB442" s="358"/>
      <c r="AC442" s="358" t="s">
        <v>3075</v>
      </c>
      <c r="AD442" s="358" t="s">
        <v>47</v>
      </c>
      <c r="AE442" s="284"/>
      <c r="AF442" s="141" t="s">
        <v>3082</v>
      </c>
      <c r="AG442" s="141" t="s">
        <v>3759</v>
      </c>
      <c r="AH442" s="141" t="s">
        <v>3760</v>
      </c>
      <c r="AI442" s="141" t="s">
        <v>3760</v>
      </c>
      <c r="AJ442" s="277" t="s">
        <v>3761</v>
      </c>
      <c r="AK442" s="277"/>
      <c r="AL442" s="277"/>
      <c r="AM442" s="277"/>
      <c r="AN442" s="120"/>
      <c r="AO442" s="120"/>
      <c r="AP442" s="120"/>
      <c r="AQ442" s="313"/>
      <c r="AR442" s="119"/>
      <c r="AS442" s="22"/>
      <c r="AT442" s="22"/>
      <c r="AU442" s="22"/>
      <c r="AV442" s="2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112"/>
      <c r="BH442" s="112"/>
      <c r="BI442" s="112"/>
      <c r="BJ442" s="112"/>
      <c r="BK442" s="82"/>
      <c r="BL442" s="82"/>
      <c r="BM442"/>
      <c r="BN442" s="412"/>
      <c r="BO442" s="412"/>
      <c r="BP442" s="412"/>
      <c r="BQ442" s="412"/>
      <c r="BR442" s="412"/>
      <c r="BS442" s="96"/>
      <c r="BT442" s="96"/>
      <c r="BU442" s="96"/>
      <c r="BV442" s="96"/>
      <c r="BW442"/>
      <c r="BX442"/>
      <c r="BY442"/>
      <c r="BZ442">
        <f t="shared" si="29"/>
        <v>1</v>
      </c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</row>
    <row r="443" spans="1:123" s="272" customFormat="1" ht="15" hidden="1" customHeight="1">
      <c r="A443" s="35" t="str">
        <f t="shared" si="30"/>
        <v>M131/2646097</v>
      </c>
      <c r="B443" s="35"/>
      <c r="C443" s="358" t="s">
        <v>24</v>
      </c>
      <c r="D443" s="358">
        <v>440</v>
      </c>
      <c r="E443" s="73" t="s">
        <v>3762</v>
      </c>
      <c r="F443" s="358" t="s">
        <v>3763</v>
      </c>
      <c r="G443" s="384">
        <v>46097</v>
      </c>
      <c r="H443" s="358" t="s">
        <v>202</v>
      </c>
      <c r="I443" s="358">
        <v>8</v>
      </c>
      <c r="J443" s="359" t="str">
        <f>IFERROR(VLOOKUP($A443,#REF!,3,0),"")</f>
        <v/>
      </c>
      <c r="K443" s="359" t="str">
        <f>IFERROR(VLOOKUP($A443,#REF!,4,0),AF443)</f>
        <v>INT</v>
      </c>
      <c r="L443" s="359" t="str">
        <f>IFERROR(VLOOKUP($A443,#REF!,5,0),"")</f>
        <v/>
      </c>
      <c r="M443" s="359" t="str">
        <f>IFERROR(VLOOKUP($A443,#REF!,7,0),"")</f>
        <v/>
      </c>
      <c r="N443" s="359">
        <f>IF(I443&lt;10,10,I443)</f>
        <v>10</v>
      </c>
      <c r="O443" s="359" t="str">
        <f>IFERROR(VLOOKUP($A443,#REF!,6,0),"")</f>
        <v/>
      </c>
      <c r="P443" s="359" t="e">
        <f>+O443*N443</f>
        <v>#VALUE!</v>
      </c>
      <c r="Q443" s="359" t="str">
        <f>IFERROR(VLOOKUP($A443,#REF!,10,0),"")</f>
        <v/>
      </c>
      <c r="R443" s="359" t="str">
        <f>IFERROR(VLOOKUP($A443,#REF!,11,0),"")</f>
        <v/>
      </c>
      <c r="S443" s="359" t="str">
        <f>IFERROR(VLOOKUP($A443,#REF!,13,0),"")</f>
        <v/>
      </c>
      <c r="T443" s="359" t="str">
        <f>IFERROR(VLOOKUP($A443,#REF!,14,0),"")</f>
        <v/>
      </c>
      <c r="U443" s="359" t="str">
        <f>IFERROR(VLOOKUP($A443,#REF!,15,0),"")</f>
        <v/>
      </c>
      <c r="V443" s="359" t="str">
        <f>IFERROR(VLOOKUP($A443,#REF!,16,0),"")</f>
        <v/>
      </c>
      <c r="W443" s="359" t="str">
        <f>IFERROR(VLOOKUP($A443,#REF!,17,0),"")</f>
        <v/>
      </c>
      <c r="X443" s="359" t="str">
        <f>IFERROR(VLOOKUP($A443,#REF!,18,0),"")</f>
        <v/>
      </c>
      <c r="Y443" s="359" t="str">
        <f>IFERROR(VLOOKUP($A443,#REF!,19,0),"")</f>
        <v/>
      </c>
      <c r="Z443" s="400" t="str">
        <f>IFERROR(VLOOKUP($A443,#REF!,21,0),"")</f>
        <v/>
      </c>
      <c r="AA443" s="358"/>
      <c r="AB443" s="358"/>
      <c r="AC443" s="358" t="s">
        <v>3075</v>
      </c>
      <c r="AD443" s="358" t="s">
        <v>47</v>
      </c>
      <c r="AE443" s="284"/>
      <c r="AF443" s="141" t="s">
        <v>3077</v>
      </c>
      <c r="AG443" s="141" t="s">
        <v>3764</v>
      </c>
      <c r="AH443" s="141" t="s">
        <v>3760</v>
      </c>
      <c r="AI443" s="141" t="s">
        <v>3760</v>
      </c>
      <c r="AJ443" s="277" t="s">
        <v>3765</v>
      </c>
      <c r="AK443" s="277"/>
      <c r="AL443" s="277"/>
      <c r="AM443" s="277"/>
      <c r="AN443" s="120"/>
      <c r="AO443" s="120"/>
      <c r="AP443" s="120"/>
      <c r="AQ443" s="313"/>
      <c r="AR443" s="119"/>
      <c r="AS443" s="22"/>
      <c r="AT443" s="22"/>
      <c r="AU443" s="22"/>
      <c r="AV443" s="2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112"/>
      <c r="BH443" s="112"/>
      <c r="BI443" s="112"/>
      <c r="BJ443" s="112"/>
      <c r="BK443" s="82"/>
      <c r="BL443" s="82"/>
      <c r="BM443"/>
      <c r="BN443" s="412"/>
      <c r="BO443" s="412"/>
      <c r="BP443" s="412"/>
      <c r="BQ443" s="412"/>
      <c r="BR443" s="412"/>
      <c r="BS443" s="96"/>
      <c r="BT443" s="96"/>
      <c r="BU443" s="96"/>
      <c r="BV443" s="96"/>
      <c r="BW443"/>
      <c r="BX443"/>
      <c r="BY443"/>
      <c r="BZ443">
        <f t="shared" si="29"/>
        <v>1</v>
      </c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</row>
    <row r="444" spans="1:123" s="272" customFormat="1" ht="15" hidden="1" customHeight="1">
      <c r="A444" s="35" t="str">
        <f t="shared" si="30"/>
        <v>M208/2646098</v>
      </c>
      <c r="B444" s="35"/>
      <c r="C444" s="358" t="s">
        <v>24</v>
      </c>
      <c r="D444" s="358">
        <v>441</v>
      </c>
      <c r="E444" s="360" t="s">
        <v>3766</v>
      </c>
      <c r="F444" s="358" t="s">
        <v>64</v>
      </c>
      <c r="G444" s="384">
        <v>46098</v>
      </c>
      <c r="H444" s="358" t="s">
        <v>439</v>
      </c>
      <c r="I444" s="358">
        <v>42</v>
      </c>
      <c r="J444" s="359" t="str">
        <f>IFERROR(VLOOKUP($A444,#REF!,3,0),"")</f>
        <v/>
      </c>
      <c r="K444" s="359" t="str">
        <f>IFERROR(VLOOKUP($A444,#REF!,4,0),AF444)</f>
        <v>EXT</v>
      </c>
      <c r="L444" s="359" t="str">
        <f>IFERROR(VLOOKUP($A444,#REF!,5,0),"")</f>
        <v/>
      </c>
      <c r="M444" s="359" t="str">
        <f>IFERROR(VLOOKUP($A444,#REF!,7,0),"")</f>
        <v/>
      </c>
      <c r="N444" s="359"/>
      <c r="O444" s="359" t="str">
        <f>IFERROR(VLOOKUP($A444,#REF!,6,0),"")</f>
        <v/>
      </c>
      <c r="P444" s="359" t="str">
        <f>IFERROR(VLOOKUP($A444,#REF!,9,0),"")</f>
        <v/>
      </c>
      <c r="Q444" s="359" t="str">
        <f>IFERROR(VLOOKUP($A444,#REF!,10,0),"")</f>
        <v/>
      </c>
      <c r="R444" s="359" t="str">
        <f>IFERROR(VLOOKUP($A444,#REF!,11,0),"")</f>
        <v/>
      </c>
      <c r="S444" s="359" t="str">
        <f>IFERROR(VLOOKUP($A444,#REF!,13,0),"")</f>
        <v/>
      </c>
      <c r="T444" s="359" t="str">
        <f>IFERROR(VLOOKUP($A444,#REF!,14,0),"")</f>
        <v/>
      </c>
      <c r="U444" s="359" t="str">
        <f>IFERROR(VLOOKUP($A444,#REF!,15,0),"")</f>
        <v/>
      </c>
      <c r="V444" s="359" t="str">
        <f>IFERROR(VLOOKUP($A444,#REF!,16,0),"")</f>
        <v/>
      </c>
      <c r="W444" s="359" t="str">
        <f>IFERROR(VLOOKUP($A444,#REF!,17,0),"")</f>
        <v/>
      </c>
      <c r="X444" s="359" t="str">
        <f>IFERROR(VLOOKUP($A444,#REF!,18,0),"")</f>
        <v/>
      </c>
      <c r="Y444" s="359" t="str">
        <f>IFERROR(VLOOKUP($A444,#REF!,19,0),"")</f>
        <v/>
      </c>
      <c r="Z444" s="400" t="str">
        <f>IFERROR(VLOOKUP($A444,#REF!,21,0),"")</f>
        <v/>
      </c>
      <c r="AA444" s="358"/>
      <c r="AB444" s="358"/>
      <c r="AC444" s="358" t="s">
        <v>3075</v>
      </c>
      <c r="AD444" s="358" t="s">
        <v>47</v>
      </c>
      <c r="AE444" s="284" t="s">
        <v>3767</v>
      </c>
      <c r="AF444" s="141" t="s">
        <v>3082</v>
      </c>
      <c r="AG444" s="141" t="s">
        <v>2056</v>
      </c>
      <c r="AH444" s="141" t="s">
        <v>3768</v>
      </c>
      <c r="AI444" s="141" t="s">
        <v>3768</v>
      </c>
      <c r="AJ444" s="277" t="s">
        <v>3765</v>
      </c>
      <c r="AK444" s="277"/>
      <c r="AL444" s="277"/>
      <c r="AM444" s="277"/>
      <c r="AN444" s="331" t="s">
        <v>2863</v>
      </c>
      <c r="AO444" s="120"/>
      <c r="AP444" s="120"/>
      <c r="AQ444" s="313"/>
      <c r="AR444" s="119"/>
      <c r="AS444" s="22"/>
      <c r="AT444" s="22"/>
      <c r="AU444" s="22"/>
      <c r="AV444" s="2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112"/>
      <c r="BH444" s="112"/>
      <c r="BI444" s="112"/>
      <c r="BJ444" s="112"/>
      <c r="BK444" s="82"/>
      <c r="BL444" s="82"/>
      <c r="BM444"/>
      <c r="BN444" s="412"/>
      <c r="BO444" s="412"/>
      <c r="BP444" s="412"/>
      <c r="BQ444" s="412"/>
      <c r="BR444" s="412"/>
      <c r="BS444" s="96"/>
      <c r="BT444" s="96"/>
      <c r="BU444" s="96"/>
      <c r="BV444" s="96"/>
      <c r="BW444"/>
      <c r="BX444"/>
      <c r="BY444"/>
      <c r="BZ444">
        <f t="shared" si="29"/>
        <v>1</v>
      </c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</row>
    <row r="445" spans="1:123" s="272" customFormat="1" ht="15" hidden="1" customHeight="1">
      <c r="A445" s="35" t="str">
        <f t="shared" si="30"/>
        <v>M133/2646098</v>
      </c>
      <c r="B445" s="35"/>
      <c r="C445" s="358" t="s">
        <v>24</v>
      </c>
      <c r="D445" s="358">
        <v>442</v>
      </c>
      <c r="E445" s="360" t="s">
        <v>3769</v>
      </c>
      <c r="F445" s="358" t="s">
        <v>50</v>
      </c>
      <c r="G445" s="384">
        <v>46098</v>
      </c>
      <c r="H445" s="358" t="s">
        <v>3770</v>
      </c>
      <c r="I445" s="358">
        <v>24</v>
      </c>
      <c r="J445" s="359" t="str">
        <f>IFERROR(VLOOKUP($A445,#REF!,3,0),"")</f>
        <v/>
      </c>
      <c r="K445" s="359" t="str">
        <f>IFERROR(VLOOKUP($A445,#REF!,4,0),AF445)</f>
        <v>EXT</v>
      </c>
      <c r="L445" s="359" t="str">
        <f>IFERROR(VLOOKUP($A445,#REF!,5,0),"")</f>
        <v/>
      </c>
      <c r="M445" s="359" t="str">
        <f>IFERROR(VLOOKUP($A445,#REF!,7,0),"")</f>
        <v/>
      </c>
      <c r="N445" s="359"/>
      <c r="O445" s="359" t="str">
        <f>IFERROR(VLOOKUP($A445,#REF!,6,0),"")</f>
        <v/>
      </c>
      <c r="P445" s="359" t="str">
        <f>IFERROR(VLOOKUP($A445,#REF!,9,0),"")</f>
        <v/>
      </c>
      <c r="Q445" s="359" t="str">
        <f>IFERROR(VLOOKUP($A445,#REF!,10,0),"")</f>
        <v/>
      </c>
      <c r="R445" s="359" t="str">
        <f>IFERROR(VLOOKUP($A445,#REF!,11,0),"")</f>
        <v/>
      </c>
      <c r="S445" s="359" t="str">
        <f>IFERROR(VLOOKUP($A445,#REF!,13,0),"")</f>
        <v/>
      </c>
      <c r="T445" s="359" t="str">
        <f>IFERROR(VLOOKUP($A445,#REF!,14,0),"")</f>
        <v/>
      </c>
      <c r="U445" s="359" t="str">
        <f>IFERROR(VLOOKUP($A445,#REF!,15,0),"")</f>
        <v/>
      </c>
      <c r="V445" s="359" t="str">
        <f>IFERROR(VLOOKUP($A445,#REF!,16,0),"")</f>
        <v/>
      </c>
      <c r="W445" s="359" t="str">
        <f>IFERROR(VLOOKUP($A445,#REF!,17,0),"")</f>
        <v/>
      </c>
      <c r="X445" s="359" t="str">
        <f>IFERROR(VLOOKUP($A445,#REF!,18,0),"")</f>
        <v/>
      </c>
      <c r="Y445" s="359" t="str">
        <f>IFERROR(VLOOKUP($A445,#REF!,19,0),"")</f>
        <v/>
      </c>
      <c r="Z445" s="400" t="str">
        <f>IFERROR(VLOOKUP($A445,#REF!,21,0),"")</f>
        <v/>
      </c>
      <c r="AA445" s="358"/>
      <c r="AB445" s="358"/>
      <c r="AC445" s="358" t="s">
        <v>1077</v>
      </c>
      <c r="AD445" s="358" t="s">
        <v>1138</v>
      </c>
      <c r="AE445" s="284"/>
      <c r="AF445" s="141" t="s">
        <v>3082</v>
      </c>
      <c r="AG445" s="141" t="s">
        <v>3771</v>
      </c>
      <c r="AH445" s="141" t="s">
        <v>3768</v>
      </c>
      <c r="AI445" s="141" t="s">
        <v>3768</v>
      </c>
      <c r="AJ445" s="277" t="s">
        <v>3772</v>
      </c>
      <c r="AK445" s="277"/>
      <c r="AL445" s="277"/>
      <c r="AM445" s="277"/>
      <c r="AN445" s="331" t="s">
        <v>2863</v>
      </c>
      <c r="AO445" s="120"/>
      <c r="AP445" s="120"/>
      <c r="AQ445" s="313"/>
      <c r="AR445" s="119"/>
      <c r="AS445" s="22"/>
      <c r="AT445" s="22"/>
      <c r="AU445" s="22"/>
      <c r="AV445" s="2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112"/>
      <c r="BH445" s="112"/>
      <c r="BI445" s="112"/>
      <c r="BJ445" s="112"/>
      <c r="BK445" s="82"/>
      <c r="BL445" s="82"/>
      <c r="BM445"/>
      <c r="BN445" s="412"/>
      <c r="BO445" s="412"/>
      <c r="BP445" s="412"/>
      <c r="BQ445" s="412"/>
      <c r="BR445" s="412"/>
      <c r="BS445" s="96"/>
      <c r="BT445" s="96"/>
      <c r="BU445" s="96"/>
      <c r="BV445" s="96"/>
      <c r="BW445"/>
      <c r="BX445"/>
      <c r="BY445"/>
      <c r="BZ445">
        <f t="shared" si="29"/>
        <v>1</v>
      </c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</row>
    <row r="446" spans="1:123" s="272" customFormat="1" ht="15" hidden="1" customHeight="1">
      <c r="A446" s="35" t="str">
        <f t="shared" si="30"/>
        <v>M114/2646098</v>
      </c>
      <c r="B446" s="35"/>
      <c r="C446" s="358" t="s">
        <v>24</v>
      </c>
      <c r="D446" s="358">
        <v>443</v>
      </c>
      <c r="E446" s="73" t="s">
        <v>3773</v>
      </c>
      <c r="F446" s="358" t="s">
        <v>3382</v>
      </c>
      <c r="G446" s="384">
        <v>46098</v>
      </c>
      <c r="H446" s="358" t="s">
        <v>395</v>
      </c>
      <c r="I446" s="358">
        <v>10</v>
      </c>
      <c r="J446" s="359" t="str">
        <f>IFERROR(VLOOKUP($A446,#REF!,3,0),"")</f>
        <v/>
      </c>
      <c r="K446" s="359" t="str">
        <f>IFERROR(VLOOKUP($A446,#REF!,4,0),AF446)</f>
        <v>EXT</v>
      </c>
      <c r="L446" s="359" t="str">
        <f>IFERROR(VLOOKUP($A446,#REF!,5,0),"")</f>
        <v/>
      </c>
      <c r="M446" s="359" t="str">
        <f>IFERROR(VLOOKUP($A446,#REF!,7,0),"")</f>
        <v/>
      </c>
      <c r="N446" s="359"/>
      <c r="O446" s="359" t="str">
        <f>IFERROR(VLOOKUP($A446,#REF!,6,0),"")</f>
        <v/>
      </c>
      <c r="P446" s="359" t="str">
        <f>IFERROR(VLOOKUP($A446,#REF!,9,0),"")</f>
        <v/>
      </c>
      <c r="Q446" s="359" t="str">
        <f>IFERROR(VLOOKUP($A446,#REF!,10,0),"")</f>
        <v/>
      </c>
      <c r="R446" s="359" t="str">
        <f>IFERROR(VLOOKUP($A446,#REF!,11,0),"")</f>
        <v/>
      </c>
      <c r="S446" s="359" t="str">
        <f>IFERROR(VLOOKUP($A446,#REF!,13,0),"")</f>
        <v/>
      </c>
      <c r="T446" s="359" t="str">
        <f>IFERROR(VLOOKUP($A446,#REF!,14,0),"")</f>
        <v/>
      </c>
      <c r="U446" s="359" t="str">
        <f>IFERROR(VLOOKUP($A446,#REF!,15,0),"")</f>
        <v/>
      </c>
      <c r="V446" s="359" t="str">
        <f>IFERROR(VLOOKUP($A446,#REF!,16,0),"")</f>
        <v/>
      </c>
      <c r="W446" s="359" t="str">
        <f>IFERROR(VLOOKUP($A446,#REF!,17,0),"")</f>
        <v/>
      </c>
      <c r="X446" s="359" t="str">
        <f>IFERROR(VLOOKUP($A446,#REF!,18,0),"")</f>
        <v/>
      </c>
      <c r="Y446" s="359" t="str">
        <f>IFERROR(VLOOKUP($A446,#REF!,19,0),"")</f>
        <v/>
      </c>
      <c r="Z446" s="400" t="str">
        <f>IFERROR(VLOOKUP($A446,#REF!,21,0),"")</f>
        <v/>
      </c>
      <c r="AA446" s="358"/>
      <c r="AB446" s="358"/>
      <c r="AC446" s="358" t="s">
        <v>3075</v>
      </c>
      <c r="AD446" s="358" t="s">
        <v>47</v>
      </c>
      <c r="AE446" s="284"/>
      <c r="AF446" s="141" t="s">
        <v>3082</v>
      </c>
      <c r="AG446" s="141" t="s">
        <v>3774</v>
      </c>
      <c r="AH446" s="141" t="s">
        <v>3760</v>
      </c>
      <c r="AI446" s="141" t="s">
        <v>3760</v>
      </c>
      <c r="AJ446" s="277" t="s">
        <v>3765</v>
      </c>
      <c r="AK446" s="277"/>
      <c r="AL446" s="277"/>
      <c r="AM446" s="277"/>
      <c r="AN446" s="120"/>
      <c r="AO446" s="120"/>
      <c r="AP446" s="120"/>
      <c r="AQ446" s="313"/>
      <c r="AR446" s="119"/>
      <c r="AS446" s="22"/>
      <c r="AT446" s="22"/>
      <c r="AU446" s="22"/>
      <c r="AV446" s="93" t="s">
        <v>30</v>
      </c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112"/>
      <c r="BH446" s="112"/>
      <c r="BI446" s="112"/>
      <c r="BJ446" s="112"/>
      <c r="BK446" s="82"/>
      <c r="BL446" s="82"/>
      <c r="BM446"/>
      <c r="BN446" s="412"/>
      <c r="BO446" s="412"/>
      <c r="BP446" s="412"/>
      <c r="BQ446" s="412"/>
      <c r="BR446" s="412"/>
      <c r="BS446" s="96"/>
      <c r="BT446" s="96"/>
      <c r="BU446" s="96"/>
      <c r="BV446" s="96"/>
      <c r="BW446"/>
      <c r="BX446"/>
      <c r="BY446"/>
      <c r="BZ446">
        <f t="shared" si="29"/>
        <v>1</v>
      </c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</row>
    <row r="447" spans="1:123" s="272" customFormat="1" ht="15" hidden="1" customHeight="1">
      <c r="A447" s="35" t="str">
        <f t="shared" si="30"/>
        <v>M189/2646099</v>
      </c>
      <c r="B447" s="35"/>
      <c r="C447" s="358" t="s">
        <v>24</v>
      </c>
      <c r="D447" s="358">
        <v>444</v>
      </c>
      <c r="E447" s="73" t="s">
        <v>3775</v>
      </c>
      <c r="F447" s="358" t="s">
        <v>1362</v>
      </c>
      <c r="G447" s="384">
        <v>46099</v>
      </c>
      <c r="H447" s="358" t="s">
        <v>1611</v>
      </c>
      <c r="I447" s="358">
        <v>10</v>
      </c>
      <c r="J447" s="359" t="str">
        <f>IFERROR(VLOOKUP($A447,#REF!,3,0),"")</f>
        <v/>
      </c>
      <c r="K447" s="359" t="str">
        <f>IFERROR(VLOOKUP($A447,#REF!,4,0),AF447)</f>
        <v>INT</v>
      </c>
      <c r="L447" s="359" t="str">
        <f>IFERROR(VLOOKUP($A447,#REF!,5,0),"")</f>
        <v/>
      </c>
      <c r="M447" s="359" t="str">
        <f>IFERROR(VLOOKUP($A447,#REF!,7,0),"")</f>
        <v/>
      </c>
      <c r="N447" s="359">
        <f t="shared" ref="N447:N448" si="33">IF(I447&lt;10,10,I447)</f>
        <v>10</v>
      </c>
      <c r="O447" s="359" t="str">
        <f>IFERROR(VLOOKUP($A447,#REF!,6,0),"")</f>
        <v/>
      </c>
      <c r="P447" s="359" t="e">
        <f t="shared" ref="P447:P448" si="34">+O447*N447</f>
        <v>#VALUE!</v>
      </c>
      <c r="Q447" s="359" t="str">
        <f>IFERROR(VLOOKUP($A447,#REF!,10,0),"")</f>
        <v/>
      </c>
      <c r="R447" s="359" t="str">
        <f>IFERROR(VLOOKUP($A447,#REF!,11,0),"")</f>
        <v/>
      </c>
      <c r="S447" s="359" t="str">
        <f>IFERROR(VLOOKUP($A447,#REF!,13,0),"")</f>
        <v/>
      </c>
      <c r="T447" s="359" t="str">
        <f>IFERROR(VLOOKUP($A447,#REF!,14,0),"")</f>
        <v/>
      </c>
      <c r="U447" s="359" t="str">
        <f>IFERROR(VLOOKUP($A447,#REF!,15,0),"")</f>
        <v/>
      </c>
      <c r="V447" s="359" t="str">
        <f>IFERROR(VLOOKUP($A447,#REF!,16,0),"")</f>
        <v/>
      </c>
      <c r="W447" s="359" t="str">
        <f>IFERROR(VLOOKUP($A447,#REF!,17,0),"")</f>
        <v/>
      </c>
      <c r="X447" s="359" t="str">
        <f>IFERROR(VLOOKUP($A447,#REF!,18,0),"")</f>
        <v/>
      </c>
      <c r="Y447" s="359" t="str">
        <f>IFERROR(VLOOKUP($A447,#REF!,19,0),"")</f>
        <v/>
      </c>
      <c r="Z447" s="400" t="str">
        <f>IFERROR(VLOOKUP($A447,#REF!,21,0),"")</f>
        <v/>
      </c>
      <c r="AA447" s="358"/>
      <c r="AB447" s="358"/>
      <c r="AC447" s="358" t="s">
        <v>1077</v>
      </c>
      <c r="AD447" s="358" t="s">
        <v>1138</v>
      </c>
      <c r="AE447" s="284"/>
      <c r="AF447" s="141" t="s">
        <v>3077</v>
      </c>
      <c r="AG447" s="141" t="s">
        <v>3776</v>
      </c>
      <c r="AH447" s="141" t="s">
        <v>3768</v>
      </c>
      <c r="AI447" s="141" t="s">
        <v>3768</v>
      </c>
      <c r="AJ447" s="277" t="s">
        <v>3777</v>
      </c>
      <c r="AK447" s="277"/>
      <c r="AL447" s="277"/>
      <c r="AM447" s="277"/>
      <c r="AN447" s="120"/>
      <c r="AO447" s="120"/>
      <c r="AP447" s="120"/>
      <c r="AQ447" s="313"/>
      <c r="AR447" s="119"/>
      <c r="AS447" s="22"/>
      <c r="AT447" s="22"/>
      <c r="AU447" s="22"/>
      <c r="AV447" s="2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112"/>
      <c r="BH447" s="112"/>
      <c r="BI447" s="112"/>
      <c r="BJ447" s="112"/>
      <c r="BK447" s="82"/>
      <c r="BL447" s="82"/>
      <c r="BM447"/>
      <c r="BN447" s="412"/>
      <c r="BO447" s="412"/>
      <c r="BP447" s="412"/>
      <c r="BQ447" s="412"/>
      <c r="BR447" s="412"/>
      <c r="BS447" s="96"/>
      <c r="BT447" s="96"/>
      <c r="BU447" s="96"/>
      <c r="BV447" s="96"/>
      <c r="BW447"/>
      <c r="BX447"/>
      <c r="BY447"/>
      <c r="BZ447">
        <f t="shared" si="29"/>
        <v>1</v>
      </c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</row>
    <row r="448" spans="1:123" s="272" customFormat="1" ht="15" hidden="1" customHeight="1">
      <c r="A448" s="35" t="str">
        <f t="shared" si="30"/>
        <v>M190/2646099</v>
      </c>
      <c r="B448" s="35"/>
      <c r="C448" s="358" t="s">
        <v>24</v>
      </c>
      <c r="D448" s="358">
        <v>445</v>
      </c>
      <c r="E448" s="73" t="s">
        <v>3778</v>
      </c>
      <c r="F448" s="358" t="s">
        <v>3779</v>
      </c>
      <c r="G448" s="384">
        <v>46099</v>
      </c>
      <c r="H448" s="358" t="s">
        <v>1611</v>
      </c>
      <c r="I448" s="358">
        <v>13</v>
      </c>
      <c r="J448" s="359" t="str">
        <f>IFERROR(VLOOKUP($A448,#REF!,3,0),"")</f>
        <v/>
      </c>
      <c r="K448" s="359" t="str">
        <f>IFERROR(VLOOKUP($A448,#REF!,4,0),AF448)</f>
        <v>INT</v>
      </c>
      <c r="L448" s="359" t="str">
        <f>IFERROR(VLOOKUP($A448,#REF!,5,0),"")</f>
        <v/>
      </c>
      <c r="M448" s="359" t="str">
        <f>IFERROR(VLOOKUP($A448,#REF!,7,0),"")</f>
        <v/>
      </c>
      <c r="N448" s="359">
        <f t="shared" si="33"/>
        <v>13</v>
      </c>
      <c r="O448" s="359" t="str">
        <f>IFERROR(VLOOKUP($A448,#REF!,6,0),"")</f>
        <v/>
      </c>
      <c r="P448" s="359" t="e">
        <f t="shared" si="34"/>
        <v>#VALUE!</v>
      </c>
      <c r="Q448" s="359" t="str">
        <f>IFERROR(VLOOKUP($A448,#REF!,10,0),"")</f>
        <v/>
      </c>
      <c r="R448" s="359" t="str">
        <f>IFERROR(VLOOKUP($A448,#REF!,11,0),"")</f>
        <v/>
      </c>
      <c r="S448" s="359" t="str">
        <f>IFERROR(VLOOKUP($A448,#REF!,13,0),"")</f>
        <v/>
      </c>
      <c r="T448" s="359" t="str">
        <f>IFERROR(VLOOKUP($A448,#REF!,14,0),"")</f>
        <v/>
      </c>
      <c r="U448" s="359" t="str">
        <f>IFERROR(VLOOKUP($A448,#REF!,15,0),"")</f>
        <v/>
      </c>
      <c r="V448" s="359" t="str">
        <f>IFERROR(VLOOKUP($A448,#REF!,16,0),"")</f>
        <v/>
      </c>
      <c r="W448" s="359" t="str">
        <f>IFERROR(VLOOKUP($A448,#REF!,17,0),"")</f>
        <v/>
      </c>
      <c r="X448" s="359" t="str">
        <f>IFERROR(VLOOKUP($A448,#REF!,18,0),"")</f>
        <v/>
      </c>
      <c r="Y448" s="359" t="str">
        <f>IFERROR(VLOOKUP($A448,#REF!,19,0),"")</f>
        <v/>
      </c>
      <c r="Z448" s="400" t="str">
        <f>IFERROR(VLOOKUP($A448,#REF!,21,0),"")</f>
        <v/>
      </c>
      <c r="AA448" s="358"/>
      <c r="AB448" s="358"/>
      <c r="AC448" s="358" t="s">
        <v>1077</v>
      </c>
      <c r="AD448" s="358" t="s">
        <v>1138</v>
      </c>
      <c r="AE448" s="284"/>
      <c r="AF448" s="141" t="s">
        <v>3077</v>
      </c>
      <c r="AG448" s="141" t="s">
        <v>3776</v>
      </c>
      <c r="AH448" s="141" t="s">
        <v>3768</v>
      </c>
      <c r="AI448" s="141" t="s">
        <v>3768</v>
      </c>
      <c r="AJ448" s="277" t="s">
        <v>3777</v>
      </c>
      <c r="AK448" s="277"/>
      <c r="AL448" s="277"/>
      <c r="AM448" s="277"/>
      <c r="AN448" s="120"/>
      <c r="AO448" s="120"/>
      <c r="AP448" s="120"/>
      <c r="AQ448" s="313"/>
      <c r="AR448" s="119"/>
      <c r="AS448" s="22"/>
      <c r="AT448" s="22"/>
      <c r="AU448" s="22"/>
      <c r="AV448" s="2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112"/>
      <c r="BH448" s="112"/>
      <c r="BI448" s="112"/>
      <c r="BJ448" s="112"/>
      <c r="BK448" s="82"/>
      <c r="BL448" s="82"/>
      <c r="BM448"/>
      <c r="BN448" s="412"/>
      <c r="BO448" s="412"/>
      <c r="BP448" s="412"/>
      <c r="BQ448" s="412"/>
      <c r="BR448" s="412"/>
      <c r="BS448" s="96"/>
      <c r="BT448" s="96"/>
      <c r="BU448" s="96"/>
      <c r="BV448" s="96"/>
      <c r="BW448"/>
      <c r="BX448"/>
      <c r="BY448"/>
      <c r="BZ448">
        <f t="shared" si="29"/>
        <v>1</v>
      </c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</row>
    <row r="449" spans="1:123" s="272" customFormat="1" ht="15" hidden="1" customHeight="1">
      <c r="A449" s="35" t="str">
        <f t="shared" si="30"/>
        <v>M202/2646100</v>
      </c>
      <c r="B449" s="35"/>
      <c r="C449" s="358" t="s">
        <v>24</v>
      </c>
      <c r="D449" s="358">
        <v>446</v>
      </c>
      <c r="E449" s="73" t="s">
        <v>3780</v>
      </c>
      <c r="F449" s="358" t="s">
        <v>43</v>
      </c>
      <c r="G449" s="384">
        <v>46100</v>
      </c>
      <c r="H449" s="358" t="s">
        <v>3781</v>
      </c>
      <c r="I449" s="358">
        <v>13</v>
      </c>
      <c r="J449" s="359" t="str">
        <f>IFERROR(VLOOKUP($A449,#REF!,3,0),"")</f>
        <v/>
      </c>
      <c r="K449" s="359" t="str">
        <f>IFERROR(VLOOKUP($A449,#REF!,4,0),AF449)</f>
        <v>EXT</v>
      </c>
      <c r="L449" s="359" t="str">
        <f>IFERROR(VLOOKUP($A449,#REF!,5,0),"")</f>
        <v/>
      </c>
      <c r="M449" s="359" t="str">
        <f>IFERROR(VLOOKUP($A449,#REF!,7,0),"")</f>
        <v/>
      </c>
      <c r="N449" s="359"/>
      <c r="O449" s="359" t="str">
        <f>IFERROR(VLOOKUP($A449,#REF!,6,0),"")</f>
        <v/>
      </c>
      <c r="P449" s="359" t="str">
        <f>IFERROR(VLOOKUP($A449,#REF!,9,0),"")</f>
        <v/>
      </c>
      <c r="Q449" s="359" t="str">
        <f>IFERROR(VLOOKUP($A449,#REF!,10,0),"")</f>
        <v/>
      </c>
      <c r="R449" s="359" t="str">
        <f>IFERROR(VLOOKUP($A449,#REF!,11,0),"")</f>
        <v/>
      </c>
      <c r="S449" s="359" t="str">
        <f>IFERROR(VLOOKUP($A449,#REF!,13,0),"")</f>
        <v/>
      </c>
      <c r="T449" s="359" t="str">
        <f>IFERROR(VLOOKUP($A449,#REF!,14,0),"")</f>
        <v/>
      </c>
      <c r="U449" s="359" t="str">
        <f>IFERROR(VLOOKUP($A449,#REF!,15,0),"")</f>
        <v/>
      </c>
      <c r="V449" s="359" t="str">
        <f>IFERROR(VLOOKUP($A449,#REF!,16,0),"")</f>
        <v/>
      </c>
      <c r="W449" s="359" t="str">
        <f>IFERROR(VLOOKUP($A449,#REF!,17,0),"")</f>
        <v/>
      </c>
      <c r="X449" s="359" t="str">
        <f>IFERROR(VLOOKUP($A449,#REF!,18,0),"")</f>
        <v/>
      </c>
      <c r="Y449" s="359" t="str">
        <f>IFERROR(VLOOKUP($A449,#REF!,19,0),"")</f>
        <v/>
      </c>
      <c r="Z449" s="400" t="str">
        <f>IFERROR(VLOOKUP($A449,#REF!,21,0),"")</f>
        <v/>
      </c>
      <c r="AA449" s="358"/>
      <c r="AB449" s="358"/>
      <c r="AC449" s="358" t="s">
        <v>127</v>
      </c>
      <c r="AD449" s="358" t="s">
        <v>178</v>
      </c>
      <c r="AE449" s="284"/>
      <c r="AF449" s="141" t="s">
        <v>3082</v>
      </c>
      <c r="AG449" s="141" t="s">
        <v>3782</v>
      </c>
      <c r="AH449" s="141" t="s">
        <v>3783</v>
      </c>
      <c r="AI449" s="141" t="s">
        <v>3783</v>
      </c>
      <c r="AJ449" s="277" t="s">
        <v>3772</v>
      </c>
      <c r="AK449" s="277"/>
      <c r="AL449" s="277"/>
      <c r="AM449" s="277"/>
      <c r="AN449" s="120"/>
      <c r="AO449" s="120"/>
      <c r="AP449" s="120"/>
      <c r="AQ449" s="313"/>
      <c r="AR449" s="119"/>
      <c r="AS449" s="22"/>
      <c r="AT449" s="22"/>
      <c r="AU449" s="22"/>
      <c r="AV449" s="2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112"/>
      <c r="BH449" s="112"/>
      <c r="BI449" s="112"/>
      <c r="BJ449" s="112"/>
      <c r="BK449" s="82"/>
      <c r="BL449" s="82"/>
      <c r="BM449"/>
      <c r="BN449" s="412"/>
      <c r="BO449" s="412"/>
      <c r="BP449" s="412"/>
      <c r="BQ449" s="412"/>
      <c r="BR449" s="412"/>
      <c r="BS449" s="96"/>
      <c r="BT449" s="96"/>
      <c r="BU449" s="96"/>
      <c r="BV449" s="96"/>
      <c r="BW449"/>
      <c r="BX449"/>
      <c r="BY449"/>
      <c r="BZ449">
        <f t="shared" si="29"/>
        <v>1</v>
      </c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</row>
    <row r="450" spans="1:123" s="272" customFormat="1" ht="15" hidden="1" customHeight="1">
      <c r="A450" s="35" t="str">
        <f t="shared" si="30"/>
        <v>076/2646100</v>
      </c>
      <c r="B450" s="35"/>
      <c r="C450" s="358" t="s">
        <v>24</v>
      </c>
      <c r="D450" s="358">
        <v>447</v>
      </c>
      <c r="E450" s="360" t="s">
        <v>3784</v>
      </c>
      <c r="F450" s="358" t="s">
        <v>3763</v>
      </c>
      <c r="G450" s="384">
        <v>46100</v>
      </c>
      <c r="H450" s="358" t="s">
        <v>206</v>
      </c>
      <c r="I450" s="358">
        <v>18</v>
      </c>
      <c r="J450" s="359" t="str">
        <f>IFERROR(VLOOKUP($A450,#REF!,3,0),"")</f>
        <v/>
      </c>
      <c r="K450" s="359" t="str">
        <f>IFERROR(VLOOKUP($A450,#REF!,4,0),AF450)</f>
        <v>INT</v>
      </c>
      <c r="L450" s="359" t="str">
        <f>IFERROR(VLOOKUP($A450,#REF!,5,0),"")</f>
        <v/>
      </c>
      <c r="M450" s="359" t="str">
        <f>IFERROR(VLOOKUP($A450,#REF!,7,0),"")</f>
        <v/>
      </c>
      <c r="N450" s="359">
        <f>IF(I450&lt;10,10,I450)</f>
        <v>18</v>
      </c>
      <c r="O450" s="359" t="str">
        <f>IFERROR(VLOOKUP($A450,#REF!,6,0),"")</f>
        <v/>
      </c>
      <c r="P450" s="359" t="e">
        <f>+O450*N450</f>
        <v>#VALUE!</v>
      </c>
      <c r="Q450" s="359" t="str">
        <f>IFERROR(VLOOKUP($A450,#REF!,10,0),"")</f>
        <v/>
      </c>
      <c r="R450" s="359" t="str">
        <f>IFERROR(VLOOKUP($A450,#REF!,11,0),"")</f>
        <v/>
      </c>
      <c r="S450" s="359" t="str">
        <f>IFERROR(VLOOKUP($A450,#REF!,13,0),"")</f>
        <v/>
      </c>
      <c r="T450" s="359" t="str">
        <f>IFERROR(VLOOKUP($A450,#REF!,14,0),"")</f>
        <v/>
      </c>
      <c r="U450" s="359" t="str">
        <f>IFERROR(VLOOKUP($A450,#REF!,15,0),"")</f>
        <v/>
      </c>
      <c r="V450" s="359" t="str">
        <f>IFERROR(VLOOKUP($A450,#REF!,16,0),"")</f>
        <v/>
      </c>
      <c r="W450" s="359" t="str">
        <f>IFERROR(VLOOKUP($A450,#REF!,17,0),"")</f>
        <v/>
      </c>
      <c r="X450" s="359" t="str">
        <f>IFERROR(VLOOKUP($A450,#REF!,18,0),"")</f>
        <v/>
      </c>
      <c r="Y450" s="359" t="str">
        <f>IFERROR(VLOOKUP($A450,#REF!,19,0),"")</f>
        <v/>
      </c>
      <c r="Z450" s="400" t="str">
        <f>IFERROR(VLOOKUP($A450,#REF!,21,0),"")</f>
        <v/>
      </c>
      <c r="AA450" s="358"/>
      <c r="AB450" s="358"/>
      <c r="AC450" s="358" t="s">
        <v>1721</v>
      </c>
      <c r="AD450" s="358" t="s">
        <v>1638</v>
      </c>
      <c r="AE450" s="284" t="s">
        <v>3785</v>
      </c>
      <c r="AF450" s="141" t="s">
        <v>3077</v>
      </c>
      <c r="AG450" s="141" t="s">
        <v>2264</v>
      </c>
      <c r="AH450" s="141" t="s">
        <v>3786</v>
      </c>
      <c r="AI450" s="141" t="s">
        <v>3786</v>
      </c>
      <c r="AJ450" s="277" t="s">
        <v>3765</v>
      </c>
      <c r="AK450" s="277"/>
      <c r="AL450" s="277"/>
      <c r="AM450" s="277"/>
      <c r="AN450" s="331" t="s">
        <v>2863</v>
      </c>
      <c r="AO450" s="120"/>
      <c r="AP450" s="120"/>
      <c r="AQ450" s="313"/>
      <c r="AR450" s="119"/>
      <c r="AS450" s="22"/>
      <c r="AT450" s="22"/>
      <c r="AU450" s="22"/>
      <c r="AV450" s="2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112"/>
      <c r="BH450" s="112"/>
      <c r="BI450" s="112"/>
      <c r="BJ450" s="112"/>
      <c r="BK450" s="82"/>
      <c r="BL450" s="82"/>
      <c r="BM450"/>
      <c r="BN450" s="412"/>
      <c r="BO450" s="412"/>
      <c r="BP450" s="412"/>
      <c r="BQ450" s="412"/>
      <c r="BR450" s="412"/>
      <c r="BS450" s="96"/>
      <c r="BT450" s="96"/>
      <c r="BU450" s="96"/>
      <c r="BV450" s="96"/>
      <c r="BW450"/>
      <c r="BX450"/>
      <c r="BY450"/>
      <c r="BZ450">
        <f t="shared" ref="BZ450" si="35">IF(G450&gt;1,1,"")</f>
        <v>1</v>
      </c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</row>
    <row r="451" spans="1:123" s="272" customFormat="1" ht="15" hidden="1" customHeight="1">
      <c r="A451" s="35" t="str">
        <f t="shared" si="30"/>
        <v>M203/2646101</v>
      </c>
      <c r="B451" s="35"/>
      <c r="C451" s="358" t="s">
        <v>24</v>
      </c>
      <c r="D451" s="358">
        <v>448</v>
      </c>
      <c r="E451" s="73" t="s">
        <v>3787</v>
      </c>
      <c r="F451" s="358" t="s">
        <v>43</v>
      </c>
      <c r="G451" s="384">
        <v>46101</v>
      </c>
      <c r="H451" s="358" t="s">
        <v>3781</v>
      </c>
      <c r="I451" s="358">
        <v>13</v>
      </c>
      <c r="J451" s="359" t="str">
        <f>IFERROR(VLOOKUP($A451,#REF!,3,0),"")</f>
        <v/>
      </c>
      <c r="K451" s="359" t="str">
        <f>IFERROR(VLOOKUP($A451,#REF!,4,0),AF451)</f>
        <v>EXT</v>
      </c>
      <c r="L451" s="359" t="str">
        <f>IFERROR(VLOOKUP($A451,#REF!,5,0),"")</f>
        <v/>
      </c>
      <c r="M451" s="359" t="str">
        <f>IFERROR(VLOOKUP($A451,#REF!,7,0),"")</f>
        <v/>
      </c>
      <c r="N451" s="359"/>
      <c r="O451" s="359" t="str">
        <f>IFERROR(VLOOKUP($A451,#REF!,6,0),"")</f>
        <v/>
      </c>
      <c r="P451" s="359" t="str">
        <f>IFERROR(VLOOKUP($A451,#REF!,9,0),"")</f>
        <v/>
      </c>
      <c r="Q451" s="359" t="str">
        <f>IFERROR(VLOOKUP($A451,#REF!,10,0),"")</f>
        <v/>
      </c>
      <c r="R451" s="359" t="str">
        <f>IFERROR(VLOOKUP($A451,#REF!,11,0),"")</f>
        <v/>
      </c>
      <c r="S451" s="359" t="str">
        <f>IFERROR(VLOOKUP($A451,#REF!,13,0),"")</f>
        <v/>
      </c>
      <c r="T451" s="359" t="str">
        <f>IFERROR(VLOOKUP($A451,#REF!,14,0),"")</f>
        <v/>
      </c>
      <c r="U451" s="359" t="str">
        <f>IFERROR(VLOOKUP($A451,#REF!,15,0),"")</f>
        <v/>
      </c>
      <c r="V451" s="359" t="str">
        <f>IFERROR(VLOOKUP($A451,#REF!,16,0),"")</f>
        <v/>
      </c>
      <c r="W451" s="359" t="str">
        <f>IFERROR(VLOOKUP($A451,#REF!,17,0),"")</f>
        <v/>
      </c>
      <c r="X451" s="359" t="str">
        <f>IFERROR(VLOOKUP($A451,#REF!,18,0),"")</f>
        <v/>
      </c>
      <c r="Y451" s="359" t="str">
        <f>IFERROR(VLOOKUP($A451,#REF!,19,0),"")</f>
        <v/>
      </c>
      <c r="Z451" s="400" t="str">
        <f>IFERROR(VLOOKUP($A451,#REF!,21,0),"")</f>
        <v/>
      </c>
      <c r="AA451" s="358"/>
      <c r="AB451" s="358"/>
      <c r="AC451" s="358" t="s">
        <v>127</v>
      </c>
      <c r="AD451" s="358" t="s">
        <v>178</v>
      </c>
      <c r="AE451" s="284"/>
      <c r="AF451" s="141" t="s">
        <v>3082</v>
      </c>
      <c r="AG451" s="141" t="s">
        <v>3782</v>
      </c>
      <c r="AH451" s="141" t="s">
        <v>3783</v>
      </c>
      <c r="AI451" s="141" t="s">
        <v>3783</v>
      </c>
      <c r="AJ451" s="277" t="s">
        <v>3772</v>
      </c>
      <c r="AK451" s="277"/>
      <c r="AL451" s="277"/>
      <c r="AM451" s="277"/>
      <c r="AN451" s="120"/>
      <c r="AO451" s="120"/>
      <c r="AP451" s="120"/>
      <c r="AQ451" s="313"/>
      <c r="AR451" s="119"/>
      <c r="AS451" s="22"/>
      <c r="AT451" s="22"/>
      <c r="AU451" s="22"/>
      <c r="AV451" s="82" t="s">
        <v>30</v>
      </c>
      <c r="AW451" s="82" t="s">
        <v>30</v>
      </c>
      <c r="AX451" s="82"/>
      <c r="AY451" s="82"/>
      <c r="AZ451" s="82"/>
      <c r="BA451" s="82"/>
      <c r="BB451" s="82"/>
      <c r="BC451" s="82"/>
      <c r="BD451" s="82"/>
      <c r="BE451" s="82"/>
      <c r="BF451" s="82"/>
      <c r="BG451" s="112"/>
      <c r="BH451" s="112"/>
      <c r="BI451" s="112"/>
      <c r="BJ451" s="112"/>
      <c r="BK451" s="82"/>
      <c r="BL451" s="82"/>
      <c r="BM451"/>
      <c r="BN451" s="412"/>
      <c r="BO451" s="412"/>
      <c r="BP451" s="412"/>
      <c r="BQ451" s="412"/>
      <c r="BR451" s="412"/>
      <c r="BS451" s="96"/>
      <c r="BT451" s="96"/>
      <c r="BU451" s="96"/>
      <c r="BV451" s="96"/>
      <c r="BW451"/>
      <c r="BX451"/>
      <c r="BY451"/>
      <c r="BZ451">
        <f t="shared" si="29"/>
        <v>1</v>
      </c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</row>
    <row r="452" spans="1:123" s="272" customFormat="1" ht="15" hidden="1" customHeight="1">
      <c r="A452" s="35" t="str">
        <f t="shared" si="30"/>
        <v>M072/2646101</v>
      </c>
      <c r="B452" s="35"/>
      <c r="C452" s="358" t="s">
        <v>24</v>
      </c>
      <c r="D452" s="358">
        <v>449</v>
      </c>
      <c r="E452" s="360" t="s">
        <v>3788</v>
      </c>
      <c r="F452" s="358" t="s">
        <v>43</v>
      </c>
      <c r="G452" s="384">
        <v>46101</v>
      </c>
      <c r="H452" s="358" t="s">
        <v>2014</v>
      </c>
      <c r="I452" s="358">
        <v>17</v>
      </c>
      <c r="J452" s="359" t="str">
        <f>IFERROR(VLOOKUP($A452,#REF!,3,0),"")</f>
        <v/>
      </c>
      <c r="K452" s="359" t="str">
        <f>IFERROR(VLOOKUP($A452,#REF!,4,0),AF452)</f>
        <v>EXT</v>
      </c>
      <c r="L452" s="359" t="str">
        <f>IFERROR(VLOOKUP($A452,#REF!,5,0),"")</f>
        <v/>
      </c>
      <c r="M452" s="359" t="str">
        <f>IFERROR(VLOOKUP($A452,#REF!,7,0),"")</f>
        <v/>
      </c>
      <c r="N452" s="359"/>
      <c r="O452" s="359" t="str">
        <f>IFERROR(VLOOKUP($A452,#REF!,6,0),"")</f>
        <v/>
      </c>
      <c r="P452" s="359" t="str">
        <f>IFERROR(VLOOKUP($A452,#REF!,9,0),"")</f>
        <v/>
      </c>
      <c r="Q452" s="359" t="str">
        <f>IFERROR(VLOOKUP($A452,#REF!,10,0),"")</f>
        <v/>
      </c>
      <c r="R452" s="359" t="str">
        <f>IFERROR(VLOOKUP($A452,#REF!,11,0),"")</f>
        <v/>
      </c>
      <c r="S452" s="359" t="str">
        <f>IFERROR(VLOOKUP($A452,#REF!,13,0),"")</f>
        <v/>
      </c>
      <c r="T452" s="359" t="str">
        <f>IFERROR(VLOOKUP($A452,#REF!,14,0),"")</f>
        <v/>
      </c>
      <c r="U452" s="359" t="str">
        <f>IFERROR(VLOOKUP($A452,#REF!,15,0),"")</f>
        <v/>
      </c>
      <c r="V452" s="359" t="str">
        <f>IFERROR(VLOOKUP($A452,#REF!,16,0),"")</f>
        <v/>
      </c>
      <c r="W452" s="359" t="str">
        <f>IFERROR(VLOOKUP($A452,#REF!,17,0),"")</f>
        <v/>
      </c>
      <c r="X452" s="359" t="str">
        <f>IFERROR(VLOOKUP($A452,#REF!,18,0),"")</f>
        <v/>
      </c>
      <c r="Y452" s="359" t="str">
        <f>IFERROR(VLOOKUP($A452,#REF!,19,0),"")</f>
        <v/>
      </c>
      <c r="Z452" s="400" t="str">
        <f>IFERROR(VLOOKUP($A452,#REF!,21,0),"")</f>
        <v/>
      </c>
      <c r="AA452" s="358"/>
      <c r="AB452" s="358"/>
      <c r="AC452" s="358" t="s">
        <v>1077</v>
      </c>
      <c r="AD452" s="358" t="s">
        <v>1138</v>
      </c>
      <c r="AE452" s="284"/>
      <c r="AF452" s="141" t="s">
        <v>3082</v>
      </c>
      <c r="AG452" s="141" t="s">
        <v>2296</v>
      </c>
      <c r="AH452" s="141" t="s">
        <v>3783</v>
      </c>
      <c r="AI452" s="141" t="s">
        <v>3789</v>
      </c>
      <c r="AJ452" s="277" t="s">
        <v>3772</v>
      </c>
      <c r="AK452" s="277"/>
      <c r="AL452" s="277"/>
      <c r="AM452" s="277"/>
      <c r="AN452" s="331" t="s">
        <v>2863</v>
      </c>
      <c r="AO452" s="120"/>
      <c r="AP452" s="120"/>
      <c r="AQ452" s="313"/>
      <c r="AR452" s="119"/>
      <c r="AS452" s="22"/>
      <c r="AT452" s="22"/>
      <c r="AU452" s="22"/>
      <c r="AV452" s="2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112"/>
      <c r="BH452" s="112"/>
      <c r="BI452" s="112"/>
      <c r="BJ452" s="112"/>
      <c r="BK452" s="82"/>
      <c r="BL452" s="82"/>
      <c r="BM452"/>
      <c r="BN452" s="412"/>
      <c r="BO452" s="412"/>
      <c r="BP452" s="412"/>
      <c r="BQ452" s="412"/>
      <c r="BR452" s="412"/>
      <c r="BS452" s="96"/>
      <c r="BT452" s="96"/>
      <c r="BU452" s="96"/>
      <c r="BV452" s="96"/>
      <c r="BW452"/>
      <c r="BX452"/>
      <c r="BY452"/>
      <c r="BZ452">
        <f t="shared" si="29"/>
        <v>1</v>
      </c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</row>
    <row r="453" spans="1:123" s="272" customFormat="1" hidden="1">
      <c r="A453" s="35" t="str">
        <f t="shared" ref="A453:A516" si="36">E453&amp;G453</f>
        <v>M195/2646102</v>
      </c>
      <c r="B453" s="35"/>
      <c r="C453" s="358" t="s">
        <v>24</v>
      </c>
      <c r="D453" s="358">
        <v>450</v>
      </c>
      <c r="E453" s="358" t="s">
        <v>3790</v>
      </c>
      <c r="F453" s="358" t="s">
        <v>34</v>
      </c>
      <c r="G453" s="384">
        <v>46102</v>
      </c>
      <c r="H453" s="358" t="s">
        <v>3791</v>
      </c>
      <c r="I453" s="358">
        <v>12</v>
      </c>
      <c r="J453" s="359" t="str">
        <f>IFERROR(VLOOKUP($A453,#REF!,3,0),"")</f>
        <v/>
      </c>
      <c r="K453" s="359" t="str">
        <f>IFERROR(VLOOKUP($A453,#REF!,4,0),AF453)</f>
        <v>INT</v>
      </c>
      <c r="L453" s="359" t="str">
        <f>IFERROR(VLOOKUP($A453,#REF!,5,0),"")</f>
        <v/>
      </c>
      <c r="M453" s="359" t="str">
        <f>IFERROR(VLOOKUP($A453,#REF!,7,0),"")</f>
        <v/>
      </c>
      <c r="N453" s="359">
        <f t="shared" ref="N453:N470" si="37">IF(I453&lt;10,10,I453)</f>
        <v>12</v>
      </c>
      <c r="O453" s="359" t="str">
        <f>IFERROR(VLOOKUP($A453,#REF!,6,0),"")</f>
        <v/>
      </c>
      <c r="P453" s="359" t="e">
        <f t="shared" ref="P453:P470" si="38">+O453*N453</f>
        <v>#VALUE!</v>
      </c>
      <c r="Q453" s="359" t="str">
        <f>IFERROR(VLOOKUP($A453,#REF!,10,0),"")</f>
        <v/>
      </c>
      <c r="R453" s="359" t="str">
        <f>IFERROR(VLOOKUP($A453,#REF!,11,0),"")</f>
        <v/>
      </c>
      <c r="S453" s="359" t="str">
        <f>IFERROR(VLOOKUP($A453,#REF!,13,0),"")</f>
        <v/>
      </c>
      <c r="T453" s="359" t="str">
        <f>IFERROR(VLOOKUP($A453,#REF!,14,0),"")</f>
        <v/>
      </c>
      <c r="U453" s="359" t="str">
        <f>IFERROR(VLOOKUP($A453,#REF!,15,0),"")</f>
        <v/>
      </c>
      <c r="V453" s="359" t="str">
        <f>IFERROR(VLOOKUP($A453,#REF!,16,0),"")</f>
        <v/>
      </c>
      <c r="W453" s="359" t="str">
        <f>IFERROR(VLOOKUP($A453,#REF!,17,0),"")</f>
        <v/>
      </c>
      <c r="X453" s="359" t="str">
        <f>IFERROR(VLOOKUP($A453,#REF!,18,0),"")</f>
        <v/>
      </c>
      <c r="Y453" s="359" t="str">
        <f>IFERROR(VLOOKUP($A453,#REF!,19,0),"")</f>
        <v/>
      </c>
      <c r="Z453" s="400" t="str">
        <f>IFERROR(VLOOKUP($A453,#REF!,21,0),"")</f>
        <v/>
      </c>
      <c r="AA453" s="358"/>
      <c r="AB453" s="358"/>
      <c r="AC453" s="358" t="s">
        <v>127</v>
      </c>
      <c r="AD453" s="358" t="s">
        <v>178</v>
      </c>
      <c r="AE453" s="141"/>
      <c r="AF453" s="141" t="s">
        <v>3077</v>
      </c>
      <c r="AG453" s="141" t="s">
        <v>3792</v>
      </c>
      <c r="AH453" s="141" t="s">
        <v>3786</v>
      </c>
      <c r="AI453" s="141" t="s">
        <v>3786</v>
      </c>
      <c r="AJ453" s="277" t="s">
        <v>3682</v>
      </c>
      <c r="AK453" s="277"/>
      <c r="AL453" s="277"/>
      <c r="AM453" s="277"/>
      <c r="AN453" s="120"/>
      <c r="AO453" s="120"/>
      <c r="AP453" s="120"/>
      <c r="AQ453" s="313"/>
      <c r="AR453" s="119"/>
      <c r="AS453" s="22"/>
      <c r="AT453" s="22"/>
      <c r="AU453" s="22"/>
      <c r="AV453" s="22"/>
      <c r="AW453" s="82" t="s">
        <v>30</v>
      </c>
      <c r="AX453" s="82"/>
      <c r="AY453" s="82"/>
      <c r="AZ453" s="82"/>
      <c r="BA453" s="82"/>
      <c r="BB453" s="82"/>
      <c r="BC453" s="82"/>
      <c r="BD453" s="82"/>
      <c r="BE453" s="82"/>
      <c r="BF453" s="82"/>
      <c r="BG453" s="112"/>
      <c r="BH453" s="112"/>
      <c r="BI453" s="112"/>
      <c r="BJ453" s="112"/>
      <c r="BK453" s="82"/>
      <c r="BL453" s="82"/>
      <c r="BM453"/>
      <c r="BN453" s="412"/>
      <c r="BO453" s="412"/>
      <c r="BP453" s="412"/>
      <c r="BQ453" s="412"/>
      <c r="BR453" s="412"/>
      <c r="BS453" s="96"/>
      <c r="BT453" s="96"/>
      <c r="BU453" s="96"/>
      <c r="BV453" s="96"/>
      <c r="BW453"/>
      <c r="BX453"/>
      <c r="BY453"/>
      <c r="BZ453">
        <f t="shared" si="29"/>
        <v>1</v>
      </c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</row>
    <row r="454" spans="1:123" s="272" customFormat="1" hidden="1">
      <c r="A454" s="35" t="str">
        <f t="shared" si="36"/>
        <v>M217/2646102</v>
      </c>
      <c r="B454" s="35"/>
      <c r="C454" s="358" t="s">
        <v>24</v>
      </c>
      <c r="D454" s="358">
        <v>451</v>
      </c>
      <c r="E454" s="141" t="s">
        <v>3793</v>
      </c>
      <c r="F454" s="141" t="s">
        <v>34</v>
      </c>
      <c r="G454" s="128">
        <v>46102</v>
      </c>
      <c r="H454" s="141" t="s">
        <v>206</v>
      </c>
      <c r="I454" s="141">
        <v>9</v>
      </c>
      <c r="J454" s="359" t="str">
        <f>IFERROR(VLOOKUP($A454,#REF!,3,0),"")</f>
        <v/>
      </c>
      <c r="K454" s="359" t="str">
        <f>IFERROR(VLOOKUP($A454,#REF!,4,0),AF454)</f>
        <v>INT</v>
      </c>
      <c r="L454" s="359" t="str">
        <f>IFERROR(VLOOKUP($A454,#REF!,5,0),"")</f>
        <v/>
      </c>
      <c r="M454" s="359" t="str">
        <f>IFERROR(VLOOKUP($A454,#REF!,7,0),"")</f>
        <v/>
      </c>
      <c r="N454" s="359">
        <f t="shared" si="37"/>
        <v>10</v>
      </c>
      <c r="O454" s="359" t="str">
        <f>IFERROR(VLOOKUP($A454,#REF!,6,0),"")</f>
        <v/>
      </c>
      <c r="P454" s="359" t="e">
        <f t="shared" si="38"/>
        <v>#VALUE!</v>
      </c>
      <c r="Q454" s="359" t="str">
        <f>IFERROR(VLOOKUP($A454,#REF!,10,0),"")</f>
        <v/>
      </c>
      <c r="R454" s="359" t="str">
        <f>IFERROR(VLOOKUP($A454,#REF!,11,0),"")</f>
        <v/>
      </c>
      <c r="S454" s="359" t="str">
        <f>IFERROR(VLOOKUP($A454,#REF!,13,0),"")</f>
        <v/>
      </c>
      <c r="T454" s="359" t="str">
        <f>IFERROR(VLOOKUP($A454,#REF!,14,0),"")</f>
        <v/>
      </c>
      <c r="U454" s="359" t="str">
        <f>IFERROR(VLOOKUP($A454,#REF!,15,0),"")</f>
        <v/>
      </c>
      <c r="V454" s="359" t="str">
        <f>IFERROR(VLOOKUP($A454,#REF!,16,0),"")</f>
        <v/>
      </c>
      <c r="W454" s="359" t="str">
        <f>IFERROR(VLOOKUP($A454,#REF!,17,0),"")</f>
        <v/>
      </c>
      <c r="X454" s="359" t="str">
        <f>IFERROR(VLOOKUP($A454,#REF!,18,0),"")</f>
        <v/>
      </c>
      <c r="Y454" s="359" t="str">
        <f>IFERROR(VLOOKUP($A454,#REF!,19,0),"")</f>
        <v/>
      </c>
      <c r="Z454" s="400" t="str">
        <f>IFERROR(VLOOKUP($A454,#REF!,21,0),"")</f>
        <v/>
      </c>
      <c r="AA454" s="141"/>
      <c r="AB454" s="141"/>
      <c r="AC454" s="141" t="s">
        <v>127</v>
      </c>
      <c r="AD454" s="141" t="s">
        <v>178</v>
      </c>
      <c r="AE454" s="141"/>
      <c r="AF454" s="141" t="s">
        <v>3077</v>
      </c>
      <c r="AG454" s="141" t="s">
        <v>2085</v>
      </c>
      <c r="AH454" s="358" t="s">
        <v>3794</v>
      </c>
      <c r="AI454" s="358" t="s">
        <v>3794</v>
      </c>
      <c r="AJ454" s="309" t="s">
        <v>3795</v>
      </c>
      <c r="AK454" s="309"/>
      <c r="AL454" s="309"/>
      <c r="AM454" s="309"/>
      <c r="AN454" s="276"/>
      <c r="AO454" s="120"/>
      <c r="AP454" s="120"/>
      <c r="AQ454" s="313"/>
      <c r="AR454" s="119"/>
      <c r="AS454" s="22"/>
      <c r="AT454" s="22"/>
      <c r="AU454" s="22"/>
      <c r="AV454" s="22"/>
      <c r="AW454" s="82" t="s">
        <v>30</v>
      </c>
      <c r="AX454" s="82"/>
      <c r="AY454" s="82"/>
      <c r="AZ454" s="82"/>
      <c r="BA454" s="82"/>
      <c r="BB454" s="82"/>
      <c r="BC454" s="82"/>
      <c r="BD454" s="82"/>
      <c r="BE454" s="82"/>
      <c r="BF454" s="82"/>
      <c r="BG454" s="112"/>
      <c r="BH454" s="112"/>
      <c r="BI454" s="112"/>
      <c r="BJ454" s="112"/>
      <c r="BK454" s="82"/>
      <c r="BL454" s="82"/>
      <c r="BM454"/>
      <c r="BN454" s="412"/>
      <c r="BO454" s="412"/>
      <c r="BP454" s="412"/>
      <c r="BQ454" s="412"/>
      <c r="BR454" s="412"/>
      <c r="BS454" s="96"/>
      <c r="BT454" s="96"/>
      <c r="BU454" s="96"/>
      <c r="BV454" s="96"/>
      <c r="BW454"/>
      <c r="BX454"/>
      <c r="BY454"/>
      <c r="BZ454">
        <f t="shared" si="29"/>
        <v>1</v>
      </c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</row>
    <row r="455" spans="1:123" s="272" customFormat="1" hidden="1">
      <c r="A455" s="35" t="str">
        <f t="shared" si="36"/>
        <v>079/2646102</v>
      </c>
      <c r="B455" s="35"/>
      <c r="C455" s="358" t="s">
        <v>24</v>
      </c>
      <c r="D455" s="358">
        <v>452</v>
      </c>
      <c r="E455" s="141" t="s">
        <v>3796</v>
      </c>
      <c r="F455" s="141" t="s">
        <v>34</v>
      </c>
      <c r="G455" s="128">
        <v>46102</v>
      </c>
      <c r="H455" s="141" t="s">
        <v>206</v>
      </c>
      <c r="I455" s="141">
        <v>4</v>
      </c>
      <c r="J455" s="359" t="str">
        <f>IFERROR(VLOOKUP($A455,#REF!,3,0),"")</f>
        <v/>
      </c>
      <c r="K455" s="359" t="str">
        <f>IFERROR(VLOOKUP($A455,#REF!,4,0),AF455)</f>
        <v>INT</v>
      </c>
      <c r="L455" s="359" t="str">
        <f>IFERROR(VLOOKUP($A455,#REF!,5,0),"")</f>
        <v/>
      </c>
      <c r="M455" s="359" t="str">
        <f>IFERROR(VLOOKUP($A455,#REF!,7,0),"")</f>
        <v/>
      </c>
      <c r="N455" s="359">
        <f t="shared" si="37"/>
        <v>10</v>
      </c>
      <c r="O455" s="359" t="str">
        <f>IFERROR(VLOOKUP($A455,#REF!,6,0),"")</f>
        <v/>
      </c>
      <c r="P455" s="359" t="e">
        <f t="shared" si="38"/>
        <v>#VALUE!</v>
      </c>
      <c r="Q455" s="359" t="str">
        <f>IFERROR(VLOOKUP($A455,#REF!,10,0),"")</f>
        <v/>
      </c>
      <c r="R455" s="359" t="str">
        <f>IFERROR(VLOOKUP($A455,#REF!,11,0),"")</f>
        <v/>
      </c>
      <c r="S455" s="359" t="str">
        <f>IFERROR(VLOOKUP($A455,#REF!,13,0),"")</f>
        <v/>
      </c>
      <c r="T455" s="359" t="str">
        <f>IFERROR(VLOOKUP($A455,#REF!,14,0),"")</f>
        <v/>
      </c>
      <c r="U455" s="359" t="str">
        <f>IFERROR(VLOOKUP($A455,#REF!,15,0),"")</f>
        <v/>
      </c>
      <c r="V455" s="359" t="str">
        <f>IFERROR(VLOOKUP($A455,#REF!,16,0),"")</f>
        <v/>
      </c>
      <c r="W455" s="359" t="str">
        <f>IFERROR(VLOOKUP($A455,#REF!,17,0),"")</f>
        <v/>
      </c>
      <c r="X455" s="359" t="str">
        <f>IFERROR(VLOOKUP($A455,#REF!,18,0),"")</f>
        <v/>
      </c>
      <c r="Y455" s="359" t="str">
        <f>IFERROR(VLOOKUP($A455,#REF!,19,0),"")</f>
        <v/>
      </c>
      <c r="Z455" s="400" t="str">
        <f>IFERROR(VLOOKUP($A455,#REF!,21,0),"")</f>
        <v/>
      </c>
      <c r="AA455" s="141"/>
      <c r="AB455" s="141"/>
      <c r="AC455" s="141" t="s">
        <v>1721</v>
      </c>
      <c r="AD455" s="141" t="s">
        <v>1638</v>
      </c>
      <c r="AE455" s="141"/>
      <c r="AF455" s="141" t="s">
        <v>3077</v>
      </c>
      <c r="AG455" s="141" t="s">
        <v>2085</v>
      </c>
      <c r="AH455" s="358" t="s">
        <v>3794</v>
      </c>
      <c r="AI455" s="358" t="s">
        <v>3794</v>
      </c>
      <c r="AJ455" s="309" t="s">
        <v>3795</v>
      </c>
      <c r="AK455" s="309"/>
      <c r="AL455" s="309"/>
      <c r="AM455" s="309"/>
      <c r="AN455" s="276"/>
      <c r="AO455" s="120"/>
      <c r="AP455" s="120"/>
      <c r="AQ455" s="313"/>
      <c r="AR455" s="119"/>
      <c r="AS455" s="22"/>
      <c r="AT455" s="22"/>
      <c r="AU455" s="22"/>
      <c r="AV455" s="22"/>
      <c r="AW455" s="82" t="s">
        <v>30</v>
      </c>
      <c r="AX455" s="82"/>
      <c r="AY455" s="82"/>
      <c r="AZ455" s="82"/>
      <c r="BA455" s="82"/>
      <c r="BB455" s="82"/>
      <c r="BC455" s="82"/>
      <c r="BD455" s="82"/>
      <c r="BE455" s="82"/>
      <c r="BF455" s="82"/>
      <c r="BG455" s="112"/>
      <c r="BH455" s="112"/>
      <c r="BI455" s="112"/>
      <c r="BJ455" s="112"/>
      <c r="BK455" s="82"/>
      <c r="BL455" s="82"/>
      <c r="BM455"/>
      <c r="BN455" s="412"/>
      <c r="BO455" s="412"/>
      <c r="BP455" s="412"/>
      <c r="BQ455" s="412"/>
      <c r="BR455" s="412"/>
      <c r="BS455" s="96"/>
      <c r="BT455" s="96"/>
      <c r="BU455" s="96"/>
      <c r="BV455" s="96"/>
      <c r="BW455"/>
      <c r="BX455"/>
      <c r="BY455"/>
      <c r="BZ455">
        <f t="shared" ref="BZ455" si="39">IF(G455&gt;1,1,"")</f>
        <v>1</v>
      </c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</row>
    <row r="456" spans="1:123" s="272" customFormat="1" hidden="1">
      <c r="A456" s="35" t="str">
        <f t="shared" si="36"/>
        <v>051/2646102</v>
      </c>
      <c r="B456" s="35"/>
      <c r="C456" s="358" t="s">
        <v>24</v>
      </c>
      <c r="D456" s="358">
        <v>453</v>
      </c>
      <c r="E456" s="358" t="s">
        <v>3797</v>
      </c>
      <c r="F456" s="358" t="s">
        <v>34</v>
      </c>
      <c r="G456" s="384">
        <v>46102</v>
      </c>
      <c r="H456" s="358" t="s">
        <v>1165</v>
      </c>
      <c r="I456" s="358">
        <v>12</v>
      </c>
      <c r="J456" s="359" t="str">
        <f>IFERROR(VLOOKUP($A456,#REF!,3,0),"")</f>
        <v/>
      </c>
      <c r="K456" s="359" t="str">
        <f>IFERROR(VLOOKUP($A456,#REF!,4,0),AF456)</f>
        <v>INT</v>
      </c>
      <c r="L456" s="359" t="str">
        <f>IFERROR(VLOOKUP($A456,#REF!,5,0),"")</f>
        <v/>
      </c>
      <c r="M456" s="359" t="str">
        <f>IFERROR(VLOOKUP($A456,#REF!,7,0),"")</f>
        <v/>
      </c>
      <c r="N456" s="359">
        <f t="shared" si="37"/>
        <v>12</v>
      </c>
      <c r="O456" s="359" t="str">
        <f>IFERROR(VLOOKUP($A456,#REF!,6,0),"")</f>
        <v/>
      </c>
      <c r="P456" s="359" t="e">
        <f t="shared" si="38"/>
        <v>#VALUE!</v>
      </c>
      <c r="Q456" s="359" t="str">
        <f>IFERROR(VLOOKUP($A456,#REF!,10,0),"")</f>
        <v/>
      </c>
      <c r="R456" s="359" t="str">
        <f>IFERROR(VLOOKUP($A456,#REF!,11,0),"")</f>
        <v/>
      </c>
      <c r="S456" s="359" t="str">
        <f>IFERROR(VLOOKUP($A456,#REF!,13,0),"")</f>
        <v/>
      </c>
      <c r="T456" s="359" t="str">
        <f>IFERROR(VLOOKUP($A456,#REF!,14,0),"")</f>
        <v/>
      </c>
      <c r="U456" s="359" t="str">
        <f>IFERROR(VLOOKUP($A456,#REF!,15,0),"")</f>
        <v/>
      </c>
      <c r="V456" s="359" t="str">
        <f>IFERROR(VLOOKUP($A456,#REF!,16,0),"")</f>
        <v/>
      </c>
      <c r="W456" s="359" t="str">
        <f>IFERROR(VLOOKUP($A456,#REF!,17,0),"")</f>
        <v/>
      </c>
      <c r="X456" s="359" t="str">
        <f>IFERROR(VLOOKUP($A456,#REF!,18,0),"")</f>
        <v/>
      </c>
      <c r="Y456" s="359" t="str">
        <f>IFERROR(VLOOKUP($A456,#REF!,19,0),"")</f>
        <v/>
      </c>
      <c r="Z456" s="400" t="str">
        <f>IFERROR(VLOOKUP($A456,#REF!,21,0),"")</f>
        <v/>
      </c>
      <c r="AA456" s="358"/>
      <c r="AB456" s="358"/>
      <c r="AC456" s="358" t="s">
        <v>1721</v>
      </c>
      <c r="AD456" s="358" t="s">
        <v>1638</v>
      </c>
      <c r="AE456" s="102" t="s">
        <v>3798</v>
      </c>
      <c r="AF456" s="141" t="s">
        <v>3077</v>
      </c>
      <c r="AG456" s="358" t="s">
        <v>3799</v>
      </c>
      <c r="AH456" s="358" t="s">
        <v>3800</v>
      </c>
      <c r="AI456" s="358" t="s">
        <v>3800</v>
      </c>
      <c r="AJ456" s="277" t="s">
        <v>2083</v>
      </c>
      <c r="AK456" s="277"/>
      <c r="AL456" s="277"/>
      <c r="AM456" s="277"/>
      <c r="AN456" s="120"/>
      <c r="AO456" s="120"/>
      <c r="AP456" s="120"/>
      <c r="AQ456" s="313"/>
      <c r="AR456" s="119"/>
      <c r="AS456" s="22"/>
      <c r="AT456" s="22"/>
      <c r="AU456" s="22"/>
      <c r="AV456" s="22"/>
      <c r="AW456" s="82" t="s">
        <v>30</v>
      </c>
      <c r="AX456" s="82"/>
      <c r="AY456" s="82"/>
      <c r="AZ456" s="82"/>
      <c r="BA456" s="82"/>
      <c r="BB456" s="82"/>
      <c r="BC456" s="82"/>
      <c r="BD456" s="82"/>
      <c r="BE456" s="82"/>
      <c r="BF456" s="82"/>
      <c r="BG456" s="112"/>
      <c r="BH456" s="112"/>
      <c r="BI456" s="112"/>
      <c r="BJ456" s="112"/>
      <c r="BK456" s="82"/>
      <c r="BL456" s="82"/>
      <c r="BM456"/>
      <c r="BN456" s="412"/>
      <c r="BO456" s="412"/>
      <c r="BP456" s="412"/>
      <c r="BQ456" s="412"/>
      <c r="BR456" s="412"/>
      <c r="BS456" s="96"/>
      <c r="BT456" s="96"/>
      <c r="BU456" s="96"/>
      <c r="BV456" s="96"/>
      <c r="BW456"/>
      <c r="BX456"/>
      <c r="BY456"/>
      <c r="BZ456">
        <f t="shared" ref="BZ456:BZ542" si="40">IF(G456&gt;1,1,"")</f>
        <v>1</v>
      </c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</row>
    <row r="457" spans="1:123" s="272" customFormat="1" ht="16.5" hidden="1" customHeight="1">
      <c r="A457" s="35" t="str">
        <f t="shared" si="36"/>
        <v>047/2646102</v>
      </c>
      <c r="B457" s="35"/>
      <c r="C457" s="358" t="s">
        <v>24</v>
      </c>
      <c r="D457" s="358">
        <v>454</v>
      </c>
      <c r="E457" s="358" t="s">
        <v>3801</v>
      </c>
      <c r="F457" s="358" t="s">
        <v>34</v>
      </c>
      <c r="G457" s="384">
        <v>46102</v>
      </c>
      <c r="H457" s="358" t="s">
        <v>1943</v>
      </c>
      <c r="I457" s="358">
        <v>11</v>
      </c>
      <c r="J457" s="359" t="str">
        <f>IFERROR(VLOOKUP($A457,#REF!,3,0),"")</f>
        <v/>
      </c>
      <c r="K457" s="359" t="str">
        <f>IFERROR(VLOOKUP($A457,#REF!,4,0),AF457)</f>
        <v>INT</v>
      </c>
      <c r="L457" s="359" t="str">
        <f>IFERROR(VLOOKUP($A457,#REF!,5,0),"")</f>
        <v/>
      </c>
      <c r="M457" s="359" t="str">
        <f>IFERROR(VLOOKUP($A457,#REF!,7,0),"")</f>
        <v/>
      </c>
      <c r="N457" s="359">
        <f t="shared" si="37"/>
        <v>11</v>
      </c>
      <c r="O457" s="359" t="str">
        <f>IFERROR(VLOOKUP($A457,#REF!,6,0),"")</f>
        <v/>
      </c>
      <c r="P457" s="359" t="e">
        <f t="shared" si="38"/>
        <v>#VALUE!</v>
      </c>
      <c r="Q457" s="359" t="str">
        <f>IFERROR(VLOOKUP($A457,#REF!,10,0),"")</f>
        <v/>
      </c>
      <c r="R457" s="359" t="str">
        <f>IFERROR(VLOOKUP($A457,#REF!,11,0),"")</f>
        <v/>
      </c>
      <c r="S457" s="359" t="str">
        <f>IFERROR(VLOOKUP($A457,#REF!,13,0),"")</f>
        <v/>
      </c>
      <c r="T457" s="359" t="str">
        <f>IFERROR(VLOOKUP($A457,#REF!,14,0),"")</f>
        <v/>
      </c>
      <c r="U457" s="359" t="str">
        <f>IFERROR(VLOOKUP($A457,#REF!,15,0),"")</f>
        <v/>
      </c>
      <c r="V457" s="359" t="str">
        <f>IFERROR(VLOOKUP($A457,#REF!,16,0),"")</f>
        <v/>
      </c>
      <c r="W457" s="359" t="str">
        <f>IFERROR(VLOOKUP($A457,#REF!,17,0),"")</f>
        <v/>
      </c>
      <c r="X457" s="359" t="str">
        <f>IFERROR(VLOOKUP($A457,#REF!,18,0),"")</f>
        <v/>
      </c>
      <c r="Y457" s="359" t="str">
        <f>IFERROR(VLOOKUP($A457,#REF!,19,0),"")</f>
        <v/>
      </c>
      <c r="Z457" s="400" t="str">
        <f>IFERROR(VLOOKUP($A457,#REF!,21,0),"")</f>
        <v/>
      </c>
      <c r="AA457" s="358"/>
      <c r="AB457" s="358"/>
      <c r="AC457" s="358" t="s">
        <v>1721</v>
      </c>
      <c r="AD457" s="358" t="s">
        <v>1638</v>
      </c>
      <c r="AE457" s="358"/>
      <c r="AF457" s="141" t="s">
        <v>3077</v>
      </c>
      <c r="AG457" s="358" t="s">
        <v>3802</v>
      </c>
      <c r="AH457" s="358" t="s">
        <v>3800</v>
      </c>
      <c r="AI457" s="358" t="s">
        <v>3786</v>
      </c>
      <c r="AJ457" s="277" t="s">
        <v>2083</v>
      </c>
      <c r="AK457" s="277"/>
      <c r="AL457" s="277"/>
      <c r="AM457" s="277"/>
      <c r="AN457" s="120"/>
      <c r="AO457" s="120"/>
      <c r="AP457" s="120"/>
      <c r="AQ457" s="313"/>
      <c r="AR457" s="119"/>
      <c r="AS457" s="22"/>
      <c r="AT457" s="22"/>
      <c r="AU457" s="22"/>
      <c r="AV457" s="22"/>
      <c r="AW457" s="82" t="s">
        <v>30</v>
      </c>
      <c r="AX457" s="82"/>
      <c r="AY457" s="82" t="s">
        <v>30</v>
      </c>
      <c r="AZ457" s="82" t="s">
        <v>30</v>
      </c>
      <c r="BA457" s="82" t="s">
        <v>30</v>
      </c>
      <c r="BB457" s="82"/>
      <c r="BC457" s="82"/>
      <c r="BD457" s="82"/>
      <c r="BE457" s="82"/>
      <c r="BF457" s="82"/>
      <c r="BG457" s="112"/>
      <c r="BH457" s="112"/>
      <c r="BI457" s="112"/>
      <c r="BJ457" s="112"/>
      <c r="BK457" s="82"/>
      <c r="BL457" s="82"/>
      <c r="BM457"/>
      <c r="BN457" s="412"/>
      <c r="BO457" s="412"/>
      <c r="BP457" s="412"/>
      <c r="BQ457" s="412"/>
      <c r="BR457" s="412"/>
      <c r="BS457" s="96"/>
      <c r="BT457" s="96"/>
      <c r="BU457" s="96"/>
      <c r="BV457" s="96"/>
      <c r="BW457"/>
      <c r="BX457"/>
      <c r="BY457"/>
      <c r="BZ457">
        <f t="shared" si="40"/>
        <v>1</v>
      </c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</row>
    <row r="458" spans="1:123" s="272" customFormat="1" hidden="1">
      <c r="A458" s="35" t="str">
        <f t="shared" si="36"/>
        <v>M205/2646102</v>
      </c>
      <c r="B458" s="35"/>
      <c r="C458" s="358" t="s">
        <v>24</v>
      </c>
      <c r="D458" s="358">
        <v>455</v>
      </c>
      <c r="E458" s="358" t="s">
        <v>3803</v>
      </c>
      <c r="F458" s="358" t="s">
        <v>374</v>
      </c>
      <c r="G458" s="384">
        <v>46102</v>
      </c>
      <c r="H458" s="358" t="s">
        <v>3804</v>
      </c>
      <c r="I458" s="358">
        <v>12</v>
      </c>
      <c r="J458" s="359" t="str">
        <f>IFERROR(VLOOKUP($A458,#REF!,3,0),"")</f>
        <v/>
      </c>
      <c r="K458" s="359" t="str">
        <f>IFERROR(VLOOKUP($A458,#REF!,4,0),AF458)</f>
        <v>EXT</v>
      </c>
      <c r="L458" s="359" t="str">
        <f>IFERROR(VLOOKUP($A458,#REF!,5,0),"")</f>
        <v/>
      </c>
      <c r="M458" s="359" t="str">
        <f>IFERROR(VLOOKUP($A458,#REF!,7,0),"")</f>
        <v/>
      </c>
      <c r="N458" s="359">
        <f t="shared" si="37"/>
        <v>12</v>
      </c>
      <c r="O458" s="359" t="str">
        <f>IFERROR(VLOOKUP($A458,#REF!,6,0),"")</f>
        <v/>
      </c>
      <c r="P458" s="359" t="e">
        <f t="shared" si="38"/>
        <v>#VALUE!</v>
      </c>
      <c r="Q458" s="359" t="str">
        <f>IFERROR(VLOOKUP($A458,#REF!,10,0),"")</f>
        <v/>
      </c>
      <c r="R458" s="359" t="str">
        <f>IFERROR(VLOOKUP($A458,#REF!,11,0),"")</f>
        <v/>
      </c>
      <c r="S458" s="359" t="str">
        <f>IFERROR(VLOOKUP($A458,#REF!,13,0),"")</f>
        <v/>
      </c>
      <c r="T458" s="359" t="str">
        <f>IFERROR(VLOOKUP($A458,#REF!,14,0),"")</f>
        <v/>
      </c>
      <c r="U458" s="359" t="str">
        <f>IFERROR(VLOOKUP($A458,#REF!,15,0),"")</f>
        <v/>
      </c>
      <c r="V458" s="359" t="str">
        <f>IFERROR(VLOOKUP($A458,#REF!,16,0),"")</f>
        <v/>
      </c>
      <c r="W458" s="359" t="str">
        <f>IFERROR(VLOOKUP($A458,#REF!,17,0),"")</f>
        <v/>
      </c>
      <c r="X458" s="359" t="str">
        <f>IFERROR(VLOOKUP($A458,#REF!,18,0),"")</f>
        <v/>
      </c>
      <c r="Y458" s="359" t="str">
        <f>IFERROR(VLOOKUP($A458,#REF!,19,0),"")</f>
        <v/>
      </c>
      <c r="Z458" s="400" t="str">
        <f>IFERROR(VLOOKUP($A458,#REF!,21,0),"")</f>
        <v/>
      </c>
      <c r="AA458" s="358"/>
      <c r="AB458" s="358"/>
      <c r="AC458" s="358" t="s">
        <v>3075</v>
      </c>
      <c r="AD458" s="358" t="s">
        <v>47</v>
      </c>
      <c r="AE458" s="141" t="s">
        <v>3805</v>
      </c>
      <c r="AF458" s="141" t="s">
        <v>3082</v>
      </c>
      <c r="AG458" s="141" t="s">
        <v>2092</v>
      </c>
      <c r="AH458" s="358" t="s">
        <v>3800</v>
      </c>
      <c r="AI458" s="358" t="s">
        <v>3800</v>
      </c>
      <c r="AJ458" s="277" t="s">
        <v>2050</v>
      </c>
      <c r="AK458" s="277"/>
      <c r="AL458" s="277"/>
      <c r="AM458" s="277"/>
      <c r="AN458" s="120"/>
      <c r="AO458" s="120"/>
      <c r="AP458" s="120"/>
      <c r="AQ458" s="313"/>
      <c r="AR458" s="119"/>
      <c r="AS458" s="22"/>
      <c r="AT458" s="22"/>
      <c r="AU458" s="22"/>
      <c r="AV458" s="2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112"/>
      <c r="BH458" s="112"/>
      <c r="BI458" s="112"/>
      <c r="BJ458" s="112"/>
      <c r="BK458" s="82"/>
      <c r="BL458" s="82"/>
      <c r="BM458"/>
      <c r="BN458" s="412"/>
      <c r="BO458" s="412"/>
      <c r="BP458" s="412"/>
      <c r="BQ458" s="412"/>
      <c r="BR458" s="412"/>
      <c r="BS458" s="96"/>
      <c r="BT458" s="96"/>
      <c r="BU458" s="96"/>
      <c r="BV458" s="96"/>
      <c r="BW458"/>
      <c r="BX458"/>
      <c r="BY458"/>
      <c r="BZ458">
        <f t="shared" si="40"/>
        <v>1</v>
      </c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</row>
    <row r="459" spans="1:123" s="272" customFormat="1" hidden="1">
      <c r="A459" s="35" t="str">
        <f t="shared" si="36"/>
        <v>M180/2646102</v>
      </c>
      <c r="B459" s="35"/>
      <c r="C459" s="358" t="s">
        <v>24</v>
      </c>
      <c r="D459" s="358">
        <v>456</v>
      </c>
      <c r="E459" s="358" t="s">
        <v>3806</v>
      </c>
      <c r="F459" s="358" t="s">
        <v>83</v>
      </c>
      <c r="G459" s="384">
        <v>46102</v>
      </c>
      <c r="H459" s="358" t="s">
        <v>614</v>
      </c>
      <c r="I459" s="358">
        <v>19</v>
      </c>
      <c r="J459" s="359" t="str">
        <f>IFERROR(VLOOKUP($A459,#REF!,3,0),"")</f>
        <v/>
      </c>
      <c r="K459" s="359" t="str">
        <f>IFERROR(VLOOKUP($A459,#REF!,4,0),AF459)</f>
        <v>INT</v>
      </c>
      <c r="L459" s="359" t="str">
        <f>IFERROR(VLOOKUP($A459,#REF!,5,0),"")</f>
        <v/>
      </c>
      <c r="M459" s="359" t="str">
        <f>IFERROR(VLOOKUP($A459,#REF!,7,0),"")</f>
        <v/>
      </c>
      <c r="N459" s="359">
        <f t="shared" si="37"/>
        <v>19</v>
      </c>
      <c r="O459" s="359" t="str">
        <f>IFERROR(VLOOKUP($A459,#REF!,6,0),"")</f>
        <v/>
      </c>
      <c r="P459" s="359" t="e">
        <f t="shared" si="38"/>
        <v>#VALUE!</v>
      </c>
      <c r="Q459" s="359" t="str">
        <f>IFERROR(VLOOKUP($A459,#REF!,10,0),"")</f>
        <v/>
      </c>
      <c r="R459" s="359" t="str">
        <f>IFERROR(VLOOKUP($A459,#REF!,11,0),"")</f>
        <v/>
      </c>
      <c r="S459" s="359" t="str">
        <f>IFERROR(VLOOKUP($A459,#REF!,13,0),"")</f>
        <v/>
      </c>
      <c r="T459" s="359" t="str">
        <f>IFERROR(VLOOKUP($A459,#REF!,14,0),"")</f>
        <v/>
      </c>
      <c r="U459" s="359" t="str">
        <f>IFERROR(VLOOKUP($A459,#REF!,15,0),"")</f>
        <v/>
      </c>
      <c r="V459" s="359" t="str">
        <f>IFERROR(VLOOKUP($A459,#REF!,16,0),"")</f>
        <v/>
      </c>
      <c r="W459" s="359" t="str">
        <f>IFERROR(VLOOKUP($A459,#REF!,17,0),"")</f>
        <v/>
      </c>
      <c r="X459" s="359" t="str">
        <f>IFERROR(VLOOKUP($A459,#REF!,18,0),"")</f>
        <v/>
      </c>
      <c r="Y459" s="359" t="str">
        <f>IFERROR(VLOOKUP($A459,#REF!,19,0),"")</f>
        <v/>
      </c>
      <c r="Z459" s="400" t="str">
        <f>IFERROR(VLOOKUP($A459,#REF!,21,0),"")</f>
        <v/>
      </c>
      <c r="AA459" s="358"/>
      <c r="AB459" s="358"/>
      <c r="AC459" s="358" t="s">
        <v>1077</v>
      </c>
      <c r="AD459" s="358" t="s">
        <v>1138</v>
      </c>
      <c r="AE459" s="141" t="s">
        <v>3807</v>
      </c>
      <c r="AF459" s="141" t="s">
        <v>3077</v>
      </c>
      <c r="AG459" s="141" t="s">
        <v>3808</v>
      </c>
      <c r="AH459" s="358" t="s">
        <v>3794</v>
      </c>
      <c r="AI459" s="358" t="s">
        <v>3794</v>
      </c>
      <c r="AJ459" s="277" t="s">
        <v>3761</v>
      </c>
      <c r="AK459" s="277"/>
      <c r="AL459" s="277"/>
      <c r="AM459" s="277"/>
      <c r="AN459" s="331" t="s">
        <v>2863</v>
      </c>
      <c r="AO459" s="120"/>
      <c r="AP459" s="120"/>
      <c r="AQ459" s="313"/>
      <c r="AR459" s="119"/>
      <c r="AS459" s="22"/>
      <c r="AT459" s="22"/>
      <c r="AU459" s="22"/>
      <c r="AV459" s="237" t="s">
        <v>30</v>
      </c>
      <c r="AW459" s="82" t="s">
        <v>30</v>
      </c>
      <c r="AX459" s="82"/>
      <c r="AY459" s="82"/>
      <c r="AZ459" s="82"/>
      <c r="BA459" s="82"/>
      <c r="BB459" s="82"/>
      <c r="BC459" s="82"/>
      <c r="BD459" s="82"/>
      <c r="BE459" s="82"/>
      <c r="BF459" s="82"/>
      <c r="BG459" s="112"/>
      <c r="BH459" s="112"/>
      <c r="BI459" s="112"/>
      <c r="BJ459" s="112"/>
      <c r="BK459" s="82"/>
      <c r="BL459" s="82"/>
      <c r="BM459"/>
      <c r="BN459" s="412"/>
      <c r="BO459" s="412"/>
      <c r="BP459" s="412"/>
      <c r="BQ459" s="412"/>
      <c r="BR459" s="412"/>
      <c r="BS459" s="96"/>
      <c r="BT459" s="96"/>
      <c r="BU459" s="96"/>
      <c r="BV459" s="96"/>
      <c r="BW459"/>
      <c r="BX459"/>
      <c r="BY459"/>
      <c r="BZ459">
        <f t="shared" si="40"/>
        <v>1</v>
      </c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</row>
    <row r="460" spans="1:123" s="272" customFormat="1" hidden="1">
      <c r="A460" s="35" t="str">
        <f t="shared" si="36"/>
        <v>M201/2646102</v>
      </c>
      <c r="B460" s="35"/>
      <c r="C460" s="358" t="s">
        <v>24</v>
      </c>
      <c r="D460" s="358">
        <v>457</v>
      </c>
      <c r="E460" s="141" t="s">
        <v>3809</v>
      </c>
      <c r="F460" s="358" t="s">
        <v>34</v>
      </c>
      <c r="G460" s="384">
        <v>46102</v>
      </c>
      <c r="H460" s="358" t="s">
        <v>3810</v>
      </c>
      <c r="I460" s="358">
        <v>10</v>
      </c>
      <c r="J460" s="359" t="str">
        <f>IFERROR(VLOOKUP($A460,#REF!,3,0),"")</f>
        <v/>
      </c>
      <c r="K460" s="359" t="str">
        <f>IFERROR(VLOOKUP($A460,#REF!,4,0),AF460)</f>
        <v>INT</v>
      </c>
      <c r="L460" s="359" t="str">
        <f>IFERROR(VLOOKUP($A460,#REF!,5,0),"")</f>
        <v/>
      </c>
      <c r="M460" s="359" t="str">
        <f>IFERROR(VLOOKUP($A460,#REF!,7,0),"")</f>
        <v/>
      </c>
      <c r="N460" s="359">
        <f t="shared" si="37"/>
        <v>10</v>
      </c>
      <c r="O460" s="359" t="str">
        <f>IFERROR(VLOOKUP($A460,#REF!,6,0),"")</f>
        <v/>
      </c>
      <c r="P460" s="359" t="e">
        <f t="shared" si="38"/>
        <v>#VALUE!</v>
      </c>
      <c r="Q460" s="359" t="str">
        <f>IFERROR(VLOOKUP($A460,#REF!,10,0),"")</f>
        <v/>
      </c>
      <c r="R460" s="359" t="str">
        <f>IFERROR(VLOOKUP($A460,#REF!,11,0),"")</f>
        <v/>
      </c>
      <c r="S460" s="359" t="str">
        <f>IFERROR(VLOOKUP($A460,#REF!,13,0),"")</f>
        <v/>
      </c>
      <c r="T460" s="359" t="str">
        <f>IFERROR(VLOOKUP($A460,#REF!,14,0),"")</f>
        <v/>
      </c>
      <c r="U460" s="359" t="str">
        <f>IFERROR(VLOOKUP($A460,#REF!,15,0),"")</f>
        <v/>
      </c>
      <c r="V460" s="359" t="str">
        <f>IFERROR(VLOOKUP($A460,#REF!,16,0),"")</f>
        <v/>
      </c>
      <c r="W460" s="359" t="str">
        <f>IFERROR(VLOOKUP($A460,#REF!,17,0),"")</f>
        <v/>
      </c>
      <c r="X460" s="359" t="str">
        <f>IFERROR(VLOOKUP($A460,#REF!,18,0),"")</f>
        <v/>
      </c>
      <c r="Y460" s="359" t="str">
        <f>IFERROR(VLOOKUP($A460,#REF!,19,0),"")</f>
        <v/>
      </c>
      <c r="Z460" s="400" t="str">
        <f>IFERROR(VLOOKUP($A460,#REF!,21,0),"")</f>
        <v/>
      </c>
      <c r="AA460" s="358"/>
      <c r="AB460" s="358"/>
      <c r="AC460" s="358" t="s">
        <v>1077</v>
      </c>
      <c r="AD460" s="358" t="s">
        <v>1138</v>
      </c>
      <c r="AE460" s="93" t="s">
        <v>3811</v>
      </c>
      <c r="AF460" s="141" t="s">
        <v>3077</v>
      </c>
      <c r="AG460" s="141" t="s">
        <v>2135</v>
      </c>
      <c r="AH460" s="358" t="s">
        <v>3794</v>
      </c>
      <c r="AI460" s="358" t="s">
        <v>3794</v>
      </c>
      <c r="AJ460" s="277" t="s">
        <v>2083</v>
      </c>
      <c r="AK460" s="277"/>
      <c r="AL460" s="277"/>
      <c r="AM460" s="277"/>
      <c r="AN460" s="120"/>
      <c r="AO460" s="120"/>
      <c r="AP460" s="120"/>
      <c r="AQ460" s="313"/>
      <c r="AR460" s="119"/>
      <c r="AS460" s="22"/>
      <c r="AT460" s="22"/>
      <c r="AU460" s="22"/>
      <c r="AV460" s="82" t="s">
        <v>30</v>
      </c>
      <c r="AW460" s="82" t="s">
        <v>30</v>
      </c>
      <c r="AX460" s="82"/>
      <c r="AY460" s="82"/>
      <c r="AZ460" s="82"/>
      <c r="BA460" s="82"/>
      <c r="BB460" s="82"/>
      <c r="BC460" s="82"/>
      <c r="BD460" s="82"/>
      <c r="BE460" s="82"/>
      <c r="BF460" s="82"/>
      <c r="BG460" s="112"/>
      <c r="BH460" s="112"/>
      <c r="BI460" s="112"/>
      <c r="BJ460" s="112"/>
      <c r="BK460" s="82"/>
      <c r="BL460" s="82"/>
      <c r="BM460"/>
      <c r="BN460" s="412"/>
      <c r="BO460" s="412"/>
      <c r="BP460" s="412"/>
      <c r="BQ460" s="412"/>
      <c r="BR460" s="412"/>
      <c r="BS460" s="96"/>
      <c r="BT460" s="96"/>
      <c r="BU460" s="96"/>
      <c r="BV460" s="96"/>
      <c r="BW460"/>
      <c r="BX460"/>
      <c r="BY460"/>
      <c r="BZ460">
        <f t="shared" si="40"/>
        <v>1</v>
      </c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</row>
    <row r="461" spans="1:123" s="272" customFormat="1" hidden="1">
      <c r="A461" s="35" t="str">
        <f t="shared" si="36"/>
        <v>082/2646102</v>
      </c>
      <c r="B461" s="35"/>
      <c r="C461" s="358" t="s">
        <v>24</v>
      </c>
      <c r="D461" s="358">
        <v>458</v>
      </c>
      <c r="E461" s="141" t="s">
        <v>3812</v>
      </c>
      <c r="F461" s="141" t="s">
        <v>34</v>
      </c>
      <c r="G461" s="128">
        <v>46102</v>
      </c>
      <c r="H461" s="141" t="s">
        <v>1972</v>
      </c>
      <c r="I461" s="141">
        <v>7</v>
      </c>
      <c r="J461" s="359" t="str">
        <f>IFERROR(VLOOKUP($A461,#REF!,3,0),"")</f>
        <v/>
      </c>
      <c r="K461" s="359" t="str">
        <f>IFERROR(VLOOKUP($A461,#REF!,4,0),AF461)</f>
        <v>INT</v>
      </c>
      <c r="L461" s="359" t="str">
        <f>IFERROR(VLOOKUP($A461,#REF!,5,0),"")</f>
        <v/>
      </c>
      <c r="M461" s="359" t="str">
        <f>IFERROR(VLOOKUP($A461,#REF!,7,0),"")</f>
        <v/>
      </c>
      <c r="N461" s="359">
        <f t="shared" si="37"/>
        <v>10</v>
      </c>
      <c r="O461" s="359" t="str">
        <f>IFERROR(VLOOKUP($A461,#REF!,6,0),"")</f>
        <v/>
      </c>
      <c r="P461" s="359" t="e">
        <f t="shared" si="38"/>
        <v>#VALUE!</v>
      </c>
      <c r="Q461" s="359" t="str">
        <f>IFERROR(VLOOKUP($A461,#REF!,10,0),"")</f>
        <v/>
      </c>
      <c r="R461" s="359" t="str">
        <f>IFERROR(VLOOKUP($A461,#REF!,11,0),"")</f>
        <v/>
      </c>
      <c r="S461" s="359" t="str">
        <f>IFERROR(VLOOKUP($A461,#REF!,13,0),"")</f>
        <v/>
      </c>
      <c r="T461" s="359" t="str">
        <f>IFERROR(VLOOKUP($A461,#REF!,14,0),"")</f>
        <v/>
      </c>
      <c r="U461" s="359" t="str">
        <f>IFERROR(VLOOKUP($A461,#REF!,15,0),"")</f>
        <v/>
      </c>
      <c r="V461" s="359" t="str">
        <f>IFERROR(VLOOKUP($A461,#REF!,16,0),"")</f>
        <v/>
      </c>
      <c r="W461" s="359" t="str">
        <f>IFERROR(VLOOKUP($A461,#REF!,17,0),"")</f>
        <v/>
      </c>
      <c r="X461" s="359" t="str">
        <f>IFERROR(VLOOKUP($A461,#REF!,18,0),"")</f>
        <v/>
      </c>
      <c r="Y461" s="359" t="str">
        <f>IFERROR(VLOOKUP($A461,#REF!,19,0),"")</f>
        <v/>
      </c>
      <c r="Z461" s="400" t="str">
        <f>IFERROR(VLOOKUP($A461,#REF!,21,0),"")</f>
        <v/>
      </c>
      <c r="AA461" s="141"/>
      <c r="AB461" s="141"/>
      <c r="AC461" s="141" t="s">
        <v>1721</v>
      </c>
      <c r="AD461" s="141" t="s">
        <v>127</v>
      </c>
      <c r="AE461" s="141"/>
      <c r="AF461" s="141" t="s">
        <v>3077</v>
      </c>
      <c r="AG461" s="141" t="s">
        <v>3623</v>
      </c>
      <c r="AH461" s="358" t="s">
        <v>3794</v>
      </c>
      <c r="AI461" s="358" t="s">
        <v>3794</v>
      </c>
      <c r="AJ461" s="277" t="s">
        <v>2050</v>
      </c>
      <c r="AK461" s="277"/>
      <c r="AL461" s="277"/>
      <c r="AM461" s="277"/>
      <c r="AN461" s="120"/>
      <c r="AO461" s="120"/>
      <c r="AP461" s="120"/>
      <c r="AQ461" s="313"/>
      <c r="AR461" s="119"/>
      <c r="AS461" s="22"/>
      <c r="AT461" s="22"/>
      <c r="AU461" s="22"/>
      <c r="AV461" s="22"/>
      <c r="AW461" s="82" t="s">
        <v>30</v>
      </c>
      <c r="AX461" s="82"/>
      <c r="AY461" s="82"/>
      <c r="AZ461" s="82"/>
      <c r="BA461" s="82"/>
      <c r="BB461" s="82"/>
      <c r="BC461" s="82"/>
      <c r="BD461" s="82"/>
      <c r="BE461" s="82"/>
      <c r="BF461" s="82"/>
      <c r="BG461" s="112"/>
      <c r="BH461" s="112"/>
      <c r="BI461" s="112"/>
      <c r="BJ461" s="112"/>
      <c r="BK461" s="82"/>
      <c r="BL461" s="82"/>
      <c r="BM461"/>
      <c r="BN461" s="412"/>
      <c r="BO461" s="412"/>
      <c r="BP461" s="412"/>
      <c r="BQ461" s="412"/>
      <c r="BR461" s="412"/>
      <c r="BS461" s="96"/>
      <c r="BT461" s="96"/>
      <c r="BU461" s="96"/>
      <c r="BV461" s="96"/>
      <c r="BW461"/>
      <c r="BX461"/>
      <c r="BY461"/>
      <c r="BZ461">
        <f t="shared" si="40"/>
        <v>1</v>
      </c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</row>
    <row r="462" spans="1:123" s="272" customFormat="1" hidden="1">
      <c r="A462" s="35" t="str">
        <f t="shared" si="36"/>
        <v>M219/26 46102</v>
      </c>
      <c r="B462" s="35"/>
      <c r="C462" s="358" t="s">
        <v>24</v>
      </c>
      <c r="D462" s="358">
        <v>459</v>
      </c>
      <c r="E462" s="141" t="s">
        <v>3813</v>
      </c>
      <c r="F462" s="358" t="s">
        <v>34</v>
      </c>
      <c r="G462" s="384">
        <v>46102</v>
      </c>
      <c r="H462" s="358" t="s">
        <v>3814</v>
      </c>
      <c r="I462" s="358">
        <v>2</v>
      </c>
      <c r="J462" s="359" t="str">
        <f>IFERROR(VLOOKUP($A462,#REF!,3,0),"")</f>
        <v/>
      </c>
      <c r="K462" s="359" t="str">
        <f>IFERROR(VLOOKUP($A462,#REF!,4,0),AF462)</f>
        <v>INT</v>
      </c>
      <c r="L462" s="359" t="str">
        <f>IFERROR(VLOOKUP($A462,#REF!,5,0),"")</f>
        <v/>
      </c>
      <c r="M462" s="359" t="str">
        <f>IFERROR(VLOOKUP($A462,#REF!,7,0),"")</f>
        <v/>
      </c>
      <c r="N462" s="359">
        <f t="shared" si="37"/>
        <v>10</v>
      </c>
      <c r="O462" s="359" t="str">
        <f>IFERROR(VLOOKUP($A462,#REF!,6,0),"")</f>
        <v/>
      </c>
      <c r="P462" s="359" t="e">
        <f t="shared" si="38"/>
        <v>#VALUE!</v>
      </c>
      <c r="Q462" s="359" t="str">
        <f>IFERROR(VLOOKUP($A462,#REF!,10,0),"")</f>
        <v/>
      </c>
      <c r="R462" s="359" t="str">
        <f>IFERROR(VLOOKUP($A462,#REF!,11,0),"")</f>
        <v/>
      </c>
      <c r="S462" s="359" t="str">
        <f>IFERROR(VLOOKUP($A462,#REF!,13,0),"")</f>
        <v/>
      </c>
      <c r="T462" s="359" t="str">
        <f>IFERROR(VLOOKUP($A462,#REF!,14,0),"")</f>
        <v/>
      </c>
      <c r="U462" s="359" t="str">
        <f>IFERROR(VLOOKUP($A462,#REF!,15,0),"")</f>
        <v/>
      </c>
      <c r="V462" s="359" t="str">
        <f>IFERROR(VLOOKUP($A462,#REF!,16,0),"")</f>
        <v/>
      </c>
      <c r="W462" s="359" t="str">
        <f>IFERROR(VLOOKUP($A462,#REF!,17,0),"")</f>
        <v/>
      </c>
      <c r="X462" s="359" t="str">
        <f>IFERROR(VLOOKUP($A462,#REF!,18,0),"")</f>
        <v/>
      </c>
      <c r="Y462" s="359" t="str">
        <f>IFERROR(VLOOKUP($A462,#REF!,19,0),"")</f>
        <v/>
      </c>
      <c r="Z462" s="400" t="str">
        <f>IFERROR(VLOOKUP($A462,#REF!,21,0),"")</f>
        <v/>
      </c>
      <c r="AA462" s="358"/>
      <c r="AB462" s="358"/>
      <c r="AC462" s="358" t="s">
        <v>1076</v>
      </c>
      <c r="AD462" s="358" t="s">
        <v>3357</v>
      </c>
      <c r="AE462" s="358"/>
      <c r="AF462" s="141" t="s">
        <v>3077</v>
      </c>
      <c r="AG462" s="141" t="s">
        <v>2123</v>
      </c>
      <c r="AH462" s="358" t="s">
        <v>3789</v>
      </c>
      <c r="AI462" s="358" t="s">
        <v>3789</v>
      </c>
      <c r="AJ462" s="311" t="s">
        <v>3815</v>
      </c>
      <c r="AK462" s="311"/>
      <c r="AL462" s="311"/>
      <c r="AM462" s="311"/>
      <c r="AN462" s="120"/>
      <c r="AO462" s="120"/>
      <c r="AP462" s="120"/>
      <c r="AQ462" s="313"/>
      <c r="AR462" s="119"/>
      <c r="AS462" s="22"/>
      <c r="AT462" s="22"/>
      <c r="AU462" s="22"/>
      <c r="AV462" s="2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112"/>
      <c r="BH462" s="112"/>
      <c r="BI462" s="112"/>
      <c r="BJ462" s="112"/>
      <c r="BK462" s="82"/>
      <c r="BL462" s="82"/>
      <c r="BM462"/>
      <c r="BN462" s="412"/>
      <c r="BO462" s="412"/>
      <c r="BP462" s="412"/>
      <c r="BQ462" s="412"/>
      <c r="BR462" s="412"/>
      <c r="BS462" s="96"/>
      <c r="BT462" s="96"/>
      <c r="BU462" s="96"/>
      <c r="BV462" s="96"/>
      <c r="BW462"/>
      <c r="BX462"/>
      <c r="BY462"/>
      <c r="BZ462">
        <f t="shared" si="40"/>
        <v>1</v>
      </c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</row>
    <row r="463" spans="1:123" s="272" customFormat="1" hidden="1">
      <c r="A463" s="35" t="str">
        <f t="shared" si="36"/>
        <v>080/2646102</v>
      </c>
      <c r="B463" s="35"/>
      <c r="C463" s="358" t="s">
        <v>24</v>
      </c>
      <c r="D463" s="358">
        <v>460</v>
      </c>
      <c r="E463" s="141" t="s">
        <v>3816</v>
      </c>
      <c r="F463" s="358" t="s">
        <v>34</v>
      </c>
      <c r="G463" s="384">
        <v>46102</v>
      </c>
      <c r="H463" s="372" t="s">
        <v>401</v>
      </c>
      <c r="I463" s="358">
        <v>9</v>
      </c>
      <c r="J463" s="359" t="str">
        <f>IFERROR(VLOOKUP($A463,#REF!,3,0),"")</f>
        <v/>
      </c>
      <c r="K463" s="359" t="str">
        <f>IFERROR(VLOOKUP($A463,#REF!,4,0),AF463)</f>
        <v>INT</v>
      </c>
      <c r="L463" s="359" t="str">
        <f>IFERROR(VLOOKUP($A463,#REF!,5,0),"")</f>
        <v/>
      </c>
      <c r="M463" s="359" t="str">
        <f>IFERROR(VLOOKUP($A463,#REF!,7,0),"")</f>
        <v/>
      </c>
      <c r="N463" s="359">
        <f t="shared" si="37"/>
        <v>10</v>
      </c>
      <c r="O463" s="359" t="str">
        <f>IFERROR(VLOOKUP($A463,#REF!,6,0),"")</f>
        <v/>
      </c>
      <c r="P463" s="359" t="e">
        <f t="shared" si="38"/>
        <v>#VALUE!</v>
      </c>
      <c r="Q463" s="359" t="str">
        <f>IFERROR(VLOOKUP($A463,#REF!,10,0),"")</f>
        <v/>
      </c>
      <c r="R463" s="359" t="str">
        <f>IFERROR(VLOOKUP($A463,#REF!,11,0),"")</f>
        <v/>
      </c>
      <c r="S463" s="359" t="str">
        <f>IFERROR(VLOOKUP($A463,#REF!,13,0),"")</f>
        <v/>
      </c>
      <c r="T463" s="359" t="str">
        <f>IFERROR(VLOOKUP($A463,#REF!,14,0),"")</f>
        <v/>
      </c>
      <c r="U463" s="359" t="str">
        <f>IFERROR(VLOOKUP($A463,#REF!,15,0),"")</f>
        <v/>
      </c>
      <c r="V463" s="359" t="str">
        <f>IFERROR(VLOOKUP($A463,#REF!,16,0),"")</f>
        <v/>
      </c>
      <c r="W463" s="359" t="str">
        <f>IFERROR(VLOOKUP($A463,#REF!,17,0),"")</f>
        <v/>
      </c>
      <c r="X463" s="359" t="str">
        <f>IFERROR(VLOOKUP($A463,#REF!,18,0),"")</f>
        <v/>
      </c>
      <c r="Y463" s="359" t="str">
        <f>IFERROR(VLOOKUP($A463,#REF!,19,0),"")</f>
        <v/>
      </c>
      <c r="Z463" s="400" t="str">
        <f>IFERROR(VLOOKUP($A463,#REF!,21,0),"")</f>
        <v/>
      </c>
      <c r="AA463" s="358"/>
      <c r="AB463" s="358"/>
      <c r="AC463" s="358" t="s">
        <v>1721</v>
      </c>
      <c r="AD463" s="358" t="s">
        <v>1638</v>
      </c>
      <c r="AE463" s="358"/>
      <c r="AF463" s="141" t="s">
        <v>3077</v>
      </c>
      <c r="AG463" s="141" t="s">
        <v>2123</v>
      </c>
      <c r="AH463" s="358" t="s">
        <v>3789</v>
      </c>
      <c r="AI463" s="358" t="s">
        <v>3789</v>
      </c>
      <c r="AJ463" s="33" t="s">
        <v>401</v>
      </c>
      <c r="AK463" s="33"/>
      <c r="AL463" s="33"/>
      <c r="AM463" s="33"/>
      <c r="AN463" s="120"/>
      <c r="AO463" s="120"/>
      <c r="AP463" s="120"/>
      <c r="AQ463" s="313"/>
      <c r="AR463" s="119"/>
      <c r="AS463" s="22"/>
      <c r="AT463" s="22"/>
      <c r="AU463" s="22"/>
      <c r="AV463" s="2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112"/>
      <c r="BH463" s="112"/>
      <c r="BI463" s="112"/>
      <c r="BJ463" s="112"/>
      <c r="BK463" s="82"/>
      <c r="BL463" s="82"/>
      <c r="BM463"/>
      <c r="BN463" s="412"/>
      <c r="BO463" s="412"/>
      <c r="BP463" s="412"/>
      <c r="BQ463" s="412"/>
      <c r="BR463" s="412"/>
      <c r="BS463" s="96"/>
      <c r="BT463" s="96"/>
      <c r="BU463" s="96"/>
      <c r="BV463" s="96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</row>
    <row r="464" spans="1:123" s="272" customFormat="1" hidden="1">
      <c r="A464" s="35" t="str">
        <f t="shared" si="36"/>
        <v>008/2646102</v>
      </c>
      <c r="B464" s="35"/>
      <c r="C464" s="358" t="s">
        <v>24</v>
      </c>
      <c r="D464" s="358">
        <v>461</v>
      </c>
      <c r="E464" s="141" t="s">
        <v>3442</v>
      </c>
      <c r="F464" s="358" t="s">
        <v>34</v>
      </c>
      <c r="G464" s="384">
        <v>46102</v>
      </c>
      <c r="H464" s="358" t="s">
        <v>324</v>
      </c>
      <c r="I464" s="358">
        <v>11</v>
      </c>
      <c r="J464" s="359" t="str">
        <f>IFERROR(VLOOKUP($A464,#REF!,3,0),"")</f>
        <v/>
      </c>
      <c r="K464" s="359" t="str">
        <f>IFERROR(VLOOKUP($A464,#REF!,4,0),AF464)</f>
        <v>INT</v>
      </c>
      <c r="L464" s="359" t="str">
        <f>IFERROR(VLOOKUP($A464,#REF!,5,0),"")</f>
        <v/>
      </c>
      <c r="M464" s="359" t="str">
        <f>IFERROR(VLOOKUP($A464,#REF!,7,0),"")</f>
        <v/>
      </c>
      <c r="N464" s="359">
        <f t="shared" si="37"/>
        <v>11</v>
      </c>
      <c r="O464" s="359" t="str">
        <f>IFERROR(VLOOKUP($A464,#REF!,6,0),"")</f>
        <v/>
      </c>
      <c r="P464" s="359" t="e">
        <f t="shared" si="38"/>
        <v>#VALUE!</v>
      </c>
      <c r="Q464" s="359" t="str">
        <f>IFERROR(VLOOKUP($A464,#REF!,10,0),"")</f>
        <v/>
      </c>
      <c r="R464" s="359" t="str">
        <f>IFERROR(VLOOKUP($A464,#REF!,11,0),"")</f>
        <v/>
      </c>
      <c r="S464" s="359" t="str">
        <f>IFERROR(VLOOKUP($A464,#REF!,13,0),"")</f>
        <v/>
      </c>
      <c r="T464" s="359" t="str">
        <f>IFERROR(VLOOKUP($A464,#REF!,14,0),"")</f>
        <v/>
      </c>
      <c r="U464" s="359" t="str">
        <f>IFERROR(VLOOKUP($A464,#REF!,15,0),"")</f>
        <v/>
      </c>
      <c r="V464" s="359" t="str">
        <f>IFERROR(VLOOKUP($A464,#REF!,16,0),"")</f>
        <v/>
      </c>
      <c r="W464" s="359" t="str">
        <f>IFERROR(VLOOKUP($A464,#REF!,17,0),"")</f>
        <v/>
      </c>
      <c r="X464" s="359" t="str">
        <f>IFERROR(VLOOKUP($A464,#REF!,18,0),"")</f>
        <v/>
      </c>
      <c r="Y464" s="359" t="str">
        <f>IFERROR(VLOOKUP($A464,#REF!,19,0),"")</f>
        <v/>
      </c>
      <c r="Z464" s="400" t="str">
        <f>IFERROR(VLOOKUP($A464,#REF!,21,0),"")</f>
        <v/>
      </c>
      <c r="AA464" s="358"/>
      <c r="AB464" s="358"/>
      <c r="AC464" s="358" t="s">
        <v>1721</v>
      </c>
      <c r="AD464" s="358" t="s">
        <v>1638</v>
      </c>
      <c r="AE464" s="141"/>
      <c r="AF464" s="141" t="s">
        <v>3077</v>
      </c>
      <c r="AG464" s="141" t="s">
        <v>3817</v>
      </c>
      <c r="AH464" s="358" t="s">
        <v>3794</v>
      </c>
      <c r="AI464" s="358" t="s">
        <v>3789</v>
      </c>
      <c r="AJ464" s="277" t="s">
        <v>2083</v>
      </c>
      <c r="AK464" s="277"/>
      <c r="AL464" s="277"/>
      <c r="AM464" s="277"/>
      <c r="AN464" s="120"/>
      <c r="AO464" s="120"/>
      <c r="AP464" s="120"/>
      <c r="AQ464" s="313"/>
      <c r="AR464" s="119"/>
      <c r="AS464" s="22"/>
      <c r="AT464" s="22"/>
      <c r="AU464" s="22"/>
      <c r="AV464" s="22"/>
      <c r="AW464" s="82" t="s">
        <v>30</v>
      </c>
      <c r="AX464" s="82"/>
      <c r="AY464" s="82"/>
      <c r="AZ464" s="82"/>
      <c r="BA464" s="82"/>
      <c r="BB464" s="82"/>
      <c r="BC464" s="82"/>
      <c r="BD464" s="82"/>
      <c r="BE464" s="82"/>
      <c r="BF464" s="82"/>
      <c r="BG464" s="112"/>
      <c r="BH464" s="112"/>
      <c r="BI464" s="112"/>
      <c r="BJ464" s="112"/>
      <c r="BK464" s="82"/>
      <c r="BL464" s="82"/>
      <c r="BM464"/>
      <c r="BN464" s="412"/>
      <c r="BO464" s="412"/>
      <c r="BP464" s="412"/>
      <c r="BQ464" s="412"/>
      <c r="BR464" s="412"/>
      <c r="BS464" s="96"/>
      <c r="BT464" s="96"/>
      <c r="BU464" s="96"/>
      <c r="BV464" s="96"/>
      <c r="BW464"/>
      <c r="BX464"/>
      <c r="BY464"/>
      <c r="BZ464">
        <f t="shared" si="40"/>
        <v>1</v>
      </c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</row>
    <row r="465" spans="1:123" s="272" customFormat="1" hidden="1">
      <c r="A465" s="35" t="str">
        <f t="shared" si="36"/>
        <v>M155/2646102</v>
      </c>
      <c r="B465" s="35"/>
      <c r="C465" s="358" t="s">
        <v>24</v>
      </c>
      <c r="D465" s="358">
        <v>462</v>
      </c>
      <c r="E465" s="141" t="s">
        <v>3818</v>
      </c>
      <c r="F465" s="358" t="s">
        <v>34</v>
      </c>
      <c r="G465" s="384">
        <v>46102</v>
      </c>
      <c r="H465" s="358" t="s">
        <v>324</v>
      </c>
      <c r="I465" s="358">
        <v>8</v>
      </c>
      <c r="J465" s="359" t="str">
        <f>IFERROR(VLOOKUP($A465,#REF!,3,0),"")</f>
        <v/>
      </c>
      <c r="K465" s="359" t="str">
        <f>IFERROR(VLOOKUP($A465,#REF!,4,0),AF465)</f>
        <v>INT</v>
      </c>
      <c r="L465" s="359" t="str">
        <f>IFERROR(VLOOKUP($A465,#REF!,5,0),"")</f>
        <v/>
      </c>
      <c r="M465" s="359" t="str">
        <f>IFERROR(VLOOKUP($A465,#REF!,7,0),"")</f>
        <v/>
      </c>
      <c r="N465" s="359">
        <f t="shared" si="37"/>
        <v>10</v>
      </c>
      <c r="O465" s="359" t="str">
        <f>IFERROR(VLOOKUP($A465,#REF!,6,0),"")</f>
        <v/>
      </c>
      <c r="P465" s="359" t="e">
        <f t="shared" si="38"/>
        <v>#VALUE!</v>
      </c>
      <c r="Q465" s="359" t="str">
        <f>IFERROR(VLOOKUP($A465,#REF!,10,0),"")</f>
        <v/>
      </c>
      <c r="R465" s="359" t="str">
        <f>IFERROR(VLOOKUP($A465,#REF!,11,0),"")</f>
        <v/>
      </c>
      <c r="S465" s="359" t="str">
        <f>IFERROR(VLOOKUP($A465,#REF!,13,0),"")</f>
        <v/>
      </c>
      <c r="T465" s="359" t="str">
        <f>IFERROR(VLOOKUP($A465,#REF!,14,0),"")</f>
        <v/>
      </c>
      <c r="U465" s="359" t="str">
        <f>IFERROR(VLOOKUP($A465,#REF!,15,0),"")</f>
        <v/>
      </c>
      <c r="V465" s="359" t="str">
        <f>IFERROR(VLOOKUP($A465,#REF!,16,0),"")</f>
        <v/>
      </c>
      <c r="W465" s="359" t="str">
        <f>IFERROR(VLOOKUP($A465,#REF!,17,0),"")</f>
        <v/>
      </c>
      <c r="X465" s="359" t="str">
        <f>IFERROR(VLOOKUP($A465,#REF!,18,0),"")</f>
        <v/>
      </c>
      <c r="Y465" s="359" t="str">
        <f>IFERROR(VLOOKUP($A465,#REF!,19,0),"")</f>
        <v/>
      </c>
      <c r="Z465" s="400" t="str">
        <f>IFERROR(VLOOKUP($A465,#REF!,21,0),"")</f>
        <v/>
      </c>
      <c r="AA465" s="358"/>
      <c r="AB465" s="358"/>
      <c r="AC465" s="358" t="s">
        <v>2391</v>
      </c>
      <c r="AD465" s="358" t="s">
        <v>3651</v>
      </c>
      <c r="AE465" s="141"/>
      <c r="AF465" s="141" t="s">
        <v>3077</v>
      </c>
      <c r="AG465" s="141" t="s">
        <v>3817</v>
      </c>
      <c r="AH465" s="358" t="s">
        <v>3794</v>
      </c>
      <c r="AI465" s="358" t="s">
        <v>3789</v>
      </c>
      <c r="AJ465" s="310" t="s">
        <v>401</v>
      </c>
      <c r="AK465" s="310"/>
      <c r="AL465" s="310"/>
      <c r="AM465" s="310"/>
      <c r="AN465" s="120"/>
      <c r="AO465" s="120"/>
      <c r="AP465" s="120"/>
      <c r="AQ465" s="313"/>
      <c r="AR465" s="119"/>
      <c r="AS465" s="22"/>
      <c r="AT465" s="22"/>
      <c r="AU465" s="22"/>
      <c r="AV465" s="22"/>
      <c r="AW465" s="82" t="s">
        <v>30</v>
      </c>
      <c r="AX465" s="82"/>
      <c r="AY465" s="82"/>
      <c r="AZ465" s="82"/>
      <c r="BA465" s="82"/>
      <c r="BB465" s="82"/>
      <c r="BC465" s="82"/>
      <c r="BD465" s="82"/>
      <c r="BE465" s="82"/>
      <c r="BF465" s="82"/>
      <c r="BG465" s="112"/>
      <c r="BH465" s="112"/>
      <c r="BI465" s="112"/>
      <c r="BJ465" s="112"/>
      <c r="BK465" s="82"/>
      <c r="BL465" s="82"/>
      <c r="BM465"/>
      <c r="BN465" s="412"/>
      <c r="BO465" s="412"/>
      <c r="BP465" s="412"/>
      <c r="BQ465" s="412"/>
      <c r="BR465" s="412"/>
      <c r="BS465" s="96"/>
      <c r="BT465" s="96"/>
      <c r="BU465" s="96"/>
      <c r="BV465" s="96"/>
      <c r="BW465"/>
      <c r="BX465"/>
      <c r="BY465"/>
      <c r="BZ465">
        <f t="shared" si="40"/>
        <v>1</v>
      </c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</row>
    <row r="466" spans="1:123" s="272" customFormat="1" hidden="1">
      <c r="A466" s="35" t="str">
        <f t="shared" si="36"/>
        <v>029/2646102</v>
      </c>
      <c r="B466" s="35"/>
      <c r="C466" s="358" t="s">
        <v>24</v>
      </c>
      <c r="D466" s="358">
        <v>463</v>
      </c>
      <c r="E466" s="141" t="s">
        <v>3819</v>
      </c>
      <c r="F466" s="358" t="s">
        <v>34</v>
      </c>
      <c r="G466" s="384">
        <v>46102</v>
      </c>
      <c r="H466" s="358" t="s">
        <v>1342</v>
      </c>
      <c r="I466" s="358">
        <v>9</v>
      </c>
      <c r="J466" s="359" t="str">
        <f>IFERROR(VLOOKUP($A466,#REF!,3,0),"")</f>
        <v/>
      </c>
      <c r="K466" s="359" t="str">
        <f>IFERROR(VLOOKUP($A466,#REF!,4,0),AF466)</f>
        <v>INT</v>
      </c>
      <c r="L466" s="359" t="str">
        <f>IFERROR(VLOOKUP($A466,#REF!,5,0),"")</f>
        <v/>
      </c>
      <c r="M466" s="359" t="str">
        <f>IFERROR(VLOOKUP($A466,#REF!,7,0),"")</f>
        <v/>
      </c>
      <c r="N466" s="359">
        <f t="shared" si="37"/>
        <v>10</v>
      </c>
      <c r="O466" s="359" t="str">
        <f>IFERROR(VLOOKUP($A466,#REF!,6,0),"")</f>
        <v/>
      </c>
      <c r="P466" s="359" t="e">
        <f t="shared" si="38"/>
        <v>#VALUE!</v>
      </c>
      <c r="Q466" s="359" t="str">
        <f>IFERROR(VLOOKUP($A466,#REF!,10,0),"")</f>
        <v/>
      </c>
      <c r="R466" s="359" t="str">
        <f>IFERROR(VLOOKUP($A466,#REF!,11,0),"")</f>
        <v/>
      </c>
      <c r="S466" s="359" t="str">
        <f>IFERROR(VLOOKUP($A466,#REF!,13,0),"")</f>
        <v/>
      </c>
      <c r="T466" s="359" t="str">
        <f>IFERROR(VLOOKUP($A466,#REF!,14,0),"")</f>
        <v/>
      </c>
      <c r="U466" s="359" t="str">
        <f>IFERROR(VLOOKUP($A466,#REF!,15,0),"")</f>
        <v/>
      </c>
      <c r="V466" s="359" t="str">
        <f>IFERROR(VLOOKUP($A466,#REF!,16,0),"")</f>
        <v/>
      </c>
      <c r="W466" s="359" t="str">
        <f>IFERROR(VLOOKUP($A466,#REF!,17,0),"")</f>
        <v/>
      </c>
      <c r="X466" s="359" t="str">
        <f>IFERROR(VLOOKUP($A466,#REF!,18,0),"")</f>
        <v/>
      </c>
      <c r="Y466" s="359" t="str">
        <f>IFERROR(VLOOKUP($A466,#REF!,19,0),"")</f>
        <v/>
      </c>
      <c r="Z466" s="400" t="str">
        <f>IFERROR(VLOOKUP($A466,#REF!,21,0),"")</f>
        <v/>
      </c>
      <c r="AA466" s="358"/>
      <c r="AB466" s="358"/>
      <c r="AC466" s="358" t="s">
        <v>1721</v>
      </c>
      <c r="AD466" s="358" t="s">
        <v>1638</v>
      </c>
      <c r="AE466" s="141" t="s">
        <v>3820</v>
      </c>
      <c r="AF466" s="141" t="s">
        <v>3077</v>
      </c>
      <c r="AG466" s="141" t="s">
        <v>2098</v>
      </c>
      <c r="AH466" s="141" t="s">
        <v>3786</v>
      </c>
      <c r="AI466" s="141" t="s">
        <v>3786</v>
      </c>
      <c r="AJ466" s="312" t="s">
        <v>3821</v>
      </c>
      <c r="AK466" s="312"/>
      <c r="AL466" s="312"/>
      <c r="AM466" s="312"/>
      <c r="AN466" s="120"/>
      <c r="AO466" s="120"/>
      <c r="AP466" s="120"/>
      <c r="AQ466" s="313"/>
      <c r="AR466" s="119"/>
      <c r="AS466" s="22"/>
      <c r="AT466" s="22"/>
      <c r="AU466" s="22"/>
      <c r="AV466" s="22"/>
      <c r="AW466" s="82" t="s">
        <v>30</v>
      </c>
      <c r="AX466" s="82"/>
      <c r="AY466" s="82"/>
      <c r="AZ466" s="82"/>
      <c r="BA466" s="82"/>
      <c r="BB466" s="82"/>
      <c r="BC466" s="82"/>
      <c r="BD466" s="82"/>
      <c r="BE466" s="82"/>
      <c r="BF466" s="82"/>
      <c r="BG466" s="112"/>
      <c r="BH466" s="112"/>
      <c r="BI466" s="112"/>
      <c r="BJ466" s="112"/>
      <c r="BK466" s="82"/>
      <c r="BL466" s="82"/>
      <c r="BM466"/>
      <c r="BN466" s="412"/>
      <c r="BO466" s="412"/>
      <c r="BP466" s="412"/>
      <c r="BQ466" s="412"/>
      <c r="BR466" s="412"/>
      <c r="BS466" s="96"/>
      <c r="BT466" s="96"/>
      <c r="BU466" s="96"/>
      <c r="BV466" s="96"/>
      <c r="BW466"/>
      <c r="BX466"/>
      <c r="BY466"/>
      <c r="BZ466">
        <f t="shared" si="40"/>
        <v>1</v>
      </c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</row>
    <row r="467" spans="1:123" s="272" customFormat="1" hidden="1">
      <c r="A467" s="35" t="str">
        <f t="shared" si="36"/>
        <v>M212/2646102</v>
      </c>
      <c r="B467" s="35"/>
      <c r="C467" s="358" t="s">
        <v>24</v>
      </c>
      <c r="D467" s="358">
        <v>464</v>
      </c>
      <c r="E467" s="141" t="s">
        <v>3822</v>
      </c>
      <c r="F467" s="358" t="s">
        <v>34</v>
      </c>
      <c r="G467" s="384">
        <v>46102</v>
      </c>
      <c r="H467" s="358" t="s">
        <v>1342</v>
      </c>
      <c r="I467" s="358">
        <v>4</v>
      </c>
      <c r="J467" s="359" t="str">
        <f>IFERROR(VLOOKUP($A467,#REF!,3,0),"")</f>
        <v/>
      </c>
      <c r="K467" s="359" t="str">
        <f>IFERROR(VLOOKUP($A467,#REF!,4,0),AF467)</f>
        <v>INT</v>
      </c>
      <c r="L467" s="359" t="str">
        <f>IFERROR(VLOOKUP($A467,#REF!,5,0),"")</f>
        <v/>
      </c>
      <c r="M467" s="359" t="str">
        <f>IFERROR(VLOOKUP($A467,#REF!,7,0),"")</f>
        <v/>
      </c>
      <c r="N467" s="359">
        <f t="shared" si="37"/>
        <v>10</v>
      </c>
      <c r="O467" s="359" t="str">
        <f>IFERROR(VLOOKUP($A467,#REF!,6,0),"")</f>
        <v/>
      </c>
      <c r="P467" s="359" t="e">
        <f t="shared" si="38"/>
        <v>#VALUE!</v>
      </c>
      <c r="Q467" s="359" t="str">
        <f>IFERROR(VLOOKUP($A467,#REF!,10,0),"")</f>
        <v/>
      </c>
      <c r="R467" s="359" t="str">
        <f>IFERROR(VLOOKUP($A467,#REF!,11,0),"")</f>
        <v/>
      </c>
      <c r="S467" s="359" t="str">
        <f>IFERROR(VLOOKUP($A467,#REF!,13,0),"")</f>
        <v/>
      </c>
      <c r="T467" s="359" t="str">
        <f>IFERROR(VLOOKUP($A467,#REF!,14,0),"")</f>
        <v/>
      </c>
      <c r="U467" s="359" t="str">
        <f>IFERROR(VLOOKUP($A467,#REF!,15,0),"")</f>
        <v/>
      </c>
      <c r="V467" s="359" t="str">
        <f>IFERROR(VLOOKUP($A467,#REF!,16,0),"")</f>
        <v/>
      </c>
      <c r="W467" s="359" t="str">
        <f>IFERROR(VLOOKUP($A467,#REF!,17,0),"")</f>
        <v/>
      </c>
      <c r="X467" s="359" t="str">
        <f>IFERROR(VLOOKUP($A467,#REF!,18,0),"")</f>
        <v/>
      </c>
      <c r="Y467" s="359" t="str">
        <f>IFERROR(VLOOKUP($A467,#REF!,19,0),"")</f>
        <v/>
      </c>
      <c r="Z467" s="400" t="str">
        <f>IFERROR(VLOOKUP($A467,#REF!,21,0),"")</f>
        <v/>
      </c>
      <c r="AA467" s="358"/>
      <c r="AB467" s="358"/>
      <c r="AC467" s="358" t="s">
        <v>1077</v>
      </c>
      <c r="AD467" s="358" t="s">
        <v>1138</v>
      </c>
      <c r="AE467" s="141"/>
      <c r="AF467" s="141" t="s">
        <v>3077</v>
      </c>
      <c r="AG467" s="223" t="s">
        <v>401</v>
      </c>
      <c r="AH467" s="141" t="s">
        <v>3786</v>
      </c>
      <c r="AI467" s="141" t="s">
        <v>3786</v>
      </c>
      <c r="AJ467" s="310" t="s">
        <v>401</v>
      </c>
      <c r="AK467" s="310"/>
      <c r="AL467" s="310"/>
      <c r="AM467" s="310"/>
      <c r="AN467" s="120"/>
      <c r="AO467" s="120"/>
      <c r="AP467" s="120"/>
      <c r="AQ467" s="313"/>
      <c r="AR467" s="119"/>
      <c r="AS467" s="22"/>
      <c r="AT467" s="22"/>
      <c r="AU467" s="22"/>
      <c r="AV467" s="22"/>
      <c r="AW467" s="82" t="s">
        <v>30</v>
      </c>
      <c r="AX467" s="82"/>
      <c r="AY467" s="82"/>
      <c r="AZ467" s="82"/>
      <c r="BA467" s="82"/>
      <c r="BB467" s="82"/>
      <c r="BC467" s="82"/>
      <c r="BD467" s="82"/>
      <c r="BE467" s="82"/>
      <c r="BF467" s="82"/>
      <c r="BG467" s="112"/>
      <c r="BH467" s="112"/>
      <c r="BI467" s="112"/>
      <c r="BJ467" s="112"/>
      <c r="BK467" s="82"/>
      <c r="BL467" s="82"/>
      <c r="BM467"/>
      <c r="BN467" s="412"/>
      <c r="BO467" s="412"/>
      <c r="BP467" s="412"/>
      <c r="BQ467" s="412"/>
      <c r="BR467" s="412"/>
      <c r="BS467" s="96"/>
      <c r="BT467" s="96"/>
      <c r="BU467" s="96"/>
      <c r="BV467" s="96"/>
      <c r="BW467"/>
      <c r="BX467"/>
      <c r="BY467"/>
      <c r="BZ467">
        <f t="shared" si="40"/>
        <v>1</v>
      </c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</row>
    <row r="468" spans="1:123" s="272" customFormat="1" hidden="1">
      <c r="A468" s="35" t="str">
        <f t="shared" si="36"/>
        <v>078/2646102</v>
      </c>
      <c r="B468" s="35"/>
      <c r="C468" s="358" t="s">
        <v>24</v>
      </c>
      <c r="D468" s="358">
        <v>465</v>
      </c>
      <c r="E468" s="141" t="s">
        <v>3823</v>
      </c>
      <c r="F468" s="358" t="s">
        <v>178</v>
      </c>
      <c r="G468" s="384">
        <v>46102</v>
      </c>
      <c r="H468" s="358" t="s">
        <v>65</v>
      </c>
      <c r="I468" s="358">
        <v>7</v>
      </c>
      <c r="J468" s="359" t="str">
        <f>IFERROR(VLOOKUP($A468,#REF!,3,0),"")</f>
        <v/>
      </c>
      <c r="K468" s="359" t="str">
        <f>IFERROR(VLOOKUP($A468,#REF!,4,0),AF468)</f>
        <v>INT</v>
      </c>
      <c r="L468" s="359" t="str">
        <f>IFERROR(VLOOKUP($A468,#REF!,5,0),"")</f>
        <v/>
      </c>
      <c r="M468" s="359" t="str">
        <f>IFERROR(VLOOKUP($A468,#REF!,7,0),"")</f>
        <v/>
      </c>
      <c r="N468" s="359">
        <f t="shared" si="37"/>
        <v>10</v>
      </c>
      <c r="O468" s="359" t="str">
        <f>IFERROR(VLOOKUP($A468,#REF!,6,0),"")</f>
        <v/>
      </c>
      <c r="P468" s="359" t="e">
        <f t="shared" si="38"/>
        <v>#VALUE!</v>
      </c>
      <c r="Q468" s="359" t="str">
        <f>IFERROR(VLOOKUP($A468,#REF!,10,0),"")</f>
        <v/>
      </c>
      <c r="R468" s="359" t="str">
        <f>IFERROR(VLOOKUP($A468,#REF!,11,0),"")</f>
        <v/>
      </c>
      <c r="S468" s="359" t="str">
        <f>IFERROR(VLOOKUP($A468,#REF!,13,0),"")</f>
        <v/>
      </c>
      <c r="T468" s="359" t="str">
        <f>IFERROR(VLOOKUP($A468,#REF!,14,0),"")</f>
        <v/>
      </c>
      <c r="U468" s="359" t="str">
        <f>IFERROR(VLOOKUP($A468,#REF!,15,0),"")</f>
        <v/>
      </c>
      <c r="V468" s="359" t="str">
        <f>IFERROR(VLOOKUP($A468,#REF!,16,0),"")</f>
        <v/>
      </c>
      <c r="W468" s="359" t="str">
        <f>IFERROR(VLOOKUP($A468,#REF!,17,0),"")</f>
        <v/>
      </c>
      <c r="X468" s="359" t="str">
        <f>IFERROR(VLOOKUP($A468,#REF!,18,0),"")</f>
        <v/>
      </c>
      <c r="Y468" s="359" t="str">
        <f>IFERROR(VLOOKUP($A468,#REF!,19,0),"")</f>
        <v/>
      </c>
      <c r="Z468" s="400" t="str">
        <f>IFERROR(VLOOKUP($A468,#REF!,21,0),"")</f>
        <v/>
      </c>
      <c r="AA468" s="358"/>
      <c r="AB468" s="358"/>
      <c r="AC468" s="358" t="s">
        <v>1721</v>
      </c>
      <c r="AD468" s="358" t="s">
        <v>1638</v>
      </c>
      <c r="AE468" s="141"/>
      <c r="AF468" s="141" t="s">
        <v>3077</v>
      </c>
      <c r="AG468" s="358" t="s">
        <v>2052</v>
      </c>
      <c r="AH468" s="358" t="s">
        <v>3789</v>
      </c>
      <c r="AI468" s="358" t="s">
        <v>3789</v>
      </c>
      <c r="AJ468" s="277" t="s">
        <v>3824</v>
      </c>
      <c r="AK468" s="277"/>
      <c r="AL468" s="277"/>
      <c r="AM468" s="277"/>
      <c r="AN468" s="120"/>
      <c r="AO468" s="120"/>
      <c r="AP468" s="120"/>
      <c r="AQ468" s="313"/>
      <c r="AR468" s="119"/>
      <c r="AS468" s="22"/>
      <c r="AT468" s="22"/>
      <c r="AU468" s="22"/>
      <c r="AV468" s="82" t="s">
        <v>30</v>
      </c>
      <c r="AW468" s="82" t="s">
        <v>30</v>
      </c>
      <c r="AX468" s="82"/>
      <c r="AY468" s="82"/>
      <c r="AZ468" s="82"/>
      <c r="BA468" s="82"/>
      <c r="BB468" s="82"/>
      <c r="BC468" s="82"/>
      <c r="BD468" s="82"/>
      <c r="BE468" s="82"/>
      <c r="BF468" s="82"/>
      <c r="BG468" s="112"/>
      <c r="BH468" s="112"/>
      <c r="BI468" s="112"/>
      <c r="BJ468" s="112"/>
      <c r="BK468" s="82"/>
      <c r="BL468" s="82"/>
      <c r="BM468"/>
      <c r="BN468" s="412"/>
      <c r="BO468" s="412"/>
      <c r="BP468" s="412"/>
      <c r="BQ468" s="412"/>
      <c r="BR468" s="412"/>
      <c r="BS468" s="96"/>
      <c r="BT468" s="96"/>
      <c r="BU468" s="96"/>
      <c r="BV468" s="96"/>
      <c r="BW468"/>
      <c r="BX468"/>
      <c r="BY468"/>
      <c r="BZ468">
        <f t="shared" si="40"/>
        <v>1</v>
      </c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</row>
    <row r="469" spans="1:123" s="272" customFormat="1" hidden="1">
      <c r="A469" s="35" t="str">
        <f t="shared" si="36"/>
        <v>M209/2646102</v>
      </c>
      <c r="B469" s="35"/>
      <c r="C469" s="358" t="s">
        <v>24</v>
      </c>
      <c r="D469" s="358">
        <v>466</v>
      </c>
      <c r="E469" s="141" t="s">
        <v>3825</v>
      </c>
      <c r="F469" s="358" t="s">
        <v>178</v>
      </c>
      <c r="G469" s="384">
        <v>46102</v>
      </c>
      <c r="H469" s="358" t="s">
        <v>65</v>
      </c>
      <c r="I469" s="358">
        <v>3</v>
      </c>
      <c r="J469" s="359" t="str">
        <f>IFERROR(VLOOKUP($A469,#REF!,3,0),"")</f>
        <v/>
      </c>
      <c r="K469" s="359" t="str">
        <f>IFERROR(VLOOKUP($A469,#REF!,4,0),AF469)</f>
        <v>INT</v>
      </c>
      <c r="L469" s="359" t="str">
        <f>IFERROR(VLOOKUP($A469,#REF!,5,0),"")</f>
        <v/>
      </c>
      <c r="M469" s="359" t="str">
        <f>IFERROR(VLOOKUP($A469,#REF!,7,0),"")</f>
        <v/>
      </c>
      <c r="N469" s="359">
        <f t="shared" si="37"/>
        <v>10</v>
      </c>
      <c r="O469" s="359" t="str">
        <f>IFERROR(VLOOKUP($A469,#REF!,6,0),"")</f>
        <v/>
      </c>
      <c r="P469" s="359" t="e">
        <f t="shared" si="38"/>
        <v>#VALUE!</v>
      </c>
      <c r="Q469" s="359" t="str">
        <f>IFERROR(VLOOKUP($A469,#REF!,10,0),"")</f>
        <v/>
      </c>
      <c r="R469" s="359" t="str">
        <f>IFERROR(VLOOKUP($A469,#REF!,11,0),"")</f>
        <v/>
      </c>
      <c r="S469" s="359" t="str">
        <f>IFERROR(VLOOKUP($A469,#REF!,13,0),"")</f>
        <v/>
      </c>
      <c r="T469" s="359" t="str">
        <f>IFERROR(VLOOKUP($A469,#REF!,14,0),"")</f>
        <v/>
      </c>
      <c r="U469" s="359" t="str">
        <f>IFERROR(VLOOKUP($A469,#REF!,15,0),"")</f>
        <v/>
      </c>
      <c r="V469" s="359" t="str">
        <f>IFERROR(VLOOKUP($A469,#REF!,16,0),"")</f>
        <v/>
      </c>
      <c r="W469" s="359" t="str">
        <f>IFERROR(VLOOKUP($A469,#REF!,17,0),"")</f>
        <v/>
      </c>
      <c r="X469" s="359" t="str">
        <f>IFERROR(VLOOKUP($A469,#REF!,18,0),"")</f>
        <v/>
      </c>
      <c r="Y469" s="359" t="str">
        <f>IFERROR(VLOOKUP($A469,#REF!,19,0),"")</f>
        <v/>
      </c>
      <c r="Z469" s="400" t="str">
        <f>IFERROR(VLOOKUP($A469,#REF!,21,0),"")</f>
        <v/>
      </c>
      <c r="AA469" s="358"/>
      <c r="AB469" s="358"/>
      <c r="AC469" s="358" t="s">
        <v>1077</v>
      </c>
      <c r="AD469" s="358" t="s">
        <v>1138</v>
      </c>
      <c r="AE469" s="141"/>
      <c r="AF469" s="141" t="s">
        <v>3077</v>
      </c>
      <c r="AG469" s="358" t="s">
        <v>2052</v>
      </c>
      <c r="AH469" s="358" t="s">
        <v>3789</v>
      </c>
      <c r="AI469" s="358" t="s">
        <v>3789</v>
      </c>
      <c r="AJ469" s="277" t="s">
        <v>3824</v>
      </c>
      <c r="AK469" s="277"/>
      <c r="AL469" s="277"/>
      <c r="AM469" s="277"/>
      <c r="AN469" s="120"/>
      <c r="AO469" s="120"/>
      <c r="AP469" s="120"/>
      <c r="AQ469" s="313"/>
      <c r="AR469" s="119"/>
      <c r="AS469" s="22"/>
      <c r="AT469" s="22"/>
      <c r="AU469" s="22"/>
      <c r="AV469" s="82" t="s">
        <v>30</v>
      </c>
      <c r="AW469" s="82" t="s">
        <v>30</v>
      </c>
      <c r="AX469" s="82"/>
      <c r="AY469" s="82"/>
      <c r="AZ469" s="82"/>
      <c r="BA469" s="82"/>
      <c r="BB469" s="82"/>
      <c r="BC469" s="82"/>
      <c r="BD469" s="82"/>
      <c r="BE469" s="82"/>
      <c r="BF469" s="82"/>
      <c r="BG469" s="112"/>
      <c r="BH469" s="112"/>
      <c r="BI469" s="112"/>
      <c r="BJ469" s="112"/>
      <c r="BK469" s="82"/>
      <c r="BL469" s="82"/>
      <c r="BM469"/>
      <c r="BN469" s="412"/>
      <c r="BO469" s="412"/>
      <c r="BP469" s="412"/>
      <c r="BQ469" s="412"/>
      <c r="BR469" s="412"/>
      <c r="BS469" s="96"/>
      <c r="BT469" s="96"/>
      <c r="BU469" s="96"/>
      <c r="BV469" s="96"/>
      <c r="BW469"/>
      <c r="BX469"/>
      <c r="BY469"/>
      <c r="BZ469">
        <f t="shared" si="40"/>
        <v>1</v>
      </c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</row>
    <row r="470" spans="1:123" s="272" customFormat="1" hidden="1">
      <c r="A470" s="35" t="str">
        <f t="shared" si="36"/>
        <v>M098/2646102</v>
      </c>
      <c r="B470" s="35"/>
      <c r="C470" s="358" t="s">
        <v>24</v>
      </c>
      <c r="D470" s="358">
        <v>467</v>
      </c>
      <c r="E470" s="358" t="s">
        <v>3826</v>
      </c>
      <c r="F470" s="358" t="s">
        <v>34</v>
      </c>
      <c r="G470" s="384">
        <v>46102</v>
      </c>
      <c r="H470" s="358" t="s">
        <v>272</v>
      </c>
      <c r="I470" s="358">
        <v>23</v>
      </c>
      <c r="J470" s="359" t="str">
        <f>IFERROR(VLOOKUP($A470,#REF!,3,0),"")</f>
        <v/>
      </c>
      <c r="K470" s="359" t="str">
        <f>IFERROR(VLOOKUP($A470,#REF!,4,0),AF470)</f>
        <v>INT</v>
      </c>
      <c r="L470" s="359" t="str">
        <f>IFERROR(VLOOKUP($A470,#REF!,5,0),"")</f>
        <v/>
      </c>
      <c r="M470" s="359" t="str">
        <f>IFERROR(VLOOKUP($A470,#REF!,7,0),"")</f>
        <v/>
      </c>
      <c r="N470" s="359">
        <f t="shared" si="37"/>
        <v>23</v>
      </c>
      <c r="O470" s="359" t="str">
        <f>IFERROR(VLOOKUP($A470,#REF!,6,0),"")</f>
        <v/>
      </c>
      <c r="P470" s="359" t="e">
        <f t="shared" si="38"/>
        <v>#VALUE!</v>
      </c>
      <c r="Q470" s="359" t="str">
        <f>IFERROR(VLOOKUP($A470,#REF!,10,0),"")</f>
        <v/>
      </c>
      <c r="R470" s="359" t="str">
        <f>IFERROR(VLOOKUP($A470,#REF!,11,0),"")</f>
        <v/>
      </c>
      <c r="S470" s="359" t="str">
        <f>IFERROR(VLOOKUP($A470,#REF!,13,0),"")</f>
        <v/>
      </c>
      <c r="T470" s="359" t="str">
        <f>IFERROR(VLOOKUP($A470,#REF!,14,0),"")</f>
        <v/>
      </c>
      <c r="U470" s="359" t="str">
        <f>IFERROR(VLOOKUP($A470,#REF!,15,0),"")</f>
        <v/>
      </c>
      <c r="V470" s="359" t="str">
        <f>IFERROR(VLOOKUP($A470,#REF!,16,0),"")</f>
        <v/>
      </c>
      <c r="W470" s="359" t="str">
        <f>IFERROR(VLOOKUP($A470,#REF!,17,0),"")</f>
        <v/>
      </c>
      <c r="X470" s="359" t="str">
        <f>IFERROR(VLOOKUP($A470,#REF!,18,0),"")</f>
        <v/>
      </c>
      <c r="Y470" s="359" t="str">
        <f>IFERROR(VLOOKUP($A470,#REF!,19,0),"")</f>
        <v/>
      </c>
      <c r="Z470" s="400" t="str">
        <f>IFERROR(VLOOKUP($A470,#REF!,21,0),"")</f>
        <v/>
      </c>
      <c r="AA470" s="358"/>
      <c r="AB470" s="358"/>
      <c r="AC470" s="358" t="s">
        <v>1076</v>
      </c>
      <c r="AD470" s="358" t="s">
        <v>3357</v>
      </c>
      <c r="AE470" s="141"/>
      <c r="AF470" s="141" t="s">
        <v>3077</v>
      </c>
      <c r="AG470" s="141" t="s">
        <v>2325</v>
      </c>
      <c r="AH470" s="141" t="s">
        <v>3800</v>
      </c>
      <c r="AI470" s="141" t="s">
        <v>3783</v>
      </c>
      <c r="AJ470" s="309" t="s">
        <v>3827</v>
      </c>
      <c r="AK470" s="309"/>
      <c r="AL470" s="309"/>
      <c r="AM470" s="309"/>
      <c r="AN470" s="331" t="s">
        <v>2863</v>
      </c>
      <c r="AO470" s="120"/>
      <c r="AP470" s="120"/>
      <c r="AQ470" s="313"/>
      <c r="AR470" s="119"/>
      <c r="AS470" s="22"/>
      <c r="AT470" s="22"/>
      <c r="AU470" s="22"/>
      <c r="AV470" s="2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112"/>
      <c r="BH470" s="112"/>
      <c r="BI470" s="112"/>
      <c r="BJ470" s="112"/>
      <c r="BK470" s="82"/>
      <c r="BL470" s="82"/>
      <c r="BM470"/>
      <c r="BN470" s="412"/>
      <c r="BO470" s="412"/>
      <c r="BP470" s="412"/>
      <c r="BQ470" s="412"/>
      <c r="BR470" s="412"/>
      <c r="BS470" s="96"/>
      <c r="BT470" s="96"/>
      <c r="BU470" s="96"/>
      <c r="BV470" s="96"/>
      <c r="BW470"/>
      <c r="BX470"/>
      <c r="BY470"/>
      <c r="BZ470">
        <f t="shared" ref="BZ470" si="41">IF(G470&gt;1,1,"")</f>
        <v>1</v>
      </c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</row>
    <row r="471" spans="1:123" s="272" customFormat="1" hidden="1">
      <c r="A471" s="35" t="str">
        <f t="shared" si="36"/>
        <v>ELPTMED_201/2646104</v>
      </c>
      <c r="B471" s="35"/>
      <c r="C471" s="358" t="s">
        <v>2342</v>
      </c>
      <c r="D471" s="358">
        <v>468</v>
      </c>
      <c r="E471" s="73" t="s">
        <v>3828</v>
      </c>
      <c r="F471" s="358" t="s">
        <v>1245</v>
      </c>
      <c r="G471" s="384">
        <v>46104</v>
      </c>
      <c r="H471" s="358" t="s">
        <v>3644</v>
      </c>
      <c r="I471" s="358">
        <v>1</v>
      </c>
      <c r="J471" s="359" t="str">
        <f>IFERROR(VLOOKUP($A471,#REF!,3,0),"")</f>
        <v/>
      </c>
      <c r="K471" s="359">
        <f>IFERROR(VLOOKUP($A471,#REF!,4,0),AF471)</f>
        <v>0</v>
      </c>
      <c r="L471" s="359" t="str">
        <f>IFERROR(VLOOKUP($A471,#REF!,5,0),"")</f>
        <v/>
      </c>
      <c r="M471" s="359" t="str">
        <f>IFERROR(VLOOKUP($A471,#REF!,7,0),"")</f>
        <v/>
      </c>
      <c r="N471" s="359"/>
      <c r="O471" s="359" t="str">
        <f>IFERROR(VLOOKUP($A471,#REF!,6,0),"")</f>
        <v/>
      </c>
      <c r="P471" s="359" t="str">
        <f>IFERROR(VLOOKUP($A471,#REF!,9,0),"")</f>
        <v/>
      </c>
      <c r="Q471" s="359" t="str">
        <f>IFERROR(VLOOKUP($A471,#REF!,10,0),"")</f>
        <v/>
      </c>
      <c r="R471" s="359" t="str">
        <f>IFERROR(VLOOKUP($A471,#REF!,11,0),"")</f>
        <v/>
      </c>
      <c r="S471" s="359" t="str">
        <f>IFERROR(VLOOKUP($A471,#REF!,13,0),"")</f>
        <v/>
      </c>
      <c r="T471" s="359" t="str">
        <f>IFERROR(VLOOKUP($A471,#REF!,14,0),"")</f>
        <v/>
      </c>
      <c r="U471" s="359" t="str">
        <f>IFERROR(VLOOKUP($A471,#REF!,15,0),"")</f>
        <v/>
      </c>
      <c r="V471" s="359" t="str">
        <f>IFERROR(VLOOKUP($A471,#REF!,16,0),"")</f>
        <v/>
      </c>
      <c r="W471" s="359" t="str">
        <f>IFERROR(VLOOKUP($A471,#REF!,17,0),"")</f>
        <v/>
      </c>
      <c r="X471" s="359" t="str">
        <f>IFERROR(VLOOKUP($A471,#REF!,18,0),"")</f>
        <v/>
      </c>
      <c r="Y471" s="359" t="str">
        <f>IFERROR(VLOOKUP($A471,#REF!,19,0),"")</f>
        <v/>
      </c>
      <c r="Z471" s="400" t="str">
        <f>IFERROR(VLOOKUP($A471,#REF!,21,0),"")</f>
        <v/>
      </c>
      <c r="AA471" s="358"/>
      <c r="AB471" s="358"/>
      <c r="AC471" s="358" t="s">
        <v>1077</v>
      </c>
      <c r="AD471" s="358" t="s">
        <v>1138</v>
      </c>
      <c r="AE471" s="141"/>
      <c r="AF471" s="141"/>
      <c r="AG471" s="358"/>
      <c r="AH471" s="358"/>
      <c r="AI471" s="358"/>
      <c r="AJ471" s="277"/>
      <c r="AK471" s="277"/>
      <c r="AL471" s="277"/>
      <c r="AM471" s="277"/>
      <c r="AN471" s="120"/>
      <c r="AO471" s="120"/>
      <c r="AP471" s="120"/>
      <c r="AQ471" s="313"/>
      <c r="AR471" s="119"/>
      <c r="AS471" s="22"/>
      <c r="AT471" s="22"/>
      <c r="AU471" s="22"/>
      <c r="AV471" s="2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112"/>
      <c r="BH471" s="112"/>
      <c r="BI471" s="112"/>
      <c r="BJ471" s="112"/>
      <c r="BK471" s="82"/>
      <c r="BL471" s="82"/>
      <c r="BM471"/>
      <c r="BN471" s="412"/>
      <c r="BO471" s="412"/>
      <c r="BP471" s="412"/>
      <c r="BQ471" s="412"/>
      <c r="BR471" s="412"/>
      <c r="BS471" s="96"/>
      <c r="BT471" s="96"/>
      <c r="BU471" s="96"/>
      <c r="BV471" s="96"/>
      <c r="BW471"/>
      <c r="BX471"/>
      <c r="BY471"/>
      <c r="BZ471">
        <f t="shared" si="40"/>
        <v>1</v>
      </c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</row>
    <row r="472" spans="1:123" s="272" customFormat="1" hidden="1">
      <c r="A472" s="35" t="str">
        <f t="shared" si="36"/>
        <v>ELPTMED_202/2646104</v>
      </c>
      <c r="B472" s="35"/>
      <c r="C472" s="358" t="s">
        <v>2342</v>
      </c>
      <c r="D472" s="358">
        <v>469</v>
      </c>
      <c r="E472" s="73" t="s">
        <v>3829</v>
      </c>
      <c r="F472" s="358" t="s">
        <v>3830</v>
      </c>
      <c r="G472" s="384">
        <v>46104</v>
      </c>
      <c r="H472" s="358" t="s">
        <v>3644</v>
      </c>
      <c r="I472" s="358">
        <v>7</v>
      </c>
      <c r="J472" s="359" t="str">
        <f>IFERROR(VLOOKUP($A472,#REF!,3,0),"")</f>
        <v/>
      </c>
      <c r="K472" s="359">
        <f>IFERROR(VLOOKUP($A472,#REF!,4,0),AF472)</f>
        <v>0</v>
      </c>
      <c r="L472" s="359" t="str">
        <f>IFERROR(VLOOKUP($A472,#REF!,5,0),"")</f>
        <v/>
      </c>
      <c r="M472" s="359" t="str">
        <f>IFERROR(VLOOKUP($A472,#REF!,7,0),"")</f>
        <v/>
      </c>
      <c r="N472" s="359"/>
      <c r="O472" s="359" t="str">
        <f>IFERROR(VLOOKUP($A472,#REF!,6,0),"")</f>
        <v/>
      </c>
      <c r="P472" s="359" t="str">
        <f>IFERROR(VLOOKUP($A472,#REF!,9,0),"")</f>
        <v/>
      </c>
      <c r="Q472" s="359" t="str">
        <f>IFERROR(VLOOKUP($A472,#REF!,10,0),"")</f>
        <v/>
      </c>
      <c r="R472" s="359" t="str">
        <f>IFERROR(VLOOKUP($A472,#REF!,11,0),"")</f>
        <v/>
      </c>
      <c r="S472" s="359" t="str">
        <f>IFERROR(VLOOKUP($A472,#REF!,13,0),"")</f>
        <v/>
      </c>
      <c r="T472" s="359" t="str">
        <f>IFERROR(VLOOKUP($A472,#REF!,14,0),"")</f>
        <v/>
      </c>
      <c r="U472" s="359" t="str">
        <f>IFERROR(VLOOKUP($A472,#REF!,15,0),"")</f>
        <v/>
      </c>
      <c r="V472" s="359" t="str">
        <f>IFERROR(VLOOKUP($A472,#REF!,16,0),"")</f>
        <v/>
      </c>
      <c r="W472" s="359" t="str">
        <f>IFERROR(VLOOKUP($A472,#REF!,17,0),"")</f>
        <v/>
      </c>
      <c r="X472" s="359" t="str">
        <f>IFERROR(VLOOKUP($A472,#REF!,18,0),"")</f>
        <v/>
      </c>
      <c r="Y472" s="359" t="str">
        <f>IFERROR(VLOOKUP($A472,#REF!,19,0),"")</f>
        <v/>
      </c>
      <c r="Z472" s="400" t="str">
        <f>IFERROR(VLOOKUP($A472,#REF!,21,0),"")</f>
        <v/>
      </c>
      <c r="AA472" s="358"/>
      <c r="AB472" s="358"/>
      <c r="AC472" s="358" t="s">
        <v>1076</v>
      </c>
      <c r="AD472" s="358" t="s">
        <v>3357</v>
      </c>
      <c r="AE472" s="141"/>
      <c r="AF472" s="141"/>
      <c r="AG472" s="358"/>
      <c r="AH472" s="358"/>
      <c r="AI472" s="358"/>
      <c r="AJ472" s="277"/>
      <c r="AK472" s="277"/>
      <c r="AL472" s="277"/>
      <c r="AM472" s="277"/>
      <c r="AN472" s="120"/>
      <c r="AO472" s="120"/>
      <c r="AP472" s="120"/>
      <c r="AQ472" s="313"/>
      <c r="AR472" s="119"/>
      <c r="AS472" s="22"/>
      <c r="AT472" s="22"/>
      <c r="AU472" s="22"/>
      <c r="AV472" s="2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112"/>
      <c r="BH472" s="112"/>
      <c r="BI472" s="112"/>
      <c r="BJ472" s="112"/>
      <c r="BK472" s="82"/>
      <c r="BL472" s="82"/>
      <c r="BM472"/>
      <c r="BN472" s="412"/>
      <c r="BO472" s="412"/>
      <c r="BP472" s="412"/>
      <c r="BQ472" s="412"/>
      <c r="BR472" s="412"/>
      <c r="BS472" s="96"/>
      <c r="BT472" s="96"/>
      <c r="BU472" s="96"/>
      <c r="BV472" s="96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</row>
    <row r="473" spans="1:123" s="272" customFormat="1" hidden="1">
      <c r="A473" s="35" t="str">
        <f t="shared" si="36"/>
        <v>ELPTMED_203/2646104</v>
      </c>
      <c r="B473" s="35"/>
      <c r="C473" s="358" t="s">
        <v>2342</v>
      </c>
      <c r="D473" s="358">
        <v>470</v>
      </c>
      <c r="E473" s="73" t="s">
        <v>3831</v>
      </c>
      <c r="F473" s="358" t="s">
        <v>779</v>
      </c>
      <c r="G473" s="384">
        <v>46104</v>
      </c>
      <c r="H473" s="358" t="s">
        <v>3644</v>
      </c>
      <c r="I473" s="358">
        <v>6</v>
      </c>
      <c r="J473" s="359" t="str">
        <f>IFERROR(VLOOKUP($A473,#REF!,3,0),"")</f>
        <v/>
      </c>
      <c r="K473" s="359">
        <f>IFERROR(VLOOKUP($A473,#REF!,4,0),AF473)</f>
        <v>0</v>
      </c>
      <c r="L473" s="359" t="str">
        <f>IFERROR(VLOOKUP($A473,#REF!,5,0),"")</f>
        <v/>
      </c>
      <c r="M473" s="359" t="str">
        <f>IFERROR(VLOOKUP($A473,#REF!,7,0),"")</f>
        <v/>
      </c>
      <c r="N473" s="359"/>
      <c r="O473" s="359" t="str">
        <f>IFERROR(VLOOKUP($A473,#REF!,6,0),"")</f>
        <v/>
      </c>
      <c r="P473" s="359" t="str">
        <f>IFERROR(VLOOKUP($A473,#REF!,9,0),"")</f>
        <v/>
      </c>
      <c r="Q473" s="359" t="str">
        <f>IFERROR(VLOOKUP($A473,#REF!,10,0),"")</f>
        <v/>
      </c>
      <c r="R473" s="359" t="str">
        <f>IFERROR(VLOOKUP($A473,#REF!,11,0),"")</f>
        <v/>
      </c>
      <c r="S473" s="359" t="str">
        <f>IFERROR(VLOOKUP($A473,#REF!,13,0),"")</f>
        <v/>
      </c>
      <c r="T473" s="359" t="str">
        <f>IFERROR(VLOOKUP($A473,#REF!,14,0),"")</f>
        <v/>
      </c>
      <c r="U473" s="359" t="str">
        <f>IFERROR(VLOOKUP($A473,#REF!,15,0),"")</f>
        <v/>
      </c>
      <c r="V473" s="359" t="str">
        <f>IFERROR(VLOOKUP($A473,#REF!,16,0),"")</f>
        <v/>
      </c>
      <c r="W473" s="359" t="str">
        <f>IFERROR(VLOOKUP($A473,#REF!,17,0),"")</f>
        <v/>
      </c>
      <c r="X473" s="359" t="str">
        <f>IFERROR(VLOOKUP($A473,#REF!,18,0),"")</f>
        <v/>
      </c>
      <c r="Y473" s="359" t="str">
        <f>IFERROR(VLOOKUP($A473,#REF!,19,0),"")</f>
        <v/>
      </c>
      <c r="Z473" s="400" t="str">
        <f>IFERROR(VLOOKUP($A473,#REF!,21,0),"")</f>
        <v/>
      </c>
      <c r="AA473" s="358"/>
      <c r="AB473" s="358"/>
      <c r="AC473" s="358" t="s">
        <v>1790</v>
      </c>
      <c r="AD473" s="358" t="s">
        <v>3832</v>
      </c>
      <c r="AE473" s="141"/>
      <c r="AF473" s="141"/>
      <c r="AG473" s="358"/>
      <c r="AH473" s="358"/>
      <c r="AI473" s="358"/>
      <c r="AJ473" s="277"/>
      <c r="AK473" s="277"/>
      <c r="AL473" s="277"/>
      <c r="AM473" s="277"/>
      <c r="AN473" s="120"/>
      <c r="AO473" s="120"/>
      <c r="AP473" s="120"/>
      <c r="AQ473" s="313"/>
      <c r="AR473" s="119"/>
      <c r="AS473" s="22"/>
      <c r="AT473" s="22"/>
      <c r="AU473" s="22"/>
      <c r="AV473" s="2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112"/>
      <c r="BH473" s="112"/>
      <c r="BI473" s="112"/>
      <c r="BJ473" s="112"/>
      <c r="BK473" s="82"/>
      <c r="BL473" s="82"/>
      <c r="BM473"/>
      <c r="BN473" s="412"/>
      <c r="BO473" s="412"/>
      <c r="BP473" s="412"/>
      <c r="BQ473" s="412"/>
      <c r="BR473" s="412"/>
      <c r="BS473" s="96"/>
      <c r="BT473" s="96"/>
      <c r="BU473" s="96"/>
      <c r="BV473" s="96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</row>
    <row r="474" spans="1:123" s="272" customFormat="1" hidden="1">
      <c r="A474" s="35" t="str">
        <f t="shared" si="36"/>
        <v>ELPTMED_204/2646104</v>
      </c>
      <c r="B474" s="35"/>
      <c r="C474" s="358" t="s">
        <v>2342</v>
      </c>
      <c r="D474" s="358">
        <v>471</v>
      </c>
      <c r="E474" s="73" t="s">
        <v>3833</v>
      </c>
      <c r="F474" s="358" t="s">
        <v>1184</v>
      </c>
      <c r="G474" s="384">
        <v>46104</v>
      </c>
      <c r="H474" s="358" t="s">
        <v>3644</v>
      </c>
      <c r="I474" s="358">
        <v>4</v>
      </c>
      <c r="J474" s="359" t="str">
        <f>IFERROR(VLOOKUP($A474,#REF!,3,0),"")</f>
        <v/>
      </c>
      <c r="K474" s="359">
        <f>IFERROR(VLOOKUP($A474,#REF!,4,0),AF474)</f>
        <v>0</v>
      </c>
      <c r="L474" s="359" t="str">
        <f>IFERROR(VLOOKUP($A474,#REF!,5,0),"")</f>
        <v/>
      </c>
      <c r="M474" s="359" t="str">
        <f>IFERROR(VLOOKUP($A474,#REF!,7,0),"")</f>
        <v/>
      </c>
      <c r="N474" s="359"/>
      <c r="O474" s="359" t="str">
        <f>IFERROR(VLOOKUP($A474,#REF!,6,0),"")</f>
        <v/>
      </c>
      <c r="P474" s="359" t="str">
        <f>IFERROR(VLOOKUP($A474,#REF!,9,0),"")</f>
        <v/>
      </c>
      <c r="Q474" s="359" t="str">
        <f>IFERROR(VLOOKUP($A474,#REF!,10,0),"")</f>
        <v/>
      </c>
      <c r="R474" s="359" t="str">
        <f>IFERROR(VLOOKUP($A474,#REF!,11,0),"")</f>
        <v/>
      </c>
      <c r="S474" s="359" t="str">
        <f>IFERROR(VLOOKUP($A474,#REF!,13,0),"")</f>
        <v/>
      </c>
      <c r="T474" s="359" t="str">
        <f>IFERROR(VLOOKUP($A474,#REF!,14,0),"")</f>
        <v/>
      </c>
      <c r="U474" s="359" t="str">
        <f>IFERROR(VLOOKUP($A474,#REF!,15,0),"")</f>
        <v/>
      </c>
      <c r="V474" s="359" t="str">
        <f>IFERROR(VLOOKUP($A474,#REF!,16,0),"")</f>
        <v/>
      </c>
      <c r="W474" s="359" t="str">
        <f>IFERROR(VLOOKUP($A474,#REF!,17,0),"")</f>
        <v/>
      </c>
      <c r="X474" s="359" t="str">
        <f>IFERROR(VLOOKUP($A474,#REF!,18,0),"")</f>
        <v/>
      </c>
      <c r="Y474" s="359" t="str">
        <f>IFERROR(VLOOKUP($A474,#REF!,19,0),"")</f>
        <v/>
      </c>
      <c r="Z474" s="400" t="str">
        <f>IFERROR(VLOOKUP($A474,#REF!,21,0),"")</f>
        <v/>
      </c>
      <c r="AA474" s="358"/>
      <c r="AB474" s="358"/>
      <c r="AC474" s="358" t="s">
        <v>3075</v>
      </c>
      <c r="AD474" s="358" t="s">
        <v>47</v>
      </c>
      <c r="AE474" s="141"/>
      <c r="AF474" s="141"/>
      <c r="AG474" s="358"/>
      <c r="AH474" s="358"/>
      <c r="AI474" s="358"/>
      <c r="AJ474" s="277"/>
      <c r="AK474" s="277"/>
      <c r="AL474" s="277"/>
      <c r="AM474" s="277"/>
      <c r="AN474" s="120"/>
      <c r="AO474" s="120"/>
      <c r="AP474" s="120"/>
      <c r="AQ474" s="313"/>
      <c r="AR474" s="119"/>
      <c r="AS474" s="22"/>
      <c r="AT474" s="22"/>
      <c r="AU474" s="22"/>
      <c r="AV474" s="2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112"/>
      <c r="BH474" s="112"/>
      <c r="BI474" s="112"/>
      <c r="BJ474" s="112"/>
      <c r="BK474" s="82"/>
      <c r="BL474" s="82"/>
      <c r="BM474"/>
      <c r="BN474" s="412"/>
      <c r="BO474" s="412"/>
      <c r="BP474" s="412"/>
      <c r="BQ474" s="412"/>
      <c r="BR474" s="412"/>
      <c r="BS474" s="96"/>
      <c r="BT474" s="96"/>
      <c r="BU474" s="96"/>
      <c r="BV474" s="96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</row>
    <row r="475" spans="1:123" s="272" customFormat="1" hidden="1">
      <c r="A475" s="35" t="str">
        <f t="shared" si="36"/>
        <v>ELPTMED_205/2646104</v>
      </c>
      <c r="B475" s="35"/>
      <c r="C475" s="358" t="s">
        <v>2342</v>
      </c>
      <c r="D475" s="358">
        <v>472</v>
      </c>
      <c r="E475" s="73" t="s">
        <v>3834</v>
      </c>
      <c r="F475" s="358" t="s">
        <v>829</v>
      </c>
      <c r="G475" s="384">
        <v>46104</v>
      </c>
      <c r="H475" s="358" t="s">
        <v>3644</v>
      </c>
      <c r="I475" s="358">
        <v>41</v>
      </c>
      <c r="J475" s="359" t="str">
        <f>IFERROR(VLOOKUP($A475,#REF!,3,0),"")</f>
        <v/>
      </c>
      <c r="K475" s="359">
        <f>IFERROR(VLOOKUP($A475,#REF!,4,0),AF475)</f>
        <v>0</v>
      </c>
      <c r="L475" s="359" t="str">
        <f>IFERROR(VLOOKUP($A475,#REF!,5,0),"")</f>
        <v/>
      </c>
      <c r="M475" s="359" t="str">
        <f>IFERROR(VLOOKUP($A475,#REF!,7,0),"")</f>
        <v/>
      </c>
      <c r="N475" s="359"/>
      <c r="O475" s="359" t="str">
        <f>IFERROR(VLOOKUP($A475,#REF!,6,0),"")</f>
        <v/>
      </c>
      <c r="P475" s="359" t="str">
        <f>IFERROR(VLOOKUP($A475,#REF!,9,0),"")</f>
        <v/>
      </c>
      <c r="Q475" s="359" t="str">
        <f>IFERROR(VLOOKUP($A475,#REF!,10,0),"")</f>
        <v/>
      </c>
      <c r="R475" s="359" t="str">
        <f>IFERROR(VLOOKUP($A475,#REF!,11,0),"")</f>
        <v/>
      </c>
      <c r="S475" s="359" t="str">
        <f>IFERROR(VLOOKUP($A475,#REF!,13,0),"")</f>
        <v/>
      </c>
      <c r="T475" s="359" t="str">
        <f>IFERROR(VLOOKUP($A475,#REF!,14,0),"")</f>
        <v/>
      </c>
      <c r="U475" s="359" t="str">
        <f>IFERROR(VLOOKUP($A475,#REF!,15,0),"")</f>
        <v/>
      </c>
      <c r="V475" s="359" t="str">
        <f>IFERROR(VLOOKUP($A475,#REF!,16,0),"")</f>
        <v/>
      </c>
      <c r="W475" s="359" t="str">
        <f>IFERROR(VLOOKUP($A475,#REF!,17,0),"")</f>
        <v/>
      </c>
      <c r="X475" s="359" t="str">
        <f>IFERROR(VLOOKUP($A475,#REF!,18,0),"")</f>
        <v/>
      </c>
      <c r="Y475" s="359" t="str">
        <f>IFERROR(VLOOKUP($A475,#REF!,19,0),"")</f>
        <v/>
      </c>
      <c r="Z475" s="400" t="str">
        <f>IFERROR(VLOOKUP($A475,#REF!,21,0),"")</f>
        <v/>
      </c>
      <c r="AA475" s="358"/>
      <c r="AB475" s="358"/>
      <c r="AC475" s="358" t="s">
        <v>3513</v>
      </c>
      <c r="AD475" s="358" t="s">
        <v>1670</v>
      </c>
      <c r="AE475" s="141"/>
      <c r="AF475" s="141"/>
      <c r="AG475" s="358"/>
      <c r="AH475" s="358"/>
      <c r="AI475" s="358"/>
      <c r="AJ475" s="277"/>
      <c r="AK475" s="277"/>
      <c r="AL475" s="277"/>
      <c r="AM475" s="277"/>
      <c r="AN475" s="358" t="s">
        <v>3581</v>
      </c>
      <c r="AO475" s="120"/>
      <c r="AP475" s="120"/>
      <c r="AQ475" s="313"/>
      <c r="AR475" s="119"/>
      <c r="AS475" s="22"/>
      <c r="AT475" s="22"/>
      <c r="AU475" s="22"/>
      <c r="AV475" s="2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112"/>
      <c r="BH475" s="112"/>
      <c r="BI475" s="112"/>
      <c r="BJ475" s="112"/>
      <c r="BK475" s="82"/>
      <c r="BL475" s="82"/>
      <c r="BM475" s="348">
        <v>0</v>
      </c>
      <c r="BN475" s="348">
        <v>29</v>
      </c>
      <c r="BO475" s="349">
        <v>0</v>
      </c>
      <c r="BP475" s="349">
        <v>0</v>
      </c>
      <c r="BQ475" s="348">
        <v>12</v>
      </c>
      <c r="BR475" s="348">
        <f>SUM(BM475:BQ475)</f>
        <v>41</v>
      </c>
      <c r="BS475" s="350">
        <f>+BM475/BR475*BS$1</f>
        <v>0</v>
      </c>
      <c r="BT475" s="351">
        <f>+BN475/BR475*BT$1</f>
        <v>2.1219512195121952</v>
      </c>
      <c r="BU475" s="348"/>
      <c r="BV475" s="351">
        <f>+BO475/BR475*BV$1</f>
        <v>0</v>
      </c>
      <c r="BW475" s="351">
        <f>+BP475/BR475*BW$1</f>
        <v>0</v>
      </c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</row>
    <row r="476" spans="1:123" s="272" customFormat="1" hidden="1">
      <c r="A476" s="35" t="str">
        <f t="shared" si="36"/>
        <v>ELPTMED_206/2646104</v>
      </c>
      <c r="B476" s="35"/>
      <c r="C476" s="358" t="s">
        <v>2342</v>
      </c>
      <c r="D476" s="358">
        <v>473</v>
      </c>
      <c r="E476" s="73" t="s">
        <v>3835</v>
      </c>
      <c r="F476" s="358" t="s">
        <v>937</v>
      </c>
      <c r="G476" s="384">
        <v>46104</v>
      </c>
      <c r="H476" s="358" t="s">
        <v>3644</v>
      </c>
      <c r="I476" s="358">
        <v>3</v>
      </c>
      <c r="J476" s="359" t="str">
        <f>IFERROR(VLOOKUP($A476,#REF!,3,0),"")</f>
        <v/>
      </c>
      <c r="K476" s="359">
        <f>IFERROR(VLOOKUP($A476,#REF!,4,0),AF476)</f>
        <v>0</v>
      </c>
      <c r="L476" s="359" t="str">
        <f>IFERROR(VLOOKUP($A476,#REF!,5,0),"")</f>
        <v/>
      </c>
      <c r="M476" s="359" t="str">
        <f>IFERROR(VLOOKUP($A476,#REF!,7,0),"")</f>
        <v/>
      </c>
      <c r="N476" s="359"/>
      <c r="O476" s="359" t="str">
        <f>IFERROR(VLOOKUP($A476,#REF!,6,0),"")</f>
        <v/>
      </c>
      <c r="P476" s="359" t="str">
        <f>IFERROR(VLOOKUP($A476,#REF!,9,0),"")</f>
        <v/>
      </c>
      <c r="Q476" s="359" t="str">
        <f>IFERROR(VLOOKUP($A476,#REF!,10,0),"")</f>
        <v/>
      </c>
      <c r="R476" s="359" t="str">
        <f>IFERROR(VLOOKUP($A476,#REF!,11,0),"")</f>
        <v/>
      </c>
      <c r="S476" s="359" t="str">
        <f>IFERROR(VLOOKUP($A476,#REF!,13,0),"")</f>
        <v/>
      </c>
      <c r="T476" s="359" t="str">
        <f>IFERROR(VLOOKUP($A476,#REF!,14,0),"")</f>
        <v/>
      </c>
      <c r="U476" s="359" t="str">
        <f>IFERROR(VLOOKUP($A476,#REF!,15,0),"")</f>
        <v/>
      </c>
      <c r="V476" s="359" t="str">
        <f>IFERROR(VLOOKUP($A476,#REF!,16,0),"")</f>
        <v/>
      </c>
      <c r="W476" s="359" t="str">
        <f>IFERROR(VLOOKUP($A476,#REF!,17,0),"")</f>
        <v/>
      </c>
      <c r="X476" s="359" t="str">
        <f>IFERROR(VLOOKUP($A476,#REF!,18,0),"")</f>
        <v/>
      </c>
      <c r="Y476" s="359" t="str">
        <f>IFERROR(VLOOKUP($A476,#REF!,19,0),"")</f>
        <v/>
      </c>
      <c r="Z476" s="400" t="str">
        <f>IFERROR(VLOOKUP($A476,#REF!,21,0),"")</f>
        <v/>
      </c>
      <c r="AA476" s="358"/>
      <c r="AB476" s="358"/>
      <c r="AC476" s="358" t="s">
        <v>3075</v>
      </c>
      <c r="AD476" s="358" t="s">
        <v>47</v>
      </c>
      <c r="AE476" s="141"/>
      <c r="AF476" s="141"/>
      <c r="AG476" s="358"/>
      <c r="AH476" s="358"/>
      <c r="AI476" s="358"/>
      <c r="AJ476" s="277"/>
      <c r="AK476" s="277"/>
      <c r="AL476" s="277"/>
      <c r="AM476" s="277"/>
      <c r="AN476" s="120"/>
      <c r="AO476" s="120"/>
      <c r="AP476" s="120"/>
      <c r="AQ476" s="313"/>
      <c r="AR476" s="119"/>
      <c r="AS476" s="22"/>
      <c r="AT476" s="22"/>
      <c r="AU476" s="22"/>
      <c r="AV476" s="2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112"/>
      <c r="BH476" s="112"/>
      <c r="BI476" s="112"/>
      <c r="BJ476" s="112"/>
      <c r="BK476" s="82"/>
      <c r="BL476" s="82"/>
      <c r="BM476"/>
      <c r="BN476" s="412"/>
      <c r="BO476" s="412"/>
      <c r="BP476" s="412"/>
      <c r="BQ476" s="412"/>
      <c r="BR476" s="412"/>
      <c r="BS476" s="96"/>
      <c r="BT476" s="96"/>
      <c r="BU476" s="96"/>
      <c r="BV476" s="9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</row>
    <row r="477" spans="1:123" s="272" customFormat="1" hidden="1">
      <c r="A477" s="35" t="str">
        <f t="shared" si="36"/>
        <v>ELPTMED_208/2646104</v>
      </c>
      <c r="B477" s="35"/>
      <c r="C477" s="358" t="s">
        <v>2342</v>
      </c>
      <c r="D477" s="358">
        <v>474</v>
      </c>
      <c r="E477" s="73" t="s">
        <v>3836</v>
      </c>
      <c r="F477" s="358" t="s">
        <v>3837</v>
      </c>
      <c r="G477" s="384">
        <v>46104</v>
      </c>
      <c r="H477" s="358" t="s">
        <v>3644</v>
      </c>
      <c r="I477" s="358">
        <v>1</v>
      </c>
      <c r="J477" s="359" t="str">
        <f>IFERROR(VLOOKUP($A477,#REF!,3,0),"")</f>
        <v/>
      </c>
      <c r="K477" s="359">
        <f>IFERROR(VLOOKUP($A477,#REF!,4,0),AF477)</f>
        <v>0</v>
      </c>
      <c r="L477" s="359" t="str">
        <f>IFERROR(VLOOKUP($A477,#REF!,5,0),"")</f>
        <v/>
      </c>
      <c r="M477" s="359" t="str">
        <f>IFERROR(VLOOKUP($A477,#REF!,7,0),"")</f>
        <v/>
      </c>
      <c r="N477" s="359"/>
      <c r="O477" s="359" t="str">
        <f>IFERROR(VLOOKUP($A477,#REF!,6,0),"")</f>
        <v/>
      </c>
      <c r="P477" s="359" t="str">
        <f>IFERROR(VLOOKUP($A477,#REF!,9,0),"")</f>
        <v/>
      </c>
      <c r="Q477" s="359" t="str">
        <f>IFERROR(VLOOKUP($A477,#REF!,10,0),"")</f>
        <v/>
      </c>
      <c r="R477" s="359" t="str">
        <f>IFERROR(VLOOKUP($A477,#REF!,11,0),"")</f>
        <v/>
      </c>
      <c r="S477" s="359" t="str">
        <f>IFERROR(VLOOKUP($A477,#REF!,13,0),"")</f>
        <v/>
      </c>
      <c r="T477" s="359" t="str">
        <f>IFERROR(VLOOKUP($A477,#REF!,14,0),"")</f>
        <v/>
      </c>
      <c r="U477" s="359" t="str">
        <f>IFERROR(VLOOKUP($A477,#REF!,15,0),"")</f>
        <v/>
      </c>
      <c r="V477" s="359" t="str">
        <f>IFERROR(VLOOKUP($A477,#REF!,16,0),"")</f>
        <v/>
      </c>
      <c r="W477" s="359" t="str">
        <f>IFERROR(VLOOKUP($A477,#REF!,17,0),"")</f>
        <v/>
      </c>
      <c r="X477" s="359" t="str">
        <f>IFERROR(VLOOKUP($A477,#REF!,18,0),"")</f>
        <v/>
      </c>
      <c r="Y477" s="359" t="str">
        <f>IFERROR(VLOOKUP($A477,#REF!,19,0),"")</f>
        <v/>
      </c>
      <c r="Z477" s="400" t="str">
        <f>IFERROR(VLOOKUP($A477,#REF!,21,0),"")</f>
        <v/>
      </c>
      <c r="AA477" s="358"/>
      <c r="AB477" s="358"/>
      <c r="AC477" s="358" t="s">
        <v>3075</v>
      </c>
      <c r="AD477" s="358" t="s">
        <v>47</v>
      </c>
      <c r="AE477" s="141"/>
      <c r="AF477" s="141"/>
      <c r="AG477" s="358"/>
      <c r="AH477" s="358"/>
      <c r="AI477" s="358"/>
      <c r="AJ477" s="277"/>
      <c r="AK477" s="277"/>
      <c r="AL477" s="277"/>
      <c r="AM477" s="277"/>
      <c r="AN477" s="120"/>
      <c r="AO477" s="120"/>
      <c r="AP477" s="120"/>
      <c r="AQ477" s="313"/>
      <c r="AR477" s="119"/>
      <c r="AS477" s="22"/>
      <c r="AT477" s="22"/>
      <c r="AU477" s="22"/>
      <c r="AV477" s="2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112"/>
      <c r="BH477" s="112"/>
      <c r="BI477" s="112"/>
      <c r="BJ477" s="112"/>
      <c r="BK477" s="82"/>
      <c r="BL477" s="82"/>
      <c r="BM477"/>
      <c r="BN477" s="412"/>
      <c r="BO477" s="412"/>
      <c r="BP477" s="412"/>
      <c r="BQ477" s="412"/>
      <c r="BR477" s="412"/>
      <c r="BS477" s="96"/>
      <c r="BT477" s="96"/>
      <c r="BU477" s="96"/>
      <c r="BV477" s="96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</row>
    <row r="478" spans="1:123" s="272" customFormat="1" ht="15.75" hidden="1" customHeight="1">
      <c r="A478" s="35" t="str">
        <f t="shared" si="36"/>
        <v>ELPTMED_209/2646104</v>
      </c>
      <c r="B478" s="35"/>
      <c r="C478" s="358" t="s">
        <v>2342</v>
      </c>
      <c r="D478" s="358">
        <v>475</v>
      </c>
      <c r="E478" s="73" t="s">
        <v>3838</v>
      </c>
      <c r="F478" s="317" t="s">
        <v>3524</v>
      </c>
      <c r="G478" s="384">
        <v>46104</v>
      </c>
      <c r="H478" s="358" t="s">
        <v>3644</v>
      </c>
      <c r="I478" s="358">
        <v>17</v>
      </c>
      <c r="J478" s="359" t="str">
        <f>IFERROR(VLOOKUP($A478,#REF!,3,0),"")</f>
        <v/>
      </c>
      <c r="K478" s="359">
        <f>IFERROR(VLOOKUP($A478,#REF!,4,0),AF478)</f>
        <v>0</v>
      </c>
      <c r="L478" s="359" t="str">
        <f>IFERROR(VLOOKUP($A478,#REF!,5,0),"")</f>
        <v/>
      </c>
      <c r="M478" s="359" t="str">
        <f>IFERROR(VLOOKUP($A478,#REF!,7,0),"")</f>
        <v/>
      </c>
      <c r="N478" s="359"/>
      <c r="O478" s="359" t="str">
        <f>IFERROR(VLOOKUP($A478,#REF!,6,0),"")</f>
        <v/>
      </c>
      <c r="P478" s="359" t="str">
        <f>IFERROR(VLOOKUP($A478,#REF!,9,0),"")</f>
        <v/>
      </c>
      <c r="Q478" s="359" t="str">
        <f>IFERROR(VLOOKUP($A478,#REF!,10,0),"")</f>
        <v/>
      </c>
      <c r="R478" s="359" t="str">
        <f>IFERROR(VLOOKUP($A478,#REF!,11,0),"")</f>
        <v/>
      </c>
      <c r="S478" s="359" t="str">
        <f>IFERROR(VLOOKUP($A478,#REF!,13,0),"")</f>
        <v/>
      </c>
      <c r="T478" s="359" t="str">
        <f>IFERROR(VLOOKUP($A478,#REF!,14,0),"")</f>
        <v/>
      </c>
      <c r="U478" s="359" t="str">
        <f>IFERROR(VLOOKUP($A478,#REF!,15,0),"")</f>
        <v/>
      </c>
      <c r="V478" s="359" t="str">
        <f>IFERROR(VLOOKUP($A478,#REF!,16,0),"")</f>
        <v/>
      </c>
      <c r="W478" s="359" t="str">
        <f>IFERROR(VLOOKUP($A478,#REF!,17,0),"")</f>
        <v/>
      </c>
      <c r="X478" s="359" t="str">
        <f>IFERROR(VLOOKUP($A478,#REF!,18,0),"")</f>
        <v/>
      </c>
      <c r="Y478" s="359" t="str">
        <f>IFERROR(VLOOKUP($A478,#REF!,19,0),"")</f>
        <v/>
      </c>
      <c r="Z478" s="400" t="str">
        <f>IFERROR(VLOOKUP($A478,#REF!,21,0),"")</f>
        <v/>
      </c>
      <c r="AA478" s="358"/>
      <c r="AB478" s="358"/>
      <c r="AC478" s="358" t="s">
        <v>3075</v>
      </c>
      <c r="AD478" s="358" t="s">
        <v>47</v>
      </c>
      <c r="AE478" s="141"/>
      <c r="AF478" s="141"/>
      <c r="AG478" s="358"/>
      <c r="AH478" s="358"/>
      <c r="AI478" s="358"/>
      <c r="AJ478" s="277"/>
      <c r="AK478" s="277"/>
      <c r="AL478" s="277"/>
      <c r="AM478" s="277"/>
      <c r="AN478" s="358" t="s">
        <v>3581</v>
      </c>
      <c r="AO478" s="120"/>
      <c r="AP478" s="120"/>
      <c r="AQ478" s="313"/>
      <c r="AR478" s="119"/>
      <c r="AS478" s="22"/>
      <c r="AT478" s="22"/>
      <c r="AU478" s="22"/>
      <c r="AV478" s="2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112"/>
      <c r="BH478" s="112"/>
      <c r="BI478" s="112"/>
      <c r="BJ478" s="112"/>
      <c r="BK478" s="82"/>
      <c r="BL478" s="82"/>
      <c r="BM478" s="348">
        <v>0</v>
      </c>
      <c r="BN478" s="348">
        <v>17</v>
      </c>
      <c r="BO478" s="349">
        <v>0</v>
      </c>
      <c r="BP478" s="349">
        <v>0</v>
      </c>
      <c r="BQ478" s="348">
        <v>0</v>
      </c>
      <c r="BR478" s="348">
        <f>SUM(BM478:BQ478)</f>
        <v>17</v>
      </c>
      <c r="BS478" s="350">
        <f>+BM478/BR478*BS$1</f>
        <v>0</v>
      </c>
      <c r="BT478" s="351">
        <f>+BN478/BR478*BT$1</f>
        <v>3</v>
      </c>
      <c r="BU478" s="348"/>
      <c r="BV478" s="351">
        <f>+BO478/BR478*BV$1</f>
        <v>0</v>
      </c>
      <c r="BW478" s="351">
        <f>+BP478/BR478*BW$1</f>
        <v>0</v>
      </c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</row>
    <row r="479" spans="1:123" s="272" customFormat="1" hidden="1">
      <c r="A479" s="35" t="str">
        <f t="shared" si="36"/>
        <v>ELPTMED_210/2646104</v>
      </c>
      <c r="B479" s="35"/>
      <c r="C479" s="358" t="s">
        <v>2342</v>
      </c>
      <c r="D479" s="358">
        <v>476</v>
      </c>
      <c r="E479" s="73" t="s">
        <v>3839</v>
      </c>
      <c r="F479" s="358" t="s">
        <v>1574</v>
      </c>
      <c r="G479" s="384">
        <v>46104</v>
      </c>
      <c r="H479" s="358" t="s">
        <v>3644</v>
      </c>
      <c r="I479" s="358">
        <v>1</v>
      </c>
      <c r="J479" s="359" t="str">
        <f>IFERROR(VLOOKUP($A479,#REF!,3,0),"")</f>
        <v/>
      </c>
      <c r="K479" s="359">
        <f>IFERROR(VLOOKUP($A479,#REF!,4,0),AF479)</f>
        <v>0</v>
      </c>
      <c r="L479" s="359" t="str">
        <f>IFERROR(VLOOKUP($A479,#REF!,5,0),"")</f>
        <v/>
      </c>
      <c r="M479" s="359" t="str">
        <f>IFERROR(VLOOKUP($A479,#REF!,7,0),"")</f>
        <v/>
      </c>
      <c r="N479" s="359"/>
      <c r="O479" s="359" t="str">
        <f>IFERROR(VLOOKUP($A479,#REF!,6,0),"")</f>
        <v/>
      </c>
      <c r="P479" s="359" t="str">
        <f>IFERROR(VLOOKUP($A479,#REF!,9,0),"")</f>
        <v/>
      </c>
      <c r="Q479" s="359" t="str">
        <f>IFERROR(VLOOKUP($A479,#REF!,10,0),"")</f>
        <v/>
      </c>
      <c r="R479" s="359" t="str">
        <f>IFERROR(VLOOKUP($A479,#REF!,11,0),"")</f>
        <v/>
      </c>
      <c r="S479" s="359" t="str">
        <f>IFERROR(VLOOKUP($A479,#REF!,13,0),"")</f>
        <v/>
      </c>
      <c r="T479" s="359" t="str">
        <f>IFERROR(VLOOKUP($A479,#REF!,14,0),"")</f>
        <v/>
      </c>
      <c r="U479" s="359" t="str">
        <f>IFERROR(VLOOKUP($A479,#REF!,15,0),"")</f>
        <v/>
      </c>
      <c r="V479" s="359" t="str">
        <f>IFERROR(VLOOKUP($A479,#REF!,16,0),"")</f>
        <v/>
      </c>
      <c r="W479" s="359" t="str">
        <f>IFERROR(VLOOKUP($A479,#REF!,17,0),"")</f>
        <v/>
      </c>
      <c r="X479" s="359" t="str">
        <f>IFERROR(VLOOKUP($A479,#REF!,18,0),"")</f>
        <v/>
      </c>
      <c r="Y479" s="359" t="str">
        <f>IFERROR(VLOOKUP($A479,#REF!,19,0),"")</f>
        <v/>
      </c>
      <c r="Z479" s="400" t="str">
        <f>IFERROR(VLOOKUP($A479,#REF!,21,0),"")</f>
        <v/>
      </c>
      <c r="AA479" s="358"/>
      <c r="AB479" s="358"/>
      <c r="AC479" s="358" t="s">
        <v>1076</v>
      </c>
      <c r="AD479" s="358" t="s">
        <v>3357</v>
      </c>
      <c r="AE479" s="141"/>
      <c r="AF479" s="141"/>
      <c r="AG479" s="358"/>
      <c r="AH479" s="358"/>
      <c r="AI479" s="358"/>
      <c r="AJ479" s="277"/>
      <c r="AK479" s="277"/>
      <c r="AL479" s="277"/>
      <c r="AM479" s="277"/>
      <c r="AN479" s="120"/>
      <c r="AO479" s="120"/>
      <c r="AP479" s="120"/>
      <c r="AQ479" s="313"/>
      <c r="AR479" s="119"/>
      <c r="AS479" s="22"/>
      <c r="AT479" s="22"/>
      <c r="AU479" s="22"/>
      <c r="AV479" s="2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112"/>
      <c r="BH479" s="112"/>
      <c r="BI479" s="112"/>
      <c r="BJ479" s="112"/>
      <c r="BK479" s="82"/>
      <c r="BL479" s="82"/>
      <c r="BM479"/>
      <c r="BN479" s="412"/>
      <c r="BO479" s="412"/>
      <c r="BP479" s="412"/>
      <c r="BQ479" s="412"/>
      <c r="BR479" s="412"/>
      <c r="BS479" s="96"/>
      <c r="BT479" s="96"/>
      <c r="BU479" s="96"/>
      <c r="BV479" s="96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</row>
    <row r="480" spans="1:123" s="272" customFormat="1" hidden="1">
      <c r="A480" s="35" t="str">
        <f t="shared" si="36"/>
        <v>ELPTMED_211/2646104</v>
      </c>
      <c r="B480" s="35"/>
      <c r="C480" s="358" t="s">
        <v>2342</v>
      </c>
      <c r="D480" s="358">
        <v>477</v>
      </c>
      <c r="E480" s="73" t="s">
        <v>3840</v>
      </c>
      <c r="F480" s="358" t="s">
        <v>3841</v>
      </c>
      <c r="G480" s="384">
        <v>46104</v>
      </c>
      <c r="H480" s="358" t="s">
        <v>3644</v>
      </c>
      <c r="I480" s="358">
        <v>2</v>
      </c>
      <c r="J480" s="359" t="str">
        <f>IFERROR(VLOOKUP($A480,#REF!,3,0),"")</f>
        <v/>
      </c>
      <c r="K480" s="359">
        <f>IFERROR(VLOOKUP($A480,#REF!,4,0),AF480)</f>
        <v>0</v>
      </c>
      <c r="L480" s="359" t="str">
        <f>IFERROR(VLOOKUP($A480,#REF!,5,0),"")</f>
        <v/>
      </c>
      <c r="M480" s="359" t="str">
        <f>IFERROR(VLOOKUP($A480,#REF!,7,0),"")</f>
        <v/>
      </c>
      <c r="N480" s="359"/>
      <c r="O480" s="359" t="str">
        <f>IFERROR(VLOOKUP($A480,#REF!,6,0),"")</f>
        <v/>
      </c>
      <c r="P480" s="359" t="str">
        <f>IFERROR(VLOOKUP($A480,#REF!,9,0),"")</f>
        <v/>
      </c>
      <c r="Q480" s="359" t="str">
        <f>IFERROR(VLOOKUP($A480,#REF!,10,0),"")</f>
        <v/>
      </c>
      <c r="R480" s="359" t="str">
        <f>IFERROR(VLOOKUP($A480,#REF!,11,0),"")</f>
        <v/>
      </c>
      <c r="S480" s="359" t="str">
        <f>IFERROR(VLOOKUP($A480,#REF!,13,0),"")</f>
        <v/>
      </c>
      <c r="T480" s="359" t="str">
        <f>IFERROR(VLOOKUP($A480,#REF!,14,0),"")</f>
        <v/>
      </c>
      <c r="U480" s="359" t="str">
        <f>IFERROR(VLOOKUP($A480,#REF!,15,0),"")</f>
        <v/>
      </c>
      <c r="V480" s="359" t="str">
        <f>IFERROR(VLOOKUP($A480,#REF!,16,0),"")</f>
        <v/>
      </c>
      <c r="W480" s="359" t="str">
        <f>IFERROR(VLOOKUP($A480,#REF!,17,0),"")</f>
        <v/>
      </c>
      <c r="X480" s="359" t="str">
        <f>IFERROR(VLOOKUP($A480,#REF!,18,0),"")</f>
        <v/>
      </c>
      <c r="Y480" s="359" t="str">
        <f>IFERROR(VLOOKUP($A480,#REF!,19,0),"")</f>
        <v/>
      </c>
      <c r="Z480" s="400" t="str">
        <f>IFERROR(VLOOKUP($A480,#REF!,21,0),"")</f>
        <v/>
      </c>
      <c r="AA480" s="358"/>
      <c r="AB480" s="358"/>
      <c r="AC480" s="358" t="s">
        <v>3075</v>
      </c>
      <c r="AD480" s="358" t="s">
        <v>47</v>
      </c>
      <c r="AE480" s="141"/>
      <c r="AF480" s="141"/>
      <c r="AG480" s="358"/>
      <c r="AH480" s="358"/>
      <c r="AI480" s="358"/>
      <c r="AJ480" s="277"/>
      <c r="AK480" s="277"/>
      <c r="AL480" s="277"/>
      <c r="AM480" s="277"/>
      <c r="AN480" s="120"/>
      <c r="AO480" s="120"/>
      <c r="AP480" s="120"/>
      <c r="AQ480" s="313"/>
      <c r="AR480" s="119"/>
      <c r="AS480" s="22"/>
      <c r="AT480" s="22"/>
      <c r="AU480" s="22"/>
      <c r="AV480" s="2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112"/>
      <c r="BH480" s="112"/>
      <c r="BI480" s="112"/>
      <c r="BJ480" s="112"/>
      <c r="BK480" s="82"/>
      <c r="BL480" s="82"/>
      <c r="BM480"/>
      <c r="BN480" s="412"/>
      <c r="BO480" s="412"/>
      <c r="BP480" s="412"/>
      <c r="BQ480" s="412"/>
      <c r="BR480" s="412"/>
      <c r="BS480" s="96"/>
      <c r="BT480" s="96"/>
      <c r="BU480" s="96"/>
      <c r="BV480" s="96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</row>
    <row r="481" spans="1:123" s="272" customFormat="1" hidden="1">
      <c r="A481" s="35" t="str">
        <f t="shared" si="36"/>
        <v>ELPTMED_212/2646104</v>
      </c>
      <c r="B481" s="35"/>
      <c r="C481" s="358" t="s">
        <v>2342</v>
      </c>
      <c r="D481" s="358">
        <v>478</v>
      </c>
      <c r="E481" s="73" t="s">
        <v>3842</v>
      </c>
      <c r="F481" s="358" t="s">
        <v>3843</v>
      </c>
      <c r="G481" s="384">
        <v>46104</v>
      </c>
      <c r="H481" s="358" t="s">
        <v>3644</v>
      </c>
      <c r="I481" s="358">
        <v>8</v>
      </c>
      <c r="J481" s="359" t="str">
        <f>IFERROR(VLOOKUP($A481,#REF!,3,0),"")</f>
        <v/>
      </c>
      <c r="K481" s="359">
        <f>IFERROR(VLOOKUP($A481,#REF!,4,0),AF481)</f>
        <v>0</v>
      </c>
      <c r="L481" s="359" t="str">
        <f>IFERROR(VLOOKUP($A481,#REF!,5,0),"")</f>
        <v/>
      </c>
      <c r="M481" s="359" t="str">
        <f>IFERROR(VLOOKUP($A481,#REF!,7,0),"")</f>
        <v/>
      </c>
      <c r="N481" s="359"/>
      <c r="O481" s="359" t="str">
        <f>IFERROR(VLOOKUP($A481,#REF!,6,0),"")</f>
        <v/>
      </c>
      <c r="P481" s="359" t="str">
        <f>IFERROR(VLOOKUP($A481,#REF!,9,0),"")</f>
        <v/>
      </c>
      <c r="Q481" s="359" t="str">
        <f>IFERROR(VLOOKUP($A481,#REF!,10,0),"")</f>
        <v/>
      </c>
      <c r="R481" s="359" t="str">
        <f>IFERROR(VLOOKUP($A481,#REF!,11,0),"")</f>
        <v/>
      </c>
      <c r="S481" s="359" t="str">
        <f>IFERROR(VLOOKUP($A481,#REF!,13,0),"")</f>
        <v/>
      </c>
      <c r="T481" s="359" t="str">
        <f>IFERROR(VLOOKUP($A481,#REF!,14,0),"")</f>
        <v/>
      </c>
      <c r="U481" s="359" t="str">
        <f>IFERROR(VLOOKUP($A481,#REF!,15,0),"")</f>
        <v/>
      </c>
      <c r="V481" s="359" t="str">
        <f>IFERROR(VLOOKUP($A481,#REF!,16,0),"")</f>
        <v/>
      </c>
      <c r="W481" s="359" t="str">
        <f>IFERROR(VLOOKUP($A481,#REF!,17,0),"")</f>
        <v/>
      </c>
      <c r="X481" s="359" t="str">
        <f>IFERROR(VLOOKUP($A481,#REF!,18,0),"")</f>
        <v/>
      </c>
      <c r="Y481" s="359" t="str">
        <f>IFERROR(VLOOKUP($A481,#REF!,19,0),"")</f>
        <v/>
      </c>
      <c r="Z481" s="400" t="str">
        <f>IFERROR(VLOOKUP($A481,#REF!,21,0),"")</f>
        <v/>
      </c>
      <c r="AA481" s="358"/>
      <c r="AB481" s="358"/>
      <c r="AC481" s="358" t="s">
        <v>1077</v>
      </c>
      <c r="AD481" s="358" t="s">
        <v>1138</v>
      </c>
      <c r="AE481" s="141"/>
      <c r="AF481" s="141"/>
      <c r="AG481" s="358"/>
      <c r="AH481" s="358"/>
      <c r="AI481" s="358"/>
      <c r="AJ481" s="277"/>
      <c r="AK481" s="277"/>
      <c r="AL481" s="277"/>
      <c r="AM481" s="277"/>
      <c r="AN481" s="120"/>
      <c r="AO481" s="120"/>
      <c r="AP481" s="120"/>
      <c r="AQ481" s="313"/>
      <c r="AR481" s="119"/>
      <c r="AS481" s="22"/>
      <c r="AT481" s="22"/>
      <c r="AU481" s="22"/>
      <c r="AV481" s="2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112"/>
      <c r="BH481" s="112"/>
      <c r="BI481" s="112"/>
      <c r="BJ481" s="112"/>
      <c r="BK481" s="82"/>
      <c r="BL481" s="82"/>
      <c r="BM481"/>
      <c r="BN481" s="412"/>
      <c r="BO481" s="412"/>
      <c r="BP481" s="412"/>
      <c r="BQ481" s="412"/>
      <c r="BR481" s="412"/>
      <c r="BS481" s="96"/>
      <c r="BT481" s="96"/>
      <c r="BU481" s="96"/>
      <c r="BV481" s="96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</row>
    <row r="482" spans="1:123" s="272" customFormat="1" hidden="1">
      <c r="A482" s="35" t="str">
        <f t="shared" si="36"/>
        <v>ELPTMED_213/2646104</v>
      </c>
      <c r="B482" s="35"/>
      <c r="C482" s="358" t="s">
        <v>2342</v>
      </c>
      <c r="D482" s="358">
        <v>479</v>
      </c>
      <c r="E482" s="73" t="s">
        <v>3844</v>
      </c>
      <c r="F482" s="358" t="s">
        <v>1198</v>
      </c>
      <c r="G482" s="384">
        <v>46104</v>
      </c>
      <c r="H482" s="358" t="s">
        <v>3644</v>
      </c>
      <c r="I482" s="358">
        <v>19</v>
      </c>
      <c r="J482" s="359" t="str">
        <f>IFERROR(VLOOKUP($A482,#REF!,3,0),"")</f>
        <v/>
      </c>
      <c r="K482" s="359">
        <f>IFERROR(VLOOKUP($A482,#REF!,4,0),AF482)</f>
        <v>0</v>
      </c>
      <c r="L482" s="359" t="str">
        <f>IFERROR(VLOOKUP($A482,#REF!,5,0),"")</f>
        <v/>
      </c>
      <c r="M482" s="359" t="str">
        <f>IFERROR(VLOOKUP($A482,#REF!,7,0),"")</f>
        <v/>
      </c>
      <c r="N482" s="359"/>
      <c r="O482" s="359" t="str">
        <f>IFERROR(VLOOKUP($A482,#REF!,6,0),"")</f>
        <v/>
      </c>
      <c r="P482" s="359" t="str">
        <f>IFERROR(VLOOKUP($A482,#REF!,9,0),"")</f>
        <v/>
      </c>
      <c r="Q482" s="359" t="str">
        <f>IFERROR(VLOOKUP($A482,#REF!,10,0),"")</f>
        <v/>
      </c>
      <c r="R482" s="359" t="str">
        <f>IFERROR(VLOOKUP($A482,#REF!,11,0),"")</f>
        <v/>
      </c>
      <c r="S482" s="359" t="str">
        <f>IFERROR(VLOOKUP($A482,#REF!,13,0),"")</f>
        <v/>
      </c>
      <c r="T482" s="359" t="str">
        <f>IFERROR(VLOOKUP($A482,#REF!,14,0),"")</f>
        <v/>
      </c>
      <c r="U482" s="359" t="str">
        <f>IFERROR(VLOOKUP($A482,#REF!,15,0),"")</f>
        <v/>
      </c>
      <c r="V482" s="359" t="str">
        <f>IFERROR(VLOOKUP($A482,#REF!,16,0),"")</f>
        <v/>
      </c>
      <c r="W482" s="359" t="str">
        <f>IFERROR(VLOOKUP($A482,#REF!,17,0),"")</f>
        <v/>
      </c>
      <c r="X482" s="359" t="str">
        <f>IFERROR(VLOOKUP($A482,#REF!,18,0),"")</f>
        <v/>
      </c>
      <c r="Y482" s="359" t="str">
        <f>IFERROR(VLOOKUP($A482,#REF!,19,0),"")</f>
        <v/>
      </c>
      <c r="Z482" s="400" t="str">
        <f>IFERROR(VLOOKUP($A482,#REF!,21,0),"")</f>
        <v/>
      </c>
      <c r="AA482" s="358"/>
      <c r="AB482" s="358"/>
      <c r="AC482" s="358" t="s">
        <v>1076</v>
      </c>
      <c r="AD482" s="358" t="s">
        <v>3357</v>
      </c>
      <c r="AE482" s="141"/>
      <c r="AF482" s="141"/>
      <c r="AG482" s="141"/>
      <c r="AH482" s="141"/>
      <c r="AI482" s="141"/>
      <c r="AJ482" s="309"/>
      <c r="AK482" s="309"/>
      <c r="AL482" s="309"/>
      <c r="AM482" s="309"/>
      <c r="AN482" s="120"/>
      <c r="AO482" s="120"/>
      <c r="AP482" s="120"/>
      <c r="AQ482" s="313"/>
      <c r="AR482" s="119"/>
      <c r="AS482" s="22"/>
      <c r="AT482" s="22"/>
      <c r="AU482" s="22"/>
      <c r="AV482" s="2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112"/>
      <c r="BH482" s="112"/>
      <c r="BI482" s="112"/>
      <c r="BJ482" s="112"/>
      <c r="BK482" s="82"/>
      <c r="BL482" s="82"/>
      <c r="BM482" s="348">
        <v>0</v>
      </c>
      <c r="BN482" s="348">
        <v>0</v>
      </c>
      <c r="BO482" s="349">
        <v>0</v>
      </c>
      <c r="BP482" s="349">
        <v>18</v>
      </c>
      <c r="BQ482" s="348">
        <v>1</v>
      </c>
      <c r="BR482" s="348">
        <f>SUM(BM482:BQ482)</f>
        <v>19</v>
      </c>
      <c r="BS482" s="350">
        <f>+BM482/BR482*BS$1</f>
        <v>0</v>
      </c>
      <c r="BT482" s="351">
        <f>+BN482/BR482*BT$1</f>
        <v>0</v>
      </c>
      <c r="BU482" s="348"/>
      <c r="BV482" s="351">
        <f>+BO482/BR482*BV$1</f>
        <v>0</v>
      </c>
      <c r="BW482" s="351">
        <f>+BP482/BR482*BW$1</f>
        <v>2.8421052631578947</v>
      </c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</row>
    <row r="483" spans="1:123" s="272" customFormat="1" hidden="1">
      <c r="A483" s="35" t="str">
        <f t="shared" si="36"/>
        <v>ELPTMED_214/2646104</v>
      </c>
      <c r="B483" s="35"/>
      <c r="C483" s="358" t="s">
        <v>2342</v>
      </c>
      <c r="D483" s="358">
        <v>480</v>
      </c>
      <c r="E483" s="73" t="s">
        <v>3845</v>
      </c>
      <c r="F483" s="358" t="s">
        <v>2963</v>
      </c>
      <c r="G483" s="384">
        <v>46104</v>
      </c>
      <c r="H483" s="358" t="s">
        <v>3644</v>
      </c>
      <c r="I483" s="358">
        <v>3</v>
      </c>
      <c r="J483" s="359" t="str">
        <f>IFERROR(VLOOKUP($A483,#REF!,3,0),"")</f>
        <v/>
      </c>
      <c r="K483" s="359">
        <f>IFERROR(VLOOKUP($A483,#REF!,4,0),AF483)</f>
        <v>0</v>
      </c>
      <c r="L483" s="359" t="str">
        <f>IFERROR(VLOOKUP($A483,#REF!,5,0),"")</f>
        <v/>
      </c>
      <c r="M483" s="359" t="str">
        <f>IFERROR(VLOOKUP($A483,#REF!,7,0),"")</f>
        <v/>
      </c>
      <c r="N483" s="359"/>
      <c r="O483" s="359" t="str">
        <f>IFERROR(VLOOKUP($A483,#REF!,6,0),"")</f>
        <v/>
      </c>
      <c r="P483" s="359" t="str">
        <f>IFERROR(VLOOKUP($A483,#REF!,9,0),"")</f>
        <v/>
      </c>
      <c r="Q483" s="359" t="str">
        <f>IFERROR(VLOOKUP($A483,#REF!,10,0),"")</f>
        <v/>
      </c>
      <c r="R483" s="359" t="str">
        <f>IFERROR(VLOOKUP($A483,#REF!,11,0),"")</f>
        <v/>
      </c>
      <c r="S483" s="359" t="str">
        <f>IFERROR(VLOOKUP($A483,#REF!,13,0),"")</f>
        <v/>
      </c>
      <c r="T483" s="359" t="str">
        <f>IFERROR(VLOOKUP($A483,#REF!,14,0),"")</f>
        <v/>
      </c>
      <c r="U483" s="359" t="str">
        <f>IFERROR(VLOOKUP($A483,#REF!,15,0),"")</f>
        <v/>
      </c>
      <c r="V483" s="359" t="str">
        <f>IFERROR(VLOOKUP($A483,#REF!,16,0),"")</f>
        <v/>
      </c>
      <c r="W483" s="359" t="str">
        <f>IFERROR(VLOOKUP($A483,#REF!,17,0),"")</f>
        <v/>
      </c>
      <c r="X483" s="359" t="str">
        <f>IFERROR(VLOOKUP($A483,#REF!,18,0),"")</f>
        <v/>
      </c>
      <c r="Y483" s="359" t="str">
        <f>IFERROR(VLOOKUP($A483,#REF!,19,0),"")</f>
        <v/>
      </c>
      <c r="Z483" s="400" t="str">
        <f>IFERROR(VLOOKUP($A483,#REF!,21,0),"")</f>
        <v/>
      </c>
      <c r="AA483" s="358"/>
      <c r="AB483" s="358"/>
      <c r="AC483" s="358" t="s">
        <v>3075</v>
      </c>
      <c r="AD483" s="358" t="s">
        <v>47</v>
      </c>
      <c r="AE483" s="141"/>
      <c r="AF483" s="141"/>
      <c r="AG483" s="141"/>
      <c r="AH483" s="141"/>
      <c r="AI483" s="141"/>
      <c r="AJ483" s="309"/>
      <c r="AK483" s="309"/>
      <c r="AL483" s="309"/>
      <c r="AM483" s="309"/>
      <c r="AN483" s="120"/>
      <c r="AO483" s="120"/>
      <c r="AP483" s="120"/>
      <c r="AQ483" s="313"/>
      <c r="AR483" s="119"/>
      <c r="AS483" s="22"/>
      <c r="AT483" s="22"/>
      <c r="AU483" s="22"/>
      <c r="AV483" s="2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112"/>
      <c r="BH483" s="112"/>
      <c r="BI483" s="112"/>
      <c r="BJ483" s="112"/>
      <c r="BK483" s="82"/>
      <c r="BL483" s="82"/>
      <c r="BM483"/>
      <c r="BN483" s="412"/>
      <c r="BO483" s="412"/>
      <c r="BP483" s="412"/>
      <c r="BQ483" s="412"/>
      <c r="BR483" s="412"/>
      <c r="BS483" s="96"/>
      <c r="BT483" s="96"/>
      <c r="BU483" s="96"/>
      <c r="BV483" s="96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</row>
    <row r="484" spans="1:123" s="272" customFormat="1" hidden="1">
      <c r="A484" s="35" t="str">
        <f t="shared" si="36"/>
        <v>ELPTMED_215/2646104</v>
      </c>
      <c r="B484" s="35"/>
      <c r="C484" s="358" t="s">
        <v>2342</v>
      </c>
      <c r="D484" s="358">
        <v>481</v>
      </c>
      <c r="E484" s="73" t="s">
        <v>3846</v>
      </c>
      <c r="F484" s="358" t="s">
        <v>818</v>
      </c>
      <c r="G484" s="384">
        <v>46104</v>
      </c>
      <c r="H484" s="358" t="s">
        <v>3644</v>
      </c>
      <c r="I484" s="358">
        <v>1</v>
      </c>
      <c r="J484" s="359" t="str">
        <f>IFERROR(VLOOKUP($A484,#REF!,3,0),"")</f>
        <v/>
      </c>
      <c r="K484" s="359">
        <f>IFERROR(VLOOKUP($A484,#REF!,4,0),AF484)</f>
        <v>0</v>
      </c>
      <c r="L484" s="359" t="str">
        <f>IFERROR(VLOOKUP($A484,#REF!,5,0),"")</f>
        <v/>
      </c>
      <c r="M484" s="359" t="str">
        <f>IFERROR(VLOOKUP($A484,#REF!,7,0),"")</f>
        <v/>
      </c>
      <c r="N484" s="359"/>
      <c r="O484" s="359" t="str">
        <f>IFERROR(VLOOKUP($A484,#REF!,6,0),"")</f>
        <v/>
      </c>
      <c r="P484" s="359" t="str">
        <f>IFERROR(VLOOKUP($A484,#REF!,9,0),"")</f>
        <v/>
      </c>
      <c r="Q484" s="359" t="str">
        <f>IFERROR(VLOOKUP($A484,#REF!,10,0),"")</f>
        <v/>
      </c>
      <c r="R484" s="359" t="str">
        <f>IFERROR(VLOOKUP($A484,#REF!,11,0),"")</f>
        <v/>
      </c>
      <c r="S484" s="359" t="str">
        <f>IFERROR(VLOOKUP($A484,#REF!,13,0),"")</f>
        <v/>
      </c>
      <c r="T484" s="359" t="str">
        <f>IFERROR(VLOOKUP($A484,#REF!,14,0),"")</f>
        <v/>
      </c>
      <c r="U484" s="359" t="str">
        <f>IFERROR(VLOOKUP($A484,#REF!,15,0),"")</f>
        <v/>
      </c>
      <c r="V484" s="359" t="str">
        <f>IFERROR(VLOOKUP($A484,#REF!,16,0),"")</f>
        <v/>
      </c>
      <c r="W484" s="359" t="str">
        <f>IFERROR(VLOOKUP($A484,#REF!,17,0),"")</f>
        <v/>
      </c>
      <c r="X484" s="359" t="str">
        <f>IFERROR(VLOOKUP($A484,#REF!,18,0),"")</f>
        <v/>
      </c>
      <c r="Y484" s="359" t="str">
        <f>IFERROR(VLOOKUP($A484,#REF!,19,0),"")</f>
        <v/>
      </c>
      <c r="Z484" s="400" t="str">
        <f>IFERROR(VLOOKUP($A484,#REF!,21,0),"")</f>
        <v/>
      </c>
      <c r="AA484" s="358"/>
      <c r="AB484" s="358"/>
      <c r="AC484" s="358" t="s">
        <v>3075</v>
      </c>
      <c r="AD484" s="358" t="s">
        <v>47</v>
      </c>
      <c r="AE484" s="141"/>
      <c r="AF484" s="141"/>
      <c r="AG484" s="141"/>
      <c r="AH484" s="141"/>
      <c r="AI484" s="141"/>
      <c r="AJ484" s="309"/>
      <c r="AK484" s="309"/>
      <c r="AL484" s="309"/>
      <c r="AM484" s="309"/>
      <c r="AN484" s="120"/>
      <c r="AO484" s="120"/>
      <c r="AP484" s="120"/>
      <c r="AQ484" s="313"/>
      <c r="AR484" s="119"/>
      <c r="AS484" s="22"/>
      <c r="AT484" s="22"/>
      <c r="AU484" s="22"/>
      <c r="AV484" s="2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112"/>
      <c r="BH484" s="112"/>
      <c r="BI484" s="112"/>
      <c r="BJ484" s="112"/>
      <c r="BK484" s="82"/>
      <c r="BL484" s="82"/>
      <c r="BM484"/>
      <c r="BN484" s="412"/>
      <c r="BO484" s="412"/>
      <c r="BP484" s="412"/>
      <c r="BQ484" s="412"/>
      <c r="BR484" s="412"/>
      <c r="BS484" s="96"/>
      <c r="BT484" s="96"/>
      <c r="BU484" s="96"/>
      <c r="BV484" s="96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</row>
    <row r="485" spans="1:123" s="272" customFormat="1" hidden="1">
      <c r="A485" s="35" t="str">
        <f t="shared" si="36"/>
        <v>ELPTMED_216/2646104</v>
      </c>
      <c r="B485" s="35"/>
      <c r="C485" s="358" t="s">
        <v>2342</v>
      </c>
      <c r="D485" s="358">
        <v>482</v>
      </c>
      <c r="E485" s="73" t="s">
        <v>3847</v>
      </c>
      <c r="F485" s="358" t="s">
        <v>3546</v>
      </c>
      <c r="G485" s="384">
        <v>46104</v>
      </c>
      <c r="H485" s="358" t="s">
        <v>3644</v>
      </c>
      <c r="I485" s="358">
        <v>1</v>
      </c>
      <c r="J485" s="359" t="str">
        <f>IFERROR(VLOOKUP($A485,#REF!,3,0),"")</f>
        <v/>
      </c>
      <c r="K485" s="359">
        <f>IFERROR(VLOOKUP($A485,#REF!,4,0),AF485)</f>
        <v>0</v>
      </c>
      <c r="L485" s="359" t="str">
        <f>IFERROR(VLOOKUP($A485,#REF!,5,0),"")</f>
        <v/>
      </c>
      <c r="M485" s="359" t="str">
        <f>IFERROR(VLOOKUP($A485,#REF!,7,0),"")</f>
        <v/>
      </c>
      <c r="N485" s="359"/>
      <c r="O485" s="359" t="str">
        <f>IFERROR(VLOOKUP($A485,#REF!,6,0),"")</f>
        <v/>
      </c>
      <c r="P485" s="359" t="str">
        <f>IFERROR(VLOOKUP($A485,#REF!,9,0),"")</f>
        <v/>
      </c>
      <c r="Q485" s="359" t="str">
        <f>IFERROR(VLOOKUP($A485,#REF!,10,0),"")</f>
        <v/>
      </c>
      <c r="R485" s="359" t="str">
        <f>IFERROR(VLOOKUP($A485,#REF!,11,0),"")</f>
        <v/>
      </c>
      <c r="S485" s="359" t="str">
        <f>IFERROR(VLOOKUP($A485,#REF!,13,0),"")</f>
        <v/>
      </c>
      <c r="T485" s="359" t="str">
        <f>IFERROR(VLOOKUP($A485,#REF!,14,0),"")</f>
        <v/>
      </c>
      <c r="U485" s="359" t="str">
        <f>IFERROR(VLOOKUP($A485,#REF!,15,0),"")</f>
        <v/>
      </c>
      <c r="V485" s="359" t="str">
        <f>IFERROR(VLOOKUP($A485,#REF!,16,0),"")</f>
        <v/>
      </c>
      <c r="W485" s="359" t="str">
        <f>IFERROR(VLOOKUP($A485,#REF!,17,0),"")</f>
        <v/>
      </c>
      <c r="X485" s="359" t="str">
        <f>IFERROR(VLOOKUP($A485,#REF!,18,0),"")</f>
        <v/>
      </c>
      <c r="Y485" s="359" t="str">
        <f>IFERROR(VLOOKUP($A485,#REF!,19,0),"")</f>
        <v/>
      </c>
      <c r="Z485" s="400" t="str">
        <f>IFERROR(VLOOKUP($A485,#REF!,21,0),"")</f>
        <v/>
      </c>
      <c r="AA485" s="358"/>
      <c r="AB485" s="358"/>
      <c r="AC485" s="358" t="s">
        <v>3075</v>
      </c>
      <c r="AD485" s="358" t="s">
        <v>47</v>
      </c>
      <c r="AE485" s="141"/>
      <c r="AF485" s="141"/>
      <c r="AG485" s="141"/>
      <c r="AH485" s="141"/>
      <c r="AI485" s="141"/>
      <c r="AJ485" s="309"/>
      <c r="AK485" s="309"/>
      <c r="AL485" s="309"/>
      <c r="AM485" s="309"/>
      <c r="AN485" s="120"/>
      <c r="AO485" s="120"/>
      <c r="AP485" s="120"/>
      <c r="AQ485" s="313"/>
      <c r="AR485" s="119"/>
      <c r="AS485" s="22"/>
      <c r="AT485" s="22"/>
      <c r="AU485" s="22"/>
      <c r="AV485" s="2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112"/>
      <c r="BH485" s="112"/>
      <c r="BI485" s="112"/>
      <c r="BJ485" s="112"/>
      <c r="BK485" s="82"/>
      <c r="BL485" s="82"/>
      <c r="BM485"/>
      <c r="BN485" s="412"/>
      <c r="BO485" s="412"/>
      <c r="BP485" s="412"/>
      <c r="BQ485" s="412"/>
      <c r="BR485" s="412"/>
      <c r="BS485" s="96"/>
      <c r="BT485" s="96"/>
      <c r="BU485" s="96"/>
      <c r="BV485" s="96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</row>
    <row r="486" spans="1:123" s="272" customFormat="1" hidden="1">
      <c r="A486" s="35" t="str">
        <f t="shared" si="36"/>
        <v>ELPTMED_217/2646104</v>
      </c>
      <c r="B486" s="35"/>
      <c r="C486" s="358" t="s">
        <v>2342</v>
      </c>
      <c r="D486" s="358">
        <v>483</v>
      </c>
      <c r="E486" s="73" t="s">
        <v>3848</v>
      </c>
      <c r="F486" s="358" t="s">
        <v>1887</v>
      </c>
      <c r="G486" s="384">
        <v>46104</v>
      </c>
      <c r="H486" s="358" t="s">
        <v>3644</v>
      </c>
      <c r="I486" s="358">
        <v>6</v>
      </c>
      <c r="J486" s="359" t="str">
        <f>IFERROR(VLOOKUP($A486,#REF!,3,0),"")</f>
        <v/>
      </c>
      <c r="K486" s="359">
        <f>IFERROR(VLOOKUP($A486,#REF!,4,0),AF486)</f>
        <v>0</v>
      </c>
      <c r="L486" s="359" t="str">
        <f>IFERROR(VLOOKUP($A486,#REF!,5,0),"")</f>
        <v/>
      </c>
      <c r="M486" s="359" t="str">
        <f>IFERROR(VLOOKUP($A486,#REF!,7,0),"")</f>
        <v/>
      </c>
      <c r="N486" s="359"/>
      <c r="O486" s="359" t="str">
        <f>IFERROR(VLOOKUP($A486,#REF!,6,0),"")</f>
        <v/>
      </c>
      <c r="P486" s="359" t="str">
        <f>IFERROR(VLOOKUP($A486,#REF!,9,0),"")</f>
        <v/>
      </c>
      <c r="Q486" s="359" t="str">
        <f>IFERROR(VLOOKUP($A486,#REF!,10,0),"")</f>
        <v/>
      </c>
      <c r="R486" s="359" t="str">
        <f>IFERROR(VLOOKUP($A486,#REF!,11,0),"")</f>
        <v/>
      </c>
      <c r="S486" s="359" t="str">
        <f>IFERROR(VLOOKUP($A486,#REF!,13,0),"")</f>
        <v/>
      </c>
      <c r="T486" s="359" t="str">
        <f>IFERROR(VLOOKUP($A486,#REF!,14,0),"")</f>
        <v/>
      </c>
      <c r="U486" s="359" t="str">
        <f>IFERROR(VLOOKUP($A486,#REF!,15,0),"")</f>
        <v/>
      </c>
      <c r="V486" s="359" t="str">
        <f>IFERROR(VLOOKUP($A486,#REF!,16,0),"")</f>
        <v/>
      </c>
      <c r="W486" s="359" t="str">
        <f>IFERROR(VLOOKUP($A486,#REF!,17,0),"")</f>
        <v/>
      </c>
      <c r="X486" s="359" t="str">
        <f>IFERROR(VLOOKUP($A486,#REF!,18,0),"")</f>
        <v/>
      </c>
      <c r="Y486" s="359" t="str">
        <f>IFERROR(VLOOKUP($A486,#REF!,19,0),"")</f>
        <v/>
      </c>
      <c r="Z486" s="400" t="str">
        <f>IFERROR(VLOOKUP($A486,#REF!,21,0),"")</f>
        <v/>
      </c>
      <c r="AA486" s="358"/>
      <c r="AB486" s="358"/>
      <c r="AC486" s="358" t="s">
        <v>3849</v>
      </c>
      <c r="AD486" s="358" t="s">
        <v>3850</v>
      </c>
      <c r="AE486" s="141"/>
      <c r="AF486" s="141"/>
      <c r="AG486" s="141"/>
      <c r="AH486" s="141"/>
      <c r="AI486" s="141"/>
      <c r="AJ486" s="309"/>
      <c r="AK486" s="309"/>
      <c r="AL486" s="309"/>
      <c r="AM486" s="309"/>
      <c r="AN486" s="120"/>
      <c r="AO486" s="120"/>
      <c r="AP486" s="120"/>
      <c r="AQ486" s="313"/>
      <c r="AR486" s="119"/>
      <c r="AS486" s="22"/>
      <c r="AT486" s="22"/>
      <c r="AU486" s="22"/>
      <c r="AV486" s="2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112"/>
      <c r="BH486" s="112"/>
      <c r="BI486" s="112"/>
      <c r="BJ486" s="112"/>
      <c r="BK486" s="82"/>
      <c r="BL486" s="82"/>
      <c r="BM486"/>
      <c r="BN486" s="412"/>
      <c r="BO486" s="412"/>
      <c r="BP486" s="412"/>
      <c r="BQ486" s="412"/>
      <c r="BR486" s="412"/>
      <c r="BS486" s="96"/>
      <c r="BT486" s="96"/>
      <c r="BU486" s="96"/>
      <c r="BV486" s="9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</row>
    <row r="487" spans="1:123" s="272" customFormat="1" hidden="1">
      <c r="A487" s="35" t="str">
        <f t="shared" si="36"/>
        <v>ELPTMED_218/2646104</v>
      </c>
      <c r="B487" s="35"/>
      <c r="C487" s="358" t="s">
        <v>2342</v>
      </c>
      <c r="D487" s="358">
        <v>484</v>
      </c>
      <c r="E487" s="73" t="s">
        <v>3851</v>
      </c>
      <c r="F487" s="358" t="s">
        <v>2975</v>
      </c>
      <c r="G487" s="384">
        <v>46104</v>
      </c>
      <c r="H487" s="358" t="s">
        <v>3644</v>
      </c>
      <c r="I487" s="358">
        <v>4</v>
      </c>
      <c r="J487" s="359" t="str">
        <f>IFERROR(VLOOKUP($A487,#REF!,3,0),"")</f>
        <v/>
      </c>
      <c r="K487" s="359">
        <f>IFERROR(VLOOKUP($A487,#REF!,4,0),AF487)</f>
        <v>0</v>
      </c>
      <c r="L487" s="359" t="str">
        <f>IFERROR(VLOOKUP($A487,#REF!,5,0),"")</f>
        <v/>
      </c>
      <c r="M487" s="359" t="str">
        <f>IFERROR(VLOOKUP($A487,#REF!,7,0),"")</f>
        <v/>
      </c>
      <c r="N487" s="359"/>
      <c r="O487" s="359" t="str">
        <f>IFERROR(VLOOKUP($A487,#REF!,6,0),"")</f>
        <v/>
      </c>
      <c r="P487" s="359" t="str">
        <f>IFERROR(VLOOKUP($A487,#REF!,9,0),"")</f>
        <v/>
      </c>
      <c r="Q487" s="359" t="str">
        <f>IFERROR(VLOOKUP($A487,#REF!,10,0),"")</f>
        <v/>
      </c>
      <c r="R487" s="359" t="str">
        <f>IFERROR(VLOOKUP($A487,#REF!,11,0),"")</f>
        <v/>
      </c>
      <c r="S487" s="359" t="str">
        <f>IFERROR(VLOOKUP($A487,#REF!,13,0),"")</f>
        <v/>
      </c>
      <c r="T487" s="359" t="str">
        <f>IFERROR(VLOOKUP($A487,#REF!,14,0),"")</f>
        <v/>
      </c>
      <c r="U487" s="359" t="str">
        <f>IFERROR(VLOOKUP($A487,#REF!,15,0),"")</f>
        <v/>
      </c>
      <c r="V487" s="359" t="str">
        <f>IFERROR(VLOOKUP($A487,#REF!,16,0),"")</f>
        <v/>
      </c>
      <c r="W487" s="359" t="str">
        <f>IFERROR(VLOOKUP($A487,#REF!,17,0),"")</f>
        <v/>
      </c>
      <c r="X487" s="359" t="str">
        <f>IFERROR(VLOOKUP($A487,#REF!,18,0),"")</f>
        <v/>
      </c>
      <c r="Y487" s="359" t="str">
        <f>IFERROR(VLOOKUP($A487,#REF!,19,0),"")</f>
        <v/>
      </c>
      <c r="Z487" s="400" t="str">
        <f>IFERROR(VLOOKUP($A487,#REF!,21,0),"")</f>
        <v/>
      </c>
      <c r="AA487" s="358"/>
      <c r="AB487" s="358"/>
      <c r="AC487" s="358" t="s">
        <v>1076</v>
      </c>
      <c r="AD487" s="358" t="s">
        <v>3357</v>
      </c>
      <c r="AE487" s="141"/>
      <c r="AF487" s="141"/>
      <c r="AG487" s="141"/>
      <c r="AH487" s="141"/>
      <c r="AI487" s="141"/>
      <c r="AJ487" s="309"/>
      <c r="AK487" s="309"/>
      <c r="AL487" s="309"/>
      <c r="AM487" s="309"/>
      <c r="AN487" s="120"/>
      <c r="AO487" s="120"/>
      <c r="AP487" s="120"/>
      <c r="AQ487" s="313"/>
      <c r="AR487" s="119"/>
      <c r="AS487" s="22"/>
      <c r="AT487" s="22"/>
      <c r="AU487" s="22"/>
      <c r="AV487" s="2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112"/>
      <c r="BH487" s="112"/>
      <c r="BI487" s="112"/>
      <c r="BJ487" s="112"/>
      <c r="BK487" s="82"/>
      <c r="BL487" s="82"/>
      <c r="BM487"/>
      <c r="BN487" s="412"/>
      <c r="BO487" s="412"/>
      <c r="BP487" s="412"/>
      <c r="BQ487" s="412"/>
      <c r="BR487" s="412"/>
      <c r="BS487" s="96"/>
      <c r="BT487" s="96"/>
      <c r="BU487" s="96"/>
      <c r="BV487" s="96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</row>
    <row r="488" spans="1:123" s="272" customFormat="1" hidden="1">
      <c r="A488" s="35" t="str">
        <f t="shared" si="36"/>
        <v>ELPTMED_219/2646104</v>
      </c>
      <c r="B488" s="35"/>
      <c r="C488" s="358" t="s">
        <v>2342</v>
      </c>
      <c r="D488" s="358">
        <v>485</v>
      </c>
      <c r="E488" s="73" t="s">
        <v>3852</v>
      </c>
      <c r="F488" s="358" t="s">
        <v>969</v>
      </c>
      <c r="G488" s="384">
        <v>46104</v>
      </c>
      <c r="H488" s="358" t="s">
        <v>3644</v>
      </c>
      <c r="I488" s="358">
        <v>4</v>
      </c>
      <c r="J488" s="359" t="str">
        <f>IFERROR(VLOOKUP($A488,#REF!,3,0),"")</f>
        <v/>
      </c>
      <c r="K488" s="359">
        <f>IFERROR(VLOOKUP($A488,#REF!,4,0),AF488)</f>
        <v>0</v>
      </c>
      <c r="L488" s="359" t="str">
        <f>IFERROR(VLOOKUP($A488,#REF!,5,0),"")</f>
        <v/>
      </c>
      <c r="M488" s="359" t="str">
        <f>IFERROR(VLOOKUP($A488,#REF!,7,0),"")</f>
        <v/>
      </c>
      <c r="N488" s="359"/>
      <c r="O488" s="359" t="str">
        <f>IFERROR(VLOOKUP($A488,#REF!,6,0),"")</f>
        <v/>
      </c>
      <c r="P488" s="359" t="str">
        <f>IFERROR(VLOOKUP($A488,#REF!,9,0),"")</f>
        <v/>
      </c>
      <c r="Q488" s="359" t="str">
        <f>IFERROR(VLOOKUP($A488,#REF!,10,0),"")</f>
        <v/>
      </c>
      <c r="R488" s="359" t="str">
        <f>IFERROR(VLOOKUP($A488,#REF!,11,0),"")</f>
        <v/>
      </c>
      <c r="S488" s="359" t="str">
        <f>IFERROR(VLOOKUP($A488,#REF!,13,0),"")</f>
        <v/>
      </c>
      <c r="T488" s="359" t="str">
        <f>IFERROR(VLOOKUP($A488,#REF!,14,0),"")</f>
        <v/>
      </c>
      <c r="U488" s="359" t="str">
        <f>IFERROR(VLOOKUP($A488,#REF!,15,0),"")</f>
        <v/>
      </c>
      <c r="V488" s="359" t="str">
        <f>IFERROR(VLOOKUP($A488,#REF!,16,0),"")</f>
        <v/>
      </c>
      <c r="W488" s="359" t="str">
        <f>IFERROR(VLOOKUP($A488,#REF!,17,0),"")</f>
        <v/>
      </c>
      <c r="X488" s="359" t="str">
        <f>IFERROR(VLOOKUP($A488,#REF!,18,0),"")</f>
        <v/>
      </c>
      <c r="Y488" s="359" t="str">
        <f>IFERROR(VLOOKUP($A488,#REF!,19,0),"")</f>
        <v/>
      </c>
      <c r="Z488" s="400" t="str">
        <f>IFERROR(VLOOKUP($A488,#REF!,21,0),"")</f>
        <v/>
      </c>
      <c r="AA488" s="358"/>
      <c r="AB488" s="358"/>
      <c r="AC488" s="358" t="s">
        <v>1076</v>
      </c>
      <c r="AD488" s="358" t="s">
        <v>3357</v>
      </c>
      <c r="AE488" s="141"/>
      <c r="AF488" s="141"/>
      <c r="AG488" s="141"/>
      <c r="AH488" s="141"/>
      <c r="AI488" s="141"/>
      <c r="AJ488" s="309"/>
      <c r="AK488" s="309"/>
      <c r="AL488" s="309"/>
      <c r="AM488" s="309"/>
      <c r="AN488" s="120"/>
      <c r="AO488" s="120"/>
      <c r="AP488" s="120"/>
      <c r="AQ488" s="313"/>
      <c r="AR488" s="119"/>
      <c r="AS488" s="22"/>
      <c r="AT488" s="22"/>
      <c r="AU488" s="22"/>
      <c r="AV488" s="2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112"/>
      <c r="BH488" s="112"/>
      <c r="BI488" s="112"/>
      <c r="BJ488" s="112"/>
      <c r="BK488" s="82"/>
      <c r="BL488" s="82"/>
      <c r="BM488"/>
      <c r="BN488" s="412"/>
      <c r="BO488" s="412"/>
      <c r="BP488" s="412"/>
      <c r="BQ488" s="412"/>
      <c r="BR488" s="412"/>
      <c r="BS488" s="96"/>
      <c r="BT488" s="96"/>
      <c r="BU488" s="96"/>
      <c r="BV488" s="96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</row>
    <row r="489" spans="1:123" s="272" customFormat="1" hidden="1">
      <c r="A489" s="35" t="str">
        <f t="shared" si="36"/>
        <v>ELPTTCV_046/2646104</v>
      </c>
      <c r="B489" s="35"/>
      <c r="C489" s="358" t="s">
        <v>2342</v>
      </c>
      <c r="D489" s="358">
        <v>486</v>
      </c>
      <c r="E489" s="73" t="s">
        <v>3853</v>
      </c>
      <c r="F489" s="358" t="s">
        <v>798</v>
      </c>
      <c r="G489" s="384">
        <v>46104</v>
      </c>
      <c r="H489" s="358" t="s">
        <v>3644</v>
      </c>
      <c r="I489" s="358">
        <v>20</v>
      </c>
      <c r="J489" s="359" t="str">
        <f>IFERROR(VLOOKUP($A489,#REF!,3,0),"")</f>
        <v/>
      </c>
      <c r="K489" s="359">
        <f>IFERROR(VLOOKUP($A489,#REF!,4,0),AF489)</f>
        <v>0</v>
      </c>
      <c r="L489" s="359" t="str">
        <f>IFERROR(VLOOKUP($A489,#REF!,5,0),"")</f>
        <v/>
      </c>
      <c r="M489" s="359" t="str">
        <f>IFERROR(VLOOKUP($A489,#REF!,7,0),"")</f>
        <v/>
      </c>
      <c r="N489" s="359"/>
      <c r="O489" s="359" t="str">
        <f>IFERROR(VLOOKUP($A489,#REF!,6,0),"")</f>
        <v/>
      </c>
      <c r="P489" s="359" t="str">
        <f>IFERROR(VLOOKUP($A489,#REF!,9,0),"")</f>
        <v/>
      </c>
      <c r="Q489" s="359" t="str">
        <f>IFERROR(VLOOKUP($A489,#REF!,10,0),"")</f>
        <v/>
      </c>
      <c r="R489" s="359" t="str">
        <f>IFERROR(VLOOKUP($A489,#REF!,11,0),"")</f>
        <v/>
      </c>
      <c r="S489" s="359" t="str">
        <f>IFERROR(VLOOKUP($A489,#REF!,13,0),"")</f>
        <v/>
      </c>
      <c r="T489" s="359" t="str">
        <f>IFERROR(VLOOKUP($A489,#REF!,14,0),"")</f>
        <v/>
      </c>
      <c r="U489" s="359" t="str">
        <f>IFERROR(VLOOKUP($A489,#REF!,15,0),"")</f>
        <v/>
      </c>
      <c r="V489" s="359" t="str">
        <f>IFERROR(VLOOKUP($A489,#REF!,16,0),"")</f>
        <v/>
      </c>
      <c r="W489" s="359" t="str">
        <f>IFERROR(VLOOKUP($A489,#REF!,17,0),"")</f>
        <v/>
      </c>
      <c r="X489" s="359" t="str">
        <f>IFERROR(VLOOKUP($A489,#REF!,18,0),"")</f>
        <v/>
      </c>
      <c r="Y489" s="359" t="str">
        <f>IFERROR(VLOOKUP($A489,#REF!,19,0),"")</f>
        <v/>
      </c>
      <c r="Z489" s="400" t="str">
        <f>IFERROR(VLOOKUP($A489,#REF!,21,0),"")</f>
        <v/>
      </c>
      <c r="AA489" s="358"/>
      <c r="AB489" s="358"/>
      <c r="AC489" s="358" t="s">
        <v>1721</v>
      </c>
      <c r="AD489" s="358" t="s">
        <v>1638</v>
      </c>
      <c r="AE489" s="141"/>
      <c r="AF489" s="141"/>
      <c r="AG489" s="141"/>
      <c r="AH489" s="141"/>
      <c r="AI489" s="141"/>
      <c r="AJ489" s="309"/>
      <c r="AK489" s="309"/>
      <c r="AL489" s="309"/>
      <c r="AM489" s="309"/>
      <c r="AN489" s="358" t="s">
        <v>3581</v>
      </c>
      <c r="AO489" s="120"/>
      <c r="AP489" s="120"/>
      <c r="AQ489" s="313"/>
      <c r="AR489" s="119"/>
      <c r="AS489" s="22"/>
      <c r="AT489" s="22"/>
      <c r="AU489" s="22"/>
      <c r="AV489" s="2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112"/>
      <c r="BH489" s="112"/>
      <c r="BI489" s="112"/>
      <c r="BJ489" s="112"/>
      <c r="BK489" s="82"/>
      <c r="BL489" s="82"/>
      <c r="BM489" s="348">
        <v>0</v>
      </c>
      <c r="BN489" s="348">
        <v>0</v>
      </c>
      <c r="BO489" s="349">
        <v>20</v>
      </c>
      <c r="BP489" s="349">
        <v>0</v>
      </c>
      <c r="BQ489" s="348">
        <v>0</v>
      </c>
      <c r="BR489" s="348">
        <f>SUM(BM489:BQ489)</f>
        <v>20</v>
      </c>
      <c r="BS489" s="350">
        <f>+BM489/BR489*BS$1</f>
        <v>0</v>
      </c>
      <c r="BT489" s="351">
        <f>+BN489/BR489*BT$1</f>
        <v>0</v>
      </c>
      <c r="BU489" s="348"/>
      <c r="BV489" s="351">
        <f>+BO489/BR489*BV$1</f>
        <v>3</v>
      </c>
      <c r="BW489" s="351">
        <f>+BP489/BR489*BW$1</f>
        <v>0</v>
      </c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</row>
    <row r="490" spans="1:123" s="272" customFormat="1" hidden="1">
      <c r="A490" s="35" t="str">
        <f t="shared" si="36"/>
        <v>ELPTTCV_047/2646104</v>
      </c>
      <c r="B490" s="35"/>
      <c r="C490" s="358" t="s">
        <v>2342</v>
      </c>
      <c r="D490" s="358">
        <v>487</v>
      </c>
      <c r="E490" s="73" t="s">
        <v>3854</v>
      </c>
      <c r="F490" s="358" t="s">
        <v>1250</v>
      </c>
      <c r="G490" s="384">
        <v>46104</v>
      </c>
      <c r="H490" s="358" t="s">
        <v>3644</v>
      </c>
      <c r="I490" s="358">
        <v>1</v>
      </c>
      <c r="J490" s="359" t="str">
        <f>IFERROR(VLOOKUP($A490,#REF!,3,0),"")</f>
        <v/>
      </c>
      <c r="K490" s="359">
        <f>IFERROR(VLOOKUP($A490,#REF!,4,0),AF490)</f>
        <v>0</v>
      </c>
      <c r="L490" s="359" t="str">
        <f>IFERROR(VLOOKUP($A490,#REF!,5,0),"")</f>
        <v/>
      </c>
      <c r="M490" s="359" t="str">
        <f>IFERROR(VLOOKUP($A490,#REF!,7,0),"")</f>
        <v/>
      </c>
      <c r="N490" s="359"/>
      <c r="O490" s="359" t="str">
        <f>IFERROR(VLOOKUP($A490,#REF!,6,0),"")</f>
        <v/>
      </c>
      <c r="P490" s="359" t="str">
        <f>IFERROR(VLOOKUP($A490,#REF!,9,0),"")</f>
        <v/>
      </c>
      <c r="Q490" s="359" t="str">
        <f>IFERROR(VLOOKUP($A490,#REF!,10,0),"")</f>
        <v/>
      </c>
      <c r="R490" s="359" t="str">
        <f>IFERROR(VLOOKUP($A490,#REF!,11,0),"")</f>
        <v/>
      </c>
      <c r="S490" s="359" t="str">
        <f>IFERROR(VLOOKUP($A490,#REF!,13,0),"")</f>
        <v/>
      </c>
      <c r="T490" s="359" t="str">
        <f>IFERROR(VLOOKUP($A490,#REF!,14,0),"")</f>
        <v/>
      </c>
      <c r="U490" s="359" t="str">
        <f>IFERROR(VLOOKUP($A490,#REF!,15,0),"")</f>
        <v/>
      </c>
      <c r="V490" s="359" t="str">
        <f>IFERROR(VLOOKUP($A490,#REF!,16,0),"")</f>
        <v/>
      </c>
      <c r="W490" s="359" t="str">
        <f>IFERROR(VLOOKUP($A490,#REF!,17,0),"")</f>
        <v/>
      </c>
      <c r="X490" s="359" t="str">
        <f>IFERROR(VLOOKUP($A490,#REF!,18,0),"")</f>
        <v/>
      </c>
      <c r="Y490" s="359" t="str">
        <f>IFERROR(VLOOKUP($A490,#REF!,19,0),"")</f>
        <v/>
      </c>
      <c r="Z490" s="400" t="str">
        <f>IFERROR(VLOOKUP($A490,#REF!,21,0),"")</f>
        <v/>
      </c>
      <c r="AA490" s="358"/>
      <c r="AB490" s="358"/>
      <c r="AC490" s="358" t="s">
        <v>1721</v>
      </c>
      <c r="AD490" s="358" t="s">
        <v>1638</v>
      </c>
      <c r="AE490" s="141"/>
      <c r="AF490" s="141"/>
      <c r="AG490" s="141"/>
      <c r="AH490" s="141"/>
      <c r="AI490" s="141"/>
      <c r="AJ490" s="309"/>
      <c r="AK490" s="309"/>
      <c r="AL490" s="309"/>
      <c r="AM490" s="309"/>
      <c r="AN490" s="120"/>
      <c r="AO490" s="120"/>
      <c r="AP490" s="120"/>
      <c r="AQ490" s="313"/>
      <c r="AR490" s="119"/>
      <c r="AS490" s="22"/>
      <c r="AT490" s="22"/>
      <c r="AU490" s="22"/>
      <c r="AV490" s="2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112"/>
      <c r="BH490" s="112"/>
      <c r="BI490" s="112"/>
      <c r="BJ490" s="112"/>
      <c r="BK490" s="82"/>
      <c r="BL490" s="82"/>
      <c r="BM490"/>
      <c r="BN490" s="412"/>
      <c r="BO490" s="412"/>
      <c r="BP490" s="412"/>
      <c r="BQ490" s="412"/>
      <c r="BR490" s="412"/>
      <c r="BS490" s="96"/>
      <c r="BT490" s="96"/>
      <c r="BU490" s="96"/>
      <c r="BV490" s="96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</row>
    <row r="491" spans="1:123" s="272" customFormat="1" hidden="1">
      <c r="A491" s="35" t="str">
        <f t="shared" si="36"/>
        <v>ELPTTCV_048/2646104</v>
      </c>
      <c r="B491" s="35"/>
      <c r="C491" s="358" t="s">
        <v>2342</v>
      </c>
      <c r="D491" s="358">
        <v>488</v>
      </c>
      <c r="E491" s="73" t="s">
        <v>3855</v>
      </c>
      <c r="F491" s="358" t="s">
        <v>829</v>
      </c>
      <c r="G491" s="384">
        <v>46104</v>
      </c>
      <c r="H491" s="358" t="s">
        <v>3644</v>
      </c>
      <c r="I491" s="358">
        <v>3</v>
      </c>
      <c r="J491" s="359" t="str">
        <f>IFERROR(VLOOKUP($A491,#REF!,3,0),"")</f>
        <v/>
      </c>
      <c r="K491" s="359">
        <f>IFERROR(VLOOKUP($A491,#REF!,4,0),AF491)</f>
        <v>0</v>
      </c>
      <c r="L491" s="359" t="str">
        <f>IFERROR(VLOOKUP($A491,#REF!,5,0),"")</f>
        <v/>
      </c>
      <c r="M491" s="359" t="str">
        <f>IFERROR(VLOOKUP($A491,#REF!,7,0),"")</f>
        <v/>
      </c>
      <c r="N491" s="359"/>
      <c r="O491" s="359" t="str">
        <f>IFERROR(VLOOKUP($A491,#REF!,6,0),"")</f>
        <v/>
      </c>
      <c r="P491" s="359" t="str">
        <f>IFERROR(VLOOKUP($A491,#REF!,9,0),"")</f>
        <v/>
      </c>
      <c r="Q491" s="359" t="str">
        <f>IFERROR(VLOOKUP($A491,#REF!,10,0),"")</f>
        <v/>
      </c>
      <c r="R491" s="359" t="str">
        <f>IFERROR(VLOOKUP($A491,#REF!,11,0),"")</f>
        <v/>
      </c>
      <c r="S491" s="359" t="str">
        <f>IFERROR(VLOOKUP($A491,#REF!,13,0),"")</f>
        <v/>
      </c>
      <c r="T491" s="359" t="str">
        <f>IFERROR(VLOOKUP($A491,#REF!,14,0),"")</f>
        <v/>
      </c>
      <c r="U491" s="359" t="str">
        <f>IFERROR(VLOOKUP($A491,#REF!,15,0),"")</f>
        <v/>
      </c>
      <c r="V491" s="359" t="str">
        <f>IFERROR(VLOOKUP($A491,#REF!,16,0),"")</f>
        <v/>
      </c>
      <c r="W491" s="359" t="str">
        <f>IFERROR(VLOOKUP($A491,#REF!,17,0),"")</f>
        <v/>
      </c>
      <c r="X491" s="359" t="str">
        <f>IFERROR(VLOOKUP($A491,#REF!,18,0),"")</f>
        <v/>
      </c>
      <c r="Y491" s="359" t="str">
        <f>IFERROR(VLOOKUP($A491,#REF!,19,0),"")</f>
        <v/>
      </c>
      <c r="Z491" s="400" t="str">
        <f>IFERROR(VLOOKUP($A491,#REF!,21,0),"")</f>
        <v/>
      </c>
      <c r="AA491" s="358"/>
      <c r="AB491" s="358"/>
      <c r="AC491" s="358" t="s">
        <v>1721</v>
      </c>
      <c r="AD491" s="358" t="s">
        <v>1638</v>
      </c>
      <c r="AE491" s="141"/>
      <c r="AF491" s="141"/>
      <c r="AG491" s="141"/>
      <c r="AH491" s="141"/>
      <c r="AI491" s="141"/>
      <c r="AJ491" s="309"/>
      <c r="AK491" s="309"/>
      <c r="AL491" s="309"/>
      <c r="AM491" s="309"/>
      <c r="AN491" s="120"/>
      <c r="AO491" s="120"/>
      <c r="AP491" s="120"/>
      <c r="AQ491" s="313"/>
      <c r="AR491" s="119"/>
      <c r="AS491" s="22"/>
      <c r="AT491" s="22"/>
      <c r="AU491" s="22"/>
      <c r="AV491" s="2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112"/>
      <c r="BH491" s="112"/>
      <c r="BI491" s="112"/>
      <c r="BJ491" s="112"/>
      <c r="BK491" s="82"/>
      <c r="BL491" s="82"/>
      <c r="BM491"/>
      <c r="BN491" s="412"/>
      <c r="BO491" s="412"/>
      <c r="BP491" s="412"/>
      <c r="BQ491" s="412"/>
      <c r="BR491" s="412"/>
      <c r="BS491" s="96"/>
      <c r="BT491" s="96"/>
      <c r="BU491" s="96"/>
      <c r="BV491" s="96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</row>
    <row r="492" spans="1:123" s="272" customFormat="1" hidden="1">
      <c r="A492" s="35" t="str">
        <f t="shared" si="36"/>
        <v>ELPTTCV_049/2646104</v>
      </c>
      <c r="B492" s="35"/>
      <c r="C492" s="358" t="s">
        <v>2342</v>
      </c>
      <c r="D492" s="358">
        <v>489</v>
      </c>
      <c r="E492" s="73" t="s">
        <v>3856</v>
      </c>
      <c r="F492" s="358" t="s">
        <v>3857</v>
      </c>
      <c r="G492" s="384">
        <v>46104</v>
      </c>
      <c r="H492" s="358" t="s">
        <v>3644</v>
      </c>
      <c r="I492" s="358">
        <v>7</v>
      </c>
      <c r="J492" s="359" t="str">
        <f>IFERROR(VLOOKUP($A492,#REF!,3,0),"")</f>
        <v/>
      </c>
      <c r="K492" s="359">
        <f>IFERROR(VLOOKUP($A492,#REF!,4,0),AF492)</f>
        <v>0</v>
      </c>
      <c r="L492" s="359" t="str">
        <f>IFERROR(VLOOKUP($A492,#REF!,5,0),"")</f>
        <v/>
      </c>
      <c r="M492" s="359" t="str">
        <f>IFERROR(VLOOKUP($A492,#REF!,7,0),"")</f>
        <v/>
      </c>
      <c r="N492" s="359"/>
      <c r="O492" s="359" t="str">
        <f>IFERROR(VLOOKUP($A492,#REF!,6,0),"")</f>
        <v/>
      </c>
      <c r="P492" s="359" t="str">
        <f>IFERROR(VLOOKUP($A492,#REF!,9,0),"")</f>
        <v/>
      </c>
      <c r="Q492" s="359" t="str">
        <f>IFERROR(VLOOKUP($A492,#REF!,10,0),"")</f>
        <v/>
      </c>
      <c r="R492" s="359" t="str">
        <f>IFERROR(VLOOKUP($A492,#REF!,11,0),"")</f>
        <v/>
      </c>
      <c r="S492" s="359" t="str">
        <f>IFERROR(VLOOKUP($A492,#REF!,13,0),"")</f>
        <v/>
      </c>
      <c r="T492" s="359" t="str">
        <f>IFERROR(VLOOKUP($A492,#REF!,14,0),"")</f>
        <v/>
      </c>
      <c r="U492" s="359" t="str">
        <f>IFERROR(VLOOKUP($A492,#REF!,15,0),"")</f>
        <v/>
      </c>
      <c r="V492" s="359" t="str">
        <f>IFERROR(VLOOKUP($A492,#REF!,16,0),"")</f>
        <v/>
      </c>
      <c r="W492" s="359" t="str">
        <f>IFERROR(VLOOKUP($A492,#REF!,17,0),"")</f>
        <v/>
      </c>
      <c r="X492" s="359" t="str">
        <f>IFERROR(VLOOKUP($A492,#REF!,18,0),"")</f>
        <v/>
      </c>
      <c r="Y492" s="359" t="str">
        <f>IFERROR(VLOOKUP($A492,#REF!,19,0),"")</f>
        <v/>
      </c>
      <c r="Z492" s="400" t="str">
        <f>IFERROR(VLOOKUP($A492,#REF!,21,0),"")</f>
        <v/>
      </c>
      <c r="AA492" s="358"/>
      <c r="AB492" s="358"/>
      <c r="AC492" s="358" t="s">
        <v>1721</v>
      </c>
      <c r="AD492" s="358" t="s">
        <v>1638</v>
      </c>
      <c r="AE492" s="141"/>
      <c r="AF492" s="141"/>
      <c r="AG492" s="141"/>
      <c r="AH492" s="141"/>
      <c r="AI492" s="141"/>
      <c r="AJ492" s="309"/>
      <c r="AK492" s="309"/>
      <c r="AL492" s="309"/>
      <c r="AM492" s="309"/>
      <c r="AN492" s="120"/>
      <c r="AO492" s="120"/>
      <c r="AP492" s="120"/>
      <c r="AQ492" s="313"/>
      <c r="AR492" s="119"/>
      <c r="AS492" s="22"/>
      <c r="AT492" s="22"/>
      <c r="AU492" s="22"/>
      <c r="AV492" s="2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112"/>
      <c r="BH492" s="112"/>
      <c r="BI492" s="112"/>
      <c r="BJ492" s="112"/>
      <c r="BK492" s="82"/>
      <c r="BL492" s="82"/>
      <c r="BM492"/>
      <c r="BN492" s="412"/>
      <c r="BO492" s="412"/>
      <c r="BP492" s="412"/>
      <c r="BQ492" s="412"/>
      <c r="BR492" s="412"/>
      <c r="BS492" s="96"/>
      <c r="BT492" s="96"/>
      <c r="BU492" s="96"/>
      <c r="BV492" s="96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</row>
    <row r="493" spans="1:123" s="272" customFormat="1" hidden="1">
      <c r="A493" s="35" t="str">
        <f t="shared" si="36"/>
        <v>ELPTTCV_050/2646104</v>
      </c>
      <c r="B493" s="35"/>
      <c r="C493" s="358" t="s">
        <v>2342</v>
      </c>
      <c r="D493" s="358">
        <v>490</v>
      </c>
      <c r="E493" s="73" t="s">
        <v>3858</v>
      </c>
      <c r="F493" s="358" t="s">
        <v>1184</v>
      </c>
      <c r="G493" s="384">
        <v>46104</v>
      </c>
      <c r="H493" s="358" t="s">
        <v>3644</v>
      </c>
      <c r="I493" s="358">
        <v>1</v>
      </c>
      <c r="J493" s="359" t="str">
        <f>IFERROR(VLOOKUP($A493,#REF!,3,0),"")</f>
        <v/>
      </c>
      <c r="K493" s="359">
        <f>IFERROR(VLOOKUP($A493,#REF!,4,0),AF493)</f>
        <v>0</v>
      </c>
      <c r="L493" s="359" t="str">
        <f>IFERROR(VLOOKUP($A493,#REF!,5,0),"")</f>
        <v/>
      </c>
      <c r="M493" s="359" t="str">
        <f>IFERROR(VLOOKUP($A493,#REF!,7,0),"")</f>
        <v/>
      </c>
      <c r="N493" s="359"/>
      <c r="O493" s="359" t="str">
        <f>IFERROR(VLOOKUP($A493,#REF!,6,0),"")</f>
        <v/>
      </c>
      <c r="P493" s="359" t="str">
        <f>IFERROR(VLOOKUP($A493,#REF!,9,0),"")</f>
        <v/>
      </c>
      <c r="Q493" s="359" t="str">
        <f>IFERROR(VLOOKUP($A493,#REF!,10,0),"")</f>
        <v/>
      </c>
      <c r="R493" s="359" t="str">
        <f>IFERROR(VLOOKUP($A493,#REF!,11,0),"")</f>
        <v/>
      </c>
      <c r="S493" s="359" t="str">
        <f>IFERROR(VLOOKUP($A493,#REF!,13,0),"")</f>
        <v/>
      </c>
      <c r="T493" s="359" t="str">
        <f>IFERROR(VLOOKUP($A493,#REF!,14,0),"")</f>
        <v/>
      </c>
      <c r="U493" s="359" t="str">
        <f>IFERROR(VLOOKUP($A493,#REF!,15,0),"")</f>
        <v/>
      </c>
      <c r="V493" s="359" t="str">
        <f>IFERROR(VLOOKUP($A493,#REF!,16,0),"")</f>
        <v/>
      </c>
      <c r="W493" s="359" t="str">
        <f>IFERROR(VLOOKUP($A493,#REF!,17,0),"")</f>
        <v/>
      </c>
      <c r="X493" s="359" t="str">
        <f>IFERROR(VLOOKUP($A493,#REF!,18,0),"")</f>
        <v/>
      </c>
      <c r="Y493" s="359" t="str">
        <f>IFERROR(VLOOKUP($A493,#REF!,19,0),"")</f>
        <v/>
      </c>
      <c r="Z493" s="400" t="str">
        <f>IFERROR(VLOOKUP($A493,#REF!,21,0),"")</f>
        <v/>
      </c>
      <c r="AA493" s="358"/>
      <c r="AB493" s="358"/>
      <c r="AC493" s="358" t="s">
        <v>1721</v>
      </c>
      <c r="AD493" s="358" t="s">
        <v>1638</v>
      </c>
      <c r="AE493" s="141"/>
      <c r="AF493" s="141"/>
      <c r="AG493" s="141"/>
      <c r="AH493" s="141"/>
      <c r="AI493" s="141"/>
      <c r="AJ493" s="309"/>
      <c r="AK493" s="309"/>
      <c r="AL493" s="309"/>
      <c r="AM493" s="309"/>
      <c r="AN493" s="120"/>
      <c r="AO493" s="120"/>
      <c r="AP493" s="120"/>
      <c r="AQ493" s="313"/>
      <c r="AR493" s="119"/>
      <c r="AS493" s="22"/>
      <c r="AT493" s="22"/>
      <c r="AU493" s="22"/>
      <c r="AV493" s="2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112"/>
      <c r="BH493" s="112"/>
      <c r="BI493" s="112"/>
      <c r="BJ493" s="112"/>
      <c r="BK493" s="82"/>
      <c r="BL493" s="82"/>
      <c r="BM493"/>
      <c r="BN493" s="412"/>
      <c r="BO493" s="412"/>
      <c r="BP493" s="412"/>
      <c r="BQ493" s="412"/>
      <c r="BR493" s="412"/>
      <c r="BS493" s="96"/>
      <c r="BT493" s="96"/>
      <c r="BU493" s="96"/>
      <c r="BV493" s="96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</row>
    <row r="494" spans="1:123" s="272" customFormat="1" ht="18" hidden="1" customHeight="1">
      <c r="A494" s="35" t="str">
        <f t="shared" si="36"/>
        <v>M210/2646104</v>
      </c>
      <c r="B494" s="35"/>
      <c r="C494" s="358" t="s">
        <v>24</v>
      </c>
      <c r="D494" s="358">
        <v>491</v>
      </c>
      <c r="E494" s="358" t="s">
        <v>3859</v>
      </c>
      <c r="F494" s="358" t="s">
        <v>374</v>
      </c>
      <c r="G494" s="384">
        <v>46104</v>
      </c>
      <c r="H494" s="358" t="s">
        <v>2257</v>
      </c>
      <c r="I494" s="358">
        <v>14</v>
      </c>
      <c r="J494" s="359" t="str">
        <f>IFERROR(VLOOKUP($A494,#REF!,3,0),"")</f>
        <v/>
      </c>
      <c r="K494" s="359" t="str">
        <f>IFERROR(VLOOKUP($A494,#REF!,4,0),AF494)</f>
        <v>EXT</v>
      </c>
      <c r="L494" s="359" t="str">
        <f>IFERROR(VLOOKUP($A494,#REF!,5,0),"")</f>
        <v/>
      </c>
      <c r="M494" s="359" t="str">
        <f>IFERROR(VLOOKUP($A494,#REF!,7,0),"")</f>
        <v/>
      </c>
      <c r="N494" s="359"/>
      <c r="O494" s="359" t="str">
        <f>IFERROR(VLOOKUP($A494,#REF!,6,0),"")</f>
        <v/>
      </c>
      <c r="P494" s="359" t="str">
        <f>IFERROR(VLOOKUP($A494,#REF!,9,0),"")</f>
        <v/>
      </c>
      <c r="Q494" s="359" t="str">
        <f>IFERROR(VLOOKUP($A494,#REF!,10,0),"")</f>
        <v/>
      </c>
      <c r="R494" s="359" t="str">
        <f>IFERROR(VLOOKUP($A494,#REF!,11,0),"")</f>
        <v/>
      </c>
      <c r="S494" s="359" t="str">
        <f>IFERROR(VLOOKUP($A494,#REF!,13,0),"")</f>
        <v/>
      </c>
      <c r="T494" s="359" t="str">
        <f>IFERROR(VLOOKUP($A494,#REF!,14,0),"")</f>
        <v/>
      </c>
      <c r="U494" s="359" t="str">
        <f>IFERROR(VLOOKUP($A494,#REF!,15,0),"")</f>
        <v/>
      </c>
      <c r="V494" s="359" t="str">
        <f>IFERROR(VLOOKUP($A494,#REF!,16,0),"")</f>
        <v/>
      </c>
      <c r="W494" s="359" t="str">
        <f>IFERROR(VLOOKUP($A494,#REF!,17,0),"")</f>
        <v/>
      </c>
      <c r="X494" s="359" t="str">
        <f>IFERROR(VLOOKUP($A494,#REF!,18,0),"")</f>
        <v/>
      </c>
      <c r="Y494" s="359" t="str">
        <f>IFERROR(VLOOKUP($A494,#REF!,19,0),"")</f>
        <v/>
      </c>
      <c r="Z494" s="400" t="str">
        <f>IFERROR(VLOOKUP($A494,#REF!,21,0),"")</f>
        <v/>
      </c>
      <c r="AA494" s="358"/>
      <c r="AB494" s="358"/>
      <c r="AC494" s="358" t="s">
        <v>1076</v>
      </c>
      <c r="AD494" s="358" t="s">
        <v>3357</v>
      </c>
      <c r="AE494" s="141"/>
      <c r="AF494" s="141" t="s">
        <v>3082</v>
      </c>
      <c r="AG494" s="141" t="s">
        <v>2113</v>
      </c>
      <c r="AH494" s="358" t="s">
        <v>3789</v>
      </c>
      <c r="AI494" s="358" t="s">
        <v>3789</v>
      </c>
      <c r="AJ494" s="279" t="s">
        <v>3860</v>
      </c>
      <c r="AK494" s="279"/>
      <c r="AL494" s="279"/>
      <c r="AM494" s="279"/>
      <c r="AN494" s="120"/>
      <c r="AO494" s="120"/>
      <c r="AP494" s="120"/>
      <c r="AQ494" s="313"/>
      <c r="AR494" s="119"/>
      <c r="AS494" s="22"/>
      <c r="AT494" s="22"/>
      <c r="AU494" s="22"/>
      <c r="AV494" s="22"/>
      <c r="AW494" s="82" t="s">
        <v>30</v>
      </c>
      <c r="AX494" s="82"/>
      <c r="AY494" s="82"/>
      <c r="AZ494" s="82"/>
      <c r="BA494" s="82"/>
      <c r="BB494" s="82"/>
      <c r="BC494" s="82"/>
      <c r="BD494" s="82"/>
      <c r="BE494" s="82"/>
      <c r="BF494" s="82"/>
      <c r="BG494" s="112"/>
      <c r="BH494" s="112"/>
      <c r="BI494" s="112"/>
      <c r="BJ494" s="112"/>
      <c r="BK494" s="82"/>
      <c r="BL494" s="82"/>
      <c r="BM494"/>
      <c r="BN494" s="412"/>
      <c r="BO494" s="412"/>
      <c r="BP494" s="412"/>
      <c r="BQ494" s="412"/>
      <c r="BR494" s="412"/>
      <c r="BS494" s="96"/>
      <c r="BT494" s="96"/>
      <c r="BU494" s="96"/>
      <c r="BV494" s="96"/>
      <c r="BW494"/>
      <c r="BX494"/>
      <c r="BY494"/>
      <c r="BZ494">
        <f t="shared" si="40"/>
        <v>1</v>
      </c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</row>
    <row r="495" spans="1:123" s="272" customFormat="1" hidden="1">
      <c r="A495" s="35" t="str">
        <f t="shared" si="36"/>
        <v>M033/2646106</v>
      </c>
      <c r="B495" s="35"/>
      <c r="C495" s="358" t="s">
        <v>24</v>
      </c>
      <c r="D495" s="358">
        <v>492</v>
      </c>
      <c r="E495" s="358" t="s">
        <v>3861</v>
      </c>
      <c r="F495" s="358" t="s">
        <v>43</v>
      </c>
      <c r="G495" s="384">
        <v>46106</v>
      </c>
      <c r="H495" s="358" t="s">
        <v>885</v>
      </c>
      <c r="I495" s="358">
        <v>8</v>
      </c>
      <c r="J495" s="359" t="str">
        <f>IFERROR(VLOOKUP($A495,#REF!,3,0),"")</f>
        <v/>
      </c>
      <c r="K495" s="359" t="str">
        <f>IFERROR(VLOOKUP($A495,#REF!,4,0),AF495)</f>
        <v>EXT</v>
      </c>
      <c r="L495" s="359" t="str">
        <f>IFERROR(VLOOKUP($A495,#REF!,5,0),"")</f>
        <v/>
      </c>
      <c r="M495" s="359" t="str">
        <f>IFERROR(VLOOKUP($A495,#REF!,7,0),"")</f>
        <v/>
      </c>
      <c r="N495" s="359"/>
      <c r="O495" s="359" t="str">
        <f>IFERROR(VLOOKUP($A495,#REF!,6,0),"")</f>
        <v/>
      </c>
      <c r="P495" s="359" t="str">
        <f>IFERROR(VLOOKUP($A495,#REF!,9,0),"")</f>
        <v/>
      </c>
      <c r="Q495" s="359" t="str">
        <f>IFERROR(VLOOKUP($A495,#REF!,10,0),"")</f>
        <v/>
      </c>
      <c r="R495" s="359" t="str">
        <f>IFERROR(VLOOKUP($A495,#REF!,11,0),"")</f>
        <v/>
      </c>
      <c r="S495" s="359" t="str">
        <f>IFERROR(VLOOKUP($A495,#REF!,13,0),"")</f>
        <v/>
      </c>
      <c r="T495" s="359" t="str">
        <f>IFERROR(VLOOKUP($A495,#REF!,14,0),"")</f>
        <v/>
      </c>
      <c r="U495" s="359" t="str">
        <f>IFERROR(VLOOKUP($A495,#REF!,15,0),"")</f>
        <v/>
      </c>
      <c r="V495" s="359" t="str">
        <f>IFERROR(VLOOKUP($A495,#REF!,16,0),"")</f>
        <v/>
      </c>
      <c r="W495" s="359" t="str">
        <f>IFERROR(VLOOKUP($A495,#REF!,17,0),"")</f>
        <v/>
      </c>
      <c r="X495" s="359" t="str">
        <f>IFERROR(VLOOKUP($A495,#REF!,18,0),"")</f>
        <v/>
      </c>
      <c r="Y495" s="359" t="str">
        <f>IFERROR(VLOOKUP($A495,#REF!,19,0),"")</f>
        <v/>
      </c>
      <c r="Z495" s="400" t="str">
        <f>IFERROR(VLOOKUP($A495,#REF!,21,0),"")</f>
        <v/>
      </c>
      <c r="AA495" s="358"/>
      <c r="AB495" s="358"/>
      <c r="AC495" s="401" t="s">
        <v>3075</v>
      </c>
      <c r="AD495" s="358" t="s">
        <v>47</v>
      </c>
      <c r="AE495" s="221"/>
      <c r="AF495" s="141" t="s">
        <v>3082</v>
      </c>
      <c r="AG495" s="141" t="s">
        <v>3862</v>
      </c>
      <c r="AH495" s="141" t="s">
        <v>3863</v>
      </c>
      <c r="AI495" s="141" t="s">
        <v>3863</v>
      </c>
      <c r="AJ495" s="141" t="s">
        <v>3625</v>
      </c>
      <c r="AK495" s="141"/>
      <c r="AL495" s="141"/>
      <c r="AM495" s="141"/>
      <c r="AN495" s="120"/>
      <c r="AO495" s="120"/>
      <c r="AP495" s="120"/>
      <c r="AQ495" s="313"/>
      <c r="AR495" s="119"/>
      <c r="AS495" s="22"/>
      <c r="AT495" s="22"/>
      <c r="AU495" s="22"/>
      <c r="AV495" s="2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112"/>
      <c r="BH495" s="112"/>
      <c r="BI495" s="112"/>
      <c r="BJ495" s="112"/>
      <c r="BK495" s="82"/>
      <c r="BL495" s="82"/>
      <c r="BM495"/>
      <c r="BN495" s="412"/>
      <c r="BO495" s="412"/>
      <c r="BP495" s="412"/>
      <c r="BQ495" s="412"/>
      <c r="BR495" s="412"/>
      <c r="BS495" s="96"/>
      <c r="BT495" s="96"/>
      <c r="BU495" s="96"/>
      <c r="BV495" s="96"/>
      <c r="BW495"/>
      <c r="BX495"/>
      <c r="BY495"/>
      <c r="BZ495">
        <f t="shared" si="40"/>
        <v>1</v>
      </c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</row>
    <row r="496" spans="1:123" s="272" customFormat="1" hidden="1">
      <c r="A496" s="35" t="str">
        <f t="shared" si="36"/>
        <v>M186/2646107</v>
      </c>
      <c r="B496" s="35"/>
      <c r="C496" s="358" t="s">
        <v>24</v>
      </c>
      <c r="D496" s="358">
        <v>493</v>
      </c>
      <c r="E496" s="358" t="s">
        <v>3864</v>
      </c>
      <c r="F496" s="358" t="s">
        <v>657</v>
      </c>
      <c r="G496" s="384">
        <v>46107</v>
      </c>
      <c r="H496" s="358" t="s">
        <v>202</v>
      </c>
      <c r="I496" s="358">
        <v>8</v>
      </c>
      <c r="J496" s="359" t="str">
        <f>IFERROR(VLOOKUP($A496,#REF!,3,0),"")</f>
        <v/>
      </c>
      <c r="K496" s="359" t="str">
        <f>IFERROR(VLOOKUP($A496,#REF!,4,0),AF496)</f>
        <v>EXT</v>
      </c>
      <c r="L496" s="359" t="str">
        <f>IFERROR(VLOOKUP($A496,#REF!,5,0),"")</f>
        <v/>
      </c>
      <c r="M496" s="359" t="str">
        <f>IFERROR(VLOOKUP($A496,#REF!,7,0),"")</f>
        <v/>
      </c>
      <c r="N496" s="359"/>
      <c r="O496" s="359" t="str">
        <f>IFERROR(VLOOKUP($A496,#REF!,6,0),"")</f>
        <v/>
      </c>
      <c r="P496" s="359" t="str">
        <f>IFERROR(VLOOKUP($A496,#REF!,9,0),"")</f>
        <v/>
      </c>
      <c r="Q496" s="359" t="str">
        <f>IFERROR(VLOOKUP($A496,#REF!,10,0),"")</f>
        <v/>
      </c>
      <c r="R496" s="359" t="str">
        <f>IFERROR(VLOOKUP($A496,#REF!,11,0),"")</f>
        <v/>
      </c>
      <c r="S496" s="359" t="str">
        <f>IFERROR(VLOOKUP($A496,#REF!,13,0),"")</f>
        <v/>
      </c>
      <c r="T496" s="359" t="str">
        <f>IFERROR(VLOOKUP($A496,#REF!,14,0),"")</f>
        <v/>
      </c>
      <c r="U496" s="359" t="str">
        <f>IFERROR(VLOOKUP($A496,#REF!,15,0),"")</f>
        <v/>
      </c>
      <c r="V496" s="359" t="str">
        <f>IFERROR(VLOOKUP($A496,#REF!,16,0),"")</f>
        <v/>
      </c>
      <c r="W496" s="359" t="str">
        <f>IFERROR(VLOOKUP($A496,#REF!,17,0),"")</f>
        <v/>
      </c>
      <c r="X496" s="359" t="str">
        <f>IFERROR(VLOOKUP($A496,#REF!,18,0),"")</f>
        <v/>
      </c>
      <c r="Y496" s="359" t="str">
        <f>IFERROR(VLOOKUP($A496,#REF!,19,0),"")</f>
        <v/>
      </c>
      <c r="Z496" s="400" t="str">
        <f>IFERROR(VLOOKUP($A496,#REF!,21,0),"")</f>
        <v/>
      </c>
      <c r="AA496" s="358"/>
      <c r="AB496" s="358"/>
      <c r="AC496" s="358" t="s">
        <v>3075</v>
      </c>
      <c r="AD496" s="358" t="s">
        <v>47</v>
      </c>
      <c r="AE496" s="141" t="s">
        <v>3865</v>
      </c>
      <c r="AF496" s="141" t="s">
        <v>3082</v>
      </c>
      <c r="AG496" s="141" t="s">
        <v>2056</v>
      </c>
      <c r="AH496" s="141" t="s">
        <v>3863</v>
      </c>
      <c r="AI496" s="141" t="s">
        <v>3863</v>
      </c>
      <c r="AJ496" s="141" t="s">
        <v>2050</v>
      </c>
      <c r="AK496" s="141"/>
      <c r="AL496" s="141"/>
      <c r="AM496" s="141"/>
      <c r="AN496" s="120"/>
      <c r="AO496" s="120"/>
      <c r="AP496" s="120"/>
      <c r="AQ496" s="313"/>
      <c r="AR496" s="119"/>
      <c r="AS496" s="22"/>
      <c r="AT496" s="22"/>
      <c r="AU496" s="22"/>
      <c r="AV496" s="2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112"/>
      <c r="BH496" s="112"/>
      <c r="BI496" s="112"/>
      <c r="BJ496" s="112"/>
      <c r="BK496" s="82"/>
      <c r="BL496" s="82"/>
      <c r="BM496"/>
      <c r="BN496" s="412"/>
      <c r="BO496" s="412"/>
      <c r="BP496" s="412"/>
      <c r="BQ496" s="412"/>
      <c r="BR496" s="412"/>
      <c r="BS496" s="96"/>
      <c r="BT496" s="96"/>
      <c r="BU496" s="96"/>
      <c r="BV496" s="96"/>
      <c r="BW496"/>
      <c r="BX496"/>
      <c r="BY496"/>
      <c r="BZ496">
        <f t="shared" si="40"/>
        <v>1</v>
      </c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</row>
    <row r="497" spans="1:123" s="272" customFormat="1" hidden="1">
      <c r="A497" s="35" t="str">
        <f t="shared" si="36"/>
        <v>M222/2646107</v>
      </c>
      <c r="B497" s="35"/>
      <c r="C497" s="358" t="s">
        <v>24</v>
      </c>
      <c r="D497" s="358">
        <v>494</v>
      </c>
      <c r="E497" s="358" t="s">
        <v>3866</v>
      </c>
      <c r="F497" s="358" t="s">
        <v>50</v>
      </c>
      <c r="G497" s="384">
        <v>46107</v>
      </c>
      <c r="H497" s="358" t="s">
        <v>885</v>
      </c>
      <c r="I497" s="358">
        <v>18</v>
      </c>
      <c r="J497" s="359" t="str">
        <f>IFERROR(VLOOKUP($A497,#REF!,3,0),"")</f>
        <v/>
      </c>
      <c r="K497" s="359" t="str">
        <f>IFERROR(VLOOKUP($A497,#REF!,4,0),AF497)</f>
        <v>INT</v>
      </c>
      <c r="L497" s="359" t="str">
        <f>IFERROR(VLOOKUP($A497,#REF!,5,0),"")</f>
        <v/>
      </c>
      <c r="M497" s="359" t="str">
        <f>IFERROR(VLOOKUP($A497,#REF!,7,0),"")</f>
        <v/>
      </c>
      <c r="N497" s="359">
        <f>IF(I497&lt;10,10,I497)</f>
        <v>18</v>
      </c>
      <c r="O497" s="359" t="str">
        <f>IFERROR(VLOOKUP($A497,#REF!,6,0),"")</f>
        <v/>
      </c>
      <c r="P497" s="359" t="e">
        <f>+O497*N497</f>
        <v>#VALUE!</v>
      </c>
      <c r="Q497" s="359" t="str">
        <f>IFERROR(VLOOKUP($A497,#REF!,10,0),"")</f>
        <v/>
      </c>
      <c r="R497" s="359" t="str">
        <f>IFERROR(VLOOKUP($A497,#REF!,11,0),"")</f>
        <v/>
      </c>
      <c r="S497" s="359" t="str">
        <f>IFERROR(VLOOKUP($A497,#REF!,13,0),"")</f>
        <v/>
      </c>
      <c r="T497" s="359" t="str">
        <f>IFERROR(VLOOKUP($A497,#REF!,14,0),"")</f>
        <v/>
      </c>
      <c r="U497" s="359" t="str">
        <f>IFERROR(VLOOKUP($A497,#REF!,15,0),"")</f>
        <v/>
      </c>
      <c r="V497" s="359" t="str">
        <f>IFERROR(VLOOKUP($A497,#REF!,16,0),"")</f>
        <v/>
      </c>
      <c r="W497" s="359" t="str">
        <f>IFERROR(VLOOKUP($A497,#REF!,17,0),"")</f>
        <v/>
      </c>
      <c r="X497" s="359" t="str">
        <f>IFERROR(VLOOKUP($A497,#REF!,18,0),"")</f>
        <v/>
      </c>
      <c r="Y497" s="359" t="str">
        <f>IFERROR(VLOOKUP($A497,#REF!,19,0),"")</f>
        <v/>
      </c>
      <c r="Z497" s="400" t="str">
        <f>IFERROR(VLOOKUP($A497,#REF!,21,0),"")</f>
        <v/>
      </c>
      <c r="AA497" s="358"/>
      <c r="AB497" s="358"/>
      <c r="AC497" s="358" t="s">
        <v>3075</v>
      </c>
      <c r="AD497" s="358" t="s">
        <v>47</v>
      </c>
      <c r="AE497" s="141"/>
      <c r="AF497" s="141" t="s">
        <v>3077</v>
      </c>
      <c r="AG497" s="141" t="s">
        <v>2695</v>
      </c>
      <c r="AH497" s="141" t="s">
        <v>3863</v>
      </c>
      <c r="AI497" s="141" t="s">
        <v>3863</v>
      </c>
      <c r="AJ497" s="141" t="s">
        <v>2050</v>
      </c>
      <c r="AK497" s="141"/>
      <c r="AL497" s="141"/>
      <c r="AM497" s="141"/>
      <c r="AN497" s="331" t="s">
        <v>2863</v>
      </c>
      <c r="AO497" s="120"/>
      <c r="AP497" s="120"/>
      <c r="AQ497" s="313"/>
      <c r="AR497" s="119"/>
      <c r="AS497" s="22"/>
      <c r="AT497" s="22"/>
      <c r="AU497" s="22"/>
      <c r="AV497" s="2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112"/>
      <c r="BH497" s="112"/>
      <c r="BI497" s="112"/>
      <c r="BJ497" s="112"/>
      <c r="BK497" s="82"/>
      <c r="BL497" s="82"/>
      <c r="BM497"/>
      <c r="BN497" s="412"/>
      <c r="BO497" s="412"/>
      <c r="BP497" s="412"/>
      <c r="BQ497" s="412"/>
      <c r="BR497" s="412"/>
      <c r="BS497" s="96"/>
      <c r="BT497" s="96"/>
      <c r="BU497" s="96"/>
      <c r="BV497" s="96"/>
      <c r="BW497"/>
      <c r="BX497"/>
      <c r="BY497"/>
      <c r="BZ497">
        <f t="shared" si="40"/>
        <v>1</v>
      </c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</row>
    <row r="498" spans="1:123" s="272" customFormat="1" hidden="1">
      <c r="A498" s="35" t="str">
        <f t="shared" si="36"/>
        <v>M163/2646108</v>
      </c>
      <c r="B498" s="35"/>
      <c r="C498" s="358" t="s">
        <v>24</v>
      </c>
      <c r="D498" s="358">
        <v>495</v>
      </c>
      <c r="E498" s="358" t="s">
        <v>3867</v>
      </c>
      <c r="F498" s="358" t="s">
        <v>129</v>
      </c>
      <c r="G498" s="384">
        <v>46108</v>
      </c>
      <c r="H498" s="358" t="s">
        <v>737</v>
      </c>
      <c r="I498" s="358">
        <v>12</v>
      </c>
      <c r="J498" s="359" t="str">
        <f>IFERROR(VLOOKUP($A498,#REF!,3,0),"")</f>
        <v/>
      </c>
      <c r="K498" s="359" t="str">
        <f>IFERROR(VLOOKUP($A498,#REF!,4,0),AF498)</f>
        <v>EXT</v>
      </c>
      <c r="L498" s="359" t="str">
        <f>IFERROR(VLOOKUP($A498,#REF!,5,0),"")</f>
        <v/>
      </c>
      <c r="M498" s="359" t="str">
        <f>IFERROR(VLOOKUP($A498,#REF!,7,0),"")</f>
        <v/>
      </c>
      <c r="N498" s="359"/>
      <c r="O498" s="359" t="str">
        <f>IFERROR(VLOOKUP($A498,#REF!,6,0),"")</f>
        <v/>
      </c>
      <c r="P498" s="359" t="str">
        <f>IFERROR(VLOOKUP($A498,#REF!,9,0),"")</f>
        <v/>
      </c>
      <c r="Q498" s="359" t="str">
        <f>IFERROR(VLOOKUP($A498,#REF!,10,0),"")</f>
        <v/>
      </c>
      <c r="R498" s="359" t="str">
        <f>IFERROR(VLOOKUP($A498,#REF!,11,0),"")</f>
        <v/>
      </c>
      <c r="S498" s="359" t="str">
        <f>IFERROR(VLOOKUP($A498,#REF!,13,0),"")</f>
        <v/>
      </c>
      <c r="T498" s="359" t="str">
        <f>IFERROR(VLOOKUP($A498,#REF!,14,0),"")</f>
        <v/>
      </c>
      <c r="U498" s="359" t="str">
        <f>IFERROR(VLOOKUP($A498,#REF!,15,0),"")</f>
        <v/>
      </c>
      <c r="V498" s="359" t="str">
        <f>IFERROR(VLOOKUP($A498,#REF!,16,0),"")</f>
        <v/>
      </c>
      <c r="W498" s="359" t="str">
        <f>IFERROR(VLOOKUP($A498,#REF!,17,0),"")</f>
        <v/>
      </c>
      <c r="X498" s="359" t="str">
        <f>IFERROR(VLOOKUP($A498,#REF!,18,0),"")</f>
        <v/>
      </c>
      <c r="Y498" s="359" t="str">
        <f>IFERROR(VLOOKUP($A498,#REF!,19,0),"")</f>
        <v/>
      </c>
      <c r="Z498" s="400" t="str">
        <f>IFERROR(VLOOKUP($A498,#REF!,21,0),"")</f>
        <v/>
      </c>
      <c r="AA498" s="358"/>
      <c r="AB498" s="358"/>
      <c r="AC498" s="358" t="s">
        <v>3075</v>
      </c>
      <c r="AD498" s="358" t="s">
        <v>47</v>
      </c>
      <c r="AE498" s="141"/>
      <c r="AF498" s="141" t="s">
        <v>3082</v>
      </c>
      <c r="AG498" s="141" t="s">
        <v>3868</v>
      </c>
      <c r="AH498" s="141" t="s">
        <v>3863</v>
      </c>
      <c r="AI498" s="141" t="s">
        <v>3863</v>
      </c>
      <c r="AJ498" s="141" t="s">
        <v>2083</v>
      </c>
      <c r="AK498" s="141"/>
      <c r="AL498" s="141"/>
      <c r="AM498" s="141"/>
      <c r="AN498" s="120"/>
      <c r="AO498" s="120"/>
      <c r="AP498" s="120"/>
      <c r="AQ498" s="313"/>
      <c r="AR498" s="119"/>
      <c r="AS498" s="22"/>
      <c r="AT498" s="22"/>
      <c r="AU498" s="22"/>
      <c r="AV498" s="2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112"/>
      <c r="BH498" s="112"/>
      <c r="BI498" s="112"/>
      <c r="BJ498" s="112"/>
      <c r="BK498" s="82"/>
      <c r="BL498" s="82"/>
      <c r="BM498"/>
      <c r="BN498" s="412"/>
      <c r="BO498" s="412"/>
      <c r="BP498" s="412"/>
      <c r="BQ498" s="412"/>
      <c r="BR498" s="412"/>
      <c r="BS498" s="96"/>
      <c r="BT498" s="96"/>
      <c r="BU498" s="96"/>
      <c r="BV498" s="96"/>
      <c r="BW498"/>
      <c r="BX498"/>
      <c r="BY498"/>
      <c r="BZ498">
        <f t="shared" si="40"/>
        <v>1</v>
      </c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</row>
    <row r="499" spans="1:123" s="272" customFormat="1" hidden="1">
      <c r="A499" s="35" t="str">
        <f t="shared" si="36"/>
        <v>M196/2646108</v>
      </c>
      <c r="B499" s="35"/>
      <c r="C499" s="358" t="s">
        <v>24</v>
      </c>
      <c r="D499" s="358">
        <v>496</v>
      </c>
      <c r="E499" s="358" t="s">
        <v>3869</v>
      </c>
      <c r="F499" s="358" t="s">
        <v>50</v>
      </c>
      <c r="G499" s="384">
        <v>46108</v>
      </c>
      <c r="H499" s="358" t="s">
        <v>395</v>
      </c>
      <c r="I499" s="358">
        <v>12</v>
      </c>
      <c r="J499" s="359" t="str">
        <f>IFERROR(VLOOKUP($A499,#REF!,3,0),"")</f>
        <v/>
      </c>
      <c r="K499" s="359" t="str">
        <f>IFERROR(VLOOKUP($A499,#REF!,4,0),AF499)</f>
        <v>EXT</v>
      </c>
      <c r="L499" s="359" t="str">
        <f>IFERROR(VLOOKUP($A499,#REF!,5,0),"")</f>
        <v/>
      </c>
      <c r="M499" s="359" t="str">
        <f>IFERROR(VLOOKUP($A499,#REF!,7,0),"")</f>
        <v/>
      </c>
      <c r="N499" s="359"/>
      <c r="O499" s="359" t="str">
        <f>IFERROR(VLOOKUP($A499,#REF!,6,0),"")</f>
        <v/>
      </c>
      <c r="P499" s="359" t="str">
        <f>IFERROR(VLOOKUP($A499,#REF!,9,0),"")</f>
        <v/>
      </c>
      <c r="Q499" s="359" t="str">
        <f>IFERROR(VLOOKUP($A499,#REF!,10,0),"")</f>
        <v/>
      </c>
      <c r="R499" s="359" t="str">
        <f>IFERROR(VLOOKUP($A499,#REF!,11,0),"")</f>
        <v/>
      </c>
      <c r="S499" s="359" t="str">
        <f>IFERROR(VLOOKUP($A499,#REF!,13,0),"")</f>
        <v/>
      </c>
      <c r="T499" s="359" t="str">
        <f>IFERROR(VLOOKUP($A499,#REF!,14,0),"")</f>
        <v/>
      </c>
      <c r="U499" s="359" t="str">
        <f>IFERROR(VLOOKUP($A499,#REF!,15,0),"")</f>
        <v/>
      </c>
      <c r="V499" s="359" t="str">
        <f>IFERROR(VLOOKUP($A499,#REF!,16,0),"")</f>
        <v/>
      </c>
      <c r="W499" s="359" t="str">
        <f>IFERROR(VLOOKUP($A499,#REF!,17,0),"")</f>
        <v/>
      </c>
      <c r="X499" s="359" t="str">
        <f>IFERROR(VLOOKUP($A499,#REF!,18,0),"")</f>
        <v/>
      </c>
      <c r="Y499" s="359" t="str">
        <f>IFERROR(VLOOKUP($A499,#REF!,19,0),"")</f>
        <v/>
      </c>
      <c r="Z499" s="400" t="str">
        <f>IFERROR(VLOOKUP($A499,#REF!,21,0),"")</f>
        <v/>
      </c>
      <c r="AA499" s="358"/>
      <c r="AB499" s="358"/>
      <c r="AC499" s="358" t="s">
        <v>3075</v>
      </c>
      <c r="AD499" s="358" t="s">
        <v>47</v>
      </c>
      <c r="AE499" s="141" t="s">
        <v>3870</v>
      </c>
      <c r="AF499" s="141" t="s">
        <v>3082</v>
      </c>
      <c r="AG499" s="141" t="s">
        <v>2056</v>
      </c>
      <c r="AH499" s="141" t="s">
        <v>3863</v>
      </c>
      <c r="AI499" s="141" t="s">
        <v>3863</v>
      </c>
      <c r="AJ499" s="141" t="s">
        <v>3871</v>
      </c>
      <c r="AK499" s="141"/>
      <c r="AL499" s="141"/>
      <c r="AM499" s="141"/>
      <c r="AN499" s="120"/>
      <c r="AO499" s="120"/>
      <c r="AP499" s="120"/>
      <c r="AQ499" s="313"/>
      <c r="AR499" s="119"/>
      <c r="AS499" s="22"/>
      <c r="AT499" s="22"/>
      <c r="AU499" s="22"/>
      <c r="AV499" s="2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112"/>
      <c r="BH499" s="112"/>
      <c r="BI499" s="112"/>
      <c r="BJ499" s="112"/>
      <c r="BK499" s="82"/>
      <c r="BL499" s="82"/>
      <c r="BM499"/>
      <c r="BN499" s="412"/>
      <c r="BO499" s="412"/>
      <c r="BP499" s="412"/>
      <c r="BQ499" s="412"/>
      <c r="BR499" s="412"/>
      <c r="BS499" s="96"/>
      <c r="BT499" s="96"/>
      <c r="BU499" s="96"/>
      <c r="BV499" s="96"/>
      <c r="BW499"/>
      <c r="BX499"/>
      <c r="BY499"/>
      <c r="BZ499">
        <f t="shared" si="40"/>
        <v>1</v>
      </c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</row>
    <row r="500" spans="1:123" s="316" customFormat="1" hidden="1">
      <c r="A500" s="35" t="str">
        <f t="shared" si="36"/>
        <v>M226/2646108</v>
      </c>
      <c r="B500" s="362"/>
      <c r="C500" s="358" t="s">
        <v>24</v>
      </c>
      <c r="D500" s="358">
        <v>497</v>
      </c>
      <c r="E500" s="141" t="s">
        <v>3872</v>
      </c>
      <c r="F500" s="141" t="s">
        <v>43</v>
      </c>
      <c r="G500" s="128">
        <v>46108</v>
      </c>
      <c r="H500" s="141" t="s">
        <v>97</v>
      </c>
      <c r="I500" s="141">
        <v>16</v>
      </c>
      <c r="J500" s="359" t="str">
        <f>IFERROR(VLOOKUP($A500,#REF!,3,0),"")</f>
        <v/>
      </c>
      <c r="K500" s="359" t="str">
        <f>IFERROR(VLOOKUP($A500,#REF!,4,0),AF500)</f>
        <v>EXT</v>
      </c>
      <c r="L500" s="359" t="str">
        <f>IFERROR(VLOOKUP($A500,#REF!,5,0),"")</f>
        <v/>
      </c>
      <c r="M500" s="359" t="str">
        <f>IFERROR(VLOOKUP($A500,#REF!,7,0),"")</f>
        <v/>
      </c>
      <c r="N500" s="359"/>
      <c r="O500" s="359" t="str">
        <f>IFERROR(VLOOKUP($A500,#REF!,6,0),"")</f>
        <v/>
      </c>
      <c r="P500" s="359" t="str">
        <f>IFERROR(VLOOKUP($A500,#REF!,9,0),"")</f>
        <v/>
      </c>
      <c r="Q500" s="359" t="str">
        <f>IFERROR(VLOOKUP($A500,#REF!,10,0),"")</f>
        <v/>
      </c>
      <c r="R500" s="359" t="str">
        <f>IFERROR(VLOOKUP($A500,#REF!,11,0),"")</f>
        <v/>
      </c>
      <c r="S500" s="359" t="str">
        <f>IFERROR(VLOOKUP($A500,#REF!,13,0),"")</f>
        <v/>
      </c>
      <c r="T500" s="359" t="str">
        <f>IFERROR(VLOOKUP($A500,#REF!,14,0),"")</f>
        <v/>
      </c>
      <c r="U500" s="359" t="str">
        <f>IFERROR(VLOOKUP($A500,#REF!,15,0),"")</f>
        <v/>
      </c>
      <c r="V500" s="359" t="str">
        <f>IFERROR(VLOOKUP($A500,#REF!,16,0),"")</f>
        <v/>
      </c>
      <c r="W500" s="359" t="str">
        <f>IFERROR(VLOOKUP($A500,#REF!,17,0),"")</f>
        <v/>
      </c>
      <c r="X500" s="359" t="str">
        <f>IFERROR(VLOOKUP($A500,#REF!,18,0),"")</f>
        <v/>
      </c>
      <c r="Y500" s="359" t="str">
        <f>IFERROR(VLOOKUP($A500,#REF!,19,0),"")</f>
        <v/>
      </c>
      <c r="Z500" s="400" t="str">
        <f>IFERROR(VLOOKUP($A500,#REF!,21,0),"")</f>
        <v/>
      </c>
      <c r="AA500" s="141"/>
      <c r="AB500" s="141"/>
      <c r="AC500" s="141" t="s">
        <v>127</v>
      </c>
      <c r="AD500" s="141" t="s">
        <v>178</v>
      </c>
      <c r="AE500" s="141"/>
      <c r="AF500" s="141" t="s">
        <v>3082</v>
      </c>
      <c r="AG500" s="141" t="s">
        <v>2578</v>
      </c>
      <c r="AH500" s="141" t="s">
        <v>3873</v>
      </c>
      <c r="AI500" s="141" t="s">
        <v>3873</v>
      </c>
      <c r="AJ500" s="141" t="s">
        <v>2050</v>
      </c>
      <c r="AK500" s="141"/>
      <c r="AL500" s="141"/>
      <c r="AM500" s="141"/>
      <c r="AN500" s="331" t="s">
        <v>2863</v>
      </c>
      <c r="AO500" s="276"/>
      <c r="AP500" s="276"/>
      <c r="AQ500" s="320"/>
      <c r="AR500" s="277"/>
      <c r="AS500" s="250"/>
      <c r="AT500" s="250"/>
      <c r="AU500" s="250"/>
      <c r="AV500" s="250"/>
      <c r="AW500" s="100"/>
      <c r="AX500" s="100"/>
      <c r="AY500" s="100"/>
      <c r="AZ500" s="100"/>
      <c r="BA500" s="100"/>
      <c r="BB500" s="100"/>
      <c r="BC500" s="100"/>
      <c r="BD500" s="100"/>
      <c r="BE500" s="100"/>
      <c r="BF500" s="100"/>
      <c r="BG500" s="111"/>
      <c r="BH500" s="111"/>
      <c r="BI500" s="111"/>
      <c r="BJ500" s="111"/>
      <c r="BK500" s="100"/>
      <c r="BL500" s="100"/>
      <c r="BM500"/>
      <c r="BN500" s="412"/>
      <c r="BO500" s="412"/>
      <c r="BP500" s="412"/>
      <c r="BQ500" s="412"/>
      <c r="BR500" s="412"/>
      <c r="BS500" s="96"/>
      <c r="BT500" s="96"/>
      <c r="BU500" s="96"/>
      <c r="BV500" s="96"/>
      <c r="BW500"/>
      <c r="BX500" s="278"/>
      <c r="BY500" s="278"/>
      <c r="BZ500" s="278"/>
      <c r="CA500" s="278"/>
      <c r="CB500" s="278"/>
      <c r="CC500" s="278"/>
      <c r="CD500" s="278"/>
      <c r="CE500" s="278"/>
      <c r="CF500" s="278"/>
      <c r="CG500" s="278"/>
      <c r="CH500" s="278"/>
      <c r="CI500" s="278"/>
      <c r="CJ500" s="278"/>
      <c r="CK500" s="278"/>
      <c r="CL500" s="278"/>
      <c r="CM500" s="278"/>
      <c r="CN500" s="278"/>
      <c r="CO500" s="278"/>
      <c r="CP500" s="278"/>
      <c r="CQ500" s="278"/>
      <c r="CR500" s="278"/>
      <c r="CS500" s="278"/>
      <c r="CT500" s="278"/>
      <c r="CU500" s="278"/>
      <c r="CV500" s="278"/>
      <c r="CW500" s="278"/>
      <c r="CX500" s="278"/>
      <c r="CY500" s="278"/>
      <c r="CZ500" s="278"/>
      <c r="DA500" s="278"/>
      <c r="DB500" s="278"/>
      <c r="DC500" s="278"/>
      <c r="DD500" s="278"/>
      <c r="DE500" s="278"/>
      <c r="DF500" s="278"/>
      <c r="DG500" s="278"/>
      <c r="DH500" s="278"/>
      <c r="DI500" s="278"/>
      <c r="DJ500" s="278"/>
      <c r="DK500" s="278"/>
      <c r="DL500" s="278"/>
      <c r="DM500" s="278"/>
      <c r="DN500" s="278"/>
      <c r="DO500" s="278"/>
      <c r="DP500" s="278"/>
      <c r="DQ500" s="278"/>
      <c r="DR500" s="278"/>
      <c r="DS500" s="278"/>
    </row>
    <row r="501" spans="1:123" s="272" customFormat="1" hidden="1">
      <c r="A501" s="35" t="str">
        <f t="shared" si="36"/>
        <v>M089/2646109</v>
      </c>
      <c r="B501" s="35"/>
      <c r="C501" s="358" t="s">
        <v>24</v>
      </c>
      <c r="D501" s="358">
        <v>498</v>
      </c>
      <c r="E501" s="358" t="s">
        <v>3874</v>
      </c>
      <c r="F501" s="358" t="s">
        <v>83</v>
      </c>
      <c r="G501" s="384">
        <v>46109</v>
      </c>
      <c r="H501" s="358" t="s">
        <v>439</v>
      </c>
      <c r="I501" s="358">
        <v>11</v>
      </c>
      <c r="J501" s="359" t="str">
        <f>IFERROR(VLOOKUP($A501,#REF!,3,0),"")</f>
        <v/>
      </c>
      <c r="K501" s="359" t="str">
        <f>IFERROR(VLOOKUP($A501,#REF!,4,0),AF501)</f>
        <v>INT</v>
      </c>
      <c r="L501" s="359" t="str">
        <f>IFERROR(VLOOKUP($A501,#REF!,5,0),"")</f>
        <v/>
      </c>
      <c r="M501" s="359" t="str">
        <f>IFERROR(VLOOKUP($A501,#REF!,7,0),"")</f>
        <v/>
      </c>
      <c r="N501" s="359">
        <f t="shared" ref="N501:N507" si="42">IF(I501&lt;10,10,I501)</f>
        <v>11</v>
      </c>
      <c r="O501" s="359" t="str">
        <f>IFERROR(VLOOKUP($A501,#REF!,6,0),"")</f>
        <v/>
      </c>
      <c r="P501" s="359" t="e">
        <f t="shared" ref="P501:P507" si="43">+O501*N501</f>
        <v>#VALUE!</v>
      </c>
      <c r="Q501" s="359" t="str">
        <f>IFERROR(VLOOKUP($A501,#REF!,10,0),"")</f>
        <v/>
      </c>
      <c r="R501" s="359" t="str">
        <f>IFERROR(VLOOKUP($A501,#REF!,11,0),"")</f>
        <v/>
      </c>
      <c r="S501" s="359" t="str">
        <f>IFERROR(VLOOKUP($A501,#REF!,13,0),"")</f>
        <v/>
      </c>
      <c r="T501" s="359" t="str">
        <f>IFERROR(VLOOKUP($A501,#REF!,14,0),"")</f>
        <v/>
      </c>
      <c r="U501" s="359" t="str">
        <f>IFERROR(VLOOKUP($A501,#REF!,15,0),"")</f>
        <v/>
      </c>
      <c r="V501" s="359" t="str">
        <f>IFERROR(VLOOKUP($A501,#REF!,16,0),"")</f>
        <v/>
      </c>
      <c r="W501" s="359" t="str">
        <f>IFERROR(VLOOKUP($A501,#REF!,17,0),"")</f>
        <v/>
      </c>
      <c r="X501" s="359" t="str">
        <f>IFERROR(VLOOKUP($A501,#REF!,18,0),"")</f>
        <v/>
      </c>
      <c r="Y501" s="359" t="str">
        <f>IFERROR(VLOOKUP($A501,#REF!,19,0),"")</f>
        <v/>
      </c>
      <c r="Z501" s="400" t="str">
        <f>IFERROR(VLOOKUP($A501,#REF!,21,0),"")</f>
        <v/>
      </c>
      <c r="AA501" s="358"/>
      <c r="AB501" s="358"/>
      <c r="AC501" s="358" t="s">
        <v>127</v>
      </c>
      <c r="AD501" s="358" t="s">
        <v>28</v>
      </c>
      <c r="AE501" s="102"/>
      <c r="AF501" s="141" t="s">
        <v>3077</v>
      </c>
      <c r="AG501" s="141" t="s">
        <v>2087</v>
      </c>
      <c r="AH501" s="141" t="s">
        <v>3873</v>
      </c>
      <c r="AI501" s="141" t="s">
        <v>3873</v>
      </c>
      <c r="AJ501" s="141" t="s">
        <v>2050</v>
      </c>
      <c r="AK501" s="141"/>
      <c r="AL501" s="141"/>
      <c r="AM501" s="141"/>
      <c r="AN501" s="120"/>
      <c r="AO501" s="120"/>
      <c r="AP501" s="120"/>
      <c r="AQ501" s="313"/>
      <c r="AR501" s="119"/>
      <c r="AS501" s="22"/>
      <c r="AT501" s="22"/>
      <c r="AU501" s="22"/>
      <c r="AV501" s="22"/>
      <c r="AW501" s="82" t="s">
        <v>30</v>
      </c>
      <c r="AX501" s="82"/>
      <c r="AY501" s="82"/>
      <c r="AZ501" s="82"/>
      <c r="BA501" s="82"/>
      <c r="BB501" s="82"/>
      <c r="BC501" s="82"/>
      <c r="BD501" s="82"/>
      <c r="BE501" s="82"/>
      <c r="BF501" s="82"/>
      <c r="BG501" s="112"/>
      <c r="BH501" s="112"/>
      <c r="BI501" s="112"/>
      <c r="BJ501" s="112"/>
      <c r="BK501" s="82"/>
      <c r="BL501" s="82"/>
      <c r="BM501"/>
      <c r="BN501" s="412"/>
      <c r="BO501" s="412"/>
      <c r="BP501" s="412"/>
      <c r="BQ501" s="412"/>
      <c r="BR501" s="412"/>
      <c r="BS501" s="96"/>
      <c r="BT501" s="96"/>
      <c r="BU501" s="96"/>
      <c r="BV501" s="96"/>
      <c r="BW501"/>
      <c r="BX501"/>
      <c r="BY501"/>
      <c r="BZ501">
        <f t="shared" si="40"/>
        <v>1</v>
      </c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</row>
    <row r="502" spans="1:123" s="272" customFormat="1" hidden="1">
      <c r="A502" s="35" t="str">
        <f t="shared" si="36"/>
        <v>M123/2646109</v>
      </c>
      <c r="B502" s="35"/>
      <c r="C502" s="358" t="s">
        <v>24</v>
      </c>
      <c r="D502" s="358">
        <v>499</v>
      </c>
      <c r="E502" s="358" t="s">
        <v>3875</v>
      </c>
      <c r="F502" s="358" t="s">
        <v>99</v>
      </c>
      <c r="G502" s="384">
        <v>46109</v>
      </c>
      <c r="H502" s="358" t="s">
        <v>646</v>
      </c>
      <c r="I502" s="358">
        <v>10</v>
      </c>
      <c r="J502" s="359" t="str">
        <f>IFERROR(VLOOKUP($A502,#REF!,3,0),"")</f>
        <v/>
      </c>
      <c r="K502" s="359" t="str">
        <f>IFERROR(VLOOKUP($A502,#REF!,4,0),AF502)</f>
        <v>INT</v>
      </c>
      <c r="L502" s="359" t="str">
        <f>IFERROR(VLOOKUP($A502,#REF!,5,0),"")</f>
        <v/>
      </c>
      <c r="M502" s="359" t="str">
        <f>IFERROR(VLOOKUP($A502,#REF!,7,0),"")</f>
        <v/>
      </c>
      <c r="N502" s="359">
        <f t="shared" si="42"/>
        <v>10</v>
      </c>
      <c r="O502" s="359" t="str">
        <f>IFERROR(VLOOKUP($A502,#REF!,6,0),"")</f>
        <v/>
      </c>
      <c r="P502" s="359" t="e">
        <f t="shared" si="43"/>
        <v>#VALUE!</v>
      </c>
      <c r="Q502" s="359" t="str">
        <f>IFERROR(VLOOKUP($A502,#REF!,10,0),"")</f>
        <v/>
      </c>
      <c r="R502" s="359" t="str">
        <f>IFERROR(VLOOKUP($A502,#REF!,11,0),"")</f>
        <v/>
      </c>
      <c r="S502" s="359" t="str">
        <f>IFERROR(VLOOKUP($A502,#REF!,13,0),"")</f>
        <v/>
      </c>
      <c r="T502" s="359" t="str">
        <f>IFERROR(VLOOKUP($A502,#REF!,14,0),"")</f>
        <v/>
      </c>
      <c r="U502" s="359" t="str">
        <f>IFERROR(VLOOKUP($A502,#REF!,15,0),"")</f>
        <v/>
      </c>
      <c r="V502" s="359" t="str">
        <f>IFERROR(VLOOKUP($A502,#REF!,16,0),"")</f>
        <v/>
      </c>
      <c r="W502" s="359" t="str">
        <f>IFERROR(VLOOKUP($A502,#REF!,17,0),"")</f>
        <v/>
      </c>
      <c r="X502" s="359" t="str">
        <f>IFERROR(VLOOKUP($A502,#REF!,18,0),"")</f>
        <v/>
      </c>
      <c r="Y502" s="359" t="str">
        <f>IFERROR(VLOOKUP($A502,#REF!,19,0),"")</f>
        <v/>
      </c>
      <c r="Z502" s="400" t="str">
        <f>IFERROR(VLOOKUP($A502,#REF!,21,0),"")</f>
        <v/>
      </c>
      <c r="AA502" s="358"/>
      <c r="AB502" s="358"/>
      <c r="AC502" s="358" t="s">
        <v>1077</v>
      </c>
      <c r="AD502" s="358" t="s">
        <v>1138</v>
      </c>
      <c r="AE502" s="141"/>
      <c r="AF502" s="141" t="s">
        <v>3077</v>
      </c>
      <c r="AG502" s="141" t="s">
        <v>2115</v>
      </c>
      <c r="AH502" s="141" t="s">
        <v>3873</v>
      </c>
      <c r="AI502" s="141" t="s">
        <v>3873</v>
      </c>
      <c r="AJ502" s="141" t="s">
        <v>2050</v>
      </c>
      <c r="AK502" s="141"/>
      <c r="AL502" s="141"/>
      <c r="AM502" s="141"/>
      <c r="AN502" s="120"/>
      <c r="AO502" s="120"/>
      <c r="AP502" s="120"/>
      <c r="AQ502" s="313"/>
      <c r="AR502" s="119"/>
      <c r="AS502" s="22"/>
      <c r="AT502" s="22"/>
      <c r="AU502" s="22"/>
      <c r="AV502" s="345" t="s">
        <v>30</v>
      </c>
      <c r="AW502" s="82" t="s">
        <v>30</v>
      </c>
      <c r="AX502" s="82"/>
      <c r="AY502" s="82"/>
      <c r="AZ502" s="82"/>
      <c r="BA502" s="82"/>
      <c r="BB502" s="82"/>
      <c r="BC502" s="82"/>
      <c r="BD502" s="82"/>
      <c r="BE502" s="82"/>
      <c r="BF502" s="82"/>
      <c r="BG502" s="112"/>
      <c r="BH502" s="112"/>
      <c r="BI502" s="112"/>
      <c r="BJ502" s="112"/>
      <c r="BK502" s="82"/>
      <c r="BL502" s="82"/>
      <c r="BM502"/>
      <c r="BN502" s="412"/>
      <c r="BO502" s="412"/>
      <c r="BP502" s="412"/>
      <c r="BQ502" s="412"/>
      <c r="BR502" s="412"/>
      <c r="BS502" s="96"/>
      <c r="BT502" s="96"/>
      <c r="BU502" s="96"/>
      <c r="BV502" s="96"/>
      <c r="BW502"/>
      <c r="BX502"/>
      <c r="BY502"/>
      <c r="BZ502">
        <f t="shared" si="40"/>
        <v>1</v>
      </c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</row>
    <row r="503" spans="1:123" hidden="1">
      <c r="A503" s="35" t="str">
        <f t="shared" si="36"/>
        <v>M148/2646109</v>
      </c>
      <c r="C503" s="358" t="s">
        <v>24</v>
      </c>
      <c r="D503" s="358">
        <v>500</v>
      </c>
      <c r="E503" s="358" t="s">
        <v>3876</v>
      </c>
      <c r="F503" s="358" t="s">
        <v>374</v>
      </c>
      <c r="G503" s="384">
        <v>46109</v>
      </c>
      <c r="H503" s="358" t="s">
        <v>324</v>
      </c>
      <c r="I503" s="358">
        <v>11</v>
      </c>
      <c r="J503" s="359" t="str">
        <f>IFERROR(VLOOKUP($A503,#REF!,3,0),"")</f>
        <v/>
      </c>
      <c r="K503" s="359" t="str">
        <f>IFERROR(VLOOKUP($A503,#REF!,4,0),AF503)</f>
        <v>INT</v>
      </c>
      <c r="L503" s="359" t="str">
        <f>IFERROR(VLOOKUP($A503,#REF!,5,0),"")</f>
        <v/>
      </c>
      <c r="M503" s="359" t="str">
        <f>IFERROR(VLOOKUP($A503,#REF!,7,0),"")</f>
        <v/>
      </c>
      <c r="N503" s="359">
        <f t="shared" si="42"/>
        <v>11</v>
      </c>
      <c r="O503" s="359" t="str">
        <f>IFERROR(VLOOKUP($A503,#REF!,6,0),"")</f>
        <v/>
      </c>
      <c r="P503" s="359" t="e">
        <f t="shared" si="43"/>
        <v>#VALUE!</v>
      </c>
      <c r="Q503" s="359" t="str">
        <f>IFERROR(VLOOKUP($A503,#REF!,10,0),"")</f>
        <v/>
      </c>
      <c r="R503" s="359" t="str">
        <f>IFERROR(VLOOKUP($A503,#REF!,11,0),"")</f>
        <v/>
      </c>
      <c r="S503" s="359" t="str">
        <f>IFERROR(VLOOKUP($A503,#REF!,13,0),"")</f>
        <v/>
      </c>
      <c r="T503" s="359" t="str">
        <f>IFERROR(VLOOKUP($A503,#REF!,14,0),"")</f>
        <v/>
      </c>
      <c r="U503" s="359" t="str">
        <f>IFERROR(VLOOKUP($A503,#REF!,15,0),"")</f>
        <v/>
      </c>
      <c r="V503" s="359" t="str">
        <f>IFERROR(VLOOKUP($A503,#REF!,16,0),"")</f>
        <v/>
      </c>
      <c r="W503" s="359" t="str">
        <f>IFERROR(VLOOKUP($A503,#REF!,17,0),"")</f>
        <v/>
      </c>
      <c r="X503" s="359" t="str">
        <f>IFERROR(VLOOKUP($A503,#REF!,18,0),"")</f>
        <v/>
      </c>
      <c r="Y503" s="359" t="str">
        <f>IFERROR(VLOOKUP($A503,#REF!,19,0),"")</f>
        <v/>
      </c>
      <c r="Z503" s="400" t="str">
        <f>IFERROR(VLOOKUP($A503,#REF!,21,0),"")</f>
        <v/>
      </c>
      <c r="AA503" s="358"/>
      <c r="AB503" s="358"/>
      <c r="AC503" s="358" t="s">
        <v>2391</v>
      </c>
      <c r="AD503" s="358" t="s">
        <v>3651</v>
      </c>
      <c r="AE503" s="141"/>
      <c r="AF503" s="141" t="s">
        <v>3077</v>
      </c>
      <c r="AG503" s="141" t="s">
        <v>2126</v>
      </c>
      <c r="AH503" s="141" t="s">
        <v>3877</v>
      </c>
      <c r="AI503" s="141" t="s">
        <v>3877</v>
      </c>
      <c r="AJ503" s="141" t="s">
        <v>3878</v>
      </c>
      <c r="AK503" s="141"/>
      <c r="AL503" s="141"/>
      <c r="AM503" s="141"/>
      <c r="AN503" s="120"/>
      <c r="AO503" s="120"/>
      <c r="AP503" s="120"/>
      <c r="AQ503" s="313"/>
      <c r="AR503" s="119"/>
      <c r="AS503" s="22"/>
      <c r="AT503" s="22"/>
      <c r="AU503" s="22"/>
      <c r="AV503" s="22"/>
      <c r="AW503" s="82" t="s">
        <v>30</v>
      </c>
      <c r="AX503" s="82"/>
      <c r="AY503" s="82"/>
      <c r="AZ503" s="82"/>
      <c r="BA503" s="82"/>
      <c r="BB503" s="82"/>
      <c r="BC503" s="82"/>
      <c r="BD503" s="82"/>
      <c r="BE503" s="82"/>
      <c r="BF503" s="82"/>
      <c r="BG503" s="112"/>
      <c r="BH503" s="112"/>
      <c r="BI503" s="112"/>
      <c r="BJ503" s="112"/>
      <c r="BK503" s="82"/>
      <c r="BL503" s="82"/>
      <c r="BN503" s="412"/>
      <c r="BO503" s="412"/>
      <c r="BP503" s="412"/>
      <c r="BQ503" s="412"/>
      <c r="BR503" s="412"/>
      <c r="BZ503">
        <f t="shared" si="40"/>
        <v>1</v>
      </c>
    </row>
    <row r="504" spans="1:123" s="272" customFormat="1" hidden="1">
      <c r="A504" s="35" t="str">
        <f t="shared" si="36"/>
        <v>M165/2646109</v>
      </c>
      <c r="B504" s="35"/>
      <c r="C504" s="358" t="s">
        <v>24</v>
      </c>
      <c r="D504" s="358">
        <v>501</v>
      </c>
      <c r="E504" s="358" t="s">
        <v>3879</v>
      </c>
      <c r="F504" s="358" t="s">
        <v>34</v>
      </c>
      <c r="G504" s="384">
        <v>46109</v>
      </c>
      <c r="H504" s="358" t="s">
        <v>737</v>
      </c>
      <c r="I504" s="358">
        <v>39</v>
      </c>
      <c r="J504" s="359" t="str">
        <f>IFERROR(VLOOKUP($A504,#REF!,3,0),"")</f>
        <v/>
      </c>
      <c r="K504" s="359" t="str">
        <f>IFERROR(VLOOKUP($A504,#REF!,4,0),AF504)</f>
        <v>INT</v>
      </c>
      <c r="L504" s="359" t="str">
        <f>IFERROR(VLOOKUP($A504,#REF!,5,0),"")</f>
        <v/>
      </c>
      <c r="M504" s="359" t="str">
        <f>IFERROR(VLOOKUP($A504,#REF!,7,0),"")</f>
        <v/>
      </c>
      <c r="N504" s="359">
        <f t="shared" si="42"/>
        <v>39</v>
      </c>
      <c r="O504" s="359" t="str">
        <f>IFERROR(VLOOKUP($A504,#REF!,6,0),"")</f>
        <v/>
      </c>
      <c r="P504" s="359" t="e">
        <f t="shared" si="43"/>
        <v>#VALUE!</v>
      </c>
      <c r="Q504" s="359" t="str">
        <f>IFERROR(VLOOKUP($A504,#REF!,10,0),"")</f>
        <v/>
      </c>
      <c r="R504" s="359" t="str">
        <f>IFERROR(VLOOKUP($A504,#REF!,11,0),"")</f>
        <v/>
      </c>
      <c r="S504" s="359" t="str">
        <f>IFERROR(VLOOKUP($A504,#REF!,13,0),"")</f>
        <v/>
      </c>
      <c r="T504" s="359" t="str">
        <f>IFERROR(VLOOKUP($A504,#REF!,14,0),"")</f>
        <v/>
      </c>
      <c r="U504" s="359" t="str">
        <f>IFERROR(VLOOKUP($A504,#REF!,15,0),"")</f>
        <v/>
      </c>
      <c r="V504" s="359" t="str">
        <f>IFERROR(VLOOKUP($A504,#REF!,16,0),"")</f>
        <v/>
      </c>
      <c r="W504" s="359" t="str">
        <f>IFERROR(VLOOKUP($A504,#REF!,17,0),"")</f>
        <v/>
      </c>
      <c r="X504" s="359" t="str">
        <f>IFERROR(VLOOKUP($A504,#REF!,18,0),"")</f>
        <v/>
      </c>
      <c r="Y504" s="359" t="str">
        <f>IFERROR(VLOOKUP($A504,#REF!,19,0),"")</f>
        <v/>
      </c>
      <c r="Z504" s="400" t="str">
        <f>IFERROR(VLOOKUP($A504,#REF!,21,0),"")</f>
        <v/>
      </c>
      <c r="AA504" s="358"/>
      <c r="AB504" s="358"/>
      <c r="AC504" s="358" t="s">
        <v>1077</v>
      </c>
      <c r="AD504" s="358" t="s">
        <v>1138</v>
      </c>
      <c r="AE504" s="141"/>
      <c r="AF504" s="141" t="s">
        <v>3077</v>
      </c>
      <c r="AG504" s="141" t="s">
        <v>2180</v>
      </c>
      <c r="AH504" s="141" t="s">
        <v>3873</v>
      </c>
      <c r="AI504" s="141" t="s">
        <v>3873</v>
      </c>
      <c r="AJ504" s="279" t="s">
        <v>3880</v>
      </c>
      <c r="AK504" s="279"/>
      <c r="AL504" s="279"/>
      <c r="AM504" s="279"/>
      <c r="AN504" s="331" t="s">
        <v>2863</v>
      </c>
      <c r="AO504" s="120"/>
      <c r="AP504" s="120"/>
      <c r="AQ504" s="313"/>
      <c r="AR504" s="119"/>
      <c r="AS504" s="22"/>
      <c r="AT504" s="22"/>
      <c r="AU504" s="22"/>
      <c r="AV504" s="2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112"/>
      <c r="BH504" s="112"/>
      <c r="BI504" s="112"/>
      <c r="BJ504" s="112"/>
      <c r="BK504" s="82"/>
      <c r="BL504" s="82"/>
      <c r="BM504"/>
      <c r="BN504" s="412"/>
      <c r="BO504" s="412"/>
      <c r="BP504" s="412"/>
      <c r="BQ504" s="412"/>
      <c r="BR504" s="412"/>
      <c r="BS504" s="96"/>
      <c r="BT504" s="96"/>
      <c r="BU504" s="96"/>
      <c r="BV504" s="96"/>
      <c r="BW504"/>
      <c r="BX504"/>
      <c r="BY504"/>
      <c r="BZ504">
        <f t="shared" si="40"/>
        <v>1</v>
      </c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</row>
    <row r="505" spans="1:123" s="272" customFormat="1" hidden="1">
      <c r="A505" s="35" t="str">
        <f t="shared" si="36"/>
        <v>M166/2646109</v>
      </c>
      <c r="B505" s="35"/>
      <c r="C505" s="358" t="s">
        <v>24</v>
      </c>
      <c r="D505" s="358">
        <v>502</v>
      </c>
      <c r="E505" s="358" t="s">
        <v>3881</v>
      </c>
      <c r="F505" s="358" t="s">
        <v>34</v>
      </c>
      <c r="G505" s="384">
        <v>46109</v>
      </c>
      <c r="H505" s="358" t="s">
        <v>661</v>
      </c>
      <c r="I505" s="358">
        <v>18</v>
      </c>
      <c r="J505" s="359" t="str">
        <f>IFERROR(VLOOKUP($A505,#REF!,3,0),"")</f>
        <v/>
      </c>
      <c r="K505" s="359" t="str">
        <f>IFERROR(VLOOKUP($A505,#REF!,4,0),AF505)</f>
        <v>INT</v>
      </c>
      <c r="L505" s="359" t="str">
        <f>IFERROR(VLOOKUP($A505,#REF!,5,0),"")</f>
        <v/>
      </c>
      <c r="M505" s="359" t="str">
        <f>IFERROR(VLOOKUP($A505,#REF!,7,0),"")</f>
        <v/>
      </c>
      <c r="N505" s="359">
        <f t="shared" si="42"/>
        <v>18</v>
      </c>
      <c r="O505" s="359" t="str">
        <f>IFERROR(VLOOKUP($A505,#REF!,6,0),"")</f>
        <v/>
      </c>
      <c r="P505" s="359" t="e">
        <f t="shared" si="43"/>
        <v>#VALUE!</v>
      </c>
      <c r="Q505" s="359" t="str">
        <f>IFERROR(VLOOKUP($A505,#REF!,10,0),"")</f>
        <v/>
      </c>
      <c r="R505" s="359" t="str">
        <f>IFERROR(VLOOKUP($A505,#REF!,11,0),"")</f>
        <v/>
      </c>
      <c r="S505" s="359" t="str">
        <f>IFERROR(VLOOKUP($A505,#REF!,13,0),"")</f>
        <v/>
      </c>
      <c r="T505" s="359" t="str">
        <f>IFERROR(VLOOKUP($A505,#REF!,14,0),"")</f>
        <v/>
      </c>
      <c r="U505" s="359" t="str">
        <f>IFERROR(VLOOKUP($A505,#REF!,15,0),"")</f>
        <v/>
      </c>
      <c r="V505" s="359" t="str">
        <f>IFERROR(VLOOKUP($A505,#REF!,16,0),"")</f>
        <v/>
      </c>
      <c r="W505" s="359" t="str">
        <f>IFERROR(VLOOKUP($A505,#REF!,17,0),"")</f>
        <v/>
      </c>
      <c r="X505" s="359" t="str">
        <f>IFERROR(VLOOKUP($A505,#REF!,18,0),"")</f>
        <v/>
      </c>
      <c r="Y505" s="359" t="str">
        <f>IFERROR(VLOOKUP($A505,#REF!,19,0),"")</f>
        <v/>
      </c>
      <c r="Z505" s="400" t="str">
        <f>IFERROR(VLOOKUP($A505,#REF!,21,0),"")</f>
        <v/>
      </c>
      <c r="AA505" s="358"/>
      <c r="AB505" s="358"/>
      <c r="AC505" s="358" t="s">
        <v>1077</v>
      </c>
      <c r="AD505" s="358" t="s">
        <v>1138</v>
      </c>
      <c r="AE505" s="141"/>
      <c r="AF505" s="141" t="s">
        <v>3077</v>
      </c>
      <c r="AG505" s="141" t="s">
        <v>2098</v>
      </c>
      <c r="AH505" s="141" t="s">
        <v>3873</v>
      </c>
      <c r="AI505" s="141" t="s">
        <v>3873</v>
      </c>
      <c r="AJ505" s="279" t="s">
        <v>3882</v>
      </c>
      <c r="AK505" s="279"/>
      <c r="AL505" s="279"/>
      <c r="AM505" s="279"/>
      <c r="AN505" s="331" t="s">
        <v>2863</v>
      </c>
      <c r="AO505" s="120"/>
      <c r="AP505" s="120"/>
      <c r="AQ505" s="313"/>
      <c r="AR505" s="119"/>
      <c r="AS505" s="22"/>
      <c r="AT505" s="22"/>
      <c r="AU505" s="22"/>
      <c r="AV505" s="2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112"/>
      <c r="BH505" s="112"/>
      <c r="BI505" s="112"/>
      <c r="BJ505" s="112"/>
      <c r="BK505" s="82"/>
      <c r="BL505" s="82"/>
      <c r="BM505"/>
      <c r="BN505" s="412"/>
      <c r="BO505" s="412"/>
      <c r="BP505" s="412"/>
      <c r="BQ505" s="412"/>
      <c r="BR505" s="412"/>
      <c r="BS505" s="96"/>
      <c r="BT505" s="96"/>
      <c r="BU505" s="96"/>
      <c r="BV505" s="96"/>
      <c r="BW505"/>
      <c r="BX505"/>
      <c r="BY505"/>
      <c r="BZ505">
        <f t="shared" si="40"/>
        <v>1</v>
      </c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</row>
    <row r="506" spans="1:123" s="272" customFormat="1" hidden="1">
      <c r="A506" s="35" t="str">
        <f t="shared" si="36"/>
        <v>M168/2646109</v>
      </c>
      <c r="B506" s="35"/>
      <c r="C506" s="358" t="s">
        <v>24</v>
      </c>
      <c r="D506" s="358">
        <v>503</v>
      </c>
      <c r="E506" s="358" t="s">
        <v>3883</v>
      </c>
      <c r="F506" s="358" t="s">
        <v>34</v>
      </c>
      <c r="G506" s="384">
        <v>46109</v>
      </c>
      <c r="H506" s="358" t="s">
        <v>2014</v>
      </c>
      <c r="I506" s="358">
        <v>21</v>
      </c>
      <c r="J506" s="359" t="str">
        <f>IFERROR(VLOOKUP($A506,#REF!,3,0),"")</f>
        <v/>
      </c>
      <c r="K506" s="359" t="str">
        <f>IFERROR(VLOOKUP($A506,#REF!,4,0),AF506)</f>
        <v>INT</v>
      </c>
      <c r="L506" s="359" t="str">
        <f>IFERROR(VLOOKUP($A506,#REF!,5,0),"")</f>
        <v/>
      </c>
      <c r="M506" s="359" t="str">
        <f>IFERROR(VLOOKUP($A506,#REF!,7,0),"")</f>
        <v/>
      </c>
      <c r="N506" s="359">
        <f t="shared" si="42"/>
        <v>21</v>
      </c>
      <c r="O506" s="359" t="str">
        <f>IFERROR(VLOOKUP($A506,#REF!,6,0),"")</f>
        <v/>
      </c>
      <c r="P506" s="359" t="e">
        <f t="shared" si="43"/>
        <v>#VALUE!</v>
      </c>
      <c r="Q506" s="359" t="str">
        <f>IFERROR(VLOOKUP($A506,#REF!,10,0),"")</f>
        <v/>
      </c>
      <c r="R506" s="359" t="str">
        <f>IFERROR(VLOOKUP($A506,#REF!,11,0),"")</f>
        <v/>
      </c>
      <c r="S506" s="359" t="str">
        <f>IFERROR(VLOOKUP($A506,#REF!,13,0),"")</f>
        <v/>
      </c>
      <c r="T506" s="359" t="str">
        <f>IFERROR(VLOOKUP($A506,#REF!,14,0),"")</f>
        <v/>
      </c>
      <c r="U506" s="359" t="str">
        <f>IFERROR(VLOOKUP($A506,#REF!,15,0),"")</f>
        <v/>
      </c>
      <c r="V506" s="359" t="str">
        <f>IFERROR(VLOOKUP($A506,#REF!,16,0),"")</f>
        <v/>
      </c>
      <c r="W506" s="359" t="str">
        <f>IFERROR(VLOOKUP($A506,#REF!,17,0),"")</f>
        <v/>
      </c>
      <c r="X506" s="359" t="str">
        <f>IFERROR(VLOOKUP($A506,#REF!,18,0),"")</f>
        <v/>
      </c>
      <c r="Y506" s="359" t="str">
        <f>IFERROR(VLOOKUP($A506,#REF!,19,0),"")</f>
        <v/>
      </c>
      <c r="Z506" s="400" t="str">
        <f>IFERROR(VLOOKUP($A506,#REF!,21,0),"")</f>
        <v/>
      </c>
      <c r="AA506" s="358"/>
      <c r="AB506" s="358"/>
      <c r="AC506" s="358" t="s">
        <v>1077</v>
      </c>
      <c r="AD506" s="358" t="s">
        <v>1138</v>
      </c>
      <c r="AE506" s="141"/>
      <c r="AF506" s="141" t="s">
        <v>3077</v>
      </c>
      <c r="AG506" s="141" t="s">
        <v>3884</v>
      </c>
      <c r="AH506" s="141" t="s">
        <v>3873</v>
      </c>
      <c r="AI506" s="141" t="s">
        <v>3873</v>
      </c>
      <c r="AJ506" s="279" t="s">
        <v>3885</v>
      </c>
      <c r="AK506" s="279"/>
      <c r="AL506" s="279"/>
      <c r="AM506" s="279"/>
      <c r="AN506" s="331" t="s">
        <v>2863</v>
      </c>
      <c r="AO506" s="120"/>
      <c r="AP506" s="120"/>
      <c r="AQ506" s="313"/>
      <c r="AR506" s="119"/>
      <c r="AS506" s="22"/>
      <c r="AT506" s="22"/>
      <c r="AU506" s="22"/>
      <c r="AV506" s="345" t="s">
        <v>30</v>
      </c>
      <c r="AW506" s="82"/>
      <c r="AX506" s="82"/>
      <c r="AY506" s="82"/>
      <c r="AZ506" s="82"/>
      <c r="BA506" s="82"/>
      <c r="BB506" s="82"/>
      <c r="BC506" s="82"/>
      <c r="BD506" s="82"/>
      <c r="BE506" s="82"/>
      <c r="BF506" s="82"/>
      <c r="BG506" s="112"/>
      <c r="BH506" s="112"/>
      <c r="BI506" s="112"/>
      <c r="BJ506" s="112"/>
      <c r="BK506" s="82"/>
      <c r="BL506" s="82"/>
      <c r="BM506"/>
      <c r="BN506" s="412"/>
      <c r="BO506" s="412"/>
      <c r="BP506" s="412"/>
      <c r="BQ506" s="412"/>
      <c r="BR506" s="412"/>
      <c r="BS506" s="96"/>
      <c r="BT506" s="96"/>
      <c r="BU506" s="96"/>
      <c r="BV506" s="96"/>
      <c r="BW506"/>
      <c r="BX506"/>
      <c r="BY506"/>
      <c r="BZ506">
        <f t="shared" si="40"/>
        <v>1</v>
      </c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</row>
    <row r="507" spans="1:123" s="272" customFormat="1" hidden="1">
      <c r="A507" s="35" t="str">
        <f t="shared" si="36"/>
        <v>M200/2646109</v>
      </c>
      <c r="B507" s="35"/>
      <c r="C507" s="358" t="s">
        <v>24</v>
      </c>
      <c r="D507" s="358">
        <v>504</v>
      </c>
      <c r="E507" s="358" t="s">
        <v>3886</v>
      </c>
      <c r="F507" s="358" t="s">
        <v>102</v>
      </c>
      <c r="G507" s="384">
        <v>46109</v>
      </c>
      <c r="H507" s="358" t="s">
        <v>2161</v>
      </c>
      <c r="I507" s="358">
        <v>19</v>
      </c>
      <c r="J507" s="359" t="str">
        <f>IFERROR(VLOOKUP($A507,#REF!,3,0),"")</f>
        <v/>
      </c>
      <c r="K507" s="359" t="str">
        <f>IFERROR(VLOOKUP($A507,#REF!,4,0),AF507)</f>
        <v>EXT</v>
      </c>
      <c r="L507" s="359" t="str">
        <f>IFERROR(VLOOKUP($A507,#REF!,5,0),"")</f>
        <v/>
      </c>
      <c r="M507" s="359" t="str">
        <f>IFERROR(VLOOKUP($A507,#REF!,7,0),"")</f>
        <v/>
      </c>
      <c r="N507" s="359">
        <f t="shared" si="42"/>
        <v>19</v>
      </c>
      <c r="O507" s="359" t="str">
        <f>IFERROR(VLOOKUP($A507,#REF!,6,0),"")</f>
        <v/>
      </c>
      <c r="P507" s="359" t="e">
        <f t="shared" si="43"/>
        <v>#VALUE!</v>
      </c>
      <c r="Q507" s="359" t="str">
        <f>IFERROR(VLOOKUP($A507,#REF!,10,0),"")</f>
        <v/>
      </c>
      <c r="R507" s="359" t="str">
        <f>IFERROR(VLOOKUP($A507,#REF!,11,0),"")</f>
        <v/>
      </c>
      <c r="S507" s="359" t="str">
        <f>IFERROR(VLOOKUP($A507,#REF!,13,0),"")</f>
        <v/>
      </c>
      <c r="T507" s="359" t="str">
        <f>IFERROR(VLOOKUP($A507,#REF!,14,0),"")</f>
        <v/>
      </c>
      <c r="U507" s="359" t="str">
        <f>IFERROR(VLOOKUP($A507,#REF!,15,0),"")</f>
        <v/>
      </c>
      <c r="V507" s="359" t="str">
        <f>IFERROR(VLOOKUP($A507,#REF!,16,0),"")</f>
        <v/>
      </c>
      <c r="W507" s="359" t="str">
        <f>IFERROR(VLOOKUP($A507,#REF!,17,0),"")</f>
        <v/>
      </c>
      <c r="X507" s="359" t="str">
        <f>IFERROR(VLOOKUP($A507,#REF!,18,0),"")</f>
        <v/>
      </c>
      <c r="Y507" s="359" t="str">
        <f>IFERROR(VLOOKUP($A507,#REF!,19,0),"")</f>
        <v/>
      </c>
      <c r="Z507" s="400" t="str">
        <f>IFERROR(VLOOKUP($A507,#REF!,21,0),"")</f>
        <v/>
      </c>
      <c r="AA507" s="358"/>
      <c r="AB507" s="358"/>
      <c r="AC507" s="358" t="s">
        <v>1077</v>
      </c>
      <c r="AD507" s="358" t="s">
        <v>1138</v>
      </c>
      <c r="AE507" s="102"/>
      <c r="AF507" s="141" t="s">
        <v>3082</v>
      </c>
      <c r="AG507" s="141" t="s">
        <v>2203</v>
      </c>
      <c r="AH507" s="141" t="s">
        <v>3877</v>
      </c>
      <c r="AI507" s="141" t="s">
        <v>3877</v>
      </c>
      <c r="AJ507" s="141" t="s">
        <v>3887</v>
      </c>
      <c r="AK507" s="141"/>
      <c r="AL507" s="141"/>
      <c r="AM507" s="141"/>
      <c r="AN507" s="331" t="s">
        <v>2863</v>
      </c>
      <c r="AO507" s="120"/>
      <c r="AP507" s="120"/>
      <c r="AQ507" s="313"/>
      <c r="AR507" s="119"/>
      <c r="AS507" s="22"/>
      <c r="AT507" s="22"/>
      <c r="AU507" s="22"/>
      <c r="AV507" s="22"/>
      <c r="AW507" s="82"/>
      <c r="AX507" s="82"/>
      <c r="AY507" s="82"/>
      <c r="AZ507" s="82"/>
      <c r="BA507" s="82"/>
      <c r="BB507" s="82"/>
      <c r="BC507" s="82"/>
      <c r="BD507" s="82"/>
      <c r="BE507" s="82"/>
      <c r="BF507" s="82"/>
      <c r="BG507" s="112"/>
      <c r="BH507" s="112"/>
      <c r="BI507" s="112"/>
      <c r="BJ507" s="112"/>
      <c r="BK507" s="82"/>
      <c r="BL507" s="82"/>
      <c r="BM507"/>
      <c r="BN507" s="412"/>
      <c r="BO507" s="412"/>
      <c r="BP507" s="412"/>
      <c r="BQ507" s="412"/>
      <c r="BR507" s="412"/>
      <c r="BS507" s="96"/>
      <c r="BT507" s="96"/>
      <c r="BU507" s="96"/>
      <c r="BV507" s="96"/>
      <c r="BW507"/>
      <c r="BX507"/>
      <c r="BY507"/>
      <c r="BZ507">
        <f t="shared" si="40"/>
        <v>1</v>
      </c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</row>
    <row r="508" spans="1:123" s="272" customFormat="1" hidden="1">
      <c r="A508" s="35" t="str">
        <f t="shared" si="36"/>
        <v>081/2646109</v>
      </c>
      <c r="B508" s="35"/>
      <c r="C508" s="358" t="s">
        <v>24</v>
      </c>
      <c r="D508" s="358">
        <v>505</v>
      </c>
      <c r="E508" s="358" t="s">
        <v>3888</v>
      </c>
      <c r="F508" s="358" t="s">
        <v>102</v>
      </c>
      <c r="G508" s="384">
        <v>46109</v>
      </c>
      <c r="H508" s="372" t="s">
        <v>401</v>
      </c>
      <c r="I508" s="358">
        <v>1</v>
      </c>
      <c r="J508" s="359" t="str">
        <f>IFERROR(VLOOKUP($A508,#REF!,3,0),"")</f>
        <v/>
      </c>
      <c r="K508" s="359">
        <f>IFERROR(VLOOKUP($A508,#REF!,4,0),AF508)</f>
        <v>0</v>
      </c>
      <c r="L508" s="359" t="str">
        <f>IFERROR(VLOOKUP($A508,#REF!,5,0),"")</f>
        <v/>
      </c>
      <c r="M508" s="359" t="str">
        <f>IFERROR(VLOOKUP($A508,#REF!,7,0),"")</f>
        <v/>
      </c>
      <c r="N508" s="359"/>
      <c r="O508" s="359" t="str">
        <f>IFERROR(VLOOKUP($A508,#REF!,6,0),"")</f>
        <v/>
      </c>
      <c r="P508" s="359" t="str">
        <f>IFERROR(VLOOKUP($A508,#REF!,9,0),"")</f>
        <v/>
      </c>
      <c r="Q508" s="359" t="str">
        <f>IFERROR(VLOOKUP($A508,#REF!,10,0),"")</f>
        <v/>
      </c>
      <c r="R508" s="359" t="str">
        <f>IFERROR(VLOOKUP($A508,#REF!,11,0),"")</f>
        <v/>
      </c>
      <c r="S508" s="359" t="str">
        <f>IFERROR(VLOOKUP($A508,#REF!,13,0),"")</f>
        <v/>
      </c>
      <c r="T508" s="359" t="str">
        <f>IFERROR(VLOOKUP($A508,#REF!,14,0),"")</f>
        <v/>
      </c>
      <c r="U508" s="359" t="str">
        <f>IFERROR(VLOOKUP($A508,#REF!,15,0),"")</f>
        <v/>
      </c>
      <c r="V508" s="359" t="str">
        <f>IFERROR(VLOOKUP($A508,#REF!,16,0),"")</f>
        <v/>
      </c>
      <c r="W508" s="359" t="str">
        <f>IFERROR(VLOOKUP($A508,#REF!,17,0),"")</f>
        <v/>
      </c>
      <c r="X508" s="359" t="str">
        <f>IFERROR(VLOOKUP($A508,#REF!,18,0),"")</f>
        <v/>
      </c>
      <c r="Y508" s="359" t="str">
        <f>IFERROR(VLOOKUP($A508,#REF!,19,0),"")</f>
        <v/>
      </c>
      <c r="Z508" s="400" t="str">
        <f>IFERROR(VLOOKUP($A508,#REF!,21,0),"")</f>
        <v/>
      </c>
      <c r="AA508" s="358"/>
      <c r="AB508" s="358"/>
      <c r="AC508" s="358" t="s">
        <v>1721</v>
      </c>
      <c r="AD508" s="358" t="s">
        <v>1638</v>
      </c>
      <c r="AE508" s="102"/>
      <c r="AF508" s="141"/>
      <c r="AG508" s="223" t="s">
        <v>401</v>
      </c>
      <c r="AH508" s="141" t="s">
        <v>3877</v>
      </c>
      <c r="AI508" s="141" t="s">
        <v>3877</v>
      </c>
      <c r="AJ508" s="223" t="s">
        <v>401</v>
      </c>
      <c r="AK508" s="223"/>
      <c r="AL508" s="223"/>
      <c r="AM508" s="223"/>
      <c r="AN508" s="120"/>
      <c r="AO508" s="120"/>
      <c r="AP508" s="120"/>
      <c r="AQ508" s="313"/>
      <c r="AR508" s="119"/>
      <c r="AS508" s="22"/>
      <c r="AT508" s="22"/>
      <c r="AU508" s="22"/>
      <c r="AV508" s="22"/>
      <c r="AW508" s="82"/>
      <c r="AX508" s="82"/>
      <c r="AY508" s="82"/>
      <c r="AZ508" s="82"/>
      <c r="BA508" s="82"/>
      <c r="BB508" s="82"/>
      <c r="BC508" s="82"/>
      <c r="BD508" s="82"/>
      <c r="BE508" s="82"/>
      <c r="BF508" s="82"/>
      <c r="BG508" s="112"/>
      <c r="BH508" s="112"/>
      <c r="BI508" s="112"/>
      <c r="BJ508" s="112"/>
      <c r="BK508" s="82"/>
      <c r="BL508" s="82"/>
      <c r="BM508"/>
      <c r="BN508" s="412"/>
      <c r="BO508" s="412"/>
      <c r="BP508" s="412"/>
      <c r="BQ508" s="412"/>
      <c r="BR508" s="412"/>
      <c r="BS508" s="96"/>
      <c r="BT508" s="96"/>
      <c r="BU508" s="96"/>
      <c r="BV508" s="96"/>
      <c r="BW508"/>
      <c r="BX508"/>
      <c r="BY508"/>
      <c r="BZ508">
        <f t="shared" si="40"/>
        <v>1</v>
      </c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</row>
    <row r="509" spans="1:123" s="272" customFormat="1" hidden="1">
      <c r="A509" s="35" t="str">
        <f t="shared" si="36"/>
        <v>M221/2646109</v>
      </c>
      <c r="B509" s="35"/>
      <c r="C509" s="358" t="s">
        <v>24</v>
      </c>
      <c r="D509" s="358">
        <v>506</v>
      </c>
      <c r="E509" s="358" t="s">
        <v>3889</v>
      </c>
      <c r="F509" s="358" t="s">
        <v>99</v>
      </c>
      <c r="G509" s="384">
        <v>46109</v>
      </c>
      <c r="H509" s="358" t="s">
        <v>3890</v>
      </c>
      <c r="I509" s="358">
        <v>10</v>
      </c>
      <c r="J509" s="359" t="str">
        <f>IFERROR(VLOOKUP($A509,#REF!,3,0),"")</f>
        <v/>
      </c>
      <c r="K509" s="359" t="str">
        <f>IFERROR(VLOOKUP($A509,#REF!,4,0),AF509)</f>
        <v>INT</v>
      </c>
      <c r="L509" s="359" t="str">
        <f>IFERROR(VLOOKUP($A509,#REF!,5,0),"")</f>
        <v/>
      </c>
      <c r="M509" s="359" t="str">
        <f>IFERROR(VLOOKUP($A509,#REF!,7,0),"")</f>
        <v/>
      </c>
      <c r="N509" s="359">
        <f t="shared" ref="N509:N515" si="44">IF(I509&lt;10,10,I509)</f>
        <v>10</v>
      </c>
      <c r="O509" s="359" t="str">
        <f>IFERROR(VLOOKUP($A509,#REF!,6,0),"")</f>
        <v/>
      </c>
      <c r="P509" s="359" t="e">
        <f t="shared" ref="P509:P515" si="45">+O509*N509</f>
        <v>#VALUE!</v>
      </c>
      <c r="Q509" s="359" t="str">
        <f>IFERROR(VLOOKUP($A509,#REF!,10,0),"")</f>
        <v/>
      </c>
      <c r="R509" s="359" t="str">
        <f>IFERROR(VLOOKUP($A509,#REF!,11,0),"")</f>
        <v/>
      </c>
      <c r="S509" s="359" t="str">
        <f>IFERROR(VLOOKUP($A509,#REF!,13,0),"")</f>
        <v/>
      </c>
      <c r="T509" s="359" t="str">
        <f>IFERROR(VLOOKUP($A509,#REF!,14,0),"")</f>
        <v/>
      </c>
      <c r="U509" s="359" t="str">
        <f>IFERROR(VLOOKUP($A509,#REF!,15,0),"")</f>
        <v/>
      </c>
      <c r="V509" s="359" t="str">
        <f>IFERROR(VLOOKUP($A509,#REF!,16,0),"")</f>
        <v/>
      </c>
      <c r="W509" s="359" t="str">
        <f>IFERROR(VLOOKUP($A509,#REF!,17,0),"")</f>
        <v/>
      </c>
      <c r="X509" s="359" t="str">
        <f>IFERROR(VLOOKUP($A509,#REF!,18,0),"")</f>
        <v/>
      </c>
      <c r="Y509" s="359" t="str">
        <f>IFERROR(VLOOKUP($A509,#REF!,19,0),"")</f>
        <v/>
      </c>
      <c r="Z509" s="400" t="str">
        <f>IFERROR(VLOOKUP($A509,#REF!,21,0),"")</f>
        <v/>
      </c>
      <c r="AA509" s="358"/>
      <c r="AB509" s="358"/>
      <c r="AC509" s="358" t="s">
        <v>1077</v>
      </c>
      <c r="AD509" s="358" t="s">
        <v>1138</v>
      </c>
      <c r="AE509" s="141"/>
      <c r="AF509" s="141" t="s">
        <v>3077</v>
      </c>
      <c r="AG509" s="141" t="s">
        <v>3891</v>
      </c>
      <c r="AH509" s="141" t="s">
        <v>3863</v>
      </c>
      <c r="AI509" s="141" t="s">
        <v>3863</v>
      </c>
      <c r="AJ509" s="141" t="s">
        <v>2050</v>
      </c>
      <c r="AK509" s="141"/>
      <c r="AL509" s="141"/>
      <c r="AM509" s="141"/>
      <c r="AN509" s="120"/>
      <c r="AO509" s="120"/>
      <c r="AP509" s="120"/>
      <c r="AQ509" s="313"/>
      <c r="AR509" s="119"/>
      <c r="AS509" s="22"/>
      <c r="AT509" s="22"/>
      <c r="AU509" s="22"/>
      <c r="AV509" s="22"/>
      <c r="AW509" s="82"/>
      <c r="AX509" s="82"/>
      <c r="AY509" s="82"/>
      <c r="AZ509" s="82"/>
      <c r="BA509" s="82"/>
      <c r="BB509" s="82"/>
      <c r="BC509" s="82"/>
      <c r="BD509" s="82"/>
      <c r="BE509" s="82"/>
      <c r="BF509" s="82"/>
      <c r="BG509" s="112"/>
      <c r="BH509" s="112"/>
      <c r="BI509" s="112"/>
      <c r="BJ509" s="112"/>
      <c r="BK509" s="82"/>
      <c r="BL509" s="82"/>
      <c r="BM509"/>
      <c r="BN509" s="412"/>
      <c r="BO509" s="412"/>
      <c r="BP509" s="412"/>
      <c r="BQ509" s="412"/>
      <c r="BR509" s="412"/>
      <c r="BS509" s="96"/>
      <c r="BT509" s="96"/>
      <c r="BU509" s="96"/>
      <c r="BV509" s="96"/>
      <c r="BW509"/>
      <c r="BX509"/>
      <c r="BY509"/>
      <c r="BZ509">
        <f t="shared" si="40"/>
        <v>1</v>
      </c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</row>
    <row r="510" spans="1:123" s="272" customFormat="1" hidden="1">
      <c r="A510" s="35" t="str">
        <f t="shared" si="36"/>
        <v>030/2646109</v>
      </c>
      <c r="B510" s="35"/>
      <c r="C510" s="358" t="s">
        <v>24</v>
      </c>
      <c r="D510" s="358">
        <v>507</v>
      </c>
      <c r="E510" s="358" t="s">
        <v>3892</v>
      </c>
      <c r="F510" s="119" t="s">
        <v>34</v>
      </c>
      <c r="G510" s="384">
        <v>46109</v>
      </c>
      <c r="H510" s="358" t="s">
        <v>3893</v>
      </c>
      <c r="I510" s="358">
        <v>15</v>
      </c>
      <c r="J510" s="359" t="str">
        <f>IFERROR(VLOOKUP($A510,#REF!,3,0),"")</f>
        <v/>
      </c>
      <c r="K510" s="359" t="str">
        <f>IFERROR(VLOOKUP($A510,#REF!,4,0),AF510)</f>
        <v>INT</v>
      </c>
      <c r="L510" s="359" t="str">
        <f>IFERROR(VLOOKUP($A510,#REF!,5,0),"")</f>
        <v/>
      </c>
      <c r="M510" s="359" t="str">
        <f>IFERROR(VLOOKUP($A510,#REF!,7,0),"")</f>
        <v/>
      </c>
      <c r="N510" s="359">
        <f t="shared" si="44"/>
        <v>15</v>
      </c>
      <c r="O510" s="359" t="str">
        <f>IFERROR(VLOOKUP($A510,#REF!,6,0),"")</f>
        <v/>
      </c>
      <c r="P510" s="359" t="e">
        <f t="shared" si="45"/>
        <v>#VALUE!</v>
      </c>
      <c r="Q510" s="359" t="str">
        <f>IFERROR(VLOOKUP($A510,#REF!,10,0),"")</f>
        <v/>
      </c>
      <c r="R510" s="359" t="str">
        <f>IFERROR(VLOOKUP($A510,#REF!,11,0),"")</f>
        <v/>
      </c>
      <c r="S510" s="359" t="str">
        <f>IFERROR(VLOOKUP($A510,#REF!,13,0),"")</f>
        <v/>
      </c>
      <c r="T510" s="359" t="str">
        <f>IFERROR(VLOOKUP($A510,#REF!,14,0),"")</f>
        <v/>
      </c>
      <c r="U510" s="359" t="str">
        <f>IFERROR(VLOOKUP($A510,#REF!,15,0),"")</f>
        <v/>
      </c>
      <c r="V510" s="359" t="str">
        <f>IFERROR(VLOOKUP($A510,#REF!,16,0),"")</f>
        <v/>
      </c>
      <c r="W510" s="359" t="str">
        <f>IFERROR(VLOOKUP($A510,#REF!,17,0),"")</f>
        <v/>
      </c>
      <c r="X510" s="359" t="str">
        <f>IFERROR(VLOOKUP($A510,#REF!,18,0),"")</f>
        <v/>
      </c>
      <c r="Y510" s="359" t="str">
        <f>IFERROR(VLOOKUP($A510,#REF!,19,0),"")</f>
        <v/>
      </c>
      <c r="Z510" s="400" t="str">
        <f>IFERROR(VLOOKUP($A510,#REF!,21,0),"")</f>
        <v/>
      </c>
      <c r="AA510" s="358"/>
      <c r="AB510" s="358"/>
      <c r="AC510" s="119" t="s">
        <v>1721</v>
      </c>
      <c r="AD510" s="119" t="s">
        <v>1638</v>
      </c>
      <c r="AE510" s="119"/>
      <c r="AF510" s="141" t="s">
        <v>3077</v>
      </c>
      <c r="AG510" s="119" t="s">
        <v>2052</v>
      </c>
      <c r="AH510" s="141" t="s">
        <v>3873</v>
      </c>
      <c r="AI510" s="141" t="s">
        <v>3873</v>
      </c>
      <c r="AJ510" s="141" t="s">
        <v>2050</v>
      </c>
      <c r="AK510" s="141"/>
      <c r="AL510" s="141"/>
      <c r="AM510" s="141"/>
      <c r="AN510" s="331" t="s">
        <v>2863</v>
      </c>
      <c r="AO510" s="120"/>
      <c r="AP510" s="120"/>
      <c r="AQ510" s="313"/>
      <c r="AR510" s="119"/>
      <c r="AS510" s="22"/>
      <c r="AT510" s="22"/>
      <c r="AU510" s="22"/>
      <c r="AV510" s="22"/>
      <c r="AW510" s="82"/>
      <c r="AX510" s="82"/>
      <c r="AY510" s="82"/>
      <c r="AZ510" s="82"/>
      <c r="BA510" s="82"/>
      <c r="BB510" s="82"/>
      <c r="BC510" s="82"/>
      <c r="BD510" s="82"/>
      <c r="BE510" s="82"/>
      <c r="BF510" s="82"/>
      <c r="BG510" s="112"/>
      <c r="BH510" s="112"/>
      <c r="BI510" s="112"/>
      <c r="BJ510" s="112"/>
      <c r="BK510" s="82"/>
      <c r="BL510" s="82"/>
      <c r="BM510"/>
      <c r="BN510" s="412"/>
      <c r="BO510" s="412"/>
      <c r="BP510" s="412"/>
      <c r="BQ510" s="412"/>
      <c r="BR510" s="412"/>
      <c r="BS510" s="96"/>
      <c r="BT510" s="96"/>
      <c r="BU510" s="96"/>
      <c r="BV510" s="96"/>
      <c r="BW510"/>
      <c r="BX510"/>
      <c r="BY510"/>
      <c r="BZ510">
        <f t="shared" si="40"/>
        <v>1</v>
      </c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</row>
    <row r="511" spans="1:123" s="272" customFormat="1" hidden="1">
      <c r="A511" s="35" t="str">
        <f t="shared" si="36"/>
        <v>M220/2646109</v>
      </c>
      <c r="B511" s="35"/>
      <c r="C511" s="358" t="s">
        <v>24</v>
      </c>
      <c r="D511" s="358">
        <v>508</v>
      </c>
      <c r="E511" s="358" t="s">
        <v>3894</v>
      </c>
      <c r="F511" s="358" t="s">
        <v>34</v>
      </c>
      <c r="G511" s="384">
        <v>46109</v>
      </c>
      <c r="H511" s="358" t="s">
        <v>97</v>
      </c>
      <c r="I511" s="358">
        <v>14</v>
      </c>
      <c r="J511" s="359" t="str">
        <f>IFERROR(VLOOKUP($A511,#REF!,3,0),"")</f>
        <v/>
      </c>
      <c r="K511" s="359" t="str">
        <f>IFERROR(VLOOKUP($A511,#REF!,4,0),AF511)</f>
        <v>INT</v>
      </c>
      <c r="L511" s="359" t="str">
        <f>IFERROR(VLOOKUP($A511,#REF!,5,0),"")</f>
        <v/>
      </c>
      <c r="M511" s="359" t="str">
        <f>IFERROR(VLOOKUP($A511,#REF!,7,0),"")</f>
        <v/>
      </c>
      <c r="N511" s="359">
        <f t="shared" si="44"/>
        <v>14</v>
      </c>
      <c r="O511" s="359" t="str">
        <f>IFERROR(VLOOKUP($A511,#REF!,6,0),"")</f>
        <v/>
      </c>
      <c r="P511" s="359" t="e">
        <f t="shared" si="45"/>
        <v>#VALUE!</v>
      </c>
      <c r="Q511" s="359" t="str">
        <f>IFERROR(VLOOKUP($A511,#REF!,10,0),"")</f>
        <v/>
      </c>
      <c r="R511" s="359" t="str">
        <f>IFERROR(VLOOKUP($A511,#REF!,11,0),"")</f>
        <v/>
      </c>
      <c r="S511" s="359" t="str">
        <f>IFERROR(VLOOKUP($A511,#REF!,13,0),"")</f>
        <v/>
      </c>
      <c r="T511" s="359" t="str">
        <f>IFERROR(VLOOKUP($A511,#REF!,14,0),"")</f>
        <v/>
      </c>
      <c r="U511" s="359" t="str">
        <f>IFERROR(VLOOKUP($A511,#REF!,15,0),"")</f>
        <v/>
      </c>
      <c r="V511" s="359" t="str">
        <f>IFERROR(VLOOKUP($A511,#REF!,16,0),"")</f>
        <v/>
      </c>
      <c r="W511" s="359" t="str">
        <f>IFERROR(VLOOKUP($A511,#REF!,17,0),"")</f>
        <v/>
      </c>
      <c r="X511" s="359" t="str">
        <f>IFERROR(VLOOKUP($A511,#REF!,18,0),"")</f>
        <v/>
      </c>
      <c r="Y511" s="359" t="str">
        <f>IFERROR(VLOOKUP($A511,#REF!,19,0),"")</f>
        <v/>
      </c>
      <c r="Z511" s="400" t="str">
        <f>IFERROR(VLOOKUP($A511,#REF!,21,0),"")</f>
        <v/>
      </c>
      <c r="AA511" s="358"/>
      <c r="AB511" s="358"/>
      <c r="AC511" s="358" t="s">
        <v>127</v>
      </c>
      <c r="AD511" s="358" t="s">
        <v>178</v>
      </c>
      <c r="AE511" s="93"/>
      <c r="AF511" s="141" t="s">
        <v>3077</v>
      </c>
      <c r="AG511" s="141" t="s">
        <v>2312</v>
      </c>
      <c r="AH511" s="141" t="s">
        <v>3873</v>
      </c>
      <c r="AI511" s="141" t="s">
        <v>3873</v>
      </c>
      <c r="AJ511" s="279" t="s">
        <v>3895</v>
      </c>
      <c r="AK511" s="279"/>
      <c r="AL511" s="279"/>
      <c r="AM511" s="279"/>
      <c r="AN511" s="120"/>
      <c r="AO511" s="120"/>
      <c r="AP511" s="120"/>
      <c r="AQ511" s="313"/>
      <c r="AR511" s="119"/>
      <c r="AS511" s="22"/>
      <c r="AT511" s="22"/>
      <c r="AU511" s="22"/>
      <c r="AV511" s="237" t="s">
        <v>30</v>
      </c>
      <c r="AW511" s="82" t="s">
        <v>30</v>
      </c>
      <c r="AX511" s="82"/>
      <c r="AY511" s="82"/>
      <c r="AZ511" s="82"/>
      <c r="BA511" s="82"/>
      <c r="BB511" s="82"/>
      <c r="BC511" s="82"/>
      <c r="BD511" s="82"/>
      <c r="BE511" s="82"/>
      <c r="BF511" s="82"/>
      <c r="BG511" s="112"/>
      <c r="BH511" s="112"/>
      <c r="BI511" s="112"/>
      <c r="BJ511" s="112"/>
      <c r="BK511" s="82"/>
      <c r="BL511" s="82"/>
      <c r="BM511"/>
      <c r="BN511" s="412"/>
      <c r="BO511" s="412"/>
      <c r="BP511" s="412"/>
      <c r="BQ511" s="412"/>
      <c r="BR511" s="412"/>
      <c r="BS511" s="96"/>
      <c r="BT511" s="96"/>
      <c r="BU511" s="96"/>
      <c r="BV511" s="96"/>
      <c r="BW511"/>
      <c r="BX511"/>
      <c r="BY511"/>
      <c r="BZ511">
        <f t="shared" si="40"/>
        <v>1</v>
      </c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</row>
    <row r="512" spans="1:123" s="272" customFormat="1" hidden="1">
      <c r="A512" s="35" t="str">
        <f t="shared" si="36"/>
        <v>085/2646109</v>
      </c>
      <c r="B512" s="35"/>
      <c r="C512" s="358" t="s">
        <v>24</v>
      </c>
      <c r="D512" s="358">
        <v>509</v>
      </c>
      <c r="E512" s="358" t="s">
        <v>3896</v>
      </c>
      <c r="F512" s="358" t="s">
        <v>34</v>
      </c>
      <c r="G512" s="384">
        <v>46109</v>
      </c>
      <c r="H512" s="372" t="s">
        <v>401</v>
      </c>
      <c r="I512" s="358">
        <v>12</v>
      </c>
      <c r="J512" s="359" t="str">
        <f>IFERROR(VLOOKUP($A512,#REF!,3,0),"")</f>
        <v/>
      </c>
      <c r="K512" s="359" t="str">
        <f>IFERROR(VLOOKUP($A512,#REF!,4,0),AF512)</f>
        <v>INT</v>
      </c>
      <c r="L512" s="359" t="str">
        <f>IFERROR(VLOOKUP($A512,#REF!,5,0),"")</f>
        <v/>
      </c>
      <c r="M512" s="359" t="str">
        <f>IFERROR(VLOOKUP($A512,#REF!,7,0),"")</f>
        <v/>
      </c>
      <c r="N512" s="359">
        <f t="shared" si="44"/>
        <v>12</v>
      </c>
      <c r="O512" s="359" t="str">
        <f>IFERROR(VLOOKUP($A512,#REF!,6,0),"")</f>
        <v/>
      </c>
      <c r="P512" s="359" t="e">
        <f t="shared" si="45"/>
        <v>#VALUE!</v>
      </c>
      <c r="Q512" s="359" t="str">
        <f>IFERROR(VLOOKUP($A512,#REF!,10,0),"")</f>
        <v/>
      </c>
      <c r="R512" s="359" t="str">
        <f>IFERROR(VLOOKUP($A512,#REF!,11,0),"")</f>
        <v/>
      </c>
      <c r="S512" s="359" t="str">
        <f>IFERROR(VLOOKUP($A512,#REF!,13,0),"")</f>
        <v/>
      </c>
      <c r="T512" s="359" t="str">
        <f>IFERROR(VLOOKUP($A512,#REF!,14,0),"")</f>
        <v/>
      </c>
      <c r="U512" s="359" t="str">
        <f>IFERROR(VLOOKUP($A512,#REF!,15,0),"")</f>
        <v/>
      </c>
      <c r="V512" s="359" t="str">
        <f>IFERROR(VLOOKUP($A512,#REF!,16,0),"")</f>
        <v/>
      </c>
      <c r="W512" s="359" t="str">
        <f>IFERROR(VLOOKUP($A512,#REF!,17,0),"")</f>
        <v/>
      </c>
      <c r="X512" s="359" t="str">
        <f>IFERROR(VLOOKUP($A512,#REF!,18,0),"")</f>
        <v/>
      </c>
      <c r="Y512" s="359" t="str">
        <f>IFERROR(VLOOKUP($A512,#REF!,19,0),"")</f>
        <v/>
      </c>
      <c r="Z512" s="400" t="str">
        <f>IFERROR(VLOOKUP($A512,#REF!,21,0),"")</f>
        <v/>
      </c>
      <c r="AA512" s="358"/>
      <c r="AB512" s="358"/>
      <c r="AC512" s="358" t="s">
        <v>1721</v>
      </c>
      <c r="AD512" s="358" t="s">
        <v>1638</v>
      </c>
      <c r="AE512" s="93"/>
      <c r="AF512" s="141" t="s">
        <v>3077</v>
      </c>
      <c r="AG512" s="223" t="s">
        <v>401</v>
      </c>
      <c r="AH512" s="141" t="s">
        <v>3873</v>
      </c>
      <c r="AI512" s="141" t="s">
        <v>3873</v>
      </c>
      <c r="AJ512" s="281" t="s">
        <v>401</v>
      </c>
      <c r="AK512" s="281"/>
      <c r="AL512" s="281"/>
      <c r="AM512" s="281"/>
      <c r="AN512" s="120"/>
      <c r="AO512" s="120"/>
      <c r="AP512" s="120"/>
      <c r="AQ512" s="313"/>
      <c r="AR512" s="119"/>
      <c r="AS512" s="22"/>
      <c r="AT512" s="22"/>
      <c r="AU512" s="22"/>
      <c r="AV512" s="22"/>
      <c r="AW512" s="82"/>
      <c r="AX512" s="82"/>
      <c r="AY512" s="82"/>
      <c r="AZ512" s="82"/>
      <c r="BA512" s="82"/>
      <c r="BB512" s="82"/>
      <c r="BC512" s="82"/>
      <c r="BD512" s="82"/>
      <c r="BE512" s="82"/>
      <c r="BF512" s="82"/>
      <c r="BG512" s="112"/>
      <c r="BH512" s="112"/>
      <c r="BI512" s="112"/>
      <c r="BJ512" s="112"/>
      <c r="BK512" s="82"/>
      <c r="BL512" s="82"/>
      <c r="BM512"/>
      <c r="BN512" s="412"/>
      <c r="BO512" s="412"/>
      <c r="BP512" s="412"/>
      <c r="BQ512" s="412"/>
      <c r="BR512" s="412"/>
      <c r="BS512" s="96"/>
      <c r="BT512" s="96"/>
      <c r="BU512" s="96"/>
      <c r="BV512" s="96"/>
      <c r="BW512"/>
      <c r="BX512"/>
      <c r="BY512"/>
      <c r="BZ512">
        <f t="shared" si="40"/>
        <v>1</v>
      </c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</row>
    <row r="513" spans="1:78" s="278" customFormat="1" hidden="1">
      <c r="A513" s="35" t="str">
        <f t="shared" si="36"/>
        <v>M218/2646109</v>
      </c>
      <c r="B513" s="362"/>
      <c r="C513" s="141" t="s">
        <v>24</v>
      </c>
      <c r="D513" s="358">
        <v>510</v>
      </c>
      <c r="E513" s="141" t="s">
        <v>3897</v>
      </c>
      <c r="F513" s="141" t="s">
        <v>34</v>
      </c>
      <c r="G513" s="128">
        <v>46109</v>
      </c>
      <c r="H513" s="141" t="s">
        <v>126</v>
      </c>
      <c r="I513" s="141">
        <v>6</v>
      </c>
      <c r="J513" s="359" t="str">
        <f>IFERROR(VLOOKUP($A513,#REF!,3,0),"")</f>
        <v/>
      </c>
      <c r="K513" s="359" t="str">
        <f>IFERROR(VLOOKUP($A513,#REF!,4,0),AF513)</f>
        <v>INT</v>
      </c>
      <c r="L513" s="359" t="str">
        <f>IFERROR(VLOOKUP($A513,#REF!,5,0),"")</f>
        <v/>
      </c>
      <c r="M513" s="359" t="str">
        <f>IFERROR(VLOOKUP($A513,#REF!,7,0),"")</f>
        <v/>
      </c>
      <c r="N513" s="359">
        <f t="shared" si="44"/>
        <v>10</v>
      </c>
      <c r="O513" s="359" t="str">
        <f>IFERROR(VLOOKUP($A513,#REF!,6,0),"")</f>
        <v/>
      </c>
      <c r="P513" s="359" t="e">
        <f t="shared" si="45"/>
        <v>#VALUE!</v>
      </c>
      <c r="Q513" s="359" t="str">
        <f>IFERROR(VLOOKUP($A513,#REF!,10,0),"")</f>
        <v/>
      </c>
      <c r="R513" s="359" t="str">
        <f>IFERROR(VLOOKUP($A513,#REF!,11,0),"")</f>
        <v/>
      </c>
      <c r="S513" s="359" t="str">
        <f>IFERROR(VLOOKUP($A513,#REF!,13,0),"")</f>
        <v/>
      </c>
      <c r="T513" s="359" t="str">
        <f>IFERROR(VLOOKUP($A513,#REF!,14,0),"")</f>
        <v/>
      </c>
      <c r="U513" s="359" t="str">
        <f>IFERROR(VLOOKUP($A513,#REF!,15,0),"")</f>
        <v/>
      </c>
      <c r="V513" s="359" t="str">
        <f>IFERROR(VLOOKUP($A513,#REF!,16,0),"")</f>
        <v/>
      </c>
      <c r="W513" s="359" t="str">
        <f>IFERROR(VLOOKUP($A513,#REF!,17,0),"")</f>
        <v/>
      </c>
      <c r="X513" s="359" t="str">
        <f>IFERROR(VLOOKUP($A513,#REF!,18,0),"")</f>
        <v/>
      </c>
      <c r="Y513" s="359" t="str">
        <f>IFERROR(VLOOKUP($A513,#REF!,19,0),"")</f>
        <v/>
      </c>
      <c r="Z513" s="400" t="str">
        <f>IFERROR(VLOOKUP($A513,#REF!,21,0),"")</f>
        <v/>
      </c>
      <c r="AA513" s="141"/>
      <c r="AB513" s="141"/>
      <c r="AC513" s="141" t="s">
        <v>127</v>
      </c>
      <c r="AD513" s="141" t="s">
        <v>3898</v>
      </c>
      <c r="AE513" s="284"/>
      <c r="AF513" s="141" t="s">
        <v>3077</v>
      </c>
      <c r="AG513" s="141" t="s">
        <v>3799</v>
      </c>
      <c r="AH513" s="141" t="s">
        <v>3873</v>
      </c>
      <c r="AI513" s="141" t="s">
        <v>3873</v>
      </c>
      <c r="AJ513" s="279" t="s">
        <v>3899</v>
      </c>
      <c r="AK513" s="279"/>
      <c r="AL513" s="279"/>
      <c r="AM513" s="279"/>
      <c r="AN513" s="276"/>
      <c r="AO513" s="276"/>
      <c r="AP513" s="276"/>
      <c r="AQ513" s="320"/>
      <c r="AR513" s="277"/>
      <c r="AS513" s="250"/>
      <c r="AT513" s="250"/>
      <c r="AU513" s="250"/>
      <c r="AV513" s="250"/>
      <c r="AW513" s="100"/>
      <c r="AX513" s="100"/>
      <c r="AY513" s="100"/>
      <c r="AZ513" s="100"/>
      <c r="BA513" s="100"/>
      <c r="BB513" s="100"/>
      <c r="BC513" s="100"/>
      <c r="BD513" s="100"/>
      <c r="BE513" s="100"/>
      <c r="BF513" s="100"/>
      <c r="BG513" s="111"/>
      <c r="BH513" s="111"/>
      <c r="BI513" s="111"/>
      <c r="BJ513" s="111"/>
      <c r="BK513" s="100"/>
      <c r="BL513" s="100"/>
      <c r="BM513"/>
      <c r="BN513" s="412"/>
      <c r="BO513" s="412"/>
      <c r="BP513" s="412"/>
      <c r="BQ513" s="412"/>
      <c r="BR513" s="412"/>
      <c r="BS513" s="96"/>
      <c r="BT513" s="96"/>
      <c r="BU513" s="96"/>
      <c r="BV513" s="96"/>
      <c r="BW513"/>
      <c r="BZ513" s="278">
        <f t="shared" si="40"/>
        <v>1</v>
      </c>
    </row>
    <row r="514" spans="1:78" hidden="1">
      <c r="A514" s="35" t="str">
        <f t="shared" si="36"/>
        <v>M227/2646109</v>
      </c>
      <c r="C514" s="358" t="s">
        <v>24</v>
      </c>
      <c r="D514" s="358">
        <v>511</v>
      </c>
      <c r="E514" s="358" t="s">
        <v>3900</v>
      </c>
      <c r="F514" s="358" t="s">
        <v>34</v>
      </c>
      <c r="G514" s="384">
        <v>46109</v>
      </c>
      <c r="H514" s="358" t="s">
        <v>77</v>
      </c>
      <c r="I514" s="358">
        <v>10</v>
      </c>
      <c r="J514" s="359" t="str">
        <f>IFERROR(VLOOKUP($A514,#REF!,3,0),"")</f>
        <v/>
      </c>
      <c r="K514" s="359" t="str">
        <f>IFERROR(VLOOKUP($A514,#REF!,4,0),AF514)</f>
        <v>INT</v>
      </c>
      <c r="L514" s="359" t="str">
        <f>IFERROR(VLOOKUP($A514,#REF!,5,0),"")</f>
        <v/>
      </c>
      <c r="M514" s="359" t="str">
        <f>IFERROR(VLOOKUP($A514,#REF!,7,0),"")</f>
        <v/>
      </c>
      <c r="N514" s="359">
        <f t="shared" si="44"/>
        <v>10</v>
      </c>
      <c r="O514" s="359" t="str">
        <f>IFERROR(VLOOKUP($A514,#REF!,6,0),"")</f>
        <v/>
      </c>
      <c r="P514" s="359" t="e">
        <f t="shared" si="45"/>
        <v>#VALUE!</v>
      </c>
      <c r="Q514" s="359" t="str">
        <f>IFERROR(VLOOKUP($A514,#REF!,10,0),"")</f>
        <v/>
      </c>
      <c r="R514" s="359" t="str">
        <f>IFERROR(VLOOKUP($A514,#REF!,11,0),"")</f>
        <v/>
      </c>
      <c r="S514" s="359" t="str">
        <f>IFERROR(VLOOKUP($A514,#REF!,13,0),"")</f>
        <v/>
      </c>
      <c r="T514" s="359" t="str">
        <f>IFERROR(VLOOKUP($A514,#REF!,14,0),"")</f>
        <v/>
      </c>
      <c r="U514" s="359" t="str">
        <f>IFERROR(VLOOKUP($A514,#REF!,15,0),"")</f>
        <v/>
      </c>
      <c r="V514" s="359" t="str">
        <f>IFERROR(VLOOKUP($A514,#REF!,16,0),"")</f>
        <v/>
      </c>
      <c r="W514" s="359" t="str">
        <f>IFERROR(VLOOKUP($A514,#REF!,17,0),"")</f>
        <v/>
      </c>
      <c r="X514" s="359" t="str">
        <f>IFERROR(VLOOKUP($A514,#REF!,18,0),"")</f>
        <v/>
      </c>
      <c r="Y514" s="359" t="str">
        <f>IFERROR(VLOOKUP($A514,#REF!,19,0),"")</f>
        <v/>
      </c>
      <c r="Z514" s="400" t="str">
        <f>IFERROR(VLOOKUP($A514,#REF!,21,0),"")</f>
        <v/>
      </c>
      <c r="AA514" s="358"/>
      <c r="AB514" s="358"/>
      <c r="AC514" s="141" t="s">
        <v>1076</v>
      </c>
      <c r="AD514" s="141" t="s">
        <v>3898</v>
      </c>
      <c r="AE514" s="221"/>
      <c r="AF514" s="141" t="s">
        <v>3077</v>
      </c>
      <c r="AG514" s="141" t="s">
        <v>2102</v>
      </c>
      <c r="AH514" s="141" t="s">
        <v>3873</v>
      </c>
      <c r="AI514" s="141" t="s">
        <v>3873</v>
      </c>
      <c r="AJ514" s="279" t="s">
        <v>3901</v>
      </c>
      <c r="AK514" s="279"/>
      <c r="AL514" s="279"/>
      <c r="AM514" s="279"/>
      <c r="AN514" s="120"/>
      <c r="AO514" s="120"/>
      <c r="AP514" s="120"/>
      <c r="AQ514" s="313"/>
      <c r="AR514" s="119"/>
      <c r="AS514" s="22"/>
      <c r="AT514" s="22"/>
      <c r="AU514" s="22"/>
      <c r="AV514" s="22"/>
      <c r="AW514" s="82" t="s">
        <v>30</v>
      </c>
      <c r="AX514" s="82"/>
      <c r="AY514" s="82"/>
      <c r="AZ514" s="82"/>
      <c r="BA514" s="82"/>
      <c r="BB514" s="82"/>
      <c r="BC514" s="82"/>
      <c r="BD514" s="82"/>
      <c r="BE514" s="82"/>
      <c r="BF514" s="82"/>
      <c r="BG514" s="112"/>
      <c r="BH514" s="112"/>
      <c r="BI514" s="112"/>
      <c r="BJ514" s="112"/>
      <c r="BK514" s="82"/>
      <c r="BL514" s="82"/>
      <c r="BN514" s="412"/>
      <c r="BO514" s="412"/>
      <c r="BP514" s="412"/>
      <c r="BQ514" s="412"/>
      <c r="BR514" s="412"/>
    </row>
    <row r="515" spans="1:78" hidden="1">
      <c r="A515" s="35" t="str">
        <f t="shared" si="36"/>
        <v>M230/2646109</v>
      </c>
      <c r="C515" s="358" t="s">
        <v>24</v>
      </c>
      <c r="D515" s="358">
        <v>512</v>
      </c>
      <c r="E515" s="358" t="s">
        <v>3902</v>
      </c>
      <c r="F515" s="358" t="s">
        <v>34</v>
      </c>
      <c r="G515" s="384">
        <v>46109</v>
      </c>
      <c r="H515" s="358" t="s">
        <v>3903</v>
      </c>
      <c r="I515" s="358">
        <v>11</v>
      </c>
      <c r="J515" s="359" t="str">
        <f>IFERROR(VLOOKUP($A515,#REF!,3,0),"")</f>
        <v/>
      </c>
      <c r="K515" s="359">
        <f>IFERROR(VLOOKUP($A515,#REF!,4,0),AF515)</f>
        <v>0</v>
      </c>
      <c r="L515" s="359" t="str">
        <f>IFERROR(VLOOKUP($A515,#REF!,5,0),"")</f>
        <v/>
      </c>
      <c r="M515" s="359" t="str">
        <f>IFERROR(VLOOKUP($A515,#REF!,7,0),"")</f>
        <v/>
      </c>
      <c r="N515" s="359">
        <f t="shared" si="44"/>
        <v>11</v>
      </c>
      <c r="O515" s="359" t="str">
        <f>IFERROR(VLOOKUP($A515,#REF!,6,0),"")</f>
        <v/>
      </c>
      <c r="P515" s="359" t="e">
        <f t="shared" si="45"/>
        <v>#VALUE!</v>
      </c>
      <c r="Q515" s="359" t="str">
        <f>IFERROR(VLOOKUP($A515,#REF!,10,0),"")</f>
        <v/>
      </c>
      <c r="R515" s="359" t="str">
        <f>IFERROR(VLOOKUP($A515,#REF!,11,0),"")</f>
        <v/>
      </c>
      <c r="S515" s="359" t="str">
        <f>IFERROR(VLOOKUP($A515,#REF!,13,0),"")</f>
        <v/>
      </c>
      <c r="T515" s="359" t="str">
        <f>IFERROR(VLOOKUP($A515,#REF!,14,0),"")</f>
        <v/>
      </c>
      <c r="U515" s="359" t="str">
        <f>IFERROR(VLOOKUP($A515,#REF!,15,0),"")</f>
        <v/>
      </c>
      <c r="V515" s="359" t="str">
        <f>IFERROR(VLOOKUP($A515,#REF!,16,0),"")</f>
        <v/>
      </c>
      <c r="W515" s="359" t="str">
        <f>IFERROR(VLOOKUP($A515,#REF!,17,0),"")</f>
        <v/>
      </c>
      <c r="X515" s="359" t="str">
        <f>IFERROR(VLOOKUP($A515,#REF!,18,0),"")</f>
        <v/>
      </c>
      <c r="Y515" s="359" t="str">
        <f>IFERROR(VLOOKUP($A515,#REF!,19,0),"")</f>
        <v/>
      </c>
      <c r="Z515" s="400" t="str">
        <f>IFERROR(VLOOKUP($A515,#REF!,21,0),"")</f>
        <v/>
      </c>
      <c r="AA515" s="358"/>
      <c r="AB515" s="358"/>
      <c r="AC515" s="358" t="s">
        <v>127</v>
      </c>
      <c r="AD515" s="358" t="s">
        <v>178</v>
      </c>
      <c r="AE515" s="284" t="s">
        <v>3904</v>
      </c>
      <c r="AF515" s="141"/>
      <c r="AG515" s="141" t="s">
        <v>2092</v>
      </c>
      <c r="AH515" s="141" t="s">
        <v>3873</v>
      </c>
      <c r="AI515" s="141" t="s">
        <v>3873</v>
      </c>
      <c r="AJ515" s="141" t="s">
        <v>2050</v>
      </c>
      <c r="AK515" s="141"/>
      <c r="AL515" s="141"/>
      <c r="AM515" s="141"/>
      <c r="AN515" s="120"/>
      <c r="AO515" s="120"/>
      <c r="AP515" s="120"/>
      <c r="AQ515" s="313"/>
      <c r="AR515" s="119"/>
      <c r="AS515" s="22"/>
      <c r="AT515" s="22"/>
      <c r="AU515" s="22"/>
      <c r="AV515" s="2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112"/>
      <c r="BH515" s="112"/>
      <c r="BI515" s="112"/>
      <c r="BJ515" s="112"/>
      <c r="BK515" s="82"/>
      <c r="BL515" s="82"/>
      <c r="BN515" s="412"/>
      <c r="BO515" s="412"/>
      <c r="BP515" s="412"/>
      <c r="BQ515" s="412"/>
      <c r="BR515" s="412"/>
    </row>
    <row r="516" spans="1:78" hidden="1">
      <c r="A516" s="35" t="str">
        <f t="shared" si="36"/>
        <v>ELPTMED_220/2646111</v>
      </c>
      <c r="C516" s="358" t="s">
        <v>2342</v>
      </c>
      <c r="D516" s="358">
        <v>513</v>
      </c>
      <c r="E516" s="358" t="s">
        <v>3905</v>
      </c>
      <c r="F516" s="384" t="s">
        <v>1198</v>
      </c>
      <c r="G516" s="384">
        <v>46111</v>
      </c>
      <c r="H516" s="358" t="s">
        <v>3644</v>
      </c>
      <c r="I516" s="358">
        <v>3</v>
      </c>
      <c r="J516" s="359" t="str">
        <f>IFERROR(VLOOKUP($A516,#REF!,3,0),"")</f>
        <v/>
      </c>
      <c r="K516" s="359">
        <f>IFERROR(VLOOKUP($A516,#REF!,4,0),AF516)</f>
        <v>0</v>
      </c>
      <c r="L516" s="359" t="str">
        <f>IFERROR(VLOOKUP($A516,#REF!,5,0),"")</f>
        <v/>
      </c>
      <c r="M516" s="359" t="str">
        <f>IFERROR(VLOOKUP($A516,#REF!,7,0),"")</f>
        <v/>
      </c>
      <c r="N516" s="359"/>
      <c r="O516" s="359" t="str">
        <f>IFERROR(VLOOKUP($A516,#REF!,6,0),"")</f>
        <v/>
      </c>
      <c r="P516" s="359" t="str">
        <f>IFERROR(VLOOKUP($A516,#REF!,9,0),"")</f>
        <v/>
      </c>
      <c r="Q516" s="359" t="str">
        <f>IFERROR(VLOOKUP($A516,#REF!,10,0),"")</f>
        <v/>
      </c>
      <c r="R516" s="359" t="str">
        <f>IFERROR(VLOOKUP($A516,#REF!,11,0),"")</f>
        <v/>
      </c>
      <c r="S516" s="359" t="str">
        <f>IFERROR(VLOOKUP($A516,#REF!,13,0),"")</f>
        <v/>
      </c>
      <c r="T516" s="359" t="str">
        <f>IFERROR(VLOOKUP($A516,#REF!,14,0),"")</f>
        <v/>
      </c>
      <c r="U516" s="359" t="str">
        <f>IFERROR(VLOOKUP($A516,#REF!,15,0),"")</f>
        <v/>
      </c>
      <c r="V516" s="359" t="str">
        <f>IFERROR(VLOOKUP($A516,#REF!,16,0),"")</f>
        <v/>
      </c>
      <c r="W516" s="359" t="str">
        <f>IFERROR(VLOOKUP($A516,#REF!,17,0),"")</f>
        <v/>
      </c>
      <c r="X516" s="359" t="str">
        <f>IFERROR(VLOOKUP($A516,#REF!,18,0),"")</f>
        <v/>
      </c>
      <c r="Y516" s="359" t="str">
        <f>IFERROR(VLOOKUP($A516,#REF!,19,0),"")</f>
        <v/>
      </c>
      <c r="Z516" s="400" t="str">
        <f>IFERROR(VLOOKUP($A516,#REF!,21,0),"")</f>
        <v/>
      </c>
      <c r="AA516" s="358"/>
      <c r="AB516" s="358"/>
      <c r="AC516" s="358" t="s">
        <v>1077</v>
      </c>
      <c r="AD516" s="358" t="s">
        <v>1138</v>
      </c>
      <c r="AE516" s="284"/>
      <c r="AF516" s="141"/>
      <c r="AG516" s="141"/>
      <c r="AH516" s="141"/>
      <c r="AI516" s="141"/>
      <c r="AJ516" s="141"/>
      <c r="AK516" s="141"/>
      <c r="AL516" s="141"/>
      <c r="AM516" s="141"/>
      <c r="AN516" s="120"/>
      <c r="AO516" s="120"/>
      <c r="AP516" s="120"/>
      <c r="AQ516" s="313"/>
      <c r="AR516" s="119"/>
      <c r="AS516" s="22"/>
      <c r="AT516" s="22"/>
      <c r="AU516" s="22"/>
      <c r="AV516" s="2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112"/>
      <c r="BH516" s="112"/>
      <c r="BI516" s="112"/>
      <c r="BJ516" s="112"/>
      <c r="BK516" s="82"/>
      <c r="BL516" s="82"/>
      <c r="BN516" s="412"/>
      <c r="BO516" s="412"/>
      <c r="BP516" s="412"/>
      <c r="BQ516" s="412"/>
      <c r="BR516" s="412"/>
    </row>
    <row r="517" spans="1:78" hidden="1">
      <c r="A517" s="35" t="str">
        <f t="shared" ref="A517:A580" si="46">E517&amp;G517</f>
        <v>ELPTMED_221/2646111</v>
      </c>
      <c r="C517" s="358" t="s">
        <v>2342</v>
      </c>
      <c r="D517" s="358">
        <v>514</v>
      </c>
      <c r="E517" s="358" t="s">
        <v>3906</v>
      </c>
      <c r="F517" s="324" t="s">
        <v>1885</v>
      </c>
      <c r="G517" s="384">
        <v>46111</v>
      </c>
      <c r="H517" s="358" t="s">
        <v>3644</v>
      </c>
      <c r="I517" s="358">
        <v>1</v>
      </c>
      <c r="J517" s="359" t="str">
        <f>IFERROR(VLOOKUP($A517,#REF!,3,0),"")</f>
        <v/>
      </c>
      <c r="K517" s="359">
        <f>IFERROR(VLOOKUP($A517,#REF!,4,0),AF517)</f>
        <v>0</v>
      </c>
      <c r="L517" s="359" t="str">
        <f>IFERROR(VLOOKUP($A517,#REF!,5,0),"")</f>
        <v/>
      </c>
      <c r="M517" s="359" t="str">
        <f>IFERROR(VLOOKUP($A517,#REF!,7,0),"")</f>
        <v/>
      </c>
      <c r="N517" s="359"/>
      <c r="O517" s="359" t="str">
        <f>IFERROR(VLOOKUP($A517,#REF!,6,0),"")</f>
        <v/>
      </c>
      <c r="P517" s="359" t="str">
        <f>IFERROR(VLOOKUP($A517,#REF!,9,0),"")</f>
        <v/>
      </c>
      <c r="Q517" s="359" t="str">
        <f>IFERROR(VLOOKUP($A517,#REF!,10,0),"")</f>
        <v/>
      </c>
      <c r="R517" s="359" t="str">
        <f>IFERROR(VLOOKUP($A517,#REF!,11,0),"")</f>
        <v/>
      </c>
      <c r="S517" s="359" t="str">
        <f>IFERROR(VLOOKUP($A517,#REF!,13,0),"")</f>
        <v/>
      </c>
      <c r="T517" s="359" t="str">
        <f>IFERROR(VLOOKUP($A517,#REF!,14,0),"")</f>
        <v/>
      </c>
      <c r="U517" s="359" t="str">
        <f>IFERROR(VLOOKUP($A517,#REF!,15,0),"")</f>
        <v/>
      </c>
      <c r="V517" s="359" t="str">
        <f>IFERROR(VLOOKUP($A517,#REF!,16,0),"")</f>
        <v/>
      </c>
      <c r="W517" s="359" t="str">
        <f>IFERROR(VLOOKUP($A517,#REF!,17,0),"")</f>
        <v/>
      </c>
      <c r="X517" s="359" t="str">
        <f>IFERROR(VLOOKUP($A517,#REF!,18,0),"")</f>
        <v/>
      </c>
      <c r="Y517" s="359" t="str">
        <f>IFERROR(VLOOKUP($A517,#REF!,19,0),"")</f>
        <v/>
      </c>
      <c r="Z517" s="400" t="str">
        <f>IFERROR(VLOOKUP($A517,#REF!,21,0),"")</f>
        <v/>
      </c>
      <c r="AA517" s="358"/>
      <c r="AB517" s="358"/>
      <c r="AC517" s="358" t="s">
        <v>127</v>
      </c>
      <c r="AD517" s="358" t="s">
        <v>178</v>
      </c>
      <c r="AE517" s="284"/>
      <c r="AF517" s="141"/>
      <c r="AG517" s="141"/>
      <c r="AH517" s="141"/>
      <c r="AI517" s="141"/>
      <c r="AJ517" s="141"/>
      <c r="AK517" s="141"/>
      <c r="AL517" s="141"/>
      <c r="AM517" s="141"/>
      <c r="AN517" s="120"/>
      <c r="AO517" s="120"/>
      <c r="AP517" s="120"/>
      <c r="AQ517" s="313"/>
      <c r="AR517" s="119"/>
      <c r="AS517" s="22"/>
      <c r="AT517" s="22"/>
      <c r="AU517" s="22"/>
      <c r="AV517" s="2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112"/>
      <c r="BH517" s="112"/>
      <c r="BI517" s="112"/>
      <c r="BJ517" s="112"/>
      <c r="BK517" s="82"/>
      <c r="BL517" s="82"/>
      <c r="BN517" s="412"/>
      <c r="BO517" s="412"/>
      <c r="BP517" s="412"/>
      <c r="BQ517" s="412"/>
      <c r="BR517" s="412"/>
    </row>
    <row r="518" spans="1:78" hidden="1">
      <c r="A518" s="35" t="str">
        <f t="shared" si="46"/>
        <v>ELPTMED_222/2646111</v>
      </c>
      <c r="C518" s="358" t="s">
        <v>2342</v>
      </c>
      <c r="D518" s="358">
        <v>515</v>
      </c>
      <c r="E518" s="358" t="s">
        <v>3907</v>
      </c>
      <c r="F518" s="358" t="s">
        <v>1250</v>
      </c>
      <c r="G518" s="384">
        <v>46111</v>
      </c>
      <c r="H518" s="358" t="s">
        <v>3644</v>
      </c>
      <c r="I518" s="358">
        <v>2</v>
      </c>
      <c r="J518" s="359" t="str">
        <f>IFERROR(VLOOKUP($A518,#REF!,3,0),"")</f>
        <v/>
      </c>
      <c r="K518" s="359">
        <f>IFERROR(VLOOKUP($A518,#REF!,4,0),AF518)</f>
        <v>0</v>
      </c>
      <c r="L518" s="359" t="str">
        <f>IFERROR(VLOOKUP($A518,#REF!,5,0),"")</f>
        <v/>
      </c>
      <c r="M518" s="359" t="str">
        <f>IFERROR(VLOOKUP($A518,#REF!,7,0),"")</f>
        <v/>
      </c>
      <c r="N518" s="359"/>
      <c r="O518" s="359" t="str">
        <f>IFERROR(VLOOKUP($A518,#REF!,6,0),"")</f>
        <v/>
      </c>
      <c r="P518" s="359" t="str">
        <f>IFERROR(VLOOKUP($A518,#REF!,9,0),"")</f>
        <v/>
      </c>
      <c r="Q518" s="359" t="str">
        <f>IFERROR(VLOOKUP($A518,#REF!,10,0),"")</f>
        <v/>
      </c>
      <c r="R518" s="359" t="str">
        <f>IFERROR(VLOOKUP($A518,#REF!,11,0),"")</f>
        <v/>
      </c>
      <c r="S518" s="359" t="str">
        <f>IFERROR(VLOOKUP($A518,#REF!,13,0),"")</f>
        <v/>
      </c>
      <c r="T518" s="359" t="str">
        <f>IFERROR(VLOOKUP($A518,#REF!,14,0),"")</f>
        <v/>
      </c>
      <c r="U518" s="359" t="str">
        <f>IFERROR(VLOOKUP($A518,#REF!,15,0),"")</f>
        <v/>
      </c>
      <c r="V518" s="359" t="str">
        <f>IFERROR(VLOOKUP($A518,#REF!,16,0),"")</f>
        <v/>
      </c>
      <c r="W518" s="359" t="str">
        <f>IFERROR(VLOOKUP($A518,#REF!,17,0),"")</f>
        <v/>
      </c>
      <c r="X518" s="359" t="str">
        <f>IFERROR(VLOOKUP($A518,#REF!,18,0),"")</f>
        <v/>
      </c>
      <c r="Y518" s="359" t="str">
        <f>IFERROR(VLOOKUP($A518,#REF!,19,0),"")</f>
        <v/>
      </c>
      <c r="Z518" s="400" t="str">
        <f>IFERROR(VLOOKUP($A518,#REF!,21,0),"")</f>
        <v/>
      </c>
      <c r="AA518" s="358"/>
      <c r="AB518" s="358"/>
      <c r="AC518" s="358" t="s">
        <v>127</v>
      </c>
      <c r="AD518" s="358" t="s">
        <v>178</v>
      </c>
      <c r="AE518" s="284"/>
      <c r="AF518" s="141"/>
      <c r="AG518" s="141"/>
      <c r="AH518" s="141"/>
      <c r="AI518" s="141"/>
      <c r="AJ518" s="141"/>
      <c r="AK518" s="141"/>
      <c r="AL518" s="141"/>
      <c r="AM518" s="141"/>
      <c r="AN518" s="120"/>
      <c r="AO518" s="120"/>
      <c r="AP518" s="120"/>
      <c r="AQ518" s="313"/>
      <c r="AR518" s="119"/>
      <c r="AS518" s="22"/>
      <c r="AT518" s="22"/>
      <c r="AU518" s="22"/>
      <c r="AV518" s="2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112"/>
      <c r="BH518" s="112"/>
      <c r="BI518" s="112"/>
      <c r="BJ518" s="112"/>
      <c r="BK518" s="82"/>
      <c r="BL518" s="82"/>
      <c r="BN518" s="412"/>
      <c r="BO518" s="412"/>
      <c r="BP518" s="412"/>
      <c r="BQ518" s="412"/>
      <c r="BR518" s="412"/>
    </row>
    <row r="519" spans="1:78" hidden="1">
      <c r="A519" s="35" t="str">
        <f t="shared" si="46"/>
        <v>ELPTMED_223/2646111</v>
      </c>
      <c r="C519" s="358" t="s">
        <v>2342</v>
      </c>
      <c r="D519" s="358">
        <v>516</v>
      </c>
      <c r="E519" s="358" t="s">
        <v>3908</v>
      </c>
      <c r="F519" s="358" t="s">
        <v>2933</v>
      </c>
      <c r="G519" s="384">
        <v>46111</v>
      </c>
      <c r="H519" s="358" t="s">
        <v>3644</v>
      </c>
      <c r="I519" s="358">
        <v>20</v>
      </c>
      <c r="J519" s="359" t="str">
        <f>IFERROR(VLOOKUP($A519,#REF!,3,0),"")</f>
        <v/>
      </c>
      <c r="K519" s="359">
        <f>IFERROR(VLOOKUP($A519,#REF!,4,0),AF519)</f>
        <v>0</v>
      </c>
      <c r="L519" s="359" t="str">
        <f>IFERROR(VLOOKUP($A519,#REF!,5,0),"")</f>
        <v/>
      </c>
      <c r="M519" s="359" t="str">
        <f>IFERROR(VLOOKUP($A519,#REF!,7,0),"")</f>
        <v/>
      </c>
      <c r="N519" s="359"/>
      <c r="O519" s="359" t="str">
        <f>IFERROR(VLOOKUP($A519,#REF!,6,0),"")</f>
        <v/>
      </c>
      <c r="P519" s="359" t="str">
        <f>IFERROR(VLOOKUP($A519,#REF!,9,0),"")</f>
        <v/>
      </c>
      <c r="Q519" s="359" t="str">
        <f>IFERROR(VLOOKUP($A519,#REF!,10,0),"")</f>
        <v/>
      </c>
      <c r="R519" s="359" t="str">
        <f>IFERROR(VLOOKUP($A519,#REF!,11,0),"")</f>
        <v/>
      </c>
      <c r="S519" s="359" t="str">
        <f>IFERROR(VLOOKUP($A519,#REF!,13,0),"")</f>
        <v/>
      </c>
      <c r="T519" s="359" t="str">
        <f>IFERROR(VLOOKUP($A519,#REF!,14,0),"")</f>
        <v/>
      </c>
      <c r="U519" s="359" t="str">
        <f>IFERROR(VLOOKUP($A519,#REF!,15,0),"")</f>
        <v/>
      </c>
      <c r="V519" s="359" t="str">
        <f>IFERROR(VLOOKUP($A519,#REF!,16,0),"")</f>
        <v/>
      </c>
      <c r="W519" s="359" t="str">
        <f>IFERROR(VLOOKUP($A519,#REF!,17,0),"")</f>
        <v/>
      </c>
      <c r="X519" s="359" t="str">
        <f>IFERROR(VLOOKUP($A519,#REF!,18,0),"")</f>
        <v/>
      </c>
      <c r="Y519" s="359" t="str">
        <f>IFERROR(VLOOKUP($A519,#REF!,19,0),"")</f>
        <v/>
      </c>
      <c r="Z519" s="400" t="str">
        <f>IFERROR(VLOOKUP($A519,#REF!,21,0),"")</f>
        <v/>
      </c>
      <c r="AA519" s="358"/>
      <c r="AB519" s="358"/>
      <c r="AC519" s="358" t="s">
        <v>3654</v>
      </c>
      <c r="AD519" s="358" t="s">
        <v>1514</v>
      </c>
      <c r="AE519" s="284"/>
      <c r="AF519" s="141"/>
      <c r="AG519" s="141"/>
      <c r="AH519" s="141"/>
      <c r="AI519" s="141"/>
      <c r="AJ519" s="141"/>
      <c r="AK519" s="141"/>
      <c r="AL519" s="141"/>
      <c r="AM519" s="141"/>
      <c r="AN519" s="358" t="s">
        <v>3581</v>
      </c>
      <c r="AO519" s="120"/>
      <c r="AP519" s="120"/>
      <c r="AQ519" s="313"/>
      <c r="AR519" s="119"/>
      <c r="AS519" s="22"/>
      <c r="AT519" s="22"/>
      <c r="AU519" s="22"/>
      <c r="AV519" s="2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112"/>
      <c r="BH519" s="112"/>
      <c r="BI519" s="112"/>
      <c r="BJ519" s="112"/>
      <c r="BK519" s="82"/>
      <c r="BL519" s="82"/>
      <c r="BM519" s="348">
        <v>0</v>
      </c>
      <c r="BN519" s="348">
        <v>1</v>
      </c>
      <c r="BO519" s="349">
        <v>0</v>
      </c>
      <c r="BP519" s="349">
        <v>0</v>
      </c>
      <c r="BQ519" s="348">
        <v>19</v>
      </c>
      <c r="BR519" s="348">
        <f t="shared" ref="BR519:BR520" si="47">SUM(BM519:BQ519)</f>
        <v>20</v>
      </c>
      <c r="BS519" s="350">
        <f t="shared" ref="BS519:BS520" si="48">+BM519/BR519*BS$1</f>
        <v>0</v>
      </c>
      <c r="BT519" s="351">
        <f t="shared" ref="BT519:BT520" si="49">+BN519/BR519*BT$1</f>
        <v>0.15000000000000002</v>
      </c>
      <c r="BU519" s="348"/>
      <c r="BV519" s="351">
        <f t="shared" ref="BV519:BV520" si="50">+BO519/BR519*BV$1</f>
        <v>0</v>
      </c>
      <c r="BW519" s="351">
        <f t="shared" ref="BW519:BW520" si="51">+BP519/BR519*BW$1</f>
        <v>0</v>
      </c>
    </row>
    <row r="520" spans="1:78" hidden="1">
      <c r="A520" s="35" t="str">
        <f t="shared" si="46"/>
        <v>ELPTMED_224/2646111</v>
      </c>
      <c r="C520" s="358" t="s">
        <v>2342</v>
      </c>
      <c r="D520" s="358">
        <v>517</v>
      </c>
      <c r="E520" s="358" t="s">
        <v>3909</v>
      </c>
      <c r="F520" s="358" t="s">
        <v>829</v>
      </c>
      <c r="G520" s="384">
        <v>46111</v>
      </c>
      <c r="H520" s="358" t="s">
        <v>3644</v>
      </c>
      <c r="I520" s="358">
        <v>50</v>
      </c>
      <c r="J520" s="359" t="str">
        <f>IFERROR(VLOOKUP($A520,#REF!,3,0),"")</f>
        <v/>
      </c>
      <c r="K520" s="359">
        <f>IFERROR(VLOOKUP($A520,#REF!,4,0),AF520)</f>
        <v>0</v>
      </c>
      <c r="L520" s="359" t="str">
        <f>IFERROR(VLOOKUP($A520,#REF!,5,0),"")</f>
        <v/>
      </c>
      <c r="M520" s="359" t="str">
        <f>IFERROR(VLOOKUP($A520,#REF!,7,0),"")</f>
        <v/>
      </c>
      <c r="N520" s="359"/>
      <c r="O520" s="359" t="str">
        <f>IFERROR(VLOOKUP($A520,#REF!,6,0),"")</f>
        <v/>
      </c>
      <c r="P520" s="359" t="str">
        <f>IFERROR(VLOOKUP($A520,#REF!,9,0),"")</f>
        <v/>
      </c>
      <c r="Q520" s="359" t="str">
        <f>IFERROR(VLOOKUP($A520,#REF!,10,0),"")</f>
        <v/>
      </c>
      <c r="R520" s="359" t="str">
        <f>IFERROR(VLOOKUP($A520,#REF!,11,0),"")</f>
        <v/>
      </c>
      <c r="S520" s="359" t="str">
        <f>IFERROR(VLOOKUP($A520,#REF!,13,0),"")</f>
        <v/>
      </c>
      <c r="T520" s="359" t="str">
        <f>IFERROR(VLOOKUP($A520,#REF!,14,0),"")</f>
        <v/>
      </c>
      <c r="U520" s="359" t="str">
        <f>IFERROR(VLOOKUP($A520,#REF!,15,0),"")</f>
        <v/>
      </c>
      <c r="V520" s="359" t="str">
        <f>IFERROR(VLOOKUP($A520,#REF!,16,0),"")</f>
        <v/>
      </c>
      <c r="W520" s="359" t="str">
        <f>IFERROR(VLOOKUP($A520,#REF!,17,0),"")</f>
        <v/>
      </c>
      <c r="X520" s="359" t="str">
        <f>IFERROR(VLOOKUP($A520,#REF!,18,0),"")</f>
        <v/>
      </c>
      <c r="Y520" s="359" t="str">
        <f>IFERROR(VLOOKUP($A520,#REF!,19,0),"")</f>
        <v/>
      </c>
      <c r="Z520" s="400" t="str">
        <f>IFERROR(VLOOKUP($A520,#REF!,21,0),"")</f>
        <v/>
      </c>
      <c r="AA520" s="358"/>
      <c r="AB520" s="358"/>
      <c r="AC520" s="358" t="s">
        <v>3910</v>
      </c>
      <c r="AD520" s="358" t="s">
        <v>3911</v>
      </c>
      <c r="AE520" s="284"/>
      <c r="AF520" s="141"/>
      <c r="AG520" s="141"/>
      <c r="AH520" s="141"/>
      <c r="AI520" s="141"/>
      <c r="AJ520" s="141"/>
      <c r="AK520" s="141"/>
      <c r="AL520" s="141"/>
      <c r="AM520" s="141"/>
      <c r="AN520" s="358" t="s">
        <v>3581</v>
      </c>
      <c r="AO520" s="120"/>
      <c r="AP520" s="120"/>
      <c r="AQ520" s="313"/>
      <c r="AR520" s="119"/>
      <c r="AS520" s="22"/>
      <c r="AT520" s="22"/>
      <c r="AU520" s="22"/>
      <c r="AV520" s="2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112"/>
      <c r="BH520" s="112"/>
      <c r="BI520" s="112"/>
      <c r="BJ520" s="112"/>
      <c r="BK520" s="82"/>
      <c r="BL520" s="82"/>
      <c r="BM520" s="348">
        <v>0</v>
      </c>
      <c r="BN520" s="348">
        <v>6</v>
      </c>
      <c r="BO520" s="349">
        <v>0</v>
      </c>
      <c r="BP520" s="349">
        <v>24</v>
      </c>
      <c r="BQ520" s="348">
        <v>20</v>
      </c>
      <c r="BR520" s="348">
        <f t="shared" si="47"/>
        <v>50</v>
      </c>
      <c r="BS520" s="350">
        <f t="shared" si="48"/>
        <v>0</v>
      </c>
      <c r="BT520" s="351">
        <f t="shared" si="49"/>
        <v>0.36</v>
      </c>
      <c r="BU520" s="348"/>
      <c r="BV520" s="351">
        <f t="shared" si="50"/>
        <v>0</v>
      </c>
      <c r="BW520" s="351">
        <f t="shared" si="51"/>
        <v>1.44</v>
      </c>
    </row>
    <row r="521" spans="1:78" hidden="1">
      <c r="A521" s="35" t="str">
        <f t="shared" si="46"/>
        <v>ELPTMED_225/2646111</v>
      </c>
      <c r="C521" s="358" t="s">
        <v>2342</v>
      </c>
      <c r="D521" s="358">
        <v>518</v>
      </c>
      <c r="E521" s="358" t="s">
        <v>3912</v>
      </c>
      <c r="F521" s="358" t="s">
        <v>1184</v>
      </c>
      <c r="G521" s="384">
        <v>46111</v>
      </c>
      <c r="H521" s="358" t="s">
        <v>3644</v>
      </c>
      <c r="I521" s="358">
        <v>10</v>
      </c>
      <c r="J521" s="359" t="str">
        <f>IFERROR(VLOOKUP($A521,#REF!,3,0),"")</f>
        <v/>
      </c>
      <c r="K521" s="359">
        <f>IFERROR(VLOOKUP($A521,#REF!,4,0),AF521)</f>
        <v>0</v>
      </c>
      <c r="L521" s="359" t="str">
        <f>IFERROR(VLOOKUP($A521,#REF!,5,0),"")</f>
        <v/>
      </c>
      <c r="M521" s="359" t="str">
        <f>IFERROR(VLOOKUP($A521,#REF!,7,0),"")</f>
        <v/>
      </c>
      <c r="N521" s="359"/>
      <c r="O521" s="359" t="str">
        <f>IFERROR(VLOOKUP($A521,#REF!,6,0),"")</f>
        <v/>
      </c>
      <c r="P521" s="359" t="str">
        <f>IFERROR(VLOOKUP($A521,#REF!,9,0),"")</f>
        <v/>
      </c>
      <c r="Q521" s="359" t="str">
        <f>IFERROR(VLOOKUP($A521,#REF!,10,0),"")</f>
        <v/>
      </c>
      <c r="R521" s="359" t="str">
        <f>IFERROR(VLOOKUP($A521,#REF!,11,0),"")</f>
        <v/>
      </c>
      <c r="S521" s="359" t="str">
        <f>IFERROR(VLOOKUP($A521,#REF!,13,0),"")</f>
        <v/>
      </c>
      <c r="T521" s="359" t="str">
        <f>IFERROR(VLOOKUP($A521,#REF!,14,0),"")</f>
        <v/>
      </c>
      <c r="U521" s="359" t="str">
        <f>IFERROR(VLOOKUP($A521,#REF!,15,0),"")</f>
        <v/>
      </c>
      <c r="V521" s="359" t="str">
        <f>IFERROR(VLOOKUP($A521,#REF!,16,0),"")</f>
        <v/>
      </c>
      <c r="W521" s="359" t="str">
        <f>IFERROR(VLOOKUP($A521,#REF!,17,0),"")</f>
        <v/>
      </c>
      <c r="X521" s="359" t="str">
        <f>IFERROR(VLOOKUP($A521,#REF!,18,0),"")</f>
        <v/>
      </c>
      <c r="Y521" s="359" t="str">
        <f>IFERROR(VLOOKUP($A521,#REF!,19,0),"")</f>
        <v/>
      </c>
      <c r="Z521" s="400" t="str">
        <f>IFERROR(VLOOKUP($A521,#REF!,21,0),"")</f>
        <v/>
      </c>
      <c r="AA521" s="358"/>
      <c r="AB521" s="358"/>
      <c r="AC521" s="358" t="s">
        <v>2501</v>
      </c>
      <c r="AD521" s="358" t="s">
        <v>3898</v>
      </c>
      <c r="AE521" s="284"/>
      <c r="AF521" s="141"/>
      <c r="AG521" s="141"/>
      <c r="AH521" s="141"/>
      <c r="AI521" s="141"/>
      <c r="AJ521" s="141"/>
      <c r="AK521" s="141"/>
      <c r="AL521" s="141"/>
      <c r="AM521" s="141"/>
      <c r="AN521" s="120"/>
      <c r="AO521" s="120"/>
      <c r="AP521" s="120"/>
      <c r="AQ521" s="313"/>
      <c r="AR521" s="119"/>
      <c r="AS521" s="22"/>
      <c r="AT521" s="22"/>
      <c r="AU521" s="22"/>
      <c r="AV521" s="2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112"/>
      <c r="BH521" s="112"/>
      <c r="BI521" s="112"/>
      <c r="BJ521" s="112"/>
      <c r="BK521" s="82"/>
      <c r="BL521" s="82"/>
      <c r="BN521" s="412"/>
      <c r="BO521" s="412"/>
      <c r="BP521" s="412"/>
      <c r="BQ521" s="412"/>
      <c r="BR521" s="412"/>
    </row>
    <row r="522" spans="1:78" hidden="1">
      <c r="A522" s="35" t="str">
        <f t="shared" si="46"/>
        <v>ELPTMED_226/2646111</v>
      </c>
      <c r="C522" s="358" t="s">
        <v>2342</v>
      </c>
      <c r="D522" s="358">
        <v>519</v>
      </c>
      <c r="E522" s="358" t="s">
        <v>3913</v>
      </c>
      <c r="F522" s="358" t="s">
        <v>955</v>
      </c>
      <c r="G522" s="384">
        <v>46111</v>
      </c>
      <c r="H522" s="358" t="s">
        <v>3644</v>
      </c>
      <c r="I522" s="358">
        <v>17</v>
      </c>
      <c r="J522" s="359" t="str">
        <f>IFERROR(VLOOKUP($A522,#REF!,3,0),"")</f>
        <v/>
      </c>
      <c r="K522" s="359">
        <f>IFERROR(VLOOKUP($A522,#REF!,4,0),AF522)</f>
        <v>0</v>
      </c>
      <c r="L522" s="359" t="str">
        <f>IFERROR(VLOOKUP($A522,#REF!,5,0),"")</f>
        <v/>
      </c>
      <c r="M522" s="359" t="str">
        <f>IFERROR(VLOOKUP($A522,#REF!,7,0),"")</f>
        <v/>
      </c>
      <c r="N522" s="359"/>
      <c r="O522" s="359" t="str">
        <f>IFERROR(VLOOKUP($A522,#REF!,6,0),"")</f>
        <v/>
      </c>
      <c r="P522" s="359" t="str">
        <f>IFERROR(VLOOKUP($A522,#REF!,9,0),"")</f>
        <v/>
      </c>
      <c r="Q522" s="359" t="str">
        <f>IFERROR(VLOOKUP($A522,#REF!,10,0),"")</f>
        <v/>
      </c>
      <c r="R522" s="359" t="str">
        <f>IFERROR(VLOOKUP($A522,#REF!,11,0),"")</f>
        <v/>
      </c>
      <c r="S522" s="359" t="str">
        <f>IFERROR(VLOOKUP($A522,#REF!,13,0),"")</f>
        <v/>
      </c>
      <c r="T522" s="359" t="str">
        <f>IFERROR(VLOOKUP($A522,#REF!,14,0),"")</f>
        <v/>
      </c>
      <c r="U522" s="359" t="str">
        <f>IFERROR(VLOOKUP($A522,#REF!,15,0),"")</f>
        <v/>
      </c>
      <c r="V522" s="359" t="str">
        <f>IFERROR(VLOOKUP($A522,#REF!,16,0),"")</f>
        <v/>
      </c>
      <c r="W522" s="359" t="str">
        <f>IFERROR(VLOOKUP($A522,#REF!,17,0),"")</f>
        <v/>
      </c>
      <c r="X522" s="359" t="str">
        <f>IFERROR(VLOOKUP($A522,#REF!,18,0),"")</f>
        <v/>
      </c>
      <c r="Y522" s="359" t="str">
        <f>IFERROR(VLOOKUP($A522,#REF!,19,0),"")</f>
        <v/>
      </c>
      <c r="Z522" s="400" t="str">
        <f>IFERROR(VLOOKUP($A522,#REF!,21,0),"")</f>
        <v/>
      </c>
      <c r="AA522" s="358"/>
      <c r="AB522" s="358"/>
      <c r="AC522" s="358" t="s">
        <v>1077</v>
      </c>
      <c r="AD522" s="358" t="s">
        <v>1138</v>
      </c>
      <c r="AE522" s="284"/>
      <c r="AF522" s="141"/>
      <c r="AG522" s="141"/>
      <c r="AH522" s="141"/>
      <c r="AI522" s="141"/>
      <c r="AJ522" s="141"/>
      <c r="AK522" s="141"/>
      <c r="AL522" s="141"/>
      <c r="AM522" s="141"/>
      <c r="AN522" s="358" t="s">
        <v>3581</v>
      </c>
      <c r="AO522" s="120"/>
      <c r="AP522" s="120"/>
      <c r="AQ522" s="313"/>
      <c r="AR522" s="119"/>
      <c r="AS522" s="22"/>
      <c r="AT522" s="22"/>
      <c r="AU522" s="22"/>
      <c r="AV522" s="2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112"/>
      <c r="BH522" s="112"/>
      <c r="BI522" s="112"/>
      <c r="BJ522" s="112"/>
      <c r="BK522" s="82"/>
      <c r="BL522" s="82"/>
      <c r="BM522" s="348">
        <v>0</v>
      </c>
      <c r="BN522" s="348">
        <v>0</v>
      </c>
      <c r="BO522" s="349">
        <v>0</v>
      </c>
      <c r="BP522" s="349">
        <v>0</v>
      </c>
      <c r="BQ522" s="348">
        <v>17</v>
      </c>
      <c r="BR522" s="348">
        <f>SUM(BM522:BQ522)</f>
        <v>17</v>
      </c>
      <c r="BS522" s="350">
        <f>+BM522/BR522*BS$1</f>
        <v>0</v>
      </c>
      <c r="BT522" s="351">
        <f>+BN522/BR522*BT$1</f>
        <v>0</v>
      </c>
      <c r="BU522" s="348"/>
      <c r="BV522" s="351">
        <f>+BO522/BR522*BV$1</f>
        <v>0</v>
      </c>
      <c r="BW522" s="351">
        <f>+BP522/BR522*BW$1</f>
        <v>0</v>
      </c>
    </row>
    <row r="523" spans="1:78" hidden="1">
      <c r="A523" s="35" t="str">
        <f t="shared" si="46"/>
        <v>ELPTMED_227/2646111</v>
      </c>
      <c r="C523" s="358" t="s">
        <v>2342</v>
      </c>
      <c r="D523" s="358">
        <v>520</v>
      </c>
      <c r="E523" s="358" t="s">
        <v>3914</v>
      </c>
      <c r="F523" s="358" t="s">
        <v>1426</v>
      </c>
      <c r="G523" s="384">
        <v>46111</v>
      </c>
      <c r="H523" s="358" t="s">
        <v>3644</v>
      </c>
      <c r="I523" s="358">
        <v>6</v>
      </c>
      <c r="J523" s="359" t="str">
        <f>IFERROR(VLOOKUP($A523,#REF!,3,0),"")</f>
        <v/>
      </c>
      <c r="K523" s="359">
        <f>IFERROR(VLOOKUP($A523,#REF!,4,0),AF523)</f>
        <v>0</v>
      </c>
      <c r="L523" s="359" t="str">
        <f>IFERROR(VLOOKUP($A523,#REF!,5,0),"")</f>
        <v/>
      </c>
      <c r="M523" s="359" t="str">
        <f>IFERROR(VLOOKUP($A523,#REF!,7,0),"")</f>
        <v/>
      </c>
      <c r="N523" s="359"/>
      <c r="O523" s="359" t="str">
        <f>IFERROR(VLOOKUP($A523,#REF!,6,0),"")</f>
        <v/>
      </c>
      <c r="P523" s="359" t="str">
        <f>IFERROR(VLOOKUP($A523,#REF!,9,0),"")</f>
        <v/>
      </c>
      <c r="Q523" s="359" t="str">
        <f>IFERROR(VLOOKUP($A523,#REF!,10,0),"")</f>
        <v/>
      </c>
      <c r="R523" s="359" t="str">
        <f>IFERROR(VLOOKUP($A523,#REF!,11,0),"")</f>
        <v/>
      </c>
      <c r="S523" s="359" t="str">
        <f>IFERROR(VLOOKUP($A523,#REF!,13,0),"")</f>
        <v/>
      </c>
      <c r="T523" s="359" t="str">
        <f>IFERROR(VLOOKUP($A523,#REF!,14,0),"")</f>
        <v/>
      </c>
      <c r="U523" s="359" t="str">
        <f>IFERROR(VLOOKUP($A523,#REF!,15,0),"")</f>
        <v/>
      </c>
      <c r="V523" s="359" t="str">
        <f>IFERROR(VLOOKUP($A523,#REF!,16,0),"")</f>
        <v/>
      </c>
      <c r="W523" s="359" t="str">
        <f>IFERROR(VLOOKUP($A523,#REF!,17,0),"")</f>
        <v/>
      </c>
      <c r="X523" s="359" t="str">
        <f>IFERROR(VLOOKUP($A523,#REF!,18,0),"")</f>
        <v/>
      </c>
      <c r="Y523" s="359" t="str">
        <f>IFERROR(VLOOKUP($A523,#REF!,19,0),"")</f>
        <v/>
      </c>
      <c r="Z523" s="400" t="str">
        <f>IFERROR(VLOOKUP($A523,#REF!,21,0),"")</f>
        <v/>
      </c>
      <c r="AA523" s="358"/>
      <c r="AB523" s="358"/>
      <c r="AC523" s="358" t="s">
        <v>1077</v>
      </c>
      <c r="AD523" s="358" t="s">
        <v>1138</v>
      </c>
      <c r="AE523" s="284"/>
      <c r="AF523" s="141"/>
      <c r="AG523" s="141"/>
      <c r="AH523" s="141"/>
      <c r="AI523" s="141"/>
      <c r="AJ523" s="141"/>
      <c r="AK523" s="141"/>
      <c r="AL523" s="141"/>
      <c r="AM523" s="141"/>
      <c r="AN523" s="120"/>
      <c r="AO523" s="120"/>
      <c r="AP523" s="120"/>
      <c r="AQ523" s="313"/>
      <c r="AR523" s="119"/>
      <c r="AS523" s="22"/>
      <c r="AT523" s="22"/>
      <c r="AU523" s="22"/>
      <c r="AV523" s="2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112"/>
      <c r="BH523" s="112"/>
      <c r="BI523" s="112"/>
      <c r="BJ523" s="112"/>
      <c r="BK523" s="82"/>
      <c r="BL523" s="82"/>
      <c r="BN523" s="412"/>
      <c r="BO523" s="412"/>
      <c r="BP523" s="412"/>
      <c r="BQ523" s="412"/>
      <c r="BR523" s="412"/>
    </row>
    <row r="524" spans="1:78" hidden="1">
      <c r="A524" s="35" t="str">
        <f t="shared" si="46"/>
        <v>ELPTMED_228/2646111</v>
      </c>
      <c r="C524" s="358" t="s">
        <v>2342</v>
      </c>
      <c r="D524" s="358">
        <v>521</v>
      </c>
      <c r="E524" s="358" t="s">
        <v>3915</v>
      </c>
      <c r="F524" s="358" t="s">
        <v>3916</v>
      </c>
      <c r="G524" s="384">
        <v>46111</v>
      </c>
      <c r="H524" s="358" t="s">
        <v>3644</v>
      </c>
      <c r="I524" s="358">
        <v>2</v>
      </c>
      <c r="J524" s="359" t="str">
        <f>IFERROR(VLOOKUP($A524,#REF!,3,0),"")</f>
        <v/>
      </c>
      <c r="K524" s="359">
        <f>IFERROR(VLOOKUP($A524,#REF!,4,0),AF524)</f>
        <v>0</v>
      </c>
      <c r="L524" s="359" t="str">
        <f>IFERROR(VLOOKUP($A524,#REF!,5,0),"")</f>
        <v/>
      </c>
      <c r="M524" s="359" t="str">
        <f>IFERROR(VLOOKUP($A524,#REF!,7,0),"")</f>
        <v/>
      </c>
      <c r="N524" s="359"/>
      <c r="O524" s="359" t="str">
        <f>IFERROR(VLOOKUP($A524,#REF!,6,0),"")</f>
        <v/>
      </c>
      <c r="P524" s="359" t="str">
        <f>IFERROR(VLOOKUP($A524,#REF!,9,0),"")</f>
        <v/>
      </c>
      <c r="Q524" s="359" t="str">
        <f>IFERROR(VLOOKUP($A524,#REF!,10,0),"")</f>
        <v/>
      </c>
      <c r="R524" s="359" t="str">
        <f>IFERROR(VLOOKUP($A524,#REF!,11,0),"")</f>
        <v/>
      </c>
      <c r="S524" s="359" t="str">
        <f>IFERROR(VLOOKUP($A524,#REF!,13,0),"")</f>
        <v/>
      </c>
      <c r="T524" s="359" t="str">
        <f>IFERROR(VLOOKUP($A524,#REF!,14,0),"")</f>
        <v/>
      </c>
      <c r="U524" s="359" t="str">
        <f>IFERROR(VLOOKUP($A524,#REF!,15,0),"")</f>
        <v/>
      </c>
      <c r="V524" s="359" t="str">
        <f>IFERROR(VLOOKUP($A524,#REF!,16,0),"")</f>
        <v/>
      </c>
      <c r="W524" s="359" t="str">
        <f>IFERROR(VLOOKUP($A524,#REF!,17,0),"")</f>
        <v/>
      </c>
      <c r="X524" s="359" t="str">
        <f>IFERROR(VLOOKUP($A524,#REF!,18,0),"")</f>
        <v/>
      </c>
      <c r="Y524" s="359" t="str">
        <f>IFERROR(VLOOKUP($A524,#REF!,19,0),"")</f>
        <v/>
      </c>
      <c r="Z524" s="400" t="str">
        <f>IFERROR(VLOOKUP($A524,#REF!,21,0),"")</f>
        <v/>
      </c>
      <c r="AA524" s="358"/>
      <c r="AB524" s="358"/>
      <c r="AC524" s="358" t="s">
        <v>1077</v>
      </c>
      <c r="AD524" s="358" t="s">
        <v>1138</v>
      </c>
      <c r="AE524" s="284"/>
      <c r="AF524" s="141"/>
      <c r="AG524" s="141"/>
      <c r="AH524" s="141"/>
      <c r="AI524" s="141"/>
      <c r="AJ524" s="141"/>
      <c r="AK524" s="141"/>
      <c r="AL524" s="141"/>
      <c r="AM524" s="141"/>
      <c r="AN524" s="120"/>
      <c r="AO524" s="120"/>
      <c r="AP524" s="120"/>
      <c r="AQ524" s="313"/>
      <c r="AR524" s="119"/>
      <c r="AS524" s="22"/>
      <c r="AT524" s="22"/>
      <c r="AU524" s="22"/>
      <c r="AV524" s="2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112"/>
      <c r="BH524" s="112"/>
      <c r="BI524" s="112"/>
      <c r="BJ524" s="112"/>
      <c r="BK524" s="82"/>
      <c r="BL524" s="82"/>
      <c r="BN524" s="412"/>
      <c r="BO524" s="412"/>
      <c r="BP524" s="412"/>
      <c r="BQ524" s="412"/>
      <c r="BR524" s="412"/>
    </row>
    <row r="525" spans="1:78" hidden="1">
      <c r="A525" s="35" t="str">
        <f t="shared" si="46"/>
        <v>ELPTMED_229/2646111</v>
      </c>
      <c r="C525" s="358" t="s">
        <v>2342</v>
      </c>
      <c r="D525" s="358">
        <v>522</v>
      </c>
      <c r="E525" s="358" t="s">
        <v>3917</v>
      </c>
      <c r="F525" s="358" t="s">
        <v>1887</v>
      </c>
      <c r="G525" s="384">
        <v>46111</v>
      </c>
      <c r="H525" s="358" t="s">
        <v>3644</v>
      </c>
      <c r="I525" s="358">
        <v>8</v>
      </c>
      <c r="J525" s="359" t="str">
        <f>IFERROR(VLOOKUP($A525,#REF!,3,0),"")</f>
        <v/>
      </c>
      <c r="K525" s="359">
        <f>IFERROR(VLOOKUP($A525,#REF!,4,0),AF525)</f>
        <v>0</v>
      </c>
      <c r="L525" s="359" t="str">
        <f>IFERROR(VLOOKUP($A525,#REF!,5,0),"")</f>
        <v/>
      </c>
      <c r="M525" s="359" t="str">
        <f>IFERROR(VLOOKUP($A525,#REF!,7,0),"")</f>
        <v/>
      </c>
      <c r="N525" s="359"/>
      <c r="O525" s="359" t="str">
        <f>IFERROR(VLOOKUP($A525,#REF!,6,0),"")</f>
        <v/>
      </c>
      <c r="P525" s="359" t="str">
        <f>IFERROR(VLOOKUP($A525,#REF!,9,0),"")</f>
        <v/>
      </c>
      <c r="Q525" s="359" t="str">
        <f>IFERROR(VLOOKUP($A525,#REF!,10,0),"")</f>
        <v/>
      </c>
      <c r="R525" s="359" t="str">
        <f>IFERROR(VLOOKUP($A525,#REF!,11,0),"")</f>
        <v/>
      </c>
      <c r="S525" s="359" t="str">
        <f>IFERROR(VLOOKUP($A525,#REF!,13,0),"")</f>
        <v/>
      </c>
      <c r="T525" s="359" t="str">
        <f>IFERROR(VLOOKUP($A525,#REF!,14,0),"")</f>
        <v/>
      </c>
      <c r="U525" s="359" t="str">
        <f>IFERROR(VLOOKUP($A525,#REF!,15,0),"")</f>
        <v/>
      </c>
      <c r="V525" s="359" t="str">
        <f>IFERROR(VLOOKUP($A525,#REF!,16,0),"")</f>
        <v/>
      </c>
      <c r="W525" s="359" t="str">
        <f>IFERROR(VLOOKUP($A525,#REF!,17,0),"")</f>
        <v/>
      </c>
      <c r="X525" s="359" t="str">
        <f>IFERROR(VLOOKUP($A525,#REF!,18,0),"")</f>
        <v/>
      </c>
      <c r="Y525" s="359" t="str">
        <f>IFERROR(VLOOKUP($A525,#REF!,19,0),"")</f>
        <v/>
      </c>
      <c r="Z525" s="400" t="str">
        <f>IFERROR(VLOOKUP($A525,#REF!,21,0),"")</f>
        <v/>
      </c>
      <c r="AA525" s="358"/>
      <c r="AB525" s="358"/>
      <c r="AC525" s="358" t="s">
        <v>127</v>
      </c>
      <c r="AD525" s="358" t="s">
        <v>178</v>
      </c>
      <c r="AE525" s="284"/>
      <c r="AF525" s="141"/>
      <c r="AG525" s="141"/>
      <c r="AH525" s="141"/>
      <c r="AI525" s="141"/>
      <c r="AJ525" s="141"/>
      <c r="AK525" s="141"/>
      <c r="AL525" s="141"/>
      <c r="AM525" s="141"/>
      <c r="AN525" s="120"/>
      <c r="AO525" s="120"/>
      <c r="AP525" s="120"/>
      <c r="AQ525" s="313"/>
      <c r="AR525" s="119"/>
      <c r="AS525" s="22"/>
      <c r="AT525" s="22"/>
      <c r="AU525" s="22"/>
      <c r="AV525" s="2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112"/>
      <c r="BH525" s="112"/>
      <c r="BI525" s="112"/>
      <c r="BJ525" s="112"/>
      <c r="BK525" s="82"/>
      <c r="BL525" s="82"/>
      <c r="BN525" s="412"/>
      <c r="BO525" s="412"/>
      <c r="BP525" s="412"/>
      <c r="BQ525" s="412"/>
      <c r="BR525" s="412"/>
    </row>
    <row r="526" spans="1:78" hidden="1">
      <c r="A526" s="35" t="str">
        <f t="shared" si="46"/>
        <v>ELPTMED_230/2646111</v>
      </c>
      <c r="C526" s="358" t="s">
        <v>2342</v>
      </c>
      <c r="D526" s="358">
        <v>523</v>
      </c>
      <c r="E526" s="358" t="s">
        <v>3918</v>
      </c>
      <c r="F526" s="358" t="s">
        <v>1025</v>
      </c>
      <c r="G526" s="384">
        <v>46111</v>
      </c>
      <c r="H526" s="358" t="s">
        <v>3644</v>
      </c>
      <c r="I526" s="358">
        <v>1</v>
      </c>
      <c r="J526" s="359" t="str">
        <f>IFERROR(VLOOKUP($A526,#REF!,3,0),"")</f>
        <v/>
      </c>
      <c r="K526" s="359">
        <f>IFERROR(VLOOKUP($A526,#REF!,4,0),AF526)</f>
        <v>0</v>
      </c>
      <c r="L526" s="359" t="str">
        <f>IFERROR(VLOOKUP($A526,#REF!,5,0),"")</f>
        <v/>
      </c>
      <c r="M526" s="359" t="str">
        <f>IFERROR(VLOOKUP($A526,#REF!,7,0),"")</f>
        <v/>
      </c>
      <c r="N526" s="359"/>
      <c r="O526" s="359" t="str">
        <f>IFERROR(VLOOKUP($A526,#REF!,6,0),"")</f>
        <v/>
      </c>
      <c r="P526" s="359" t="str">
        <f>IFERROR(VLOOKUP($A526,#REF!,9,0),"")</f>
        <v/>
      </c>
      <c r="Q526" s="359" t="str">
        <f>IFERROR(VLOOKUP($A526,#REF!,10,0),"")</f>
        <v/>
      </c>
      <c r="R526" s="359" t="str">
        <f>IFERROR(VLOOKUP($A526,#REF!,11,0),"")</f>
        <v/>
      </c>
      <c r="S526" s="359" t="str">
        <f>IFERROR(VLOOKUP($A526,#REF!,13,0),"")</f>
        <v/>
      </c>
      <c r="T526" s="359" t="str">
        <f>IFERROR(VLOOKUP($A526,#REF!,14,0),"")</f>
        <v/>
      </c>
      <c r="U526" s="359" t="str">
        <f>IFERROR(VLOOKUP($A526,#REF!,15,0),"")</f>
        <v/>
      </c>
      <c r="V526" s="359" t="str">
        <f>IFERROR(VLOOKUP($A526,#REF!,16,0),"")</f>
        <v/>
      </c>
      <c r="W526" s="359" t="str">
        <f>IFERROR(VLOOKUP($A526,#REF!,17,0),"")</f>
        <v/>
      </c>
      <c r="X526" s="359" t="str">
        <f>IFERROR(VLOOKUP($A526,#REF!,18,0),"")</f>
        <v/>
      </c>
      <c r="Y526" s="359" t="str">
        <f>IFERROR(VLOOKUP($A526,#REF!,19,0),"")</f>
        <v/>
      </c>
      <c r="Z526" s="400" t="str">
        <f>IFERROR(VLOOKUP($A526,#REF!,21,0),"")</f>
        <v/>
      </c>
      <c r="AA526" s="358"/>
      <c r="AB526" s="358"/>
      <c r="AC526" s="358" t="s">
        <v>3075</v>
      </c>
      <c r="AD526" s="358" t="s">
        <v>47</v>
      </c>
      <c r="AE526" s="284"/>
      <c r="AF526" s="141"/>
      <c r="AG526" s="141"/>
      <c r="AH526" s="141"/>
      <c r="AI526" s="141"/>
      <c r="AJ526" s="141"/>
      <c r="AK526" s="141"/>
      <c r="AL526" s="141"/>
      <c r="AM526" s="141"/>
      <c r="AN526" s="120"/>
      <c r="AO526" s="120"/>
      <c r="AP526" s="120"/>
      <c r="AQ526" s="313"/>
      <c r="AR526" s="119"/>
      <c r="AS526" s="22"/>
      <c r="AT526" s="22"/>
      <c r="AU526" s="22"/>
      <c r="AV526" s="2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112"/>
      <c r="BH526" s="112"/>
      <c r="BI526" s="112"/>
      <c r="BJ526" s="112"/>
      <c r="BK526" s="82"/>
      <c r="BL526" s="82"/>
      <c r="BN526" s="412"/>
      <c r="BO526" s="412"/>
      <c r="BP526" s="412"/>
      <c r="BQ526" s="412"/>
      <c r="BR526" s="412"/>
    </row>
    <row r="527" spans="1:78" hidden="1">
      <c r="A527" s="35" t="str">
        <f t="shared" si="46"/>
        <v>ELPTTCV_051/2646111</v>
      </c>
      <c r="C527" s="358" t="s">
        <v>2342</v>
      </c>
      <c r="D527" s="358">
        <v>524</v>
      </c>
      <c r="E527" s="358" t="s">
        <v>3919</v>
      </c>
      <c r="F527" s="358" t="s">
        <v>798</v>
      </c>
      <c r="G527" s="384">
        <v>46111</v>
      </c>
      <c r="H527" s="358" t="s">
        <v>3644</v>
      </c>
      <c r="I527" s="358">
        <v>1</v>
      </c>
      <c r="J527" s="359" t="str">
        <f>IFERROR(VLOOKUP($A527,#REF!,3,0),"")</f>
        <v/>
      </c>
      <c r="K527" s="359">
        <f>IFERROR(VLOOKUP($A527,#REF!,4,0),AF527)</f>
        <v>0</v>
      </c>
      <c r="L527" s="359" t="str">
        <f>IFERROR(VLOOKUP($A527,#REF!,5,0),"")</f>
        <v/>
      </c>
      <c r="M527" s="359" t="str">
        <f>IFERROR(VLOOKUP($A527,#REF!,7,0),"")</f>
        <v/>
      </c>
      <c r="N527" s="359"/>
      <c r="O527" s="359" t="str">
        <f>IFERROR(VLOOKUP($A527,#REF!,6,0),"")</f>
        <v/>
      </c>
      <c r="P527" s="359" t="str">
        <f>IFERROR(VLOOKUP($A527,#REF!,9,0),"")</f>
        <v/>
      </c>
      <c r="Q527" s="359" t="str">
        <f>IFERROR(VLOOKUP($A527,#REF!,10,0),"")</f>
        <v/>
      </c>
      <c r="R527" s="359" t="str">
        <f>IFERROR(VLOOKUP($A527,#REF!,11,0),"")</f>
        <v/>
      </c>
      <c r="S527" s="359" t="str">
        <f>IFERROR(VLOOKUP($A527,#REF!,13,0),"")</f>
        <v/>
      </c>
      <c r="T527" s="359" t="str">
        <f>IFERROR(VLOOKUP($A527,#REF!,14,0),"")</f>
        <v/>
      </c>
      <c r="U527" s="359" t="str">
        <f>IFERROR(VLOOKUP($A527,#REF!,15,0),"")</f>
        <v/>
      </c>
      <c r="V527" s="359" t="str">
        <f>IFERROR(VLOOKUP($A527,#REF!,16,0),"")</f>
        <v/>
      </c>
      <c r="W527" s="359" t="str">
        <f>IFERROR(VLOOKUP($A527,#REF!,17,0),"")</f>
        <v/>
      </c>
      <c r="X527" s="359" t="str">
        <f>IFERROR(VLOOKUP($A527,#REF!,18,0),"")</f>
        <v/>
      </c>
      <c r="Y527" s="359" t="str">
        <f>IFERROR(VLOOKUP($A527,#REF!,19,0),"")</f>
        <v/>
      </c>
      <c r="Z527" s="400" t="str">
        <f>IFERROR(VLOOKUP($A527,#REF!,21,0),"")</f>
        <v/>
      </c>
      <c r="AA527" s="358"/>
      <c r="AB527" s="358"/>
      <c r="AC527" s="358" t="s">
        <v>1721</v>
      </c>
      <c r="AD527" s="358" t="s">
        <v>1638</v>
      </c>
      <c r="AE527" s="284"/>
      <c r="AF527" s="141"/>
      <c r="AG527" s="141"/>
      <c r="AH527" s="141"/>
      <c r="AI527" s="141"/>
      <c r="AJ527" s="141"/>
      <c r="AK527" s="141"/>
      <c r="AL527" s="141"/>
      <c r="AM527" s="141"/>
      <c r="AN527" s="120"/>
      <c r="AO527" s="120"/>
      <c r="AP527" s="120"/>
      <c r="AQ527" s="313"/>
      <c r="AR527" s="119"/>
      <c r="AS527" s="22"/>
      <c r="AT527" s="22"/>
      <c r="AU527" s="22"/>
      <c r="AV527" s="2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112"/>
      <c r="BH527" s="112"/>
      <c r="BI527" s="112"/>
      <c r="BJ527" s="112"/>
      <c r="BK527" s="82"/>
      <c r="BL527" s="82"/>
      <c r="BN527" s="412"/>
      <c r="BO527" s="412"/>
      <c r="BP527" s="412"/>
      <c r="BQ527" s="412"/>
      <c r="BR527" s="412"/>
    </row>
    <row r="528" spans="1:78" hidden="1">
      <c r="A528" s="35" t="str">
        <f t="shared" si="46"/>
        <v>ELPTTCV_052/2646111</v>
      </c>
      <c r="C528" s="358" t="s">
        <v>2342</v>
      </c>
      <c r="D528" s="358">
        <v>525</v>
      </c>
      <c r="E528" s="358" t="s">
        <v>3920</v>
      </c>
      <c r="F528" s="384" t="s">
        <v>3921</v>
      </c>
      <c r="G528" s="384">
        <v>46111</v>
      </c>
      <c r="H528" s="358" t="s">
        <v>3644</v>
      </c>
      <c r="I528" s="358">
        <v>1</v>
      </c>
      <c r="J528" s="359" t="str">
        <f>IFERROR(VLOOKUP($A528,#REF!,3,0),"")</f>
        <v/>
      </c>
      <c r="K528" s="359">
        <f>IFERROR(VLOOKUP($A528,#REF!,4,0),AF528)</f>
        <v>0</v>
      </c>
      <c r="L528" s="359" t="str">
        <f>IFERROR(VLOOKUP($A528,#REF!,5,0),"")</f>
        <v/>
      </c>
      <c r="M528" s="359" t="str">
        <f>IFERROR(VLOOKUP($A528,#REF!,7,0),"")</f>
        <v/>
      </c>
      <c r="N528" s="359"/>
      <c r="O528" s="359" t="str">
        <f>IFERROR(VLOOKUP($A528,#REF!,6,0),"")</f>
        <v/>
      </c>
      <c r="P528" s="359" t="str">
        <f>IFERROR(VLOOKUP($A528,#REF!,9,0),"")</f>
        <v/>
      </c>
      <c r="Q528" s="359" t="str">
        <f>IFERROR(VLOOKUP($A528,#REF!,10,0),"")</f>
        <v/>
      </c>
      <c r="R528" s="359" t="str">
        <f>IFERROR(VLOOKUP($A528,#REF!,11,0),"")</f>
        <v/>
      </c>
      <c r="S528" s="359" t="str">
        <f>IFERROR(VLOOKUP($A528,#REF!,13,0),"")</f>
        <v/>
      </c>
      <c r="T528" s="359" t="str">
        <f>IFERROR(VLOOKUP($A528,#REF!,14,0),"")</f>
        <v/>
      </c>
      <c r="U528" s="359" t="str">
        <f>IFERROR(VLOOKUP($A528,#REF!,15,0),"")</f>
        <v/>
      </c>
      <c r="V528" s="359" t="str">
        <f>IFERROR(VLOOKUP($A528,#REF!,16,0),"")</f>
        <v/>
      </c>
      <c r="W528" s="359" t="str">
        <f>IFERROR(VLOOKUP($A528,#REF!,17,0),"")</f>
        <v/>
      </c>
      <c r="X528" s="359" t="str">
        <f>IFERROR(VLOOKUP($A528,#REF!,18,0),"")</f>
        <v/>
      </c>
      <c r="Y528" s="359" t="str">
        <f>IFERROR(VLOOKUP($A528,#REF!,19,0),"")</f>
        <v/>
      </c>
      <c r="Z528" s="400" t="str">
        <f>IFERROR(VLOOKUP($A528,#REF!,21,0),"")</f>
        <v/>
      </c>
      <c r="AA528" s="358"/>
      <c r="AB528" s="358"/>
      <c r="AC528" s="358" t="s">
        <v>1721</v>
      </c>
      <c r="AD528" s="358" t="s">
        <v>1638</v>
      </c>
      <c r="AE528" s="284"/>
      <c r="AF528" s="141"/>
      <c r="AG528" s="141"/>
      <c r="AH528" s="141"/>
      <c r="AI528" s="141"/>
      <c r="AJ528" s="141"/>
      <c r="AK528" s="141"/>
      <c r="AL528" s="141"/>
      <c r="AM528" s="141"/>
      <c r="AN528" s="120"/>
      <c r="AO528" s="120"/>
      <c r="AP528" s="120"/>
      <c r="AQ528" s="313"/>
      <c r="AR528" s="119"/>
      <c r="AS528" s="22"/>
      <c r="AT528" s="22"/>
      <c r="AU528" s="22"/>
      <c r="AV528" s="2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112"/>
      <c r="BH528" s="112"/>
      <c r="BI528" s="112"/>
      <c r="BJ528" s="112"/>
      <c r="BK528" s="82"/>
      <c r="BL528" s="82"/>
      <c r="BN528" s="412"/>
      <c r="BO528" s="412"/>
      <c r="BP528" s="412"/>
      <c r="BQ528" s="412"/>
      <c r="BR528" s="412"/>
    </row>
    <row r="529" spans="1:78" hidden="1">
      <c r="A529" s="35" t="str">
        <f t="shared" si="46"/>
        <v>ELPTTCV_053/2646111</v>
      </c>
      <c r="C529" s="358" t="s">
        <v>2342</v>
      </c>
      <c r="D529" s="358">
        <v>526</v>
      </c>
      <c r="E529" s="358" t="s">
        <v>3922</v>
      </c>
      <c r="F529" s="384" t="s">
        <v>1184</v>
      </c>
      <c r="G529" s="384">
        <v>46111</v>
      </c>
      <c r="H529" s="358" t="s">
        <v>3644</v>
      </c>
      <c r="I529" s="358">
        <v>1</v>
      </c>
      <c r="J529" s="359" t="str">
        <f>IFERROR(VLOOKUP($A529,#REF!,3,0),"")</f>
        <v/>
      </c>
      <c r="K529" s="359">
        <f>IFERROR(VLOOKUP($A529,#REF!,4,0),AF529)</f>
        <v>0</v>
      </c>
      <c r="L529" s="359" t="str">
        <f>IFERROR(VLOOKUP($A529,#REF!,5,0),"")</f>
        <v/>
      </c>
      <c r="M529" s="359" t="str">
        <f>IFERROR(VLOOKUP($A529,#REF!,7,0),"")</f>
        <v/>
      </c>
      <c r="N529" s="359"/>
      <c r="O529" s="359" t="str">
        <f>IFERROR(VLOOKUP($A529,#REF!,6,0),"")</f>
        <v/>
      </c>
      <c r="P529" s="359" t="str">
        <f>IFERROR(VLOOKUP($A529,#REF!,9,0),"")</f>
        <v/>
      </c>
      <c r="Q529" s="359" t="str">
        <f>IFERROR(VLOOKUP($A529,#REF!,10,0),"")</f>
        <v/>
      </c>
      <c r="R529" s="359" t="str">
        <f>IFERROR(VLOOKUP($A529,#REF!,11,0),"")</f>
        <v/>
      </c>
      <c r="S529" s="359" t="str">
        <f>IFERROR(VLOOKUP($A529,#REF!,13,0),"")</f>
        <v/>
      </c>
      <c r="T529" s="359" t="str">
        <f>IFERROR(VLOOKUP($A529,#REF!,14,0),"")</f>
        <v/>
      </c>
      <c r="U529" s="359" t="str">
        <f>IFERROR(VLOOKUP($A529,#REF!,15,0),"")</f>
        <v/>
      </c>
      <c r="V529" s="359" t="str">
        <f>IFERROR(VLOOKUP($A529,#REF!,16,0),"")</f>
        <v/>
      </c>
      <c r="W529" s="359" t="str">
        <f>IFERROR(VLOOKUP($A529,#REF!,17,0),"")</f>
        <v/>
      </c>
      <c r="X529" s="359" t="str">
        <f>IFERROR(VLOOKUP($A529,#REF!,18,0),"")</f>
        <v/>
      </c>
      <c r="Y529" s="359" t="str">
        <f>IFERROR(VLOOKUP($A529,#REF!,19,0),"")</f>
        <v/>
      </c>
      <c r="Z529" s="400" t="str">
        <f>IFERROR(VLOOKUP($A529,#REF!,21,0),"")</f>
        <v/>
      </c>
      <c r="AA529" s="358"/>
      <c r="AB529" s="358"/>
      <c r="AC529" s="358" t="s">
        <v>1721</v>
      </c>
      <c r="AD529" s="358" t="s">
        <v>1638</v>
      </c>
      <c r="AE529" s="284"/>
      <c r="AF529" s="141"/>
      <c r="AG529" s="141"/>
      <c r="AH529" s="141"/>
      <c r="AI529" s="141"/>
      <c r="AJ529" s="141"/>
      <c r="AK529" s="141"/>
      <c r="AL529" s="141"/>
      <c r="AM529" s="141"/>
      <c r="AN529" s="120"/>
      <c r="AO529" s="120"/>
      <c r="AP529" s="120"/>
      <c r="AQ529" s="313"/>
      <c r="AR529" s="119"/>
      <c r="AS529" s="22"/>
      <c r="AT529" s="22"/>
      <c r="AU529" s="22"/>
      <c r="AV529" s="2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112"/>
      <c r="BH529" s="112"/>
      <c r="BI529" s="112"/>
      <c r="BJ529" s="112"/>
      <c r="BK529" s="82"/>
      <c r="BL529" s="82"/>
      <c r="BN529" s="412"/>
      <c r="BO529" s="412"/>
      <c r="BP529" s="412"/>
      <c r="BQ529" s="412"/>
      <c r="BR529" s="412"/>
    </row>
    <row r="530" spans="1:78" hidden="1">
      <c r="A530" s="35" t="str">
        <f t="shared" si="46"/>
        <v>ELPTTCV_054/2646111</v>
      </c>
      <c r="C530" s="358" t="s">
        <v>2342</v>
      </c>
      <c r="D530" s="358">
        <v>527</v>
      </c>
      <c r="E530" s="358" t="s">
        <v>3923</v>
      </c>
      <c r="F530" s="358" t="s">
        <v>829</v>
      </c>
      <c r="G530" s="384">
        <v>46111</v>
      </c>
      <c r="H530" s="358" t="s">
        <v>3644</v>
      </c>
      <c r="I530" s="358">
        <v>5</v>
      </c>
      <c r="J530" s="359" t="str">
        <f>IFERROR(VLOOKUP($A530,#REF!,3,0),"")</f>
        <v/>
      </c>
      <c r="K530" s="359">
        <f>IFERROR(VLOOKUP($A530,#REF!,4,0),AF530)</f>
        <v>0</v>
      </c>
      <c r="L530" s="359" t="str">
        <f>IFERROR(VLOOKUP($A530,#REF!,5,0),"")</f>
        <v/>
      </c>
      <c r="M530" s="359" t="str">
        <f>IFERROR(VLOOKUP($A530,#REF!,7,0),"")</f>
        <v/>
      </c>
      <c r="N530" s="359"/>
      <c r="O530" s="359" t="str">
        <f>IFERROR(VLOOKUP($A530,#REF!,6,0),"")</f>
        <v/>
      </c>
      <c r="P530" s="359" t="str">
        <f>IFERROR(VLOOKUP($A530,#REF!,9,0),"")</f>
        <v/>
      </c>
      <c r="Q530" s="359" t="str">
        <f>IFERROR(VLOOKUP($A530,#REF!,10,0),"")</f>
        <v/>
      </c>
      <c r="R530" s="359" t="str">
        <f>IFERROR(VLOOKUP($A530,#REF!,11,0),"")</f>
        <v/>
      </c>
      <c r="S530" s="359" t="str">
        <f>IFERROR(VLOOKUP($A530,#REF!,13,0),"")</f>
        <v/>
      </c>
      <c r="T530" s="359" t="str">
        <f>IFERROR(VLOOKUP($A530,#REF!,14,0),"")</f>
        <v/>
      </c>
      <c r="U530" s="359" t="str">
        <f>IFERROR(VLOOKUP($A530,#REF!,15,0),"")</f>
        <v/>
      </c>
      <c r="V530" s="359" t="str">
        <f>IFERROR(VLOOKUP($A530,#REF!,16,0),"")</f>
        <v/>
      </c>
      <c r="W530" s="359" t="str">
        <f>IFERROR(VLOOKUP($A530,#REF!,17,0),"")</f>
        <v/>
      </c>
      <c r="X530" s="359" t="str">
        <f>IFERROR(VLOOKUP($A530,#REF!,18,0),"")</f>
        <v/>
      </c>
      <c r="Y530" s="359" t="str">
        <f>IFERROR(VLOOKUP($A530,#REF!,19,0),"")</f>
        <v/>
      </c>
      <c r="Z530" s="400" t="str">
        <f>IFERROR(VLOOKUP($A530,#REF!,21,0),"")</f>
        <v/>
      </c>
      <c r="AA530" s="358"/>
      <c r="AB530" s="358"/>
      <c r="AC530" s="358" t="s">
        <v>1721</v>
      </c>
      <c r="AD530" s="358" t="s">
        <v>1638</v>
      </c>
      <c r="AE530" s="284"/>
      <c r="AF530" s="141"/>
      <c r="AG530" s="141"/>
      <c r="AH530" s="141"/>
      <c r="AI530" s="141"/>
      <c r="AJ530" s="141"/>
      <c r="AK530" s="141"/>
      <c r="AL530" s="141"/>
      <c r="AM530" s="141"/>
      <c r="AN530" s="120"/>
      <c r="AO530" s="120"/>
      <c r="AP530" s="120"/>
      <c r="AQ530" s="313"/>
      <c r="AR530" s="119"/>
      <c r="AS530" s="22"/>
      <c r="AT530" s="22"/>
      <c r="AU530" s="22"/>
      <c r="AV530" s="2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112"/>
      <c r="BH530" s="112"/>
      <c r="BI530" s="112"/>
      <c r="BJ530" s="112"/>
      <c r="BK530" s="82"/>
      <c r="BL530" s="82"/>
      <c r="BN530" s="412"/>
      <c r="BO530" s="412"/>
      <c r="BP530" s="412"/>
      <c r="BQ530" s="412"/>
      <c r="BR530" s="412"/>
    </row>
    <row r="531" spans="1:78" s="278" customFormat="1" ht="15.6" hidden="1" customHeight="1">
      <c r="A531" s="35" t="str">
        <f t="shared" si="46"/>
        <v>088/2646114</v>
      </c>
      <c r="B531" s="362"/>
      <c r="C531" s="358" t="s">
        <v>24</v>
      </c>
      <c r="D531" s="358">
        <v>528</v>
      </c>
      <c r="E531" s="141" t="s">
        <v>3924</v>
      </c>
      <c r="F531" s="141" t="s">
        <v>50</v>
      </c>
      <c r="G531" s="128">
        <v>46114</v>
      </c>
      <c r="H531" s="141" t="s">
        <v>1342</v>
      </c>
      <c r="I531" s="141">
        <v>35</v>
      </c>
      <c r="J531" s="359" t="str">
        <f>IFERROR(VLOOKUP($A531,#REF!,3,0),"")</f>
        <v/>
      </c>
      <c r="K531" s="359" t="str">
        <f>IFERROR(VLOOKUP($A531,#REF!,4,0),AF531)</f>
        <v>EXT</v>
      </c>
      <c r="L531" s="359" t="str">
        <f>IFERROR(VLOOKUP($A531,#REF!,5,0),"")</f>
        <v/>
      </c>
      <c r="M531" s="359" t="str">
        <f>IFERROR(VLOOKUP($A531,#REF!,7,0),"")</f>
        <v/>
      </c>
      <c r="N531" s="359"/>
      <c r="O531" s="359" t="str">
        <f>IFERROR(VLOOKUP($A531,#REF!,6,0),"")</f>
        <v/>
      </c>
      <c r="P531" s="359" t="str">
        <f>IFERROR(VLOOKUP($A531,#REF!,9,0),"")</f>
        <v/>
      </c>
      <c r="Q531" s="359" t="str">
        <f>IFERROR(VLOOKUP($A531,#REF!,10,0),"")</f>
        <v/>
      </c>
      <c r="R531" s="359" t="str">
        <f>IFERROR(VLOOKUP($A531,#REF!,11,0),"")</f>
        <v/>
      </c>
      <c r="S531" s="359" t="str">
        <f>IFERROR(VLOOKUP($A531,#REF!,13,0),"")</f>
        <v/>
      </c>
      <c r="T531" s="359" t="str">
        <f>IFERROR(VLOOKUP($A531,#REF!,14,0),"")</f>
        <v/>
      </c>
      <c r="U531" s="359" t="str">
        <f>IFERROR(VLOOKUP($A531,#REF!,15,0),"")</f>
        <v/>
      </c>
      <c r="V531" s="359" t="str">
        <f>IFERROR(VLOOKUP($A531,#REF!,16,0),"")</f>
        <v/>
      </c>
      <c r="W531" s="359" t="str">
        <f>IFERROR(VLOOKUP($A531,#REF!,17,0),"")</f>
        <v/>
      </c>
      <c r="X531" s="359" t="str">
        <f>IFERROR(VLOOKUP($A531,#REF!,18,0),"")</f>
        <v/>
      </c>
      <c r="Y531" s="359" t="str">
        <f>IFERROR(VLOOKUP($A531,#REF!,19,0),"")</f>
        <v/>
      </c>
      <c r="Z531" s="400" t="str">
        <f>IFERROR(VLOOKUP($A531,#REF!,21,0),"")</f>
        <v/>
      </c>
      <c r="AA531" s="141"/>
      <c r="AB531" s="141"/>
      <c r="AC531" s="141" t="s">
        <v>1721</v>
      </c>
      <c r="AD531" s="141" t="s">
        <v>1638</v>
      </c>
      <c r="AE531" s="141"/>
      <c r="AF531" s="141" t="s">
        <v>3082</v>
      </c>
      <c r="AG531" s="141" t="s">
        <v>3925</v>
      </c>
      <c r="AH531" s="141" t="s">
        <v>3877</v>
      </c>
      <c r="AI531" s="141" t="s">
        <v>3877</v>
      </c>
      <c r="AJ531" s="327" t="s">
        <v>3761</v>
      </c>
      <c r="AK531" s="327"/>
      <c r="AL531" s="327"/>
      <c r="AM531" s="327"/>
      <c r="AN531" s="276"/>
      <c r="AO531" s="276"/>
      <c r="AP531" s="276"/>
      <c r="AQ531" s="320"/>
      <c r="AR531" s="277"/>
      <c r="AS531" s="250"/>
      <c r="AT531" s="250"/>
      <c r="AU531" s="250"/>
      <c r="AV531" s="250"/>
      <c r="AW531" s="100"/>
      <c r="AX531" s="100"/>
      <c r="AY531" s="100"/>
      <c r="AZ531" s="100"/>
      <c r="BA531" s="100"/>
      <c r="BB531" s="100"/>
      <c r="BC531" s="100"/>
      <c r="BD531" s="100"/>
      <c r="BE531" s="100"/>
      <c r="BF531" s="100"/>
      <c r="BG531" s="111"/>
      <c r="BH531" s="111"/>
      <c r="BI531" s="111"/>
      <c r="BJ531" s="111"/>
      <c r="BK531" s="100"/>
      <c r="BL531" s="100"/>
      <c r="BM531"/>
      <c r="BN531" s="412"/>
      <c r="BO531" s="412"/>
      <c r="BP531" s="412"/>
      <c r="BQ531" s="412"/>
      <c r="BR531" s="412"/>
      <c r="BS531" s="96"/>
      <c r="BT531" s="96"/>
      <c r="BU531" s="96"/>
      <c r="BV531" s="96"/>
      <c r="BW531"/>
    </row>
    <row r="532" spans="1:78" ht="15.6" hidden="1" customHeight="1">
      <c r="A532" s="35" t="str">
        <f t="shared" si="46"/>
        <v>028/2646115</v>
      </c>
      <c r="C532" s="358" t="s">
        <v>24</v>
      </c>
      <c r="D532" s="358">
        <v>529</v>
      </c>
      <c r="E532" s="358" t="s">
        <v>3926</v>
      </c>
      <c r="F532" s="358" t="s">
        <v>425</v>
      </c>
      <c r="G532" s="384">
        <v>46115</v>
      </c>
      <c r="H532" s="358" t="s">
        <v>187</v>
      </c>
      <c r="I532" s="358">
        <v>12</v>
      </c>
      <c r="J532" s="359" t="str">
        <f>IFERROR(VLOOKUP($A532,#REF!,3,0),"")</f>
        <v/>
      </c>
      <c r="K532" s="359" t="str">
        <f>IFERROR(VLOOKUP($A532,#REF!,4,0),AF532)</f>
        <v>INT</v>
      </c>
      <c r="L532" s="359" t="str">
        <f>IFERROR(VLOOKUP($A532,#REF!,5,0),"")</f>
        <v/>
      </c>
      <c r="M532" s="359" t="str">
        <f>IFERROR(VLOOKUP($A532,#REF!,7,0),"")</f>
        <v/>
      </c>
      <c r="N532" s="359"/>
      <c r="O532" s="359" t="str">
        <f>IFERROR(VLOOKUP($A532,#REF!,6,0),"")</f>
        <v/>
      </c>
      <c r="P532" s="359" t="str">
        <f>IFERROR(VLOOKUP($A532,#REF!,9,0),"")</f>
        <v/>
      </c>
      <c r="Q532" s="359" t="str">
        <f>IFERROR(VLOOKUP($A532,#REF!,10,0),"")</f>
        <v/>
      </c>
      <c r="R532" s="359" t="str">
        <f>IFERROR(VLOOKUP($A532,#REF!,11,0),"")</f>
        <v/>
      </c>
      <c r="S532" s="359" t="str">
        <f>IFERROR(VLOOKUP($A532,#REF!,13,0),"")</f>
        <v/>
      </c>
      <c r="T532" s="359" t="str">
        <f>IFERROR(VLOOKUP($A532,#REF!,14,0),"")</f>
        <v/>
      </c>
      <c r="U532" s="359" t="str">
        <f>IFERROR(VLOOKUP($A532,#REF!,15,0),"")</f>
        <v/>
      </c>
      <c r="V532" s="359" t="str">
        <f>IFERROR(VLOOKUP($A532,#REF!,16,0),"")</f>
        <v/>
      </c>
      <c r="W532" s="359" t="str">
        <f>IFERROR(VLOOKUP($A532,#REF!,17,0),"")</f>
        <v/>
      </c>
      <c r="X532" s="359" t="str">
        <f>IFERROR(VLOOKUP($A532,#REF!,18,0),"")</f>
        <v/>
      </c>
      <c r="Y532" s="359" t="str">
        <f>IFERROR(VLOOKUP($A532,#REF!,19,0),"")</f>
        <v/>
      </c>
      <c r="Z532" s="400" t="str">
        <f>IFERROR(VLOOKUP($A532,#REF!,21,0),"")</f>
        <v/>
      </c>
      <c r="AA532" s="358"/>
      <c r="AB532" s="358"/>
      <c r="AC532" s="358" t="s">
        <v>1721</v>
      </c>
      <c r="AD532" s="358" t="s">
        <v>1638</v>
      </c>
      <c r="AE532" s="358"/>
      <c r="AF532" s="141" t="s">
        <v>3077</v>
      </c>
      <c r="AG532" s="141" t="s">
        <v>2098</v>
      </c>
      <c r="AH532" s="141" t="s">
        <v>3877</v>
      </c>
      <c r="AI532" s="141" t="s">
        <v>3877</v>
      </c>
      <c r="AJ532" s="141" t="s">
        <v>2050</v>
      </c>
      <c r="AK532" s="141"/>
      <c r="AL532" s="141"/>
      <c r="AM532" s="141"/>
      <c r="AN532" s="120"/>
      <c r="AO532" s="120"/>
      <c r="AP532" s="120"/>
      <c r="AQ532" s="313"/>
      <c r="AR532" s="119"/>
      <c r="AS532" s="22"/>
      <c r="AT532" s="22"/>
      <c r="AU532" s="22"/>
      <c r="AV532" s="2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112"/>
      <c r="BH532" s="112"/>
      <c r="BI532" s="112"/>
      <c r="BJ532" s="112"/>
      <c r="BK532" s="82"/>
      <c r="BL532" s="82"/>
      <c r="BN532" s="412"/>
      <c r="BO532" s="412"/>
      <c r="BP532" s="412"/>
      <c r="BQ532" s="412"/>
      <c r="BR532" s="412"/>
      <c r="BZ532">
        <f t="shared" ref="BZ532" si="52">IF(G532&gt;1,1,"")</f>
        <v>1</v>
      </c>
    </row>
    <row r="533" spans="1:78" ht="15.6" hidden="1" customHeight="1">
      <c r="A533" s="35" t="str">
        <f t="shared" si="46"/>
        <v>M122/2646118</v>
      </c>
      <c r="C533" s="358" t="s">
        <v>24</v>
      </c>
      <c r="D533" s="358">
        <v>530</v>
      </c>
      <c r="E533" s="141" t="s">
        <v>3927</v>
      </c>
      <c r="F533" s="141" t="s">
        <v>34</v>
      </c>
      <c r="G533" s="128">
        <v>46118</v>
      </c>
      <c r="H533" s="141" t="s">
        <v>3928</v>
      </c>
      <c r="I533" s="141">
        <v>16</v>
      </c>
      <c r="J533" s="359" t="str">
        <f>IFERROR(VLOOKUP($A533,#REF!,3,0),"")</f>
        <v/>
      </c>
      <c r="K533" s="359" t="str">
        <f>IFERROR(VLOOKUP($A533,#REF!,4,0),AF533)</f>
        <v>INT</v>
      </c>
      <c r="L533" s="359" t="str">
        <f>IFERROR(VLOOKUP($A533,#REF!,5,0),"")</f>
        <v/>
      </c>
      <c r="M533" s="359" t="str">
        <f>IFERROR(VLOOKUP($A533,#REF!,7,0),"")</f>
        <v/>
      </c>
      <c r="N533" s="359"/>
      <c r="O533" s="359" t="str">
        <f>IFERROR(VLOOKUP($A533,#REF!,6,0),"")</f>
        <v/>
      </c>
      <c r="P533" s="359" t="str">
        <f>IFERROR(VLOOKUP($A533,#REF!,9,0),"")</f>
        <v/>
      </c>
      <c r="Q533" s="359" t="str">
        <f>IFERROR(VLOOKUP($A533,#REF!,10,0),"")</f>
        <v/>
      </c>
      <c r="R533" s="359" t="str">
        <f>IFERROR(VLOOKUP($A533,#REF!,11,0),"")</f>
        <v/>
      </c>
      <c r="S533" s="359" t="str">
        <f>IFERROR(VLOOKUP($A533,#REF!,13,0),"")</f>
        <v/>
      </c>
      <c r="T533" s="359" t="str">
        <f>IFERROR(VLOOKUP($A533,#REF!,14,0),"")</f>
        <v/>
      </c>
      <c r="U533" s="359" t="str">
        <f>IFERROR(VLOOKUP($A533,#REF!,15,0),"")</f>
        <v/>
      </c>
      <c r="V533" s="359" t="str">
        <f>IFERROR(VLOOKUP($A533,#REF!,16,0),"")</f>
        <v/>
      </c>
      <c r="W533" s="359" t="str">
        <f>IFERROR(VLOOKUP($A533,#REF!,17,0),"")</f>
        <v/>
      </c>
      <c r="X533" s="359" t="str">
        <f>IFERROR(VLOOKUP($A533,#REF!,18,0),"")</f>
        <v/>
      </c>
      <c r="Y533" s="359" t="str">
        <f>IFERROR(VLOOKUP($A533,#REF!,19,0),"")</f>
        <v/>
      </c>
      <c r="Z533" s="400" t="str">
        <f>IFERROR(VLOOKUP($A533,#REF!,21,0),"")</f>
        <v/>
      </c>
      <c r="AA533" s="141"/>
      <c r="AB533" s="141"/>
      <c r="AC533" s="141" t="s">
        <v>3929</v>
      </c>
      <c r="AD533" s="141" t="s">
        <v>3357</v>
      </c>
      <c r="AE533" s="141"/>
      <c r="AF533" s="141" t="s">
        <v>3077</v>
      </c>
      <c r="AG533" s="141" t="s">
        <v>2119</v>
      </c>
      <c r="AH533" s="358" t="s">
        <v>3930</v>
      </c>
      <c r="AI533" s="358" t="s">
        <v>3930</v>
      </c>
      <c r="AJ533" s="380" t="s">
        <v>3765</v>
      </c>
      <c r="AK533" s="380"/>
      <c r="AL533" s="380"/>
      <c r="AM533" s="380"/>
      <c r="AN533" s="120"/>
      <c r="AO533" s="120"/>
      <c r="AP533" s="120"/>
      <c r="AQ533" s="313"/>
      <c r="AR533" s="119"/>
      <c r="AS533" s="22"/>
      <c r="AT533" s="22"/>
      <c r="AU533" s="22"/>
      <c r="AV533" s="2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112"/>
      <c r="BH533" s="112"/>
      <c r="BI533" s="112"/>
      <c r="BJ533" s="112"/>
      <c r="BK533" s="82"/>
      <c r="BL533" s="82"/>
      <c r="BN533" s="412"/>
      <c r="BO533" s="412"/>
      <c r="BP533" s="412"/>
      <c r="BQ533" s="412"/>
      <c r="BR533" s="412"/>
      <c r="BZ533">
        <f t="shared" si="40"/>
        <v>1</v>
      </c>
    </row>
    <row r="534" spans="1:78" s="278" customFormat="1" ht="15.6" hidden="1" customHeight="1">
      <c r="A534" s="35" t="str">
        <f t="shared" si="46"/>
        <v>089/2646118</v>
      </c>
      <c r="B534" s="362"/>
      <c r="C534" s="141" t="s">
        <v>24</v>
      </c>
      <c r="D534" s="358">
        <v>531</v>
      </c>
      <c r="E534" s="141" t="s">
        <v>3931</v>
      </c>
      <c r="F534" s="141" t="s">
        <v>406</v>
      </c>
      <c r="G534" s="128">
        <v>46118</v>
      </c>
      <c r="H534" s="141" t="s">
        <v>1135</v>
      </c>
      <c r="I534" s="141">
        <v>20</v>
      </c>
      <c r="J534" s="359" t="str">
        <f>IFERROR(VLOOKUP($A534,#REF!,3,0),"")</f>
        <v/>
      </c>
      <c r="K534" s="359" t="str">
        <f>IFERROR(VLOOKUP($A534,#REF!,4,0),AF534)</f>
        <v>EXT</v>
      </c>
      <c r="L534" s="359" t="str">
        <f>IFERROR(VLOOKUP($A534,#REF!,5,0),"")</f>
        <v/>
      </c>
      <c r="M534" s="359" t="str">
        <f>IFERROR(VLOOKUP($A534,#REF!,7,0),"")</f>
        <v/>
      </c>
      <c r="N534" s="359"/>
      <c r="O534" s="359" t="str">
        <f>IFERROR(VLOOKUP($A534,#REF!,6,0),"")</f>
        <v/>
      </c>
      <c r="P534" s="359" t="str">
        <f>IFERROR(VLOOKUP($A534,#REF!,9,0),"")</f>
        <v/>
      </c>
      <c r="Q534" s="359" t="str">
        <f>IFERROR(VLOOKUP($A534,#REF!,10,0),"")</f>
        <v/>
      </c>
      <c r="R534" s="359" t="str">
        <f>IFERROR(VLOOKUP($A534,#REF!,11,0),"")</f>
        <v/>
      </c>
      <c r="S534" s="359" t="str">
        <f>IFERROR(VLOOKUP($A534,#REF!,13,0),"")</f>
        <v/>
      </c>
      <c r="T534" s="359" t="str">
        <f>IFERROR(VLOOKUP($A534,#REF!,14,0),"")</f>
        <v/>
      </c>
      <c r="U534" s="359" t="str">
        <f>IFERROR(VLOOKUP($A534,#REF!,15,0),"")</f>
        <v/>
      </c>
      <c r="V534" s="359" t="str">
        <f>IFERROR(VLOOKUP($A534,#REF!,16,0),"")</f>
        <v/>
      </c>
      <c r="W534" s="359" t="str">
        <f>IFERROR(VLOOKUP($A534,#REF!,17,0),"")</f>
        <v/>
      </c>
      <c r="X534" s="359" t="str">
        <f>IFERROR(VLOOKUP($A534,#REF!,18,0),"")</f>
        <v/>
      </c>
      <c r="Y534" s="359" t="str">
        <f>IFERROR(VLOOKUP($A534,#REF!,19,0),"")</f>
        <v/>
      </c>
      <c r="Z534" s="400" t="str">
        <f>IFERROR(VLOOKUP($A534,#REF!,21,0),"")</f>
        <v/>
      </c>
      <c r="AA534" s="141"/>
      <c r="AB534" s="141"/>
      <c r="AC534" s="141" t="s">
        <v>1721</v>
      </c>
      <c r="AD534" s="141" t="s">
        <v>1638</v>
      </c>
      <c r="AE534" s="325" t="s">
        <v>3932</v>
      </c>
      <c r="AF534" s="141" t="s">
        <v>3082</v>
      </c>
      <c r="AG534" s="141" t="s">
        <v>2590</v>
      </c>
      <c r="AH534" s="141"/>
      <c r="AI534" s="141"/>
      <c r="AJ534" s="141"/>
      <c r="AK534" s="141"/>
      <c r="AL534" s="141"/>
      <c r="AM534" s="141"/>
      <c r="AN534" s="276"/>
      <c r="AO534" s="276"/>
      <c r="AP534" s="276"/>
      <c r="AQ534" s="320"/>
      <c r="AR534" s="277"/>
      <c r="AS534" s="250"/>
      <c r="AT534" s="250"/>
      <c r="AU534" s="250"/>
      <c r="AV534" s="250"/>
      <c r="AW534" s="100"/>
      <c r="AX534" s="100"/>
      <c r="AY534" s="100"/>
      <c r="AZ534" s="100"/>
      <c r="BA534" s="100"/>
      <c r="BB534" s="100"/>
      <c r="BC534" s="100"/>
      <c r="BD534" s="100"/>
      <c r="BE534" s="100"/>
      <c r="BF534" s="100"/>
      <c r="BG534" s="111"/>
      <c r="BH534" s="111"/>
      <c r="BI534" s="111"/>
      <c r="BJ534" s="111"/>
      <c r="BK534" s="100"/>
      <c r="BL534" s="100"/>
      <c r="BM534"/>
      <c r="BN534" s="412"/>
      <c r="BO534" s="412"/>
      <c r="BP534" s="412"/>
      <c r="BQ534" s="412"/>
      <c r="BR534" s="412"/>
      <c r="BS534" s="96"/>
      <c r="BT534" s="96"/>
      <c r="BU534" s="96"/>
      <c r="BV534" s="96"/>
      <c r="BW534"/>
    </row>
    <row r="535" spans="1:78" s="278" customFormat="1" ht="15.6" hidden="1" customHeight="1">
      <c r="A535" s="35" t="str">
        <f t="shared" si="46"/>
        <v>M246/2646118</v>
      </c>
      <c r="B535" s="362"/>
      <c r="C535" s="141" t="s">
        <v>24</v>
      </c>
      <c r="D535" s="358">
        <v>532</v>
      </c>
      <c r="E535" s="141" t="s">
        <v>3933</v>
      </c>
      <c r="F535" s="141" t="s">
        <v>34</v>
      </c>
      <c r="G535" s="128">
        <v>46118</v>
      </c>
      <c r="H535" s="141" t="s">
        <v>39</v>
      </c>
      <c r="I535" s="141">
        <v>25</v>
      </c>
      <c r="J535" s="359" t="str">
        <f>IFERROR(VLOOKUP($A535,#REF!,3,0),"")</f>
        <v/>
      </c>
      <c r="K535" s="359" t="str">
        <f>IFERROR(VLOOKUP($A535,#REF!,4,0),AF535)</f>
        <v>INT</v>
      </c>
      <c r="L535" s="359" t="str">
        <f>IFERROR(VLOOKUP($A535,#REF!,5,0),"")</f>
        <v/>
      </c>
      <c r="M535" s="359" t="str">
        <f>IFERROR(VLOOKUP($A535,#REF!,7,0),"")</f>
        <v/>
      </c>
      <c r="N535" s="359"/>
      <c r="O535" s="359" t="str">
        <f>IFERROR(VLOOKUP($A535,#REF!,6,0),"")</f>
        <v/>
      </c>
      <c r="P535" s="359" t="str">
        <f>IFERROR(VLOOKUP($A535,#REF!,9,0),"")</f>
        <v/>
      </c>
      <c r="Q535" s="359" t="str">
        <f>IFERROR(VLOOKUP($A535,#REF!,10,0),"")</f>
        <v/>
      </c>
      <c r="R535" s="359" t="str">
        <f>IFERROR(VLOOKUP($A535,#REF!,11,0),"")</f>
        <v/>
      </c>
      <c r="S535" s="359" t="str">
        <f>IFERROR(VLOOKUP($A535,#REF!,13,0),"")</f>
        <v/>
      </c>
      <c r="T535" s="359" t="str">
        <f>IFERROR(VLOOKUP($A535,#REF!,14,0),"")</f>
        <v/>
      </c>
      <c r="U535" s="359" t="str">
        <f>IFERROR(VLOOKUP($A535,#REF!,15,0),"")</f>
        <v/>
      </c>
      <c r="V535" s="359" t="str">
        <f>IFERROR(VLOOKUP($A535,#REF!,16,0),"")</f>
        <v/>
      </c>
      <c r="W535" s="359" t="str">
        <f>IFERROR(VLOOKUP($A535,#REF!,17,0),"")</f>
        <v/>
      </c>
      <c r="X535" s="359" t="str">
        <f>IFERROR(VLOOKUP($A535,#REF!,18,0),"")</f>
        <v/>
      </c>
      <c r="Y535" s="359" t="str">
        <f>IFERROR(VLOOKUP($A535,#REF!,19,0),"")</f>
        <v/>
      </c>
      <c r="Z535" s="400" t="str">
        <f>IFERROR(VLOOKUP($A535,#REF!,21,0),"")</f>
        <v/>
      </c>
      <c r="AA535" s="141"/>
      <c r="AB535" s="141"/>
      <c r="AC535" s="141" t="s">
        <v>1076</v>
      </c>
      <c r="AD535" s="141" t="s">
        <v>3357</v>
      </c>
      <c r="AE535" s="325" t="s">
        <v>3932</v>
      </c>
      <c r="AF535" s="141" t="s">
        <v>3077</v>
      </c>
      <c r="AG535" s="141" t="s">
        <v>2102</v>
      </c>
      <c r="AH535" s="358" t="s">
        <v>3930</v>
      </c>
      <c r="AI535" s="141"/>
      <c r="AJ535" s="279" t="s">
        <v>3934</v>
      </c>
      <c r="AK535" s="279"/>
      <c r="AL535" s="279"/>
      <c r="AM535" s="279"/>
      <c r="AN535" s="276"/>
      <c r="AO535" s="276"/>
      <c r="AP535" s="276"/>
      <c r="AQ535" s="320"/>
      <c r="AR535" s="277"/>
      <c r="AS535" s="250"/>
      <c r="AT535" s="250"/>
      <c r="AU535" s="250"/>
      <c r="AV535" s="250"/>
      <c r="AW535" s="100"/>
      <c r="AX535" s="100"/>
      <c r="AY535" s="100"/>
      <c r="AZ535" s="100"/>
      <c r="BA535" s="100"/>
      <c r="BB535" s="100"/>
      <c r="BC535" s="100"/>
      <c r="BD535" s="100"/>
      <c r="BE535" s="100"/>
      <c r="BF535" s="100"/>
      <c r="BG535" s="111"/>
      <c r="BH535" s="111"/>
      <c r="BI535" s="111"/>
      <c r="BJ535" s="111"/>
      <c r="BK535" s="100"/>
      <c r="BL535" s="100"/>
      <c r="BM535"/>
      <c r="BN535" s="412"/>
      <c r="BO535" s="412"/>
      <c r="BP535" s="412"/>
      <c r="BQ535" s="412"/>
      <c r="BR535" s="412"/>
      <c r="BS535" s="96"/>
      <c r="BT535" s="96"/>
      <c r="BU535" s="96"/>
      <c r="BV535" s="96"/>
      <c r="BW535"/>
    </row>
    <row r="536" spans="1:78" s="278" customFormat="1" ht="15.6" hidden="1" customHeight="1">
      <c r="A536" s="35" t="str">
        <f t="shared" si="46"/>
        <v>M247/2646118</v>
      </c>
      <c r="B536" s="362"/>
      <c r="C536" s="141" t="s">
        <v>24</v>
      </c>
      <c r="D536" s="358">
        <v>533</v>
      </c>
      <c r="E536" s="141" t="s">
        <v>3935</v>
      </c>
      <c r="F536" s="141" t="s">
        <v>34</v>
      </c>
      <c r="G536" s="128">
        <v>46118</v>
      </c>
      <c r="H536" s="141" t="s">
        <v>39</v>
      </c>
      <c r="I536" s="141">
        <v>25</v>
      </c>
      <c r="J536" s="359" t="str">
        <f>IFERROR(VLOOKUP($A536,#REF!,3,0),"")</f>
        <v/>
      </c>
      <c r="K536" s="359" t="str">
        <f>IFERROR(VLOOKUP($A536,#REF!,4,0),AF536)</f>
        <v>INT</v>
      </c>
      <c r="L536" s="359" t="str">
        <f>IFERROR(VLOOKUP($A536,#REF!,5,0),"")</f>
        <v/>
      </c>
      <c r="M536" s="359" t="str">
        <f>IFERROR(VLOOKUP($A536,#REF!,7,0),"")</f>
        <v/>
      </c>
      <c r="N536" s="359"/>
      <c r="O536" s="359" t="str">
        <f>IFERROR(VLOOKUP($A536,#REF!,6,0),"")</f>
        <v/>
      </c>
      <c r="P536" s="359" t="str">
        <f>IFERROR(VLOOKUP($A536,#REF!,9,0),"")</f>
        <v/>
      </c>
      <c r="Q536" s="359" t="str">
        <f>IFERROR(VLOOKUP($A536,#REF!,10,0),"")</f>
        <v/>
      </c>
      <c r="R536" s="359" t="str">
        <f>IFERROR(VLOOKUP($A536,#REF!,11,0),"")</f>
        <v/>
      </c>
      <c r="S536" s="359" t="str">
        <f>IFERROR(VLOOKUP($A536,#REF!,13,0),"")</f>
        <v/>
      </c>
      <c r="T536" s="359" t="str">
        <f>IFERROR(VLOOKUP($A536,#REF!,14,0),"")</f>
        <v/>
      </c>
      <c r="U536" s="359" t="str">
        <f>IFERROR(VLOOKUP($A536,#REF!,15,0),"")</f>
        <v/>
      </c>
      <c r="V536" s="359" t="str">
        <f>IFERROR(VLOOKUP($A536,#REF!,16,0),"")</f>
        <v/>
      </c>
      <c r="W536" s="359" t="str">
        <f>IFERROR(VLOOKUP($A536,#REF!,17,0),"")</f>
        <v/>
      </c>
      <c r="X536" s="359" t="str">
        <f>IFERROR(VLOOKUP($A536,#REF!,18,0),"")</f>
        <v/>
      </c>
      <c r="Y536" s="359" t="str">
        <f>IFERROR(VLOOKUP($A536,#REF!,19,0),"")</f>
        <v/>
      </c>
      <c r="Z536" s="400" t="str">
        <f>IFERROR(VLOOKUP($A536,#REF!,21,0),"")</f>
        <v/>
      </c>
      <c r="AA536" s="141"/>
      <c r="AB536" s="141"/>
      <c r="AC536" s="141" t="s">
        <v>1076</v>
      </c>
      <c r="AD536" s="141" t="s">
        <v>3357</v>
      </c>
      <c r="AE536" s="325" t="s">
        <v>3932</v>
      </c>
      <c r="AF536" s="141" t="s">
        <v>3077</v>
      </c>
      <c r="AG536" s="141" t="s">
        <v>2085</v>
      </c>
      <c r="AH536" s="358" t="s">
        <v>3930</v>
      </c>
      <c r="AI536" s="141"/>
      <c r="AJ536" s="279" t="s">
        <v>3934</v>
      </c>
      <c r="AK536" s="279"/>
      <c r="AL536" s="279"/>
      <c r="AM536" s="279"/>
      <c r="AN536" s="276"/>
      <c r="AO536" s="276"/>
      <c r="AP536" s="276"/>
      <c r="AQ536" s="320"/>
      <c r="AR536" s="277"/>
      <c r="AS536" s="250"/>
      <c r="AT536" s="250"/>
      <c r="AU536" s="250"/>
      <c r="AV536" s="250"/>
      <c r="AW536" s="100"/>
      <c r="AX536" s="100"/>
      <c r="AY536" s="100"/>
      <c r="AZ536" s="100"/>
      <c r="BA536" s="100"/>
      <c r="BB536" s="100"/>
      <c r="BC536" s="100"/>
      <c r="BD536" s="100"/>
      <c r="BE536" s="100"/>
      <c r="BF536" s="100"/>
      <c r="BG536" s="111"/>
      <c r="BH536" s="111"/>
      <c r="BI536" s="111"/>
      <c r="BJ536" s="111"/>
      <c r="BK536" s="100"/>
      <c r="BL536" s="100"/>
      <c r="BM536"/>
      <c r="BN536" s="412"/>
      <c r="BO536" s="412"/>
      <c r="BP536" s="412"/>
      <c r="BQ536" s="412"/>
      <c r="BR536" s="412"/>
      <c r="BS536" s="96"/>
      <c r="BT536" s="96"/>
      <c r="BU536" s="96"/>
      <c r="BV536" s="96"/>
      <c r="BW536"/>
    </row>
    <row r="537" spans="1:78" s="278" customFormat="1" ht="15.6" hidden="1" customHeight="1">
      <c r="A537" s="35" t="str">
        <f t="shared" si="46"/>
        <v>M248/2646118</v>
      </c>
      <c r="B537" s="362"/>
      <c r="C537" s="141" t="s">
        <v>24</v>
      </c>
      <c r="D537" s="358">
        <v>534</v>
      </c>
      <c r="E537" s="141" t="s">
        <v>3936</v>
      </c>
      <c r="F537" s="141" t="s">
        <v>34</v>
      </c>
      <c r="G537" s="128">
        <v>46118</v>
      </c>
      <c r="H537" s="141" t="s">
        <v>39</v>
      </c>
      <c r="I537" s="141">
        <v>25</v>
      </c>
      <c r="J537" s="359" t="str">
        <f>IFERROR(VLOOKUP($A537,#REF!,3,0),"")</f>
        <v/>
      </c>
      <c r="K537" s="359" t="str">
        <f>IFERROR(VLOOKUP($A537,#REF!,4,0),AF537)</f>
        <v>INT</v>
      </c>
      <c r="L537" s="359" t="str">
        <f>IFERROR(VLOOKUP($A537,#REF!,5,0),"")</f>
        <v/>
      </c>
      <c r="M537" s="359" t="str">
        <f>IFERROR(VLOOKUP($A537,#REF!,7,0),"")</f>
        <v/>
      </c>
      <c r="N537" s="359"/>
      <c r="O537" s="359" t="str">
        <f>IFERROR(VLOOKUP($A537,#REF!,6,0),"")</f>
        <v/>
      </c>
      <c r="P537" s="359" t="str">
        <f>IFERROR(VLOOKUP($A537,#REF!,9,0),"")</f>
        <v/>
      </c>
      <c r="Q537" s="359" t="str">
        <f>IFERROR(VLOOKUP($A537,#REF!,10,0),"")</f>
        <v/>
      </c>
      <c r="R537" s="359" t="str">
        <f>IFERROR(VLOOKUP($A537,#REF!,11,0),"")</f>
        <v/>
      </c>
      <c r="S537" s="359" t="str">
        <f>IFERROR(VLOOKUP($A537,#REF!,13,0),"")</f>
        <v/>
      </c>
      <c r="T537" s="359" t="str">
        <f>IFERROR(VLOOKUP($A537,#REF!,14,0),"")</f>
        <v/>
      </c>
      <c r="U537" s="359" t="str">
        <f>IFERROR(VLOOKUP($A537,#REF!,15,0),"")</f>
        <v/>
      </c>
      <c r="V537" s="359" t="str">
        <f>IFERROR(VLOOKUP($A537,#REF!,16,0),"")</f>
        <v/>
      </c>
      <c r="W537" s="359" t="str">
        <f>IFERROR(VLOOKUP($A537,#REF!,17,0),"")</f>
        <v/>
      </c>
      <c r="X537" s="359" t="str">
        <f>IFERROR(VLOOKUP($A537,#REF!,18,0),"")</f>
        <v/>
      </c>
      <c r="Y537" s="359" t="str">
        <f>IFERROR(VLOOKUP($A537,#REF!,19,0),"")</f>
        <v/>
      </c>
      <c r="Z537" s="400" t="str">
        <f>IFERROR(VLOOKUP($A537,#REF!,21,0),"")</f>
        <v/>
      </c>
      <c r="AA537" s="141"/>
      <c r="AB537" s="141"/>
      <c r="AC537" s="141" t="s">
        <v>1076</v>
      </c>
      <c r="AD537" s="141" t="s">
        <v>3357</v>
      </c>
      <c r="AE537" s="325" t="s">
        <v>3932</v>
      </c>
      <c r="AF537" s="141" t="s">
        <v>3077</v>
      </c>
      <c r="AG537" s="141" t="s">
        <v>2092</v>
      </c>
      <c r="AH537" s="358" t="s">
        <v>3930</v>
      </c>
      <c r="AI537" s="141"/>
      <c r="AJ537" s="279" t="s">
        <v>3934</v>
      </c>
      <c r="AK537" s="279"/>
      <c r="AL537" s="279"/>
      <c r="AM537" s="279"/>
      <c r="AN537" s="276"/>
      <c r="AO537" s="276"/>
      <c r="AP537" s="276"/>
      <c r="AQ537" s="320"/>
      <c r="AR537" s="277"/>
      <c r="AS537" s="250"/>
      <c r="AT537" s="250"/>
      <c r="AU537" s="250"/>
      <c r="AV537" s="250"/>
      <c r="AW537" s="100"/>
      <c r="AX537" s="100"/>
      <c r="AY537" s="100"/>
      <c r="AZ537" s="100"/>
      <c r="BA537" s="100"/>
      <c r="BB537" s="100"/>
      <c r="BC537" s="100"/>
      <c r="BD537" s="100"/>
      <c r="BE537" s="100"/>
      <c r="BF537" s="100"/>
      <c r="BG537" s="111"/>
      <c r="BH537" s="111"/>
      <c r="BI537" s="111"/>
      <c r="BJ537" s="111"/>
      <c r="BK537" s="100"/>
      <c r="BL537" s="100"/>
      <c r="BM537"/>
      <c r="BN537" s="412"/>
      <c r="BO537" s="412"/>
      <c r="BP537" s="412"/>
      <c r="BQ537" s="412"/>
      <c r="BR537" s="412"/>
      <c r="BS537" s="96"/>
      <c r="BT537" s="96"/>
      <c r="BU537" s="96"/>
      <c r="BV537" s="96"/>
      <c r="BW537"/>
    </row>
    <row r="538" spans="1:78" ht="15.6" hidden="1" customHeight="1">
      <c r="A538" s="35" t="str">
        <f t="shared" si="46"/>
        <v>M188/2646119</v>
      </c>
      <c r="C538" s="358" t="s">
        <v>24</v>
      </c>
      <c r="D538" s="358">
        <v>535</v>
      </c>
      <c r="E538" s="141" t="s">
        <v>3937</v>
      </c>
      <c r="F538" s="141" t="s">
        <v>102</v>
      </c>
      <c r="G538" s="128">
        <v>46119</v>
      </c>
      <c r="H538" s="141" t="s">
        <v>3938</v>
      </c>
      <c r="I538" s="141">
        <v>10</v>
      </c>
      <c r="J538" s="359" t="str">
        <f>IFERROR(VLOOKUP($A538,#REF!,3,0),"")</f>
        <v/>
      </c>
      <c r="K538" s="359">
        <f>IFERROR(VLOOKUP($A538,#REF!,4,0),AF538)</f>
        <v>0</v>
      </c>
      <c r="L538" s="359" t="str">
        <f>IFERROR(VLOOKUP($A538,#REF!,5,0),"")</f>
        <v/>
      </c>
      <c r="M538" s="359" t="str">
        <f>IFERROR(VLOOKUP($A538,#REF!,7,0),"")</f>
        <v/>
      </c>
      <c r="N538" s="359"/>
      <c r="O538" s="359" t="str">
        <f>IFERROR(VLOOKUP($A538,#REF!,6,0),"")</f>
        <v/>
      </c>
      <c r="P538" s="359" t="str">
        <f>IFERROR(VLOOKUP($A538,#REF!,9,0),"")</f>
        <v/>
      </c>
      <c r="Q538" s="359" t="str">
        <f>IFERROR(VLOOKUP($A538,#REF!,10,0),"")</f>
        <v/>
      </c>
      <c r="R538" s="359" t="str">
        <f>IFERROR(VLOOKUP($A538,#REF!,11,0),"")</f>
        <v/>
      </c>
      <c r="S538" s="359" t="str">
        <f>IFERROR(VLOOKUP($A538,#REF!,13,0),"")</f>
        <v/>
      </c>
      <c r="T538" s="359" t="str">
        <f>IFERROR(VLOOKUP($A538,#REF!,14,0),"")</f>
        <v/>
      </c>
      <c r="U538" s="359" t="str">
        <f>IFERROR(VLOOKUP($A538,#REF!,15,0),"")</f>
        <v/>
      </c>
      <c r="V538" s="359" t="str">
        <f>IFERROR(VLOOKUP($A538,#REF!,16,0),"")</f>
        <v/>
      </c>
      <c r="W538" s="359" t="str">
        <f>IFERROR(VLOOKUP($A538,#REF!,17,0),"")</f>
        <v/>
      </c>
      <c r="X538" s="359" t="str">
        <f>IFERROR(VLOOKUP($A538,#REF!,18,0),"")</f>
        <v/>
      </c>
      <c r="Y538" s="359" t="str">
        <f>IFERROR(VLOOKUP($A538,#REF!,19,0),"")</f>
        <v/>
      </c>
      <c r="Z538" s="400" t="str">
        <f>IFERROR(VLOOKUP($A538,#REF!,21,0),"")</f>
        <v/>
      </c>
      <c r="AA538" s="141"/>
      <c r="AB538" s="141"/>
      <c r="AC538" s="141" t="s">
        <v>3075</v>
      </c>
      <c r="AD538" s="141" t="s">
        <v>47</v>
      </c>
      <c r="AE538" s="358" t="s">
        <v>3939</v>
      </c>
      <c r="AF538" s="141"/>
      <c r="AG538" s="102" t="s">
        <v>3940</v>
      </c>
      <c r="AH538" s="358"/>
      <c r="AI538" s="358"/>
      <c r="AJ538" s="380" t="s">
        <v>3761</v>
      </c>
      <c r="AK538" s="380"/>
      <c r="AL538" s="380"/>
      <c r="AM538" s="380"/>
      <c r="AN538" s="120"/>
      <c r="AO538" s="120"/>
      <c r="AP538" s="120"/>
      <c r="AQ538" s="313"/>
      <c r="AR538" s="119"/>
      <c r="AS538" s="22"/>
      <c r="AT538" s="22"/>
      <c r="AU538" s="22"/>
      <c r="AV538" s="2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112"/>
      <c r="BH538" s="112"/>
      <c r="BI538" s="112"/>
      <c r="BJ538" s="112"/>
      <c r="BK538" s="82"/>
      <c r="BL538" s="82"/>
      <c r="BN538" s="412"/>
      <c r="BO538" s="412"/>
      <c r="BP538" s="412"/>
      <c r="BQ538" s="412"/>
      <c r="BR538" s="412"/>
      <c r="BZ538">
        <f t="shared" si="40"/>
        <v>1</v>
      </c>
    </row>
    <row r="539" spans="1:78" ht="15.6" hidden="1" customHeight="1">
      <c r="A539" s="35" t="str">
        <f t="shared" si="46"/>
        <v>M119/2646122</v>
      </c>
      <c r="C539" s="358" t="s">
        <v>24</v>
      </c>
      <c r="D539" s="358">
        <v>536</v>
      </c>
      <c r="E539" s="141" t="s">
        <v>3941</v>
      </c>
      <c r="F539" s="141" t="s">
        <v>270</v>
      </c>
      <c r="G539" s="128">
        <v>46122</v>
      </c>
      <c r="H539" s="141" t="s">
        <v>3445</v>
      </c>
      <c r="I539" s="141">
        <v>19</v>
      </c>
      <c r="J539" s="359" t="str">
        <f>IFERROR(VLOOKUP($A539,#REF!,3,0),"")</f>
        <v/>
      </c>
      <c r="K539" s="359">
        <f>IFERROR(VLOOKUP($A539,#REF!,4,0),AF539)</f>
        <v>0</v>
      </c>
      <c r="L539" s="359" t="str">
        <f>IFERROR(VLOOKUP($A539,#REF!,5,0),"")</f>
        <v/>
      </c>
      <c r="M539" s="359" t="str">
        <f>IFERROR(VLOOKUP($A539,#REF!,7,0),"")</f>
        <v/>
      </c>
      <c r="N539" s="359"/>
      <c r="O539" s="359" t="str">
        <f>IFERROR(VLOOKUP($A539,#REF!,6,0),"")</f>
        <v/>
      </c>
      <c r="P539" s="359" t="str">
        <f>IFERROR(VLOOKUP($A539,#REF!,9,0),"")</f>
        <v/>
      </c>
      <c r="Q539" s="359" t="str">
        <f>IFERROR(VLOOKUP($A539,#REF!,10,0),"")</f>
        <v/>
      </c>
      <c r="R539" s="359" t="str">
        <f>IFERROR(VLOOKUP($A539,#REF!,11,0),"")</f>
        <v/>
      </c>
      <c r="S539" s="359" t="str">
        <f>IFERROR(VLOOKUP($A539,#REF!,13,0),"")</f>
        <v/>
      </c>
      <c r="T539" s="359" t="str">
        <f>IFERROR(VLOOKUP($A539,#REF!,14,0),"")</f>
        <v/>
      </c>
      <c r="U539" s="359" t="str">
        <f>IFERROR(VLOOKUP($A539,#REF!,15,0),"")</f>
        <v/>
      </c>
      <c r="V539" s="359" t="str">
        <f>IFERROR(VLOOKUP($A539,#REF!,16,0),"")</f>
        <v/>
      </c>
      <c r="W539" s="359" t="str">
        <f>IFERROR(VLOOKUP($A539,#REF!,17,0),"")</f>
        <v/>
      </c>
      <c r="X539" s="359" t="str">
        <f>IFERROR(VLOOKUP($A539,#REF!,18,0),"")</f>
        <v/>
      </c>
      <c r="Y539" s="359" t="str">
        <f>IFERROR(VLOOKUP($A539,#REF!,19,0),"")</f>
        <v/>
      </c>
      <c r="Z539" s="400" t="str">
        <f>IFERROR(VLOOKUP($A539,#REF!,21,0),"")</f>
        <v/>
      </c>
      <c r="AA539" s="141"/>
      <c r="AB539" s="141"/>
      <c r="AC539" s="141" t="s">
        <v>1077</v>
      </c>
      <c r="AD539" s="141" t="s">
        <v>1138</v>
      </c>
      <c r="AE539" s="358"/>
      <c r="AF539" s="141"/>
      <c r="AG539" s="141" t="s">
        <v>2203</v>
      </c>
      <c r="AH539" s="358" t="s">
        <v>3942</v>
      </c>
      <c r="AI539" s="358" t="s">
        <v>3942</v>
      </c>
      <c r="AJ539" s="380" t="s">
        <v>3765</v>
      </c>
      <c r="AK539" s="380"/>
      <c r="AL539" s="380"/>
      <c r="AM539" s="380"/>
      <c r="AN539" s="120"/>
      <c r="AO539" s="120"/>
      <c r="AP539" s="120"/>
      <c r="AQ539" s="313"/>
      <c r="AR539" s="119"/>
      <c r="AS539" s="22"/>
      <c r="AT539" s="22"/>
      <c r="AU539" s="22"/>
      <c r="AV539" s="2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112"/>
      <c r="BH539" s="112"/>
      <c r="BI539" s="112"/>
      <c r="BJ539" s="112"/>
      <c r="BK539" s="82"/>
      <c r="BL539" s="82"/>
      <c r="BN539" s="412"/>
      <c r="BO539" s="412"/>
      <c r="BP539" s="412"/>
      <c r="BQ539" s="412"/>
      <c r="BR539" s="412"/>
      <c r="BZ539">
        <f t="shared" si="40"/>
        <v>1</v>
      </c>
    </row>
    <row r="540" spans="1:78" ht="15.6" hidden="1" customHeight="1">
      <c r="A540" s="35" t="str">
        <f t="shared" si="46"/>
        <v>084/2646122</v>
      </c>
      <c r="C540" s="358" t="s">
        <v>24</v>
      </c>
      <c r="D540" s="358">
        <v>537</v>
      </c>
      <c r="E540" s="141" t="s">
        <v>3943</v>
      </c>
      <c r="F540" s="141" t="s">
        <v>606</v>
      </c>
      <c r="G540" s="128">
        <v>46122</v>
      </c>
      <c r="H540" s="141" t="s">
        <v>674</v>
      </c>
      <c r="I540" s="141">
        <v>15</v>
      </c>
      <c r="J540" s="359" t="str">
        <f>IFERROR(VLOOKUP($A540,#REF!,3,0),"")</f>
        <v/>
      </c>
      <c r="K540" s="359">
        <f>IFERROR(VLOOKUP($A540,#REF!,4,0),AF540)</f>
        <v>0</v>
      </c>
      <c r="L540" s="359" t="str">
        <f>IFERROR(VLOOKUP($A540,#REF!,5,0),"")</f>
        <v/>
      </c>
      <c r="M540" s="359" t="str">
        <f>IFERROR(VLOOKUP($A540,#REF!,7,0),"")</f>
        <v/>
      </c>
      <c r="N540" s="359"/>
      <c r="O540" s="359" t="str">
        <f>IFERROR(VLOOKUP($A540,#REF!,6,0),"")</f>
        <v/>
      </c>
      <c r="P540" s="359" t="str">
        <f>IFERROR(VLOOKUP($A540,#REF!,9,0),"")</f>
        <v/>
      </c>
      <c r="Q540" s="359" t="str">
        <f>IFERROR(VLOOKUP($A540,#REF!,10,0),"")</f>
        <v/>
      </c>
      <c r="R540" s="359" t="str">
        <f>IFERROR(VLOOKUP($A540,#REF!,11,0),"")</f>
        <v/>
      </c>
      <c r="S540" s="359" t="str">
        <f>IFERROR(VLOOKUP($A540,#REF!,13,0),"")</f>
        <v/>
      </c>
      <c r="T540" s="359" t="str">
        <f>IFERROR(VLOOKUP($A540,#REF!,14,0),"")</f>
        <v/>
      </c>
      <c r="U540" s="359" t="str">
        <f>IFERROR(VLOOKUP($A540,#REF!,15,0),"")</f>
        <v/>
      </c>
      <c r="V540" s="359" t="str">
        <f>IFERROR(VLOOKUP($A540,#REF!,16,0),"")</f>
        <v/>
      </c>
      <c r="W540" s="359" t="str">
        <f>IFERROR(VLOOKUP($A540,#REF!,17,0),"")</f>
        <v/>
      </c>
      <c r="X540" s="359" t="str">
        <f>IFERROR(VLOOKUP($A540,#REF!,18,0),"")</f>
        <v/>
      </c>
      <c r="Y540" s="359" t="str">
        <f>IFERROR(VLOOKUP($A540,#REF!,19,0),"")</f>
        <v/>
      </c>
      <c r="Z540" s="400" t="str">
        <f>IFERROR(VLOOKUP($A540,#REF!,21,0),"")</f>
        <v/>
      </c>
      <c r="AA540" s="141"/>
      <c r="AB540" s="141"/>
      <c r="AC540" s="141" t="s">
        <v>1721</v>
      </c>
      <c r="AD540" s="141" t="s">
        <v>1638</v>
      </c>
      <c r="AE540" s="358" t="s">
        <v>3944</v>
      </c>
      <c r="AF540" s="141"/>
      <c r="AG540" s="102" t="s">
        <v>3940</v>
      </c>
      <c r="AH540" s="358"/>
      <c r="AI540" s="358"/>
      <c r="AJ540" s="380" t="s">
        <v>3945</v>
      </c>
      <c r="AK540" s="380"/>
      <c r="AL540" s="380"/>
      <c r="AM540" s="380"/>
      <c r="AN540" s="120"/>
      <c r="AO540" s="120"/>
      <c r="AP540" s="120"/>
      <c r="AQ540" s="313"/>
      <c r="AR540" s="119"/>
      <c r="AS540" s="22"/>
      <c r="AT540" s="22"/>
      <c r="AU540" s="22"/>
      <c r="AV540" s="2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112"/>
      <c r="BH540" s="112"/>
      <c r="BI540" s="112"/>
      <c r="BJ540" s="112"/>
      <c r="BK540" s="82"/>
      <c r="BL540" s="82"/>
      <c r="BN540" s="412"/>
      <c r="BO540" s="412"/>
      <c r="BP540" s="412"/>
      <c r="BQ540" s="412"/>
      <c r="BR540" s="412"/>
      <c r="BZ540">
        <f t="shared" si="40"/>
        <v>1</v>
      </c>
    </row>
    <row r="541" spans="1:78" ht="15.6" hidden="1" customHeight="1">
      <c r="A541" s="35" t="str">
        <f t="shared" si="46"/>
        <v>46122</v>
      </c>
      <c r="C541" s="358" t="s">
        <v>24</v>
      </c>
      <c r="D541" s="358">
        <v>538</v>
      </c>
      <c r="E541" s="141"/>
      <c r="F541" s="102" t="s">
        <v>34</v>
      </c>
      <c r="G541" s="249">
        <v>46122</v>
      </c>
      <c r="H541" s="102" t="s">
        <v>202</v>
      </c>
      <c r="I541" s="102">
        <v>15</v>
      </c>
      <c r="J541" s="359" t="str">
        <f>IFERROR(VLOOKUP($A541,#REF!,3,0),"")</f>
        <v/>
      </c>
      <c r="K541" s="359">
        <f>IFERROR(VLOOKUP($A541,#REF!,4,0),AF541)</f>
        <v>0</v>
      </c>
      <c r="L541" s="359" t="str">
        <f>IFERROR(VLOOKUP($A541,#REF!,5,0),"")</f>
        <v/>
      </c>
      <c r="M541" s="359" t="str">
        <f>IFERROR(VLOOKUP($A541,#REF!,7,0),"")</f>
        <v/>
      </c>
      <c r="N541" s="359"/>
      <c r="O541" s="359" t="str">
        <f>IFERROR(VLOOKUP($A541,#REF!,6,0),"")</f>
        <v/>
      </c>
      <c r="P541" s="359" t="str">
        <f>IFERROR(VLOOKUP($A541,#REF!,9,0),"")</f>
        <v/>
      </c>
      <c r="Q541" s="359" t="str">
        <f>IFERROR(VLOOKUP($A541,#REF!,10,0),"")</f>
        <v/>
      </c>
      <c r="R541" s="359" t="str">
        <f>IFERROR(VLOOKUP($A541,#REF!,11,0),"")</f>
        <v/>
      </c>
      <c r="S541" s="359" t="str">
        <f>IFERROR(VLOOKUP($A541,#REF!,13,0),"")</f>
        <v/>
      </c>
      <c r="T541" s="359" t="str">
        <f>IFERROR(VLOOKUP($A541,#REF!,14,0),"")</f>
        <v/>
      </c>
      <c r="U541" s="359" t="str">
        <f>IFERROR(VLOOKUP($A541,#REF!,15,0),"")</f>
        <v/>
      </c>
      <c r="V541" s="359" t="str">
        <f>IFERROR(VLOOKUP($A541,#REF!,16,0),"")</f>
        <v/>
      </c>
      <c r="W541" s="359" t="str">
        <f>IFERROR(VLOOKUP($A541,#REF!,17,0),"")</f>
        <v/>
      </c>
      <c r="X541" s="359" t="str">
        <f>IFERROR(VLOOKUP($A541,#REF!,18,0),"")</f>
        <v/>
      </c>
      <c r="Y541" s="359" t="str">
        <f>IFERROR(VLOOKUP($A541,#REF!,19,0),"")</f>
        <v/>
      </c>
      <c r="Z541" s="400" t="str">
        <f>IFERROR(VLOOKUP($A541,#REF!,21,0),"")</f>
        <v/>
      </c>
      <c r="AA541" s="102"/>
      <c r="AB541" s="102"/>
      <c r="AC541" s="102" t="s">
        <v>127</v>
      </c>
      <c r="AD541" s="102" t="s">
        <v>178</v>
      </c>
      <c r="AE541" s="102" t="s">
        <v>3946</v>
      </c>
      <c r="AF541" s="141"/>
      <c r="AG541" s="358"/>
      <c r="AH541" s="358"/>
      <c r="AI541" s="358"/>
      <c r="AJ541" s="380"/>
      <c r="AK541" s="380"/>
      <c r="AL541" s="380"/>
      <c r="AM541" s="380"/>
      <c r="AN541" s="120"/>
      <c r="AO541" s="120"/>
      <c r="AP541" s="120"/>
      <c r="AQ541" s="313"/>
      <c r="AR541" s="119"/>
      <c r="AS541" s="22"/>
      <c r="AT541" s="22"/>
      <c r="AU541" s="22"/>
      <c r="AV541" s="2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112"/>
      <c r="BH541" s="112"/>
      <c r="BI541" s="112"/>
      <c r="BJ541" s="112"/>
      <c r="BK541" s="82"/>
      <c r="BL541" s="82"/>
      <c r="BN541" s="412"/>
      <c r="BO541" s="412"/>
      <c r="BP541" s="412"/>
      <c r="BQ541" s="412"/>
      <c r="BR541" s="412"/>
      <c r="BZ541">
        <f t="shared" si="40"/>
        <v>1</v>
      </c>
    </row>
    <row r="542" spans="1:78" ht="15.6" hidden="1" customHeight="1">
      <c r="A542" s="35" t="str">
        <f t="shared" si="46"/>
        <v>M170/2646123</v>
      </c>
      <c r="C542" s="358" t="s">
        <v>24</v>
      </c>
      <c r="D542" s="358">
        <v>539</v>
      </c>
      <c r="E542" s="358" t="s">
        <v>3947</v>
      </c>
      <c r="F542" s="358" t="s">
        <v>34</v>
      </c>
      <c r="G542" s="384">
        <v>46123</v>
      </c>
      <c r="H542" s="358" t="s">
        <v>368</v>
      </c>
      <c r="I542" s="358">
        <v>10</v>
      </c>
      <c r="J542" s="359" t="str">
        <f>IFERROR(VLOOKUP($A542,#REF!,3,0),"")</f>
        <v/>
      </c>
      <c r="K542" s="359">
        <f>IFERROR(VLOOKUP($A542,#REF!,4,0),AF542)</f>
        <v>0</v>
      </c>
      <c r="L542" s="359" t="str">
        <f>IFERROR(VLOOKUP($A542,#REF!,5,0),"")</f>
        <v/>
      </c>
      <c r="M542" s="359" t="str">
        <f>IFERROR(VLOOKUP($A542,#REF!,7,0),"")</f>
        <v/>
      </c>
      <c r="N542" s="359"/>
      <c r="O542" s="359" t="str">
        <f>IFERROR(VLOOKUP($A542,#REF!,6,0),"")</f>
        <v/>
      </c>
      <c r="P542" s="359" t="str">
        <f>IFERROR(VLOOKUP($A542,#REF!,9,0),"")</f>
        <v/>
      </c>
      <c r="Q542" s="359" t="str">
        <f>IFERROR(VLOOKUP($A542,#REF!,10,0),"")</f>
        <v/>
      </c>
      <c r="R542" s="359" t="str">
        <f>IFERROR(VLOOKUP($A542,#REF!,11,0),"")</f>
        <v/>
      </c>
      <c r="S542" s="359" t="str">
        <f>IFERROR(VLOOKUP($A542,#REF!,13,0),"")</f>
        <v/>
      </c>
      <c r="T542" s="359" t="str">
        <f>IFERROR(VLOOKUP($A542,#REF!,14,0),"")</f>
        <v/>
      </c>
      <c r="U542" s="359" t="str">
        <f>IFERROR(VLOOKUP($A542,#REF!,15,0),"")</f>
        <v/>
      </c>
      <c r="V542" s="359" t="str">
        <f>IFERROR(VLOOKUP($A542,#REF!,16,0),"")</f>
        <v/>
      </c>
      <c r="W542" s="359" t="str">
        <f>IFERROR(VLOOKUP($A542,#REF!,17,0),"")</f>
        <v/>
      </c>
      <c r="X542" s="359" t="str">
        <f>IFERROR(VLOOKUP($A542,#REF!,18,0),"")</f>
        <v/>
      </c>
      <c r="Y542" s="359" t="str">
        <f>IFERROR(VLOOKUP($A542,#REF!,19,0),"")</f>
        <v/>
      </c>
      <c r="Z542" s="400" t="str">
        <f>IFERROR(VLOOKUP($A542,#REF!,21,0),"")</f>
        <v/>
      </c>
      <c r="AA542" s="358"/>
      <c r="AB542" s="358"/>
      <c r="AC542" s="358" t="s">
        <v>1077</v>
      </c>
      <c r="AD542" s="358" t="s">
        <v>1138</v>
      </c>
      <c r="AE542" s="358" t="s">
        <v>3939</v>
      </c>
      <c r="AF542" s="141"/>
      <c r="AG542" s="358"/>
      <c r="AH542" s="358"/>
      <c r="AI542" s="358"/>
      <c r="AJ542" s="279" t="s">
        <v>3948</v>
      </c>
      <c r="AK542" s="279"/>
      <c r="AL542" s="279"/>
      <c r="AM542" s="279"/>
      <c r="AN542" s="120"/>
      <c r="AO542" s="120"/>
      <c r="AP542" s="120"/>
      <c r="AQ542" s="313"/>
      <c r="AR542" s="119"/>
      <c r="AS542" s="22"/>
      <c r="AT542" s="22"/>
      <c r="AU542" s="22"/>
      <c r="AV542" s="22"/>
      <c r="AW542" s="82"/>
      <c r="AX542" s="82"/>
      <c r="AY542" s="82"/>
      <c r="AZ542" s="82"/>
      <c r="BA542" s="82"/>
      <c r="BB542" s="82"/>
      <c r="BC542" s="82"/>
      <c r="BD542" s="82"/>
      <c r="BE542" s="82"/>
      <c r="BF542" s="82"/>
      <c r="BG542" s="112"/>
      <c r="BH542" s="112"/>
      <c r="BI542" s="112"/>
      <c r="BJ542" s="112"/>
      <c r="BK542" s="82"/>
      <c r="BL542" s="82"/>
      <c r="BN542" s="412"/>
      <c r="BO542" s="412"/>
      <c r="BP542" s="412"/>
      <c r="BQ542" s="412"/>
      <c r="BR542" s="412"/>
      <c r="BZ542">
        <f t="shared" si="40"/>
        <v>1</v>
      </c>
    </row>
    <row r="543" spans="1:78" ht="15.6" hidden="1" customHeight="1">
      <c r="A543" s="35" t="str">
        <f t="shared" si="46"/>
        <v>M172/2646123</v>
      </c>
      <c r="C543" s="358" t="s">
        <v>24</v>
      </c>
      <c r="D543" s="358">
        <v>540</v>
      </c>
      <c r="E543" s="358" t="s">
        <v>3949</v>
      </c>
      <c r="F543" s="358" t="s">
        <v>34</v>
      </c>
      <c r="G543" s="384">
        <v>46123</v>
      </c>
      <c r="H543" s="358" t="s">
        <v>1929</v>
      </c>
      <c r="I543" s="358">
        <v>12</v>
      </c>
      <c r="J543" s="359" t="str">
        <f>IFERROR(VLOOKUP($A543,#REF!,3,0),"")</f>
        <v/>
      </c>
      <c r="K543" s="359">
        <f>IFERROR(VLOOKUP($A543,#REF!,4,0),AF543)</f>
        <v>0</v>
      </c>
      <c r="L543" s="359" t="str">
        <f>IFERROR(VLOOKUP($A543,#REF!,5,0),"")</f>
        <v/>
      </c>
      <c r="M543" s="359" t="str">
        <f>IFERROR(VLOOKUP($A543,#REF!,7,0),"")</f>
        <v/>
      </c>
      <c r="N543" s="359"/>
      <c r="O543" s="359" t="str">
        <f>IFERROR(VLOOKUP($A543,#REF!,6,0),"")</f>
        <v/>
      </c>
      <c r="P543" s="359" t="str">
        <f>IFERROR(VLOOKUP($A543,#REF!,9,0),"")</f>
        <v/>
      </c>
      <c r="Q543" s="359" t="str">
        <f>IFERROR(VLOOKUP($A543,#REF!,10,0),"")</f>
        <v/>
      </c>
      <c r="R543" s="359" t="str">
        <f>IFERROR(VLOOKUP($A543,#REF!,11,0),"")</f>
        <v/>
      </c>
      <c r="S543" s="359" t="str">
        <f>IFERROR(VLOOKUP($A543,#REF!,13,0),"")</f>
        <v/>
      </c>
      <c r="T543" s="359" t="str">
        <f>IFERROR(VLOOKUP($A543,#REF!,14,0),"")</f>
        <v/>
      </c>
      <c r="U543" s="359" t="str">
        <f>IFERROR(VLOOKUP($A543,#REF!,15,0),"")</f>
        <v/>
      </c>
      <c r="V543" s="359" t="str">
        <f>IFERROR(VLOOKUP($A543,#REF!,16,0),"")</f>
        <v/>
      </c>
      <c r="W543" s="359" t="str">
        <f>IFERROR(VLOOKUP($A543,#REF!,17,0),"")</f>
        <v/>
      </c>
      <c r="X543" s="359" t="str">
        <f>IFERROR(VLOOKUP($A543,#REF!,18,0),"")</f>
        <v/>
      </c>
      <c r="Y543" s="359" t="str">
        <f>IFERROR(VLOOKUP($A543,#REF!,19,0),"")</f>
        <v/>
      </c>
      <c r="Z543" s="400" t="str">
        <f>IFERROR(VLOOKUP($A543,#REF!,21,0),"")</f>
        <v/>
      </c>
      <c r="AA543" s="358"/>
      <c r="AB543" s="358"/>
      <c r="AC543" s="358" t="s">
        <v>1077</v>
      </c>
      <c r="AD543" s="358" t="s">
        <v>1138</v>
      </c>
      <c r="AE543" s="358" t="s">
        <v>3950</v>
      </c>
      <c r="AF543" s="141"/>
      <c r="AG543" s="358"/>
      <c r="AH543" s="358"/>
      <c r="AI543" s="358"/>
      <c r="AJ543" s="102" t="s">
        <v>3951</v>
      </c>
      <c r="AK543" s="102"/>
      <c r="AL543" s="102"/>
      <c r="AM543" s="102"/>
      <c r="AN543" s="120"/>
      <c r="AO543" s="120"/>
      <c r="AP543" s="120"/>
      <c r="AQ543" s="313"/>
      <c r="AR543" s="119"/>
      <c r="AS543" s="22"/>
      <c r="AT543" s="22"/>
      <c r="AU543" s="22"/>
      <c r="AV543" s="22"/>
      <c r="AW543" s="82"/>
      <c r="AX543" s="82"/>
      <c r="AY543" s="82"/>
      <c r="AZ543" s="82"/>
      <c r="BA543" s="82"/>
      <c r="BB543" s="82"/>
      <c r="BC543" s="82"/>
      <c r="BD543" s="82"/>
      <c r="BE543" s="82"/>
      <c r="BF543" s="82"/>
      <c r="BG543" s="112"/>
      <c r="BH543" s="112"/>
      <c r="BI543" s="112"/>
      <c r="BJ543" s="112"/>
      <c r="BK543" s="82"/>
      <c r="BL543" s="82"/>
      <c r="BN543" s="412"/>
      <c r="BO543" s="412"/>
      <c r="BP543" s="412"/>
      <c r="BQ543" s="412"/>
      <c r="BR543" s="412"/>
      <c r="BZ543">
        <f t="shared" ref="BZ543:BZ635" si="53">IF(G543&gt;1,1,"")</f>
        <v>1</v>
      </c>
    </row>
    <row r="544" spans="1:78" ht="15.6" hidden="1" customHeight="1">
      <c r="A544" s="35" t="str">
        <f t="shared" si="46"/>
        <v>019/2646123</v>
      </c>
      <c r="C544" s="358" t="s">
        <v>24</v>
      </c>
      <c r="D544" s="358">
        <v>541</v>
      </c>
      <c r="E544" s="358" t="s">
        <v>3952</v>
      </c>
      <c r="F544" s="358" t="s">
        <v>34</v>
      </c>
      <c r="G544" s="384">
        <v>46123</v>
      </c>
      <c r="H544" s="358" t="s">
        <v>65</v>
      </c>
      <c r="I544" s="358">
        <v>20</v>
      </c>
      <c r="J544" s="359" t="str">
        <f>IFERROR(VLOOKUP($A544,#REF!,3,0),"")</f>
        <v/>
      </c>
      <c r="K544" s="359" t="str">
        <f>IFERROR(VLOOKUP($A544,#REF!,4,0),AF544)</f>
        <v>INT</v>
      </c>
      <c r="L544" s="359" t="str">
        <f>IFERROR(VLOOKUP($A544,#REF!,5,0),"")</f>
        <v/>
      </c>
      <c r="M544" s="359" t="str">
        <f>IFERROR(VLOOKUP($A544,#REF!,7,0),"")</f>
        <v/>
      </c>
      <c r="N544" s="359"/>
      <c r="O544" s="359" t="str">
        <f>IFERROR(VLOOKUP($A544,#REF!,6,0),"")</f>
        <v/>
      </c>
      <c r="P544" s="359" t="str">
        <f>IFERROR(VLOOKUP($A544,#REF!,9,0),"")</f>
        <v/>
      </c>
      <c r="Q544" s="359" t="str">
        <f>IFERROR(VLOOKUP($A544,#REF!,10,0),"")</f>
        <v/>
      </c>
      <c r="R544" s="359" t="str">
        <f>IFERROR(VLOOKUP($A544,#REF!,11,0),"")</f>
        <v/>
      </c>
      <c r="S544" s="359" t="str">
        <f>IFERROR(VLOOKUP($A544,#REF!,13,0),"")</f>
        <v/>
      </c>
      <c r="T544" s="359" t="str">
        <f>IFERROR(VLOOKUP($A544,#REF!,14,0),"")</f>
        <v/>
      </c>
      <c r="U544" s="359" t="str">
        <f>IFERROR(VLOOKUP($A544,#REF!,15,0),"")</f>
        <v/>
      </c>
      <c r="V544" s="359" t="str">
        <f>IFERROR(VLOOKUP($A544,#REF!,16,0),"")</f>
        <v/>
      </c>
      <c r="W544" s="359" t="str">
        <f>IFERROR(VLOOKUP($A544,#REF!,17,0),"")</f>
        <v/>
      </c>
      <c r="X544" s="359" t="str">
        <f>IFERROR(VLOOKUP($A544,#REF!,18,0),"")</f>
        <v/>
      </c>
      <c r="Y544" s="359" t="str">
        <f>IFERROR(VLOOKUP($A544,#REF!,19,0),"")</f>
        <v/>
      </c>
      <c r="Z544" s="400" t="str">
        <f>IFERROR(VLOOKUP($A544,#REF!,21,0),"")</f>
        <v/>
      </c>
      <c r="AA544" s="358"/>
      <c r="AB544" s="358"/>
      <c r="AC544" s="358" t="s">
        <v>1721</v>
      </c>
      <c r="AD544" s="358" t="s">
        <v>1638</v>
      </c>
      <c r="AE544" s="358"/>
      <c r="AF544" s="141" t="s">
        <v>3077</v>
      </c>
      <c r="AG544" s="358" t="s">
        <v>2052</v>
      </c>
      <c r="AH544" s="358"/>
      <c r="AI544" s="358"/>
      <c r="AJ544" s="141" t="s">
        <v>3701</v>
      </c>
      <c r="AK544" s="141"/>
      <c r="AL544" s="141"/>
      <c r="AM544" s="141"/>
      <c r="AN544" s="120"/>
      <c r="AO544" s="120"/>
      <c r="AP544" s="120"/>
      <c r="AQ544" s="313"/>
      <c r="AR544" s="119"/>
      <c r="AS544" s="22"/>
      <c r="AT544" s="22"/>
      <c r="AU544" s="22"/>
      <c r="AV544" s="22"/>
      <c r="AW544" s="82"/>
      <c r="AX544" s="82"/>
      <c r="AY544" s="82"/>
      <c r="AZ544" s="82"/>
      <c r="BA544" s="82"/>
      <c r="BB544" s="82"/>
      <c r="BC544" s="82"/>
      <c r="BD544" s="82"/>
      <c r="BE544" s="82"/>
      <c r="BF544" s="82"/>
      <c r="BG544" s="112"/>
      <c r="BH544" s="112"/>
      <c r="BI544" s="112"/>
      <c r="BJ544" s="112"/>
      <c r="BK544" s="82"/>
      <c r="BL544" s="82"/>
      <c r="BN544" s="412"/>
      <c r="BO544" s="412"/>
      <c r="BP544" s="412"/>
      <c r="BQ544" s="412"/>
      <c r="BR544" s="412"/>
      <c r="BZ544">
        <f t="shared" si="53"/>
        <v>1</v>
      </c>
    </row>
    <row r="545" spans="1:78" ht="15.6" hidden="1" customHeight="1">
      <c r="A545" s="35" t="str">
        <f t="shared" si="46"/>
        <v>M184/2646123</v>
      </c>
      <c r="C545" s="358" t="s">
        <v>24</v>
      </c>
      <c r="D545" s="358">
        <v>542</v>
      </c>
      <c r="E545" s="358" t="s">
        <v>3953</v>
      </c>
      <c r="F545" s="358" t="s">
        <v>102</v>
      </c>
      <c r="G545" s="384">
        <v>46123</v>
      </c>
      <c r="H545" s="358" t="s">
        <v>912</v>
      </c>
      <c r="I545" s="358">
        <v>15</v>
      </c>
      <c r="J545" s="359" t="str">
        <f>IFERROR(VLOOKUP($A545,#REF!,3,0),"")</f>
        <v/>
      </c>
      <c r="K545" s="359">
        <f>IFERROR(VLOOKUP($A545,#REF!,4,0),AF545)</f>
        <v>0</v>
      </c>
      <c r="L545" s="359" t="str">
        <f>IFERROR(VLOOKUP($A545,#REF!,5,0),"")</f>
        <v/>
      </c>
      <c r="M545" s="359" t="str">
        <f>IFERROR(VLOOKUP($A545,#REF!,7,0),"")</f>
        <v/>
      </c>
      <c r="N545" s="359"/>
      <c r="O545" s="359" t="str">
        <f>IFERROR(VLOOKUP($A545,#REF!,6,0),"")</f>
        <v/>
      </c>
      <c r="P545" s="359" t="str">
        <f>IFERROR(VLOOKUP($A545,#REF!,9,0),"")</f>
        <v/>
      </c>
      <c r="Q545" s="359" t="str">
        <f>IFERROR(VLOOKUP($A545,#REF!,10,0),"")</f>
        <v/>
      </c>
      <c r="R545" s="359" t="str">
        <f>IFERROR(VLOOKUP($A545,#REF!,11,0),"")</f>
        <v/>
      </c>
      <c r="S545" s="359" t="str">
        <f>IFERROR(VLOOKUP($A545,#REF!,13,0),"")</f>
        <v/>
      </c>
      <c r="T545" s="359" t="str">
        <f>IFERROR(VLOOKUP($A545,#REF!,14,0),"")</f>
        <v/>
      </c>
      <c r="U545" s="359" t="str">
        <f>IFERROR(VLOOKUP($A545,#REF!,15,0),"")</f>
        <v/>
      </c>
      <c r="V545" s="359" t="str">
        <f>IFERROR(VLOOKUP($A545,#REF!,16,0),"")</f>
        <v/>
      </c>
      <c r="W545" s="359" t="str">
        <f>IFERROR(VLOOKUP($A545,#REF!,17,0),"")</f>
        <v/>
      </c>
      <c r="X545" s="359" t="str">
        <f>IFERROR(VLOOKUP($A545,#REF!,18,0),"")</f>
        <v/>
      </c>
      <c r="Y545" s="359" t="str">
        <f>IFERROR(VLOOKUP($A545,#REF!,19,0),"")</f>
        <v/>
      </c>
      <c r="Z545" s="400" t="str">
        <f>IFERROR(VLOOKUP($A545,#REF!,21,0),"")</f>
        <v/>
      </c>
      <c r="AA545" s="358"/>
      <c r="AB545" s="358"/>
      <c r="AC545" s="358" t="s">
        <v>3849</v>
      </c>
      <c r="AD545" s="358" t="s">
        <v>3850</v>
      </c>
      <c r="AE545" s="141"/>
      <c r="AF545" s="141"/>
      <c r="AG545" s="141" t="s">
        <v>2695</v>
      </c>
      <c r="AH545" s="141"/>
      <c r="AI545" s="141"/>
      <c r="AJ545" s="327" t="s">
        <v>3761</v>
      </c>
      <c r="AK545" s="327"/>
      <c r="AL545" s="327"/>
      <c r="AM545" s="327"/>
      <c r="AN545" s="120"/>
      <c r="AO545" s="120"/>
      <c r="AP545" s="120"/>
      <c r="AQ545" s="313"/>
      <c r="AR545" s="119"/>
      <c r="AS545" s="22"/>
      <c r="AT545" s="22"/>
      <c r="AU545" s="22"/>
      <c r="AV545" s="22"/>
      <c r="AW545" s="82"/>
      <c r="AX545" s="82"/>
      <c r="AY545" s="82"/>
      <c r="AZ545" s="82"/>
      <c r="BA545" s="82"/>
      <c r="BB545" s="82"/>
      <c r="BC545" s="82"/>
      <c r="BD545" s="82"/>
      <c r="BE545" s="82"/>
      <c r="BF545" s="82"/>
      <c r="BG545" s="112"/>
      <c r="BH545" s="112"/>
      <c r="BI545" s="112"/>
      <c r="BJ545" s="112"/>
      <c r="BK545" s="82"/>
      <c r="BL545" s="82"/>
      <c r="BN545" s="412"/>
      <c r="BO545" s="412"/>
      <c r="BP545" s="412"/>
      <c r="BQ545" s="412"/>
      <c r="BR545" s="412"/>
      <c r="BZ545">
        <f t="shared" si="53"/>
        <v>1</v>
      </c>
    </row>
    <row r="546" spans="1:78" ht="15.6" hidden="1" customHeight="1">
      <c r="A546" s="35" t="str">
        <f t="shared" si="46"/>
        <v>M181/2646123</v>
      </c>
      <c r="C546" s="358" t="s">
        <v>24</v>
      </c>
      <c r="D546" s="358">
        <v>543</v>
      </c>
      <c r="E546" s="358" t="s">
        <v>3954</v>
      </c>
      <c r="F546" s="358" t="s">
        <v>34</v>
      </c>
      <c r="G546" s="384">
        <v>46123</v>
      </c>
      <c r="H546" s="358" t="s">
        <v>912</v>
      </c>
      <c r="I546" s="358">
        <v>10</v>
      </c>
      <c r="J546" s="359" t="str">
        <f>IFERROR(VLOOKUP($A546,#REF!,3,0),"")</f>
        <v/>
      </c>
      <c r="K546" s="359">
        <f>IFERROR(VLOOKUP($A546,#REF!,4,0),AF546)</f>
        <v>0</v>
      </c>
      <c r="L546" s="359" t="str">
        <f>IFERROR(VLOOKUP($A546,#REF!,5,0),"")</f>
        <v/>
      </c>
      <c r="M546" s="359" t="str">
        <f>IFERROR(VLOOKUP($A546,#REF!,7,0),"")</f>
        <v/>
      </c>
      <c r="N546" s="359"/>
      <c r="O546" s="359" t="str">
        <f>IFERROR(VLOOKUP($A546,#REF!,6,0),"")</f>
        <v/>
      </c>
      <c r="P546" s="359" t="str">
        <f>IFERROR(VLOOKUP($A546,#REF!,9,0),"")</f>
        <v/>
      </c>
      <c r="Q546" s="359" t="str">
        <f>IFERROR(VLOOKUP($A546,#REF!,10,0),"")</f>
        <v/>
      </c>
      <c r="R546" s="359" t="str">
        <f>IFERROR(VLOOKUP($A546,#REF!,11,0),"")</f>
        <v/>
      </c>
      <c r="S546" s="359" t="str">
        <f>IFERROR(VLOOKUP($A546,#REF!,13,0),"")</f>
        <v/>
      </c>
      <c r="T546" s="359" t="str">
        <f>IFERROR(VLOOKUP($A546,#REF!,14,0),"")</f>
        <v/>
      </c>
      <c r="U546" s="359" t="str">
        <f>IFERROR(VLOOKUP($A546,#REF!,15,0),"")</f>
        <v/>
      </c>
      <c r="V546" s="359" t="str">
        <f>IFERROR(VLOOKUP($A546,#REF!,16,0),"")</f>
        <v/>
      </c>
      <c r="W546" s="359" t="str">
        <f>IFERROR(VLOOKUP($A546,#REF!,17,0),"")</f>
        <v/>
      </c>
      <c r="X546" s="359" t="str">
        <f>IFERROR(VLOOKUP($A546,#REF!,18,0),"")</f>
        <v/>
      </c>
      <c r="Y546" s="359" t="str">
        <f>IFERROR(VLOOKUP($A546,#REF!,19,0),"")</f>
        <v/>
      </c>
      <c r="Z546" s="400" t="str">
        <f>IFERROR(VLOOKUP($A546,#REF!,21,0),"")</f>
        <v/>
      </c>
      <c r="AA546" s="358"/>
      <c r="AB546" s="358"/>
      <c r="AC546" s="358" t="s">
        <v>3075</v>
      </c>
      <c r="AD546" s="358" t="s">
        <v>47</v>
      </c>
      <c r="AE546" s="141"/>
      <c r="AF546" s="141"/>
      <c r="AG546" s="141"/>
      <c r="AH546" s="141"/>
      <c r="AI546" s="141"/>
      <c r="AJ546" s="141"/>
      <c r="AK546" s="141"/>
      <c r="AL546" s="141"/>
      <c r="AM546" s="141"/>
      <c r="AN546" s="120"/>
      <c r="AO546" s="120"/>
      <c r="AP546" s="120"/>
      <c r="AQ546" s="313"/>
      <c r="AR546" s="119"/>
      <c r="AS546" s="22"/>
      <c r="AT546" s="22"/>
      <c r="AU546" s="22"/>
      <c r="AV546" s="22"/>
      <c r="AW546" s="82"/>
      <c r="AX546" s="82"/>
      <c r="AY546" s="82"/>
      <c r="AZ546" s="82"/>
      <c r="BA546" s="82"/>
      <c r="BB546" s="82"/>
      <c r="BC546" s="82"/>
      <c r="BD546" s="82"/>
      <c r="BE546" s="82"/>
      <c r="BF546" s="82"/>
      <c r="BG546" s="112"/>
      <c r="BH546" s="112"/>
      <c r="BI546" s="112"/>
      <c r="BJ546" s="112"/>
      <c r="BK546" s="82"/>
      <c r="BL546" s="82"/>
      <c r="BN546" s="412"/>
      <c r="BO546" s="412"/>
      <c r="BP546" s="412"/>
      <c r="BQ546" s="412"/>
      <c r="BR546" s="412"/>
      <c r="BZ546">
        <f t="shared" si="53"/>
        <v>1</v>
      </c>
    </row>
    <row r="547" spans="1:78" ht="15.6" hidden="1" customHeight="1">
      <c r="A547" s="35" t="str">
        <f t="shared" si="46"/>
        <v>M135/2646123</v>
      </c>
      <c r="C547" s="358" t="s">
        <v>24</v>
      </c>
      <c r="D547" s="358">
        <v>544</v>
      </c>
      <c r="E547" s="358" t="s">
        <v>3955</v>
      </c>
      <c r="F547" s="358" t="s">
        <v>374</v>
      </c>
      <c r="G547" s="384">
        <v>46123</v>
      </c>
      <c r="H547" s="358" t="s">
        <v>3956</v>
      </c>
      <c r="I547" s="358">
        <v>14</v>
      </c>
      <c r="J547" s="359" t="str">
        <f>IFERROR(VLOOKUP($A547,#REF!,3,0),"")</f>
        <v/>
      </c>
      <c r="K547" s="359" t="str">
        <f>IFERROR(VLOOKUP($A547,#REF!,4,0),AF547)</f>
        <v>INT</v>
      </c>
      <c r="L547" s="359" t="str">
        <f>IFERROR(VLOOKUP($A547,#REF!,5,0),"")</f>
        <v/>
      </c>
      <c r="M547" s="359" t="str">
        <f>IFERROR(VLOOKUP($A547,#REF!,7,0),"")</f>
        <v/>
      </c>
      <c r="N547" s="359"/>
      <c r="O547" s="359" t="str">
        <f>IFERROR(VLOOKUP($A547,#REF!,6,0),"")</f>
        <v/>
      </c>
      <c r="P547" s="359" t="str">
        <f>IFERROR(VLOOKUP($A547,#REF!,9,0),"")</f>
        <v/>
      </c>
      <c r="Q547" s="359" t="str">
        <f>IFERROR(VLOOKUP($A547,#REF!,10,0),"")</f>
        <v/>
      </c>
      <c r="R547" s="359" t="str">
        <f>IFERROR(VLOOKUP($A547,#REF!,11,0),"")</f>
        <v/>
      </c>
      <c r="S547" s="359" t="str">
        <f>IFERROR(VLOOKUP($A547,#REF!,13,0),"")</f>
        <v/>
      </c>
      <c r="T547" s="359" t="str">
        <f>IFERROR(VLOOKUP($A547,#REF!,14,0),"")</f>
        <v/>
      </c>
      <c r="U547" s="359" t="str">
        <f>IFERROR(VLOOKUP($A547,#REF!,15,0),"")</f>
        <v/>
      </c>
      <c r="V547" s="359" t="str">
        <f>IFERROR(VLOOKUP($A547,#REF!,16,0),"")</f>
        <v/>
      </c>
      <c r="W547" s="359" t="str">
        <f>IFERROR(VLOOKUP($A547,#REF!,17,0),"")</f>
        <v/>
      </c>
      <c r="X547" s="359" t="str">
        <f>IFERROR(VLOOKUP($A547,#REF!,18,0),"")</f>
        <v/>
      </c>
      <c r="Y547" s="359" t="str">
        <f>IFERROR(VLOOKUP($A547,#REF!,19,0),"")</f>
        <v/>
      </c>
      <c r="Z547" s="400" t="str">
        <f>IFERROR(VLOOKUP($A547,#REF!,21,0),"")</f>
        <v/>
      </c>
      <c r="AA547" s="358"/>
      <c r="AB547" s="358"/>
      <c r="AC547" s="358" t="s">
        <v>1076</v>
      </c>
      <c r="AD547" s="358" t="s">
        <v>3357</v>
      </c>
      <c r="AE547" s="102" t="s">
        <v>3957</v>
      </c>
      <c r="AF547" s="141" t="s">
        <v>3077</v>
      </c>
      <c r="AG547" s="358" t="s">
        <v>2102</v>
      </c>
      <c r="AH547" s="102"/>
      <c r="AI547" s="358"/>
      <c r="AJ547" s="141" t="s">
        <v>3765</v>
      </c>
      <c r="AK547" s="141"/>
      <c r="AL547" s="141"/>
      <c r="AM547" s="141"/>
      <c r="AN547" s="120"/>
      <c r="AO547" s="120"/>
      <c r="AP547" s="120"/>
      <c r="AQ547" s="313"/>
      <c r="AR547" s="119"/>
      <c r="AS547" s="22"/>
      <c r="AT547" s="22"/>
      <c r="AU547" s="22"/>
      <c r="AV547" s="22"/>
      <c r="AW547" s="82"/>
      <c r="AX547" s="82"/>
      <c r="AY547" s="82"/>
      <c r="AZ547" s="82"/>
      <c r="BA547" s="82"/>
      <c r="BB547" s="82"/>
      <c r="BC547" s="82"/>
      <c r="BD547" s="82"/>
      <c r="BE547" s="82"/>
      <c r="BF547" s="82"/>
      <c r="BG547" s="112"/>
      <c r="BH547" s="112"/>
      <c r="BI547" s="112"/>
      <c r="BJ547" s="112"/>
      <c r="BK547" s="82"/>
      <c r="BL547" s="82"/>
      <c r="BN547" s="412"/>
      <c r="BO547" s="412"/>
      <c r="BP547" s="412"/>
      <c r="BQ547" s="412"/>
      <c r="BR547" s="412"/>
      <c r="BZ547">
        <f t="shared" si="53"/>
        <v>1</v>
      </c>
    </row>
    <row r="548" spans="1:78" s="278" customFormat="1" ht="15.6" hidden="1" customHeight="1">
      <c r="A548" s="35" t="str">
        <f t="shared" si="46"/>
        <v>083/2646123</v>
      </c>
      <c r="B548" s="362"/>
      <c r="C548" s="358" t="s">
        <v>24</v>
      </c>
      <c r="D548" s="358">
        <v>545</v>
      </c>
      <c r="E548" s="141" t="s">
        <v>3958</v>
      </c>
      <c r="F548" s="141" t="s">
        <v>34</v>
      </c>
      <c r="G548" s="128">
        <v>46123</v>
      </c>
      <c r="H548" s="141" t="s">
        <v>2329</v>
      </c>
      <c r="I548" s="141">
        <v>15</v>
      </c>
      <c r="J548" s="359" t="str">
        <f>IFERROR(VLOOKUP($A548,#REF!,3,0),"")</f>
        <v/>
      </c>
      <c r="K548" s="359">
        <f>IFERROR(VLOOKUP($A548,#REF!,4,0),AF548)</f>
        <v>0</v>
      </c>
      <c r="L548" s="359" t="str">
        <f>IFERROR(VLOOKUP($A548,#REF!,5,0),"")</f>
        <v/>
      </c>
      <c r="M548" s="359" t="str">
        <f>IFERROR(VLOOKUP($A548,#REF!,7,0),"")</f>
        <v/>
      </c>
      <c r="N548" s="359"/>
      <c r="O548" s="359" t="str">
        <f>IFERROR(VLOOKUP($A548,#REF!,6,0),"")</f>
        <v/>
      </c>
      <c r="P548" s="359" t="str">
        <f>IFERROR(VLOOKUP($A548,#REF!,9,0),"")</f>
        <v/>
      </c>
      <c r="Q548" s="359" t="str">
        <f>IFERROR(VLOOKUP($A548,#REF!,10,0),"")</f>
        <v/>
      </c>
      <c r="R548" s="359" t="str">
        <f>IFERROR(VLOOKUP($A548,#REF!,11,0),"")</f>
        <v/>
      </c>
      <c r="S548" s="359" t="str">
        <f>IFERROR(VLOOKUP($A548,#REF!,13,0),"")</f>
        <v/>
      </c>
      <c r="T548" s="359" t="str">
        <f>IFERROR(VLOOKUP($A548,#REF!,14,0),"")</f>
        <v/>
      </c>
      <c r="U548" s="359" t="str">
        <f>IFERROR(VLOOKUP($A548,#REF!,15,0),"")</f>
        <v/>
      </c>
      <c r="V548" s="359" t="str">
        <f>IFERROR(VLOOKUP($A548,#REF!,16,0),"")</f>
        <v/>
      </c>
      <c r="W548" s="359" t="str">
        <f>IFERROR(VLOOKUP($A548,#REF!,17,0),"")</f>
        <v/>
      </c>
      <c r="X548" s="359" t="str">
        <f>IFERROR(VLOOKUP($A548,#REF!,18,0),"")</f>
        <v/>
      </c>
      <c r="Y548" s="359" t="str">
        <f>IFERROR(VLOOKUP($A548,#REF!,19,0),"")</f>
        <v/>
      </c>
      <c r="Z548" s="400" t="str">
        <f>IFERROR(VLOOKUP($A548,#REF!,21,0),"")</f>
        <v/>
      </c>
      <c r="AA548" s="141"/>
      <c r="AB548" s="141"/>
      <c r="AC548" s="141" t="s">
        <v>1721</v>
      </c>
      <c r="AD548" s="141" t="s">
        <v>1638</v>
      </c>
      <c r="AE548" s="141" t="s">
        <v>3959</v>
      </c>
      <c r="AF548" s="141"/>
      <c r="AG548" s="141" t="s">
        <v>3960</v>
      </c>
      <c r="AH548" s="141"/>
      <c r="AI548" s="141"/>
      <c r="AJ548" s="279" t="s">
        <v>3961</v>
      </c>
      <c r="AK548" s="279"/>
      <c r="AL548" s="279"/>
      <c r="AM548" s="279"/>
      <c r="AN548" s="276"/>
      <c r="AO548" s="276"/>
      <c r="AP548" s="276"/>
      <c r="AQ548" s="320"/>
      <c r="AR548" s="277"/>
      <c r="AS548" s="250"/>
      <c r="AT548" s="250"/>
      <c r="AU548" s="250"/>
      <c r="AV548" s="25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  <c r="BG548" s="111"/>
      <c r="BH548" s="111"/>
      <c r="BI548" s="111"/>
      <c r="BJ548" s="111"/>
      <c r="BK548" s="100"/>
      <c r="BL548" s="100"/>
      <c r="BM548"/>
      <c r="BN548" s="412"/>
      <c r="BO548" s="412"/>
      <c r="BP548" s="412"/>
      <c r="BQ548" s="412"/>
      <c r="BR548" s="412"/>
      <c r="BS548" s="96"/>
      <c r="BT548" s="96"/>
      <c r="BU548" s="96"/>
      <c r="BV548" s="96"/>
      <c r="BW548"/>
    </row>
    <row r="549" spans="1:78" s="278" customFormat="1" ht="15.6" hidden="1" customHeight="1">
      <c r="A549" s="35" t="str">
        <f t="shared" si="46"/>
        <v>46123</v>
      </c>
      <c r="B549" s="362"/>
      <c r="C549" s="141" t="s">
        <v>24</v>
      </c>
      <c r="D549" s="358">
        <v>546</v>
      </c>
      <c r="E549" s="141"/>
      <c r="F549" s="141" t="s">
        <v>606</v>
      </c>
      <c r="G549" s="128">
        <v>46123</v>
      </c>
      <c r="H549" s="141" t="s">
        <v>117</v>
      </c>
      <c r="I549" s="141"/>
      <c r="J549" s="359" t="str">
        <f>IFERROR(VLOOKUP($A549,#REF!,3,0),"")</f>
        <v/>
      </c>
      <c r="K549" s="359">
        <f>IFERROR(VLOOKUP($A549,#REF!,4,0),AF549)</f>
        <v>0</v>
      </c>
      <c r="L549" s="359" t="str">
        <f>IFERROR(VLOOKUP($A549,#REF!,5,0),"")</f>
        <v/>
      </c>
      <c r="M549" s="359" t="str">
        <f>IFERROR(VLOOKUP($A549,#REF!,7,0),"")</f>
        <v/>
      </c>
      <c r="N549" s="359"/>
      <c r="O549" s="359" t="str">
        <f>IFERROR(VLOOKUP($A549,#REF!,6,0),"")</f>
        <v/>
      </c>
      <c r="P549" s="359" t="str">
        <f>IFERROR(VLOOKUP($A549,#REF!,9,0),"")</f>
        <v/>
      </c>
      <c r="Q549" s="359" t="str">
        <f>IFERROR(VLOOKUP($A549,#REF!,10,0),"")</f>
        <v/>
      </c>
      <c r="R549" s="359" t="str">
        <f>IFERROR(VLOOKUP($A549,#REF!,11,0),"")</f>
        <v/>
      </c>
      <c r="S549" s="359" t="str">
        <f>IFERROR(VLOOKUP($A549,#REF!,13,0),"")</f>
        <v/>
      </c>
      <c r="T549" s="359" t="str">
        <f>IFERROR(VLOOKUP($A549,#REF!,14,0),"")</f>
        <v/>
      </c>
      <c r="U549" s="359" t="str">
        <f>IFERROR(VLOOKUP($A549,#REF!,15,0),"")</f>
        <v/>
      </c>
      <c r="V549" s="359" t="str">
        <f>IFERROR(VLOOKUP($A549,#REF!,16,0),"")</f>
        <v/>
      </c>
      <c r="W549" s="359" t="str">
        <f>IFERROR(VLOOKUP($A549,#REF!,17,0),"")</f>
        <v/>
      </c>
      <c r="X549" s="359" t="str">
        <f>IFERROR(VLOOKUP($A549,#REF!,18,0),"")</f>
        <v/>
      </c>
      <c r="Y549" s="359" t="str">
        <f>IFERROR(VLOOKUP($A549,#REF!,19,0),"")</f>
        <v/>
      </c>
      <c r="Z549" s="400" t="str">
        <f>IFERROR(VLOOKUP($A549,#REF!,21,0),"")</f>
        <v/>
      </c>
      <c r="AA549" s="141"/>
      <c r="AB549" s="141"/>
      <c r="AC549" s="141" t="s">
        <v>1721</v>
      </c>
      <c r="AD549" s="141" t="s">
        <v>1638</v>
      </c>
      <c r="AE549" s="102" t="s">
        <v>3962</v>
      </c>
      <c r="AF549" s="141"/>
      <c r="AG549" s="141"/>
      <c r="AH549" s="141"/>
      <c r="AI549" s="141"/>
      <c r="AJ549" s="141" t="s">
        <v>3963</v>
      </c>
      <c r="AK549" s="141"/>
      <c r="AL549" s="141"/>
      <c r="AM549" s="141"/>
      <c r="AN549" s="276"/>
      <c r="AO549" s="276"/>
      <c r="AP549" s="276"/>
      <c r="AQ549" s="320"/>
      <c r="AR549" s="277"/>
      <c r="AS549" s="250"/>
      <c r="AT549" s="250"/>
      <c r="AU549" s="250"/>
      <c r="AV549" s="25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  <c r="BG549" s="111"/>
      <c r="BH549" s="111"/>
      <c r="BI549" s="111"/>
      <c r="BJ549" s="111"/>
      <c r="BK549" s="100"/>
      <c r="BL549" s="100"/>
      <c r="BM549"/>
      <c r="BN549" s="412"/>
      <c r="BO549" s="412"/>
      <c r="BP549" s="412"/>
      <c r="BQ549" s="412"/>
      <c r="BR549" s="412"/>
      <c r="BS549" s="96"/>
      <c r="BT549" s="96"/>
      <c r="BU549" s="96"/>
      <c r="BV549" s="96"/>
      <c r="BW549"/>
    </row>
    <row r="550" spans="1:78" ht="15.6" hidden="1" customHeight="1">
      <c r="A550" s="35" t="str">
        <f t="shared" si="46"/>
        <v>46123</v>
      </c>
      <c r="C550" s="358" t="s">
        <v>24</v>
      </c>
      <c r="D550" s="358">
        <v>547</v>
      </c>
      <c r="E550" s="358"/>
      <c r="F550" s="102" t="s">
        <v>50</v>
      </c>
      <c r="G550" s="249">
        <v>46123</v>
      </c>
      <c r="H550" s="102" t="s">
        <v>688</v>
      </c>
      <c r="I550" s="102">
        <v>12</v>
      </c>
      <c r="J550" s="359" t="str">
        <f>IFERROR(VLOOKUP($A550,#REF!,3,0),"")</f>
        <v/>
      </c>
      <c r="K550" s="359">
        <f>IFERROR(VLOOKUP($A550,#REF!,4,0),AF550)</f>
        <v>0</v>
      </c>
      <c r="L550" s="359" t="str">
        <f>IFERROR(VLOOKUP($A550,#REF!,5,0),"")</f>
        <v/>
      </c>
      <c r="M550" s="359" t="str">
        <f>IFERROR(VLOOKUP($A550,#REF!,7,0),"")</f>
        <v/>
      </c>
      <c r="N550" s="359"/>
      <c r="O550" s="359" t="str">
        <f>IFERROR(VLOOKUP($A550,#REF!,6,0),"")</f>
        <v/>
      </c>
      <c r="P550" s="359" t="str">
        <f>IFERROR(VLOOKUP($A550,#REF!,9,0),"")</f>
        <v/>
      </c>
      <c r="Q550" s="359" t="str">
        <f>IFERROR(VLOOKUP($A550,#REF!,10,0),"")</f>
        <v/>
      </c>
      <c r="R550" s="359" t="str">
        <f>IFERROR(VLOOKUP($A550,#REF!,11,0),"")</f>
        <v/>
      </c>
      <c r="S550" s="359" t="str">
        <f>IFERROR(VLOOKUP($A550,#REF!,13,0),"")</f>
        <v/>
      </c>
      <c r="T550" s="359" t="str">
        <f>IFERROR(VLOOKUP($A550,#REF!,14,0),"")</f>
        <v/>
      </c>
      <c r="U550" s="359" t="str">
        <f>IFERROR(VLOOKUP($A550,#REF!,15,0),"")</f>
        <v/>
      </c>
      <c r="V550" s="359" t="str">
        <f>IFERROR(VLOOKUP($A550,#REF!,16,0),"")</f>
        <v/>
      </c>
      <c r="W550" s="359" t="str">
        <f>IFERROR(VLOOKUP($A550,#REF!,17,0),"")</f>
        <v/>
      </c>
      <c r="X550" s="359" t="str">
        <f>IFERROR(VLOOKUP($A550,#REF!,18,0),"")</f>
        <v/>
      </c>
      <c r="Y550" s="359" t="str">
        <f>IFERROR(VLOOKUP($A550,#REF!,19,0),"")</f>
        <v/>
      </c>
      <c r="Z550" s="400" t="str">
        <f>IFERROR(VLOOKUP($A550,#REF!,21,0),"")</f>
        <v/>
      </c>
      <c r="AA550" s="102"/>
      <c r="AB550" s="102"/>
      <c r="AC550" s="102" t="s">
        <v>1077</v>
      </c>
      <c r="AD550" s="102" t="s">
        <v>1138</v>
      </c>
      <c r="AE550" s="102" t="s">
        <v>3964</v>
      </c>
      <c r="AF550" s="141"/>
      <c r="AG550" s="141"/>
      <c r="AH550" s="141"/>
      <c r="AI550" s="141"/>
      <c r="AJ550" s="141"/>
      <c r="AK550" s="141"/>
      <c r="AL550" s="141"/>
      <c r="AM550" s="141"/>
      <c r="AN550" s="120"/>
      <c r="AO550" s="120"/>
      <c r="AP550" s="120"/>
      <c r="AQ550" s="313"/>
      <c r="AR550" s="119"/>
      <c r="AS550" s="22"/>
      <c r="AT550" s="22"/>
      <c r="AU550" s="22"/>
      <c r="AV550" s="2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112"/>
      <c r="BH550" s="112"/>
      <c r="BI550" s="112"/>
      <c r="BJ550" s="112"/>
      <c r="BK550" s="82"/>
      <c r="BL550" s="82"/>
      <c r="BN550" s="412"/>
      <c r="BO550" s="412"/>
      <c r="BP550" s="412"/>
      <c r="BQ550" s="412"/>
      <c r="BR550" s="412"/>
      <c r="BZ550">
        <f t="shared" ref="BZ550:BZ551" si="54">IF(G550&gt;1,1,"")</f>
        <v>1</v>
      </c>
    </row>
    <row r="551" spans="1:78" ht="15.6" hidden="1" customHeight="1">
      <c r="A551" s="35" t="str">
        <f t="shared" si="46"/>
        <v>46123</v>
      </c>
      <c r="C551" s="358" t="s">
        <v>24</v>
      </c>
      <c r="D551" s="358">
        <v>548</v>
      </c>
      <c r="E551" s="358"/>
      <c r="F551" s="102" t="s">
        <v>34</v>
      </c>
      <c r="G551" s="249">
        <v>46123</v>
      </c>
      <c r="H551" s="102" t="s">
        <v>1348</v>
      </c>
      <c r="I551" s="102">
        <v>11</v>
      </c>
      <c r="J551" s="359" t="str">
        <f>IFERROR(VLOOKUP($A551,#REF!,3,0),"")</f>
        <v/>
      </c>
      <c r="K551" s="359">
        <f>IFERROR(VLOOKUP($A551,#REF!,4,0),AF551)</f>
        <v>0</v>
      </c>
      <c r="L551" s="359" t="str">
        <f>IFERROR(VLOOKUP($A551,#REF!,5,0),"")</f>
        <v/>
      </c>
      <c r="M551" s="359" t="str">
        <f>IFERROR(VLOOKUP($A551,#REF!,7,0),"")</f>
        <v/>
      </c>
      <c r="N551" s="359"/>
      <c r="O551" s="359" t="str">
        <f>IFERROR(VLOOKUP($A551,#REF!,6,0),"")</f>
        <v/>
      </c>
      <c r="P551" s="359" t="str">
        <f>IFERROR(VLOOKUP($A551,#REF!,9,0),"")</f>
        <v/>
      </c>
      <c r="Q551" s="359" t="str">
        <f>IFERROR(VLOOKUP($A551,#REF!,10,0),"")</f>
        <v/>
      </c>
      <c r="R551" s="359" t="str">
        <f>IFERROR(VLOOKUP($A551,#REF!,11,0),"")</f>
        <v/>
      </c>
      <c r="S551" s="359" t="str">
        <f>IFERROR(VLOOKUP($A551,#REF!,13,0),"")</f>
        <v/>
      </c>
      <c r="T551" s="359" t="str">
        <f>IFERROR(VLOOKUP($A551,#REF!,14,0),"")</f>
        <v/>
      </c>
      <c r="U551" s="359" t="str">
        <f>IFERROR(VLOOKUP($A551,#REF!,15,0),"")</f>
        <v/>
      </c>
      <c r="V551" s="359" t="str">
        <f>IFERROR(VLOOKUP($A551,#REF!,16,0),"")</f>
        <v/>
      </c>
      <c r="W551" s="359" t="str">
        <f>IFERROR(VLOOKUP($A551,#REF!,17,0),"")</f>
        <v/>
      </c>
      <c r="X551" s="359" t="str">
        <f>IFERROR(VLOOKUP($A551,#REF!,18,0),"")</f>
        <v/>
      </c>
      <c r="Y551" s="359" t="str">
        <f>IFERROR(VLOOKUP($A551,#REF!,19,0),"")</f>
        <v/>
      </c>
      <c r="Z551" s="400" t="str">
        <f>IFERROR(VLOOKUP($A551,#REF!,21,0),"")</f>
        <v/>
      </c>
      <c r="AA551" s="102"/>
      <c r="AB551" s="102"/>
      <c r="AC551" s="102" t="s">
        <v>1076</v>
      </c>
      <c r="AD551" s="102" t="s">
        <v>3357</v>
      </c>
      <c r="AE551" s="102" t="s">
        <v>3957</v>
      </c>
      <c r="AF551" s="141"/>
      <c r="AG551" s="141"/>
      <c r="AH551" s="141"/>
      <c r="AI551" s="141"/>
      <c r="AJ551" s="141"/>
      <c r="AK551" s="141"/>
      <c r="AL551" s="141"/>
      <c r="AM551" s="141"/>
      <c r="AN551" s="120"/>
      <c r="AO551" s="120"/>
      <c r="AP551" s="120"/>
      <c r="AQ551" s="313"/>
      <c r="AR551" s="119"/>
      <c r="AS551" s="22"/>
      <c r="AT551" s="22"/>
      <c r="AU551" s="22"/>
      <c r="AV551" s="22"/>
      <c r="AW551" s="82"/>
      <c r="AX551" s="82"/>
      <c r="AY551" s="82"/>
      <c r="AZ551" s="82"/>
      <c r="BA551" s="82"/>
      <c r="BB551" s="82"/>
      <c r="BC551" s="82"/>
      <c r="BD551" s="82"/>
      <c r="BE551" s="82"/>
      <c r="BF551" s="82"/>
      <c r="BG551" s="112"/>
      <c r="BH551" s="112"/>
      <c r="BI551" s="112"/>
      <c r="BJ551" s="112"/>
      <c r="BK551" s="82"/>
      <c r="BL551" s="82"/>
      <c r="BN551" s="412"/>
      <c r="BO551" s="412"/>
      <c r="BP551" s="412"/>
      <c r="BQ551" s="412"/>
      <c r="BR551" s="412"/>
      <c r="BZ551">
        <f t="shared" si="54"/>
        <v>1</v>
      </c>
    </row>
    <row r="552" spans="1:78" ht="18" hidden="1" customHeight="1">
      <c r="A552" s="35" t="str">
        <f t="shared" si="46"/>
        <v>M015/2646125</v>
      </c>
      <c r="C552" s="358" t="s">
        <v>24</v>
      </c>
      <c r="D552" s="358">
        <v>549</v>
      </c>
      <c r="E552" s="102" t="s">
        <v>3965</v>
      </c>
      <c r="F552" s="102" t="s">
        <v>270</v>
      </c>
      <c r="G552" s="249">
        <v>46125</v>
      </c>
      <c r="H552" s="102" t="s">
        <v>659</v>
      </c>
      <c r="I552" s="102">
        <v>18</v>
      </c>
      <c r="J552" s="359" t="str">
        <f>IFERROR(VLOOKUP($A552,#REF!,3,0),"")</f>
        <v/>
      </c>
      <c r="K552" s="359">
        <f>IFERROR(VLOOKUP($A552,#REF!,4,0),AF552)</f>
        <v>0</v>
      </c>
      <c r="L552" s="359" t="str">
        <f>IFERROR(VLOOKUP($A552,#REF!,5,0),"")</f>
        <v/>
      </c>
      <c r="M552" s="359" t="str">
        <f>IFERROR(VLOOKUP($A552,#REF!,7,0),"")</f>
        <v/>
      </c>
      <c r="N552" s="359"/>
      <c r="O552" s="359" t="str">
        <f>IFERROR(VLOOKUP($A552,#REF!,6,0),"")</f>
        <v/>
      </c>
      <c r="P552" s="359" t="str">
        <f>IFERROR(VLOOKUP($A552,#REF!,9,0),"")</f>
        <v/>
      </c>
      <c r="Q552" s="359" t="str">
        <f>IFERROR(VLOOKUP($A552,#REF!,10,0),"")</f>
        <v/>
      </c>
      <c r="R552" s="359" t="str">
        <f>IFERROR(VLOOKUP($A552,#REF!,11,0),"")</f>
        <v/>
      </c>
      <c r="S552" s="359" t="str">
        <f>IFERROR(VLOOKUP($A552,#REF!,13,0),"")</f>
        <v/>
      </c>
      <c r="T552" s="359" t="str">
        <f>IFERROR(VLOOKUP($A552,#REF!,14,0),"")</f>
        <v/>
      </c>
      <c r="U552" s="359" t="str">
        <f>IFERROR(VLOOKUP($A552,#REF!,15,0),"")</f>
        <v/>
      </c>
      <c r="V552" s="359" t="str">
        <f>IFERROR(VLOOKUP($A552,#REF!,16,0),"")</f>
        <v/>
      </c>
      <c r="W552" s="359" t="str">
        <f>IFERROR(VLOOKUP($A552,#REF!,17,0),"")</f>
        <v/>
      </c>
      <c r="X552" s="359" t="str">
        <f>IFERROR(VLOOKUP($A552,#REF!,18,0),"")</f>
        <v/>
      </c>
      <c r="Y552" s="359" t="str">
        <f>IFERROR(VLOOKUP($A552,#REF!,19,0),"")</f>
        <v/>
      </c>
      <c r="Z552" s="400" t="str">
        <f>IFERROR(VLOOKUP($A552,#REF!,21,0),"")</f>
        <v/>
      </c>
      <c r="AA552" s="102"/>
      <c r="AB552" s="102"/>
      <c r="AC552" s="102" t="s">
        <v>3075</v>
      </c>
      <c r="AD552" s="102" t="s">
        <v>47</v>
      </c>
      <c r="AE552" s="102" t="s">
        <v>3966</v>
      </c>
      <c r="AF552" s="141"/>
      <c r="AG552" s="141"/>
      <c r="AH552" s="141"/>
      <c r="AI552" s="141"/>
      <c r="AJ552" s="141" t="s">
        <v>2050</v>
      </c>
      <c r="AK552" s="141"/>
      <c r="AL552" s="141"/>
      <c r="AM552" s="141"/>
      <c r="AN552" s="120"/>
      <c r="AO552" s="120"/>
      <c r="AP552" s="120"/>
      <c r="AQ552" s="313"/>
      <c r="AR552" s="119"/>
      <c r="AS552" s="22"/>
      <c r="AT552" s="22"/>
      <c r="AU552" s="22"/>
      <c r="AV552" s="2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112"/>
      <c r="BH552" s="112"/>
      <c r="BI552" s="112"/>
      <c r="BJ552" s="112"/>
      <c r="BK552" s="82"/>
      <c r="BL552" s="82"/>
      <c r="BN552" s="412"/>
      <c r="BO552" s="412"/>
      <c r="BP552" s="412"/>
      <c r="BQ552" s="412"/>
      <c r="BR552" s="412"/>
      <c r="BZ552">
        <f t="shared" si="53"/>
        <v>1</v>
      </c>
    </row>
    <row r="553" spans="1:78" ht="18" hidden="1" customHeight="1">
      <c r="A553" s="35" t="str">
        <f t="shared" si="46"/>
        <v>M015/2646125</v>
      </c>
      <c r="C553" s="358" t="s">
        <v>24</v>
      </c>
      <c r="D553" s="358">
        <v>550</v>
      </c>
      <c r="E553" s="102" t="s">
        <v>3965</v>
      </c>
      <c r="F553" s="102" t="s">
        <v>270</v>
      </c>
      <c r="G553" s="249">
        <v>46125</v>
      </c>
      <c r="H553" s="102" t="s">
        <v>659</v>
      </c>
      <c r="I553" s="102">
        <v>18</v>
      </c>
      <c r="J553" s="359" t="str">
        <f>IFERROR(VLOOKUP($A553,#REF!,3,0),"")</f>
        <v/>
      </c>
      <c r="K553" s="359">
        <f>IFERROR(VLOOKUP($A553,#REF!,4,0),AF553)</f>
        <v>0</v>
      </c>
      <c r="L553" s="359" t="str">
        <f>IFERROR(VLOOKUP($A553,#REF!,5,0),"")</f>
        <v/>
      </c>
      <c r="M553" s="359" t="str">
        <f>IFERROR(VLOOKUP($A553,#REF!,7,0),"")</f>
        <v/>
      </c>
      <c r="N553" s="359"/>
      <c r="O553" s="359" t="str">
        <f>IFERROR(VLOOKUP($A553,#REF!,6,0),"")</f>
        <v/>
      </c>
      <c r="P553" s="359" t="str">
        <f>IFERROR(VLOOKUP($A553,#REF!,9,0),"")</f>
        <v/>
      </c>
      <c r="Q553" s="359" t="str">
        <f>IFERROR(VLOOKUP($A553,#REF!,10,0),"")</f>
        <v/>
      </c>
      <c r="R553" s="359" t="str">
        <f>IFERROR(VLOOKUP($A553,#REF!,11,0),"")</f>
        <v/>
      </c>
      <c r="S553" s="359" t="str">
        <f>IFERROR(VLOOKUP($A553,#REF!,13,0),"")</f>
        <v/>
      </c>
      <c r="T553" s="359" t="str">
        <f>IFERROR(VLOOKUP($A553,#REF!,14,0),"")</f>
        <v/>
      </c>
      <c r="U553" s="359" t="str">
        <f>IFERROR(VLOOKUP($A553,#REF!,15,0),"")</f>
        <v/>
      </c>
      <c r="V553" s="359" t="str">
        <f>IFERROR(VLOOKUP($A553,#REF!,16,0),"")</f>
        <v/>
      </c>
      <c r="W553" s="359" t="str">
        <f>IFERROR(VLOOKUP($A553,#REF!,17,0),"")</f>
        <v/>
      </c>
      <c r="X553" s="359" t="str">
        <f>IFERROR(VLOOKUP($A553,#REF!,18,0),"")</f>
        <v/>
      </c>
      <c r="Y553" s="359" t="str">
        <f>IFERROR(VLOOKUP($A553,#REF!,19,0),"")</f>
        <v/>
      </c>
      <c r="Z553" s="400" t="str">
        <f>IFERROR(VLOOKUP($A553,#REF!,21,0),"")</f>
        <v/>
      </c>
      <c r="AA553" s="102"/>
      <c r="AB553" s="102"/>
      <c r="AC553" s="102" t="s">
        <v>3075</v>
      </c>
      <c r="AD553" s="102" t="s">
        <v>47</v>
      </c>
      <c r="AE553" s="102" t="s">
        <v>3966</v>
      </c>
      <c r="AF553" s="141"/>
      <c r="AG553" s="141"/>
      <c r="AH553" s="141"/>
      <c r="AI553" s="141"/>
      <c r="AJ553" s="141" t="s">
        <v>2050</v>
      </c>
      <c r="AK553" s="141"/>
      <c r="AL553" s="141"/>
      <c r="AM553" s="141"/>
      <c r="AN553" s="120"/>
      <c r="AO553" s="120"/>
      <c r="AP553" s="120"/>
      <c r="AQ553" s="313"/>
      <c r="AR553" s="119"/>
      <c r="AS553" s="22"/>
      <c r="AT553" s="22"/>
      <c r="AU553" s="22"/>
      <c r="AV553" s="2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112"/>
      <c r="BH553" s="112"/>
      <c r="BI553" s="112"/>
      <c r="BJ553" s="112"/>
      <c r="BK553" s="82"/>
      <c r="BL553" s="82"/>
      <c r="BN553" s="412"/>
      <c r="BO553" s="412"/>
      <c r="BP553" s="412"/>
      <c r="BQ553" s="412"/>
      <c r="BR553" s="412"/>
      <c r="BZ553">
        <f t="shared" ref="BZ553:BZ556" si="55">IF(G553&gt;1,1,"")</f>
        <v>1</v>
      </c>
    </row>
    <row r="554" spans="1:78" s="278" customFormat="1" ht="15.6" hidden="1" customHeight="1">
      <c r="A554" s="35" t="str">
        <f t="shared" si="46"/>
        <v>089/2646125</v>
      </c>
      <c r="B554" s="362"/>
      <c r="C554" s="141" t="s">
        <v>24</v>
      </c>
      <c r="D554" s="358">
        <v>551</v>
      </c>
      <c r="E554" s="141" t="s">
        <v>3931</v>
      </c>
      <c r="F554" s="141" t="s">
        <v>406</v>
      </c>
      <c r="G554" s="128">
        <v>46125</v>
      </c>
      <c r="H554" s="141" t="s">
        <v>1135</v>
      </c>
      <c r="I554" s="141"/>
      <c r="J554" s="359" t="str">
        <f>IFERROR(VLOOKUP($A554,#REF!,3,0),"")</f>
        <v/>
      </c>
      <c r="K554" s="359">
        <f>IFERROR(VLOOKUP($A554,#REF!,4,0),AF554)</f>
        <v>0</v>
      </c>
      <c r="L554" s="359" t="str">
        <f>IFERROR(VLOOKUP($A554,#REF!,5,0),"")</f>
        <v/>
      </c>
      <c r="M554" s="359" t="str">
        <f>IFERROR(VLOOKUP($A554,#REF!,7,0),"")</f>
        <v/>
      </c>
      <c r="N554" s="359"/>
      <c r="O554" s="359" t="str">
        <f>IFERROR(VLOOKUP($A554,#REF!,6,0),"")</f>
        <v/>
      </c>
      <c r="P554" s="359" t="str">
        <f>IFERROR(VLOOKUP($A554,#REF!,9,0),"")</f>
        <v/>
      </c>
      <c r="Q554" s="359" t="str">
        <f>IFERROR(VLOOKUP($A554,#REF!,10,0),"")</f>
        <v/>
      </c>
      <c r="R554" s="359" t="str">
        <f>IFERROR(VLOOKUP($A554,#REF!,11,0),"")</f>
        <v/>
      </c>
      <c r="S554" s="359" t="str">
        <f>IFERROR(VLOOKUP($A554,#REF!,13,0),"")</f>
        <v/>
      </c>
      <c r="T554" s="359" t="str">
        <f>IFERROR(VLOOKUP($A554,#REF!,14,0),"")</f>
        <v/>
      </c>
      <c r="U554" s="359" t="str">
        <f>IFERROR(VLOOKUP($A554,#REF!,15,0),"")</f>
        <v/>
      </c>
      <c r="V554" s="359" t="str">
        <f>IFERROR(VLOOKUP($A554,#REF!,16,0),"")</f>
        <v/>
      </c>
      <c r="W554" s="359" t="str">
        <f>IFERROR(VLOOKUP($A554,#REF!,17,0),"")</f>
        <v/>
      </c>
      <c r="X554" s="359" t="str">
        <f>IFERROR(VLOOKUP($A554,#REF!,18,0),"")</f>
        <v/>
      </c>
      <c r="Y554" s="359" t="str">
        <f>IFERROR(VLOOKUP($A554,#REF!,19,0),"")</f>
        <v/>
      </c>
      <c r="Z554" s="400" t="str">
        <f>IFERROR(VLOOKUP($A554,#REF!,21,0),"")</f>
        <v/>
      </c>
      <c r="AA554" s="141"/>
      <c r="AB554" s="141"/>
      <c r="AC554" s="141" t="s">
        <v>1721</v>
      </c>
      <c r="AD554" s="141" t="s">
        <v>1638</v>
      </c>
      <c r="AE554" s="284"/>
      <c r="AF554" s="141"/>
      <c r="AG554" s="141" t="s">
        <v>2590</v>
      </c>
      <c r="AH554" s="102"/>
      <c r="AI554" s="102"/>
      <c r="AJ554" s="102"/>
      <c r="AK554" s="102"/>
      <c r="AL554" s="102"/>
      <c r="AM554" s="102"/>
      <c r="AN554" s="273"/>
      <c r="AO554" s="273"/>
      <c r="AP554" s="273"/>
      <c r="AQ554" s="320"/>
      <c r="AR554" s="277"/>
      <c r="AS554" s="250"/>
      <c r="AT554" s="250"/>
      <c r="AU554" s="250"/>
      <c r="AV554" s="25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  <c r="BG554" s="111"/>
      <c r="BH554" s="111"/>
      <c r="BI554" s="111"/>
      <c r="BJ554" s="111"/>
      <c r="BK554" s="100"/>
      <c r="BL554" s="100"/>
      <c r="BM554"/>
      <c r="BN554" s="412"/>
      <c r="BO554" s="412"/>
      <c r="BP554" s="412"/>
      <c r="BQ554" s="412"/>
      <c r="BR554" s="412"/>
      <c r="BS554" s="96"/>
      <c r="BT554" s="96"/>
      <c r="BU554" s="96"/>
      <c r="BV554" s="96"/>
      <c r="BW554"/>
    </row>
    <row r="555" spans="1:78" s="278" customFormat="1" ht="18" hidden="1" customHeight="1">
      <c r="A555" s="35" t="str">
        <f t="shared" si="46"/>
        <v>086/2646126</v>
      </c>
      <c r="B555" s="362"/>
      <c r="C555" s="358" t="s">
        <v>24</v>
      </c>
      <c r="D555" s="358">
        <v>552</v>
      </c>
      <c r="E555" s="141" t="s">
        <v>3967</v>
      </c>
      <c r="F555" s="141" t="s">
        <v>102</v>
      </c>
      <c r="G555" s="128">
        <v>46126</v>
      </c>
      <c r="H555" s="141" t="s">
        <v>1945</v>
      </c>
      <c r="I555" s="141">
        <v>12</v>
      </c>
      <c r="J555" s="359" t="str">
        <f>IFERROR(VLOOKUP($A555,#REF!,3,0),"")</f>
        <v/>
      </c>
      <c r="K555" s="359">
        <f>IFERROR(VLOOKUP($A555,#REF!,4,0),AF555)</f>
        <v>0</v>
      </c>
      <c r="L555" s="359" t="str">
        <f>IFERROR(VLOOKUP($A555,#REF!,5,0),"")</f>
        <v/>
      </c>
      <c r="M555" s="359" t="str">
        <f>IFERROR(VLOOKUP($A555,#REF!,7,0),"")</f>
        <v/>
      </c>
      <c r="N555" s="359"/>
      <c r="O555" s="359" t="str">
        <f>IFERROR(VLOOKUP($A555,#REF!,6,0),"")</f>
        <v/>
      </c>
      <c r="P555" s="359" t="str">
        <f>IFERROR(VLOOKUP($A555,#REF!,9,0),"")</f>
        <v/>
      </c>
      <c r="Q555" s="359" t="str">
        <f>IFERROR(VLOOKUP($A555,#REF!,10,0),"")</f>
        <v/>
      </c>
      <c r="R555" s="359" t="str">
        <f>IFERROR(VLOOKUP($A555,#REF!,11,0),"")</f>
        <v/>
      </c>
      <c r="S555" s="359" t="str">
        <f>IFERROR(VLOOKUP($A555,#REF!,13,0),"")</f>
        <v/>
      </c>
      <c r="T555" s="359" t="str">
        <f>IFERROR(VLOOKUP($A555,#REF!,14,0),"")</f>
        <v/>
      </c>
      <c r="U555" s="359" t="str">
        <f>IFERROR(VLOOKUP($A555,#REF!,15,0),"")</f>
        <v/>
      </c>
      <c r="V555" s="359" t="str">
        <f>IFERROR(VLOOKUP($A555,#REF!,16,0),"")</f>
        <v/>
      </c>
      <c r="W555" s="359" t="str">
        <f>IFERROR(VLOOKUP($A555,#REF!,17,0),"")</f>
        <v/>
      </c>
      <c r="X555" s="359" t="str">
        <f>IFERROR(VLOOKUP($A555,#REF!,18,0),"")</f>
        <v/>
      </c>
      <c r="Y555" s="359" t="str">
        <f>IFERROR(VLOOKUP($A555,#REF!,19,0),"")</f>
        <v/>
      </c>
      <c r="Z555" s="400" t="str">
        <f>IFERROR(VLOOKUP($A555,#REF!,21,0),"")</f>
        <v/>
      </c>
      <c r="AA555" s="141"/>
      <c r="AB555" s="141"/>
      <c r="AC555" s="141" t="s">
        <v>1721</v>
      </c>
      <c r="AD555" s="141" t="s">
        <v>1638</v>
      </c>
      <c r="AE555" s="358"/>
      <c r="AF555" s="141"/>
      <c r="AG555" s="102"/>
      <c r="AH555" s="141"/>
      <c r="AI555" s="141"/>
      <c r="AJ555" s="141" t="s">
        <v>2050</v>
      </c>
      <c r="AK555" s="141"/>
      <c r="AL555" s="141"/>
      <c r="AM555" s="141"/>
      <c r="AN555" s="276"/>
      <c r="AO555" s="276"/>
      <c r="AP555" s="276"/>
      <c r="AQ555" s="320"/>
      <c r="AR555" s="277"/>
      <c r="AS555" s="250"/>
      <c r="AT555" s="250"/>
      <c r="AU555" s="250"/>
      <c r="AV555" s="25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  <c r="BG555" s="111"/>
      <c r="BH555" s="111"/>
      <c r="BI555" s="111"/>
      <c r="BJ555" s="111"/>
      <c r="BK555" s="100"/>
      <c r="BL555" s="100"/>
      <c r="BM555"/>
      <c r="BN555" s="412"/>
      <c r="BO555" s="412"/>
      <c r="BP555" s="412"/>
      <c r="BQ555" s="412"/>
      <c r="BR555" s="412"/>
      <c r="BS555" s="96"/>
      <c r="BT555" s="96"/>
      <c r="BU555" s="96"/>
      <c r="BV555" s="96"/>
      <c r="BW555"/>
      <c r="BZ555" s="278">
        <f t="shared" si="55"/>
        <v>1</v>
      </c>
    </row>
    <row r="556" spans="1:78" s="278" customFormat="1" ht="18" hidden="1" customHeight="1">
      <c r="A556" s="35" t="str">
        <f t="shared" si="46"/>
        <v>M150/2646126</v>
      </c>
      <c r="B556" s="362"/>
      <c r="C556" s="358" t="s">
        <v>24</v>
      </c>
      <c r="D556" s="358">
        <v>553</v>
      </c>
      <c r="E556" s="141" t="s">
        <v>3968</v>
      </c>
      <c r="F556" s="141" t="s">
        <v>43</v>
      </c>
      <c r="G556" s="128">
        <v>46126</v>
      </c>
      <c r="H556" s="141" t="s">
        <v>927</v>
      </c>
      <c r="I556" s="141">
        <v>11</v>
      </c>
      <c r="J556" s="359" t="str">
        <f>IFERROR(VLOOKUP($A556,#REF!,3,0),"")</f>
        <v/>
      </c>
      <c r="K556" s="359">
        <f>IFERROR(VLOOKUP($A556,#REF!,4,0),AF556)</f>
        <v>0</v>
      </c>
      <c r="L556" s="359" t="str">
        <f>IFERROR(VLOOKUP($A556,#REF!,5,0),"")</f>
        <v/>
      </c>
      <c r="M556" s="359" t="str">
        <f>IFERROR(VLOOKUP($A556,#REF!,7,0),"")</f>
        <v/>
      </c>
      <c r="N556" s="359"/>
      <c r="O556" s="359" t="str">
        <f>IFERROR(VLOOKUP($A556,#REF!,6,0),"")</f>
        <v/>
      </c>
      <c r="P556" s="359" t="str">
        <f>IFERROR(VLOOKUP($A556,#REF!,9,0),"")</f>
        <v/>
      </c>
      <c r="Q556" s="359" t="str">
        <f>IFERROR(VLOOKUP($A556,#REF!,10,0),"")</f>
        <v/>
      </c>
      <c r="R556" s="359" t="str">
        <f>IFERROR(VLOOKUP($A556,#REF!,11,0),"")</f>
        <v/>
      </c>
      <c r="S556" s="359" t="str">
        <f>IFERROR(VLOOKUP($A556,#REF!,13,0),"")</f>
        <v/>
      </c>
      <c r="T556" s="359" t="str">
        <f>IFERROR(VLOOKUP($A556,#REF!,14,0),"")</f>
        <v/>
      </c>
      <c r="U556" s="359" t="str">
        <f>IFERROR(VLOOKUP($A556,#REF!,15,0),"")</f>
        <v/>
      </c>
      <c r="V556" s="359" t="str">
        <f>IFERROR(VLOOKUP($A556,#REF!,16,0),"")</f>
        <v/>
      </c>
      <c r="W556" s="359" t="str">
        <f>IFERROR(VLOOKUP($A556,#REF!,17,0),"")</f>
        <v/>
      </c>
      <c r="X556" s="359" t="str">
        <f>IFERROR(VLOOKUP($A556,#REF!,18,0),"")</f>
        <v/>
      </c>
      <c r="Y556" s="359" t="str">
        <f>IFERROR(VLOOKUP($A556,#REF!,19,0),"")</f>
        <v/>
      </c>
      <c r="Z556" s="400" t="str">
        <f>IFERROR(VLOOKUP($A556,#REF!,21,0),"")</f>
        <v/>
      </c>
      <c r="AA556" s="141"/>
      <c r="AB556" s="141"/>
      <c r="AC556" s="141" t="s">
        <v>1077</v>
      </c>
      <c r="AD556" s="141" t="s">
        <v>1138</v>
      </c>
      <c r="AE556" s="358"/>
      <c r="AF556" s="141"/>
      <c r="AG556" s="141" t="s">
        <v>2203</v>
      </c>
      <c r="AH556" s="141"/>
      <c r="AI556" s="141"/>
      <c r="AJ556" s="141" t="s">
        <v>3969</v>
      </c>
      <c r="AK556" s="141"/>
      <c r="AL556" s="141"/>
      <c r="AM556" s="141"/>
      <c r="AN556" s="276"/>
      <c r="AO556" s="276"/>
      <c r="AP556" s="276"/>
      <c r="AQ556" s="320"/>
      <c r="AR556" s="277"/>
      <c r="AS556" s="250"/>
      <c r="AT556" s="250"/>
      <c r="AU556" s="250"/>
      <c r="AV556" s="25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  <c r="BG556" s="111"/>
      <c r="BH556" s="111"/>
      <c r="BI556" s="111"/>
      <c r="BJ556" s="111"/>
      <c r="BK556" s="100"/>
      <c r="BL556" s="100"/>
      <c r="BM556"/>
      <c r="BN556" s="412"/>
      <c r="BO556" s="412"/>
      <c r="BP556" s="412"/>
      <c r="BQ556" s="412"/>
      <c r="BR556" s="412"/>
      <c r="BS556" s="96"/>
      <c r="BT556" s="96"/>
      <c r="BU556" s="96"/>
      <c r="BV556" s="96"/>
      <c r="BW556"/>
      <c r="BZ556" s="278">
        <f t="shared" si="55"/>
        <v>1</v>
      </c>
    </row>
    <row r="557" spans="1:78" ht="15.6" hidden="1" customHeight="1">
      <c r="A557" s="35" t="str">
        <f t="shared" si="46"/>
        <v>M175/2646127</v>
      </c>
      <c r="C557" s="358" t="s">
        <v>24</v>
      </c>
      <c r="D557" s="358">
        <v>554</v>
      </c>
      <c r="E557" s="358" t="s">
        <v>3970</v>
      </c>
      <c r="F557" s="358" t="s">
        <v>3763</v>
      </c>
      <c r="G557" s="384">
        <v>46127</v>
      </c>
      <c r="H557" s="358" t="s">
        <v>126</v>
      </c>
      <c r="I557" s="358">
        <v>23</v>
      </c>
      <c r="J557" s="359" t="str">
        <f>IFERROR(VLOOKUP($A557,#REF!,3,0),"")</f>
        <v/>
      </c>
      <c r="K557" s="359">
        <f>IFERROR(VLOOKUP($A557,#REF!,4,0),AF557)</f>
        <v>0</v>
      </c>
      <c r="L557" s="359" t="str">
        <f>IFERROR(VLOOKUP($A557,#REF!,5,0),"")</f>
        <v/>
      </c>
      <c r="M557" s="359" t="str">
        <f>IFERROR(VLOOKUP($A557,#REF!,7,0),"")</f>
        <v/>
      </c>
      <c r="N557" s="359"/>
      <c r="O557" s="359" t="str">
        <f>IFERROR(VLOOKUP($A557,#REF!,6,0),"")</f>
        <v/>
      </c>
      <c r="P557" s="359" t="str">
        <f>IFERROR(VLOOKUP($A557,#REF!,9,0),"")</f>
        <v/>
      </c>
      <c r="Q557" s="359" t="str">
        <f>IFERROR(VLOOKUP($A557,#REF!,10,0),"")</f>
        <v/>
      </c>
      <c r="R557" s="359" t="str">
        <f>IFERROR(VLOOKUP($A557,#REF!,11,0),"")</f>
        <v/>
      </c>
      <c r="S557" s="359" t="str">
        <f>IFERROR(VLOOKUP($A557,#REF!,13,0),"")</f>
        <v/>
      </c>
      <c r="T557" s="359" t="str">
        <f>IFERROR(VLOOKUP($A557,#REF!,14,0),"")</f>
        <v/>
      </c>
      <c r="U557" s="359" t="str">
        <f>IFERROR(VLOOKUP($A557,#REF!,15,0),"")</f>
        <v/>
      </c>
      <c r="V557" s="359" t="str">
        <f>IFERROR(VLOOKUP($A557,#REF!,16,0),"")</f>
        <v/>
      </c>
      <c r="W557" s="359" t="str">
        <f>IFERROR(VLOOKUP($A557,#REF!,17,0),"")</f>
        <v/>
      </c>
      <c r="X557" s="359" t="str">
        <f>IFERROR(VLOOKUP($A557,#REF!,18,0),"")</f>
        <v/>
      </c>
      <c r="Y557" s="359" t="str">
        <f>IFERROR(VLOOKUP($A557,#REF!,19,0),"")</f>
        <v/>
      </c>
      <c r="Z557" s="400" t="str">
        <f>IFERROR(VLOOKUP($A557,#REF!,21,0),"")</f>
        <v/>
      </c>
      <c r="AA557" s="358"/>
      <c r="AB557" s="358"/>
      <c r="AC557" s="358" t="s">
        <v>127</v>
      </c>
      <c r="AD557" s="358" t="s">
        <v>28</v>
      </c>
      <c r="AE557" s="358"/>
      <c r="AF557" s="141"/>
      <c r="AG557" s="141" t="s">
        <v>3971</v>
      </c>
      <c r="AH557" s="358"/>
      <c r="AI557" s="358"/>
      <c r="AJ557" s="141" t="s">
        <v>3972</v>
      </c>
      <c r="AK557" s="141"/>
      <c r="AL557" s="141"/>
      <c r="AM557" s="141"/>
      <c r="AN557" s="120"/>
      <c r="AO557" s="120"/>
      <c r="AP557" s="120"/>
      <c r="AQ557" s="313"/>
      <c r="AR557" s="119"/>
      <c r="AS557" s="22"/>
      <c r="AT557" s="22"/>
      <c r="AU557" s="22"/>
      <c r="AV557" s="22"/>
      <c r="AW557" s="82"/>
      <c r="AX557" s="82"/>
      <c r="AY557" s="82"/>
      <c r="AZ557" s="82"/>
      <c r="BA557" s="82"/>
      <c r="BB557" s="82"/>
      <c r="BC557" s="82"/>
      <c r="BD557" s="82"/>
      <c r="BE557" s="82"/>
      <c r="BF557" s="82"/>
      <c r="BG557" s="112"/>
      <c r="BH557" s="112"/>
      <c r="BI557" s="112"/>
      <c r="BJ557" s="112"/>
      <c r="BK557" s="82"/>
      <c r="BL557" s="82"/>
      <c r="BN557" s="412"/>
      <c r="BO557" s="412"/>
      <c r="BP557" s="412"/>
      <c r="BQ557" s="412"/>
      <c r="BR557" s="412"/>
      <c r="BZ557">
        <f t="shared" si="53"/>
        <v>1</v>
      </c>
    </row>
    <row r="558" spans="1:78" ht="15.6" hidden="1" customHeight="1">
      <c r="A558" s="35" t="str">
        <f t="shared" si="46"/>
        <v>M191/2646127</v>
      </c>
      <c r="C558" s="358" t="s">
        <v>24</v>
      </c>
      <c r="D558" s="358">
        <v>555</v>
      </c>
      <c r="E558" s="358" t="s">
        <v>3973</v>
      </c>
      <c r="F558" s="358" t="s">
        <v>3763</v>
      </c>
      <c r="G558" s="384">
        <v>46127</v>
      </c>
      <c r="H558" s="358" t="s">
        <v>1611</v>
      </c>
      <c r="I558" s="358">
        <v>12</v>
      </c>
      <c r="J558" s="359" t="str">
        <f>IFERROR(VLOOKUP($A558,#REF!,3,0),"")</f>
        <v/>
      </c>
      <c r="K558" s="359">
        <f>IFERROR(VLOOKUP($A558,#REF!,4,0),AF558)</f>
        <v>0</v>
      </c>
      <c r="L558" s="359" t="str">
        <f>IFERROR(VLOOKUP($A558,#REF!,5,0),"")</f>
        <v/>
      </c>
      <c r="M558" s="359" t="str">
        <f>IFERROR(VLOOKUP($A558,#REF!,7,0),"")</f>
        <v/>
      </c>
      <c r="N558" s="359"/>
      <c r="O558" s="359" t="str">
        <f>IFERROR(VLOOKUP($A558,#REF!,6,0),"")</f>
        <v/>
      </c>
      <c r="P558" s="359" t="str">
        <f>IFERROR(VLOOKUP($A558,#REF!,9,0),"")</f>
        <v/>
      </c>
      <c r="Q558" s="359" t="str">
        <f>IFERROR(VLOOKUP($A558,#REF!,10,0),"")</f>
        <v/>
      </c>
      <c r="R558" s="359" t="str">
        <f>IFERROR(VLOOKUP($A558,#REF!,11,0),"")</f>
        <v/>
      </c>
      <c r="S558" s="359" t="str">
        <f>IFERROR(VLOOKUP($A558,#REF!,13,0),"")</f>
        <v/>
      </c>
      <c r="T558" s="359" t="str">
        <f>IFERROR(VLOOKUP($A558,#REF!,14,0),"")</f>
        <v/>
      </c>
      <c r="U558" s="359" t="str">
        <f>IFERROR(VLOOKUP($A558,#REF!,15,0),"")</f>
        <v/>
      </c>
      <c r="V558" s="359" t="str">
        <f>IFERROR(VLOOKUP($A558,#REF!,16,0),"")</f>
        <v/>
      </c>
      <c r="W558" s="359" t="str">
        <f>IFERROR(VLOOKUP($A558,#REF!,17,0),"")</f>
        <v/>
      </c>
      <c r="X558" s="359" t="str">
        <f>IFERROR(VLOOKUP($A558,#REF!,18,0),"")</f>
        <v/>
      </c>
      <c r="Y558" s="359" t="str">
        <f>IFERROR(VLOOKUP($A558,#REF!,19,0),"")</f>
        <v/>
      </c>
      <c r="Z558" s="400" t="str">
        <f>IFERROR(VLOOKUP($A558,#REF!,21,0),"")</f>
        <v/>
      </c>
      <c r="AA558" s="358"/>
      <c r="AB558" s="358"/>
      <c r="AC558" s="358" t="s">
        <v>1077</v>
      </c>
      <c r="AD558" s="358" t="s">
        <v>1138</v>
      </c>
      <c r="AE558" s="358" t="s">
        <v>3974</v>
      </c>
      <c r="AF558" s="141"/>
      <c r="AG558" s="102" t="s">
        <v>3975</v>
      </c>
      <c r="AH558" s="358"/>
      <c r="AI558" s="358"/>
      <c r="AJ558" s="141" t="s">
        <v>3765</v>
      </c>
      <c r="AK558" s="141"/>
      <c r="AL558" s="141"/>
      <c r="AM558" s="141"/>
      <c r="AN558" s="120"/>
      <c r="AO558" s="120"/>
      <c r="AP558" s="120"/>
      <c r="AQ558" s="313"/>
      <c r="AR558" s="119"/>
      <c r="AS558" s="22"/>
      <c r="AT558" s="22"/>
      <c r="AU558" s="22"/>
      <c r="AV558" s="22"/>
      <c r="AW558" s="82"/>
      <c r="AX558" s="82"/>
      <c r="AY558" s="82"/>
      <c r="AZ558" s="82"/>
      <c r="BA558" s="82"/>
      <c r="BB558" s="82"/>
      <c r="BC558" s="82"/>
      <c r="BD558" s="82"/>
      <c r="BE558" s="82"/>
      <c r="BF558" s="82"/>
      <c r="BG558" s="112"/>
      <c r="BH558" s="112"/>
      <c r="BI558" s="112"/>
      <c r="BJ558" s="112"/>
      <c r="BK558" s="82"/>
      <c r="BL558" s="82"/>
      <c r="BN558" s="412"/>
      <c r="BO558" s="412"/>
      <c r="BP558" s="412"/>
      <c r="BQ558" s="412"/>
      <c r="BR558" s="412"/>
      <c r="BZ558">
        <f t="shared" si="53"/>
        <v>1</v>
      </c>
    </row>
    <row r="559" spans="1:78" ht="15.6" hidden="1" customHeight="1">
      <c r="A559" s="35" t="str">
        <f t="shared" si="46"/>
        <v>M192/2646127</v>
      </c>
      <c r="C559" s="358" t="s">
        <v>24</v>
      </c>
      <c r="D559" s="358">
        <v>556</v>
      </c>
      <c r="E559" s="358" t="s">
        <v>3976</v>
      </c>
      <c r="F559" s="358" t="s">
        <v>1641</v>
      </c>
      <c r="G559" s="384">
        <v>46127</v>
      </c>
      <c r="H559" s="358" t="s">
        <v>1611</v>
      </c>
      <c r="I559" s="358">
        <v>12</v>
      </c>
      <c r="J559" s="359" t="str">
        <f>IFERROR(VLOOKUP($A559,#REF!,3,0),"")</f>
        <v/>
      </c>
      <c r="K559" s="359">
        <f>IFERROR(VLOOKUP($A559,#REF!,4,0),AF559)</f>
        <v>0</v>
      </c>
      <c r="L559" s="359" t="str">
        <f>IFERROR(VLOOKUP($A559,#REF!,5,0),"")</f>
        <v/>
      </c>
      <c r="M559" s="359" t="str">
        <f>IFERROR(VLOOKUP($A559,#REF!,7,0),"")</f>
        <v/>
      </c>
      <c r="N559" s="359"/>
      <c r="O559" s="359" t="str">
        <f>IFERROR(VLOOKUP($A559,#REF!,6,0),"")</f>
        <v/>
      </c>
      <c r="P559" s="359" t="str">
        <f>IFERROR(VLOOKUP($A559,#REF!,9,0),"")</f>
        <v/>
      </c>
      <c r="Q559" s="359" t="str">
        <f>IFERROR(VLOOKUP($A559,#REF!,10,0),"")</f>
        <v/>
      </c>
      <c r="R559" s="359" t="str">
        <f>IFERROR(VLOOKUP($A559,#REF!,11,0),"")</f>
        <v/>
      </c>
      <c r="S559" s="359" t="str">
        <f>IFERROR(VLOOKUP($A559,#REF!,13,0),"")</f>
        <v/>
      </c>
      <c r="T559" s="359" t="str">
        <f>IFERROR(VLOOKUP($A559,#REF!,14,0),"")</f>
        <v/>
      </c>
      <c r="U559" s="359" t="str">
        <f>IFERROR(VLOOKUP($A559,#REF!,15,0),"")</f>
        <v/>
      </c>
      <c r="V559" s="359" t="str">
        <f>IFERROR(VLOOKUP($A559,#REF!,16,0),"")</f>
        <v/>
      </c>
      <c r="W559" s="359" t="str">
        <f>IFERROR(VLOOKUP($A559,#REF!,17,0),"")</f>
        <v/>
      </c>
      <c r="X559" s="359" t="str">
        <f>IFERROR(VLOOKUP($A559,#REF!,18,0),"")</f>
        <v/>
      </c>
      <c r="Y559" s="359" t="str">
        <f>IFERROR(VLOOKUP($A559,#REF!,19,0),"")</f>
        <v/>
      </c>
      <c r="Z559" s="400" t="str">
        <f>IFERROR(VLOOKUP($A559,#REF!,21,0),"")</f>
        <v/>
      </c>
      <c r="AA559" s="358"/>
      <c r="AB559" s="358"/>
      <c r="AC559" s="358" t="s">
        <v>1077</v>
      </c>
      <c r="AD559" s="358" t="s">
        <v>1138</v>
      </c>
      <c r="AE559" s="358" t="s">
        <v>3974</v>
      </c>
      <c r="AF559" s="141"/>
      <c r="AG559" s="102" t="s">
        <v>3975</v>
      </c>
      <c r="AH559" s="358"/>
      <c r="AI559" s="358"/>
      <c r="AJ559" s="141" t="s">
        <v>3765</v>
      </c>
      <c r="AK559" s="141"/>
      <c r="AL559" s="141"/>
      <c r="AM559" s="141"/>
      <c r="AN559" s="120"/>
      <c r="AO559" s="120"/>
      <c r="AP559" s="120"/>
      <c r="AQ559" s="313"/>
      <c r="AR559" s="119"/>
      <c r="AS559" s="22"/>
      <c r="AT559" s="22"/>
      <c r="AU559" s="22"/>
      <c r="AV559" s="22"/>
      <c r="AW559" s="82"/>
      <c r="AX559" s="82"/>
      <c r="AY559" s="82"/>
      <c r="AZ559" s="82"/>
      <c r="BA559" s="82"/>
      <c r="BB559" s="82"/>
      <c r="BC559" s="82"/>
      <c r="BD559" s="82"/>
      <c r="BE559" s="82"/>
      <c r="BF559" s="82"/>
      <c r="BG559" s="112"/>
      <c r="BH559" s="112"/>
      <c r="BI559" s="112"/>
      <c r="BJ559" s="112"/>
      <c r="BK559" s="82"/>
      <c r="BL559" s="82"/>
      <c r="BN559" s="412"/>
      <c r="BO559" s="412"/>
      <c r="BP559" s="412"/>
      <c r="BQ559" s="412"/>
      <c r="BR559" s="412"/>
      <c r="BZ559">
        <f t="shared" si="53"/>
        <v>1</v>
      </c>
    </row>
    <row r="560" spans="1:78" ht="15.6" hidden="1" customHeight="1">
      <c r="A560" s="35" t="str">
        <f t="shared" si="46"/>
        <v>M176/2646128</v>
      </c>
      <c r="C560" s="358" t="s">
        <v>24</v>
      </c>
      <c r="D560" s="358">
        <v>557</v>
      </c>
      <c r="E560" s="358" t="s">
        <v>3977</v>
      </c>
      <c r="F560" s="358" t="s">
        <v>3763</v>
      </c>
      <c r="G560" s="384">
        <v>46128</v>
      </c>
      <c r="H560" s="358" t="s">
        <v>126</v>
      </c>
      <c r="I560" s="358">
        <v>23</v>
      </c>
      <c r="J560" s="359" t="str">
        <f>IFERROR(VLOOKUP($A560,#REF!,3,0),"")</f>
        <v/>
      </c>
      <c r="K560" s="359">
        <f>IFERROR(VLOOKUP($A560,#REF!,4,0),AF560)</f>
        <v>0</v>
      </c>
      <c r="L560" s="359" t="str">
        <f>IFERROR(VLOOKUP($A560,#REF!,5,0),"")</f>
        <v/>
      </c>
      <c r="M560" s="359" t="str">
        <f>IFERROR(VLOOKUP($A560,#REF!,7,0),"")</f>
        <v/>
      </c>
      <c r="N560" s="359"/>
      <c r="O560" s="359" t="str">
        <f>IFERROR(VLOOKUP($A560,#REF!,6,0),"")</f>
        <v/>
      </c>
      <c r="P560" s="359" t="str">
        <f>IFERROR(VLOOKUP($A560,#REF!,9,0),"")</f>
        <v/>
      </c>
      <c r="Q560" s="359" t="str">
        <f>IFERROR(VLOOKUP($A560,#REF!,10,0),"")</f>
        <v/>
      </c>
      <c r="R560" s="359" t="str">
        <f>IFERROR(VLOOKUP($A560,#REF!,11,0),"")</f>
        <v/>
      </c>
      <c r="S560" s="359" t="str">
        <f>IFERROR(VLOOKUP($A560,#REF!,13,0),"")</f>
        <v/>
      </c>
      <c r="T560" s="359" t="str">
        <f>IFERROR(VLOOKUP($A560,#REF!,14,0),"")</f>
        <v/>
      </c>
      <c r="U560" s="359" t="str">
        <f>IFERROR(VLOOKUP($A560,#REF!,15,0),"")</f>
        <v/>
      </c>
      <c r="V560" s="359" t="str">
        <f>IFERROR(VLOOKUP($A560,#REF!,16,0),"")</f>
        <v/>
      </c>
      <c r="W560" s="359" t="str">
        <f>IFERROR(VLOOKUP($A560,#REF!,17,0),"")</f>
        <v/>
      </c>
      <c r="X560" s="359" t="str">
        <f>IFERROR(VLOOKUP($A560,#REF!,18,0),"")</f>
        <v/>
      </c>
      <c r="Y560" s="359" t="str">
        <f>IFERROR(VLOOKUP($A560,#REF!,19,0),"")</f>
        <v/>
      </c>
      <c r="Z560" s="400" t="str">
        <f>IFERROR(VLOOKUP($A560,#REF!,21,0),"")</f>
        <v/>
      </c>
      <c r="AA560" s="358"/>
      <c r="AB560" s="358"/>
      <c r="AC560" s="358" t="s">
        <v>127</v>
      </c>
      <c r="AD560" s="358" t="s">
        <v>28</v>
      </c>
      <c r="AE560" s="358" t="s">
        <v>3978</v>
      </c>
      <c r="AF560" s="141"/>
      <c r="AG560" s="102" t="s">
        <v>3979</v>
      </c>
      <c r="AH560" s="358"/>
      <c r="AI560" s="358"/>
      <c r="AJ560" s="141" t="s">
        <v>3972</v>
      </c>
      <c r="AK560" s="141"/>
      <c r="AL560" s="141"/>
      <c r="AM560" s="141"/>
      <c r="AN560" s="120"/>
      <c r="AO560" s="120"/>
      <c r="AP560" s="120"/>
      <c r="AQ560" s="313"/>
      <c r="AR560" s="119"/>
      <c r="AS560" s="22"/>
      <c r="AT560" s="22"/>
      <c r="AU560" s="22"/>
      <c r="AV560" s="22"/>
      <c r="AW560" s="82"/>
      <c r="AX560" s="82"/>
      <c r="AY560" s="82"/>
      <c r="AZ560" s="82"/>
      <c r="BA560" s="82"/>
      <c r="BB560" s="82"/>
      <c r="BC560" s="82"/>
      <c r="BD560" s="82"/>
      <c r="BE560" s="82"/>
      <c r="BF560" s="82"/>
      <c r="BG560" s="112"/>
      <c r="BH560" s="112"/>
      <c r="BI560" s="112"/>
      <c r="BJ560" s="112"/>
      <c r="BK560" s="82"/>
      <c r="BL560" s="82"/>
      <c r="BN560" s="412"/>
      <c r="BO560" s="412"/>
      <c r="BP560" s="412"/>
      <c r="BQ560" s="412"/>
      <c r="BR560" s="412"/>
      <c r="BZ560">
        <f t="shared" ref="BZ560" si="56">IF(G560&gt;1,1,"")</f>
        <v>1</v>
      </c>
    </row>
    <row r="561" spans="1:78" s="275" customFormat="1" ht="14.1" hidden="1" customHeight="1">
      <c r="A561" s="35" t="str">
        <f t="shared" si="46"/>
        <v>011/2646128</v>
      </c>
      <c r="B561" s="364"/>
      <c r="C561" s="102" t="s">
        <v>24</v>
      </c>
      <c r="D561" s="358">
        <v>558</v>
      </c>
      <c r="E561" s="102" t="s">
        <v>3980</v>
      </c>
      <c r="F561" s="102" t="s">
        <v>43</v>
      </c>
      <c r="G561" s="249">
        <v>46128</v>
      </c>
      <c r="H561" s="102" t="s">
        <v>167</v>
      </c>
      <c r="I561" s="102">
        <v>10</v>
      </c>
      <c r="J561" s="359" t="str">
        <f>IFERROR(VLOOKUP($A561,#REF!,3,0),"")</f>
        <v/>
      </c>
      <c r="K561" s="359" t="str">
        <f>IFERROR(VLOOKUP($A561,#REF!,4,0),AF561)</f>
        <v>INT</v>
      </c>
      <c r="L561" s="359" t="str">
        <f>IFERROR(VLOOKUP($A561,#REF!,5,0),"")</f>
        <v/>
      </c>
      <c r="M561" s="359" t="str">
        <f>IFERROR(VLOOKUP($A561,#REF!,7,0),"")</f>
        <v/>
      </c>
      <c r="N561" s="359"/>
      <c r="O561" s="359" t="str">
        <f>IFERROR(VLOOKUP($A561,#REF!,6,0),"")</f>
        <v/>
      </c>
      <c r="P561" s="359" t="str">
        <f>IFERROR(VLOOKUP($A561,#REF!,9,0),"")</f>
        <v/>
      </c>
      <c r="Q561" s="359" t="str">
        <f>IFERROR(VLOOKUP($A561,#REF!,10,0),"")</f>
        <v/>
      </c>
      <c r="R561" s="359" t="str">
        <f>IFERROR(VLOOKUP($A561,#REF!,11,0),"")</f>
        <v/>
      </c>
      <c r="S561" s="359" t="str">
        <f>IFERROR(VLOOKUP($A561,#REF!,13,0),"")</f>
        <v/>
      </c>
      <c r="T561" s="359" t="str">
        <f>IFERROR(VLOOKUP($A561,#REF!,14,0),"")</f>
        <v/>
      </c>
      <c r="U561" s="359" t="str">
        <f>IFERROR(VLOOKUP($A561,#REF!,15,0),"")</f>
        <v/>
      </c>
      <c r="V561" s="359" t="str">
        <f>IFERROR(VLOOKUP($A561,#REF!,16,0),"")</f>
        <v/>
      </c>
      <c r="W561" s="359" t="str">
        <f>IFERROR(VLOOKUP($A561,#REF!,17,0),"")</f>
        <v/>
      </c>
      <c r="X561" s="359" t="str">
        <f>IFERROR(VLOOKUP($A561,#REF!,18,0),"")</f>
        <v/>
      </c>
      <c r="Y561" s="359" t="str">
        <f>IFERROR(VLOOKUP($A561,#REF!,19,0),"")</f>
        <v/>
      </c>
      <c r="Z561" s="400" t="str">
        <f>IFERROR(VLOOKUP($A561,#REF!,21,0),"")</f>
        <v/>
      </c>
      <c r="AA561" s="102"/>
      <c r="AB561" s="102"/>
      <c r="AC561" s="102" t="s">
        <v>1076</v>
      </c>
      <c r="AD561" s="102" t="s">
        <v>3622</v>
      </c>
      <c r="AE561" s="102" t="s">
        <v>3981</v>
      </c>
      <c r="AF561" s="141" t="s">
        <v>3077</v>
      </c>
      <c r="AG561" s="102" t="s">
        <v>3982</v>
      </c>
      <c r="AH561" s="102"/>
      <c r="AI561" s="102"/>
      <c r="AJ561" s="141" t="s">
        <v>2050</v>
      </c>
      <c r="AK561" s="141"/>
      <c r="AL561" s="141"/>
      <c r="AM561" s="141"/>
      <c r="AN561" s="273"/>
      <c r="AO561" s="273"/>
      <c r="AP561" s="273"/>
      <c r="AQ561" s="314"/>
      <c r="AR561" s="274"/>
      <c r="AS561" s="104"/>
      <c r="AT561" s="104"/>
      <c r="AU561" s="104"/>
      <c r="AV561" s="104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114"/>
      <c r="BH561" s="114"/>
      <c r="BI561" s="114"/>
      <c r="BJ561" s="114"/>
      <c r="BK561" s="95"/>
      <c r="BL561" s="95"/>
      <c r="BM561"/>
      <c r="BN561" s="412"/>
      <c r="BO561" s="412"/>
      <c r="BP561" s="412"/>
      <c r="BQ561" s="412"/>
      <c r="BR561" s="412"/>
      <c r="BS561" s="96"/>
      <c r="BT561" s="96"/>
      <c r="BU561" s="96"/>
      <c r="BV561" s="96"/>
      <c r="BW561"/>
      <c r="BZ561" s="275">
        <f t="shared" si="53"/>
        <v>1</v>
      </c>
    </row>
    <row r="562" spans="1:78" ht="16.5" hidden="1" customHeight="1">
      <c r="A562" s="35" t="str">
        <f t="shared" si="46"/>
        <v>M228/2646129</v>
      </c>
      <c r="C562" s="358" t="s">
        <v>24</v>
      </c>
      <c r="D562" s="358">
        <v>559</v>
      </c>
      <c r="E562" s="358" t="s">
        <v>3983</v>
      </c>
      <c r="F562" s="358" t="s">
        <v>1641</v>
      </c>
      <c r="G562" s="384">
        <v>46129</v>
      </c>
      <c r="H562" s="358" t="s">
        <v>1342</v>
      </c>
      <c r="I562" s="358">
        <v>12</v>
      </c>
      <c r="J562" s="359" t="str">
        <f>IFERROR(VLOOKUP($A562,#REF!,3,0),"")</f>
        <v/>
      </c>
      <c r="K562" s="359">
        <f>IFERROR(VLOOKUP($A562,#REF!,4,0),AF562)</f>
        <v>0</v>
      </c>
      <c r="L562" s="359" t="str">
        <f>IFERROR(VLOOKUP($A562,#REF!,5,0),"")</f>
        <v/>
      </c>
      <c r="M562" s="359" t="str">
        <f>IFERROR(VLOOKUP($A562,#REF!,7,0),"")</f>
        <v/>
      </c>
      <c r="N562" s="359"/>
      <c r="O562" s="359" t="str">
        <f>IFERROR(VLOOKUP($A562,#REF!,6,0),"")</f>
        <v/>
      </c>
      <c r="P562" s="359" t="str">
        <f>IFERROR(VLOOKUP($A562,#REF!,9,0),"")</f>
        <v/>
      </c>
      <c r="Q562" s="359" t="str">
        <f>IFERROR(VLOOKUP($A562,#REF!,10,0),"")</f>
        <v/>
      </c>
      <c r="R562" s="359" t="str">
        <f>IFERROR(VLOOKUP($A562,#REF!,11,0),"")</f>
        <v/>
      </c>
      <c r="S562" s="359" t="str">
        <f>IFERROR(VLOOKUP($A562,#REF!,13,0),"")</f>
        <v/>
      </c>
      <c r="T562" s="359" t="str">
        <f>IFERROR(VLOOKUP($A562,#REF!,14,0),"")</f>
        <v/>
      </c>
      <c r="U562" s="359" t="str">
        <f>IFERROR(VLOOKUP($A562,#REF!,15,0),"")</f>
        <v/>
      </c>
      <c r="V562" s="359" t="str">
        <f>IFERROR(VLOOKUP($A562,#REF!,16,0),"")</f>
        <v/>
      </c>
      <c r="W562" s="359" t="str">
        <f>IFERROR(VLOOKUP($A562,#REF!,17,0),"")</f>
        <v/>
      </c>
      <c r="X562" s="359" t="str">
        <f>IFERROR(VLOOKUP($A562,#REF!,18,0),"")</f>
        <v/>
      </c>
      <c r="Y562" s="359" t="str">
        <f>IFERROR(VLOOKUP($A562,#REF!,19,0),"")</f>
        <v/>
      </c>
      <c r="Z562" s="400" t="str">
        <f>IFERROR(VLOOKUP($A562,#REF!,21,0),"")</f>
        <v/>
      </c>
      <c r="AA562" s="358"/>
      <c r="AB562" s="358"/>
      <c r="AC562" s="358" t="s">
        <v>1077</v>
      </c>
      <c r="AD562" s="358" t="s">
        <v>1138</v>
      </c>
      <c r="AE562" s="141"/>
      <c r="AF562" s="141"/>
      <c r="AG562" s="141"/>
      <c r="AH562" s="141"/>
      <c r="AI562" s="141"/>
      <c r="AJ562" s="141" t="s">
        <v>2050</v>
      </c>
      <c r="AK562" s="141"/>
      <c r="AL562" s="141"/>
      <c r="AM562" s="141"/>
      <c r="AN562" s="120"/>
      <c r="AO562" s="120"/>
      <c r="AP562" s="120"/>
      <c r="AQ562" s="313"/>
      <c r="AR562" s="119"/>
      <c r="AS562" s="22"/>
      <c r="AT562" s="22"/>
      <c r="AU562" s="22"/>
      <c r="AV562" s="22"/>
      <c r="AW562" s="82"/>
      <c r="AX562" s="82"/>
      <c r="AY562" s="82"/>
      <c r="AZ562" s="82"/>
      <c r="BA562" s="82"/>
      <c r="BB562" s="82"/>
      <c r="BC562" s="82"/>
      <c r="BD562" s="82"/>
      <c r="BE562" s="82"/>
      <c r="BF562" s="82"/>
      <c r="BG562" s="112"/>
      <c r="BH562" s="112"/>
      <c r="BI562" s="112"/>
      <c r="BJ562" s="112"/>
      <c r="BK562" s="82"/>
      <c r="BL562" s="82"/>
      <c r="BN562" s="412"/>
      <c r="BO562" s="412"/>
      <c r="BP562" s="412"/>
      <c r="BQ562" s="412"/>
      <c r="BR562" s="412"/>
      <c r="BZ562">
        <f t="shared" si="53"/>
        <v>1</v>
      </c>
    </row>
    <row r="563" spans="1:78" ht="16.5" hidden="1" customHeight="1">
      <c r="A563" s="35" t="str">
        <f t="shared" si="46"/>
        <v>M039/2646130</v>
      </c>
      <c r="C563" s="358" t="s">
        <v>24</v>
      </c>
      <c r="D563" s="358">
        <v>560</v>
      </c>
      <c r="E563" s="358" t="s">
        <v>3984</v>
      </c>
      <c r="F563" s="358" t="s">
        <v>3985</v>
      </c>
      <c r="G563" s="384">
        <v>46130</v>
      </c>
      <c r="H563" s="358" t="s">
        <v>97</v>
      </c>
      <c r="I563" s="358">
        <v>12</v>
      </c>
      <c r="J563" s="359" t="str">
        <f>IFERROR(VLOOKUP($A563,#REF!,3,0),"")</f>
        <v/>
      </c>
      <c r="K563" s="359" t="str">
        <f>IFERROR(VLOOKUP($A563,#REF!,4,0),AF563)</f>
        <v>INT</v>
      </c>
      <c r="L563" s="359" t="str">
        <f>IFERROR(VLOOKUP($A563,#REF!,5,0),"")</f>
        <v/>
      </c>
      <c r="M563" s="359" t="str">
        <f>IFERROR(VLOOKUP($A563,#REF!,7,0),"")</f>
        <v/>
      </c>
      <c r="N563" s="359"/>
      <c r="O563" s="359" t="str">
        <f>IFERROR(VLOOKUP($A563,#REF!,6,0),"")</f>
        <v/>
      </c>
      <c r="P563" s="359" t="str">
        <f>IFERROR(VLOOKUP($A563,#REF!,9,0),"")</f>
        <v/>
      </c>
      <c r="Q563" s="359" t="str">
        <f>IFERROR(VLOOKUP($A563,#REF!,10,0),"")</f>
        <v/>
      </c>
      <c r="R563" s="359" t="str">
        <f>IFERROR(VLOOKUP($A563,#REF!,11,0),"")</f>
        <v/>
      </c>
      <c r="S563" s="359" t="str">
        <f>IFERROR(VLOOKUP($A563,#REF!,13,0),"")</f>
        <v/>
      </c>
      <c r="T563" s="359" t="str">
        <f>IFERROR(VLOOKUP($A563,#REF!,14,0),"")</f>
        <v/>
      </c>
      <c r="U563" s="359" t="str">
        <f>IFERROR(VLOOKUP($A563,#REF!,15,0),"")</f>
        <v/>
      </c>
      <c r="V563" s="359" t="str">
        <f>IFERROR(VLOOKUP($A563,#REF!,16,0),"")</f>
        <v/>
      </c>
      <c r="W563" s="359" t="str">
        <f>IFERROR(VLOOKUP($A563,#REF!,17,0),"")</f>
        <v/>
      </c>
      <c r="X563" s="359" t="str">
        <f>IFERROR(VLOOKUP($A563,#REF!,18,0),"")</f>
        <v/>
      </c>
      <c r="Y563" s="359" t="str">
        <f>IFERROR(VLOOKUP($A563,#REF!,19,0),"")</f>
        <v/>
      </c>
      <c r="Z563" s="400" t="str">
        <f>IFERROR(VLOOKUP($A563,#REF!,21,0),"")</f>
        <v/>
      </c>
      <c r="AA563" s="358"/>
      <c r="AB563" s="358"/>
      <c r="AC563" s="358" t="s">
        <v>127</v>
      </c>
      <c r="AD563" s="358" t="s">
        <v>178</v>
      </c>
      <c r="AE563" s="141"/>
      <c r="AF563" s="141" t="s">
        <v>3077</v>
      </c>
      <c r="AG563" s="141" t="s">
        <v>3986</v>
      </c>
      <c r="AH563" s="141"/>
      <c r="AI563" s="141"/>
      <c r="AJ563" s="141" t="s">
        <v>3969</v>
      </c>
      <c r="AK563" s="141"/>
      <c r="AL563" s="141"/>
      <c r="AM563" s="141"/>
      <c r="AN563" s="120"/>
      <c r="AO563" s="120"/>
      <c r="AP563" s="120"/>
      <c r="AQ563" s="313"/>
      <c r="AR563" s="119"/>
      <c r="AS563" s="22"/>
      <c r="AT563" s="22"/>
      <c r="AU563" s="22"/>
      <c r="AV563" s="22"/>
      <c r="AW563" s="82"/>
      <c r="AX563" s="82"/>
      <c r="AY563" s="82"/>
      <c r="AZ563" s="82"/>
      <c r="BA563" s="82"/>
      <c r="BB563" s="82"/>
      <c r="BC563" s="82"/>
      <c r="BD563" s="82"/>
      <c r="BE563" s="82"/>
      <c r="BF563" s="82"/>
      <c r="BG563" s="112"/>
      <c r="BH563" s="112"/>
      <c r="BI563" s="112"/>
      <c r="BJ563" s="112"/>
      <c r="BK563" s="82"/>
      <c r="BL563" s="82"/>
      <c r="BN563" s="412"/>
      <c r="BO563" s="412"/>
      <c r="BP563" s="412"/>
      <c r="BQ563" s="412"/>
      <c r="BR563" s="412"/>
      <c r="BZ563">
        <f t="shared" si="53"/>
        <v>1</v>
      </c>
    </row>
    <row r="564" spans="1:78" ht="16.5" hidden="1" customHeight="1">
      <c r="A564" s="35" t="str">
        <f t="shared" si="46"/>
        <v>M178/2646130</v>
      </c>
      <c r="C564" s="358" t="s">
        <v>24</v>
      </c>
      <c r="D564" s="358">
        <v>561</v>
      </c>
      <c r="E564" s="358" t="s">
        <v>3987</v>
      </c>
      <c r="F564" s="358" t="s">
        <v>3985</v>
      </c>
      <c r="G564" s="384">
        <v>46130</v>
      </c>
      <c r="H564" s="358" t="s">
        <v>3988</v>
      </c>
      <c r="I564" s="358">
        <v>12</v>
      </c>
      <c r="J564" s="359" t="str">
        <f>IFERROR(VLOOKUP($A564,#REF!,3,0),"")</f>
        <v/>
      </c>
      <c r="K564" s="359" t="str">
        <f>IFERROR(VLOOKUP($A564,#REF!,4,0),AF564)</f>
        <v>INT</v>
      </c>
      <c r="L564" s="359" t="str">
        <f>IFERROR(VLOOKUP($A564,#REF!,5,0),"")</f>
        <v/>
      </c>
      <c r="M564" s="359" t="str">
        <f>IFERROR(VLOOKUP($A564,#REF!,7,0),"")</f>
        <v/>
      </c>
      <c r="N564" s="359"/>
      <c r="O564" s="359" t="str">
        <f>IFERROR(VLOOKUP($A564,#REF!,6,0),"")</f>
        <v/>
      </c>
      <c r="P564" s="359" t="str">
        <f>IFERROR(VLOOKUP($A564,#REF!,9,0),"")</f>
        <v/>
      </c>
      <c r="Q564" s="359" t="str">
        <f>IFERROR(VLOOKUP($A564,#REF!,10,0),"")</f>
        <v/>
      </c>
      <c r="R564" s="359" t="str">
        <f>IFERROR(VLOOKUP($A564,#REF!,11,0),"")</f>
        <v/>
      </c>
      <c r="S564" s="359" t="str">
        <f>IFERROR(VLOOKUP($A564,#REF!,13,0),"")</f>
        <v/>
      </c>
      <c r="T564" s="359" t="str">
        <f>IFERROR(VLOOKUP($A564,#REF!,14,0),"")</f>
        <v/>
      </c>
      <c r="U564" s="359" t="str">
        <f>IFERROR(VLOOKUP($A564,#REF!,15,0),"")</f>
        <v/>
      </c>
      <c r="V564" s="359" t="str">
        <f>IFERROR(VLOOKUP($A564,#REF!,16,0),"")</f>
        <v/>
      </c>
      <c r="W564" s="359" t="str">
        <f>IFERROR(VLOOKUP($A564,#REF!,17,0),"")</f>
        <v/>
      </c>
      <c r="X564" s="359" t="str">
        <f>IFERROR(VLOOKUP($A564,#REF!,18,0),"")</f>
        <v/>
      </c>
      <c r="Y564" s="359" t="str">
        <f>IFERROR(VLOOKUP($A564,#REF!,19,0),"")</f>
        <v/>
      </c>
      <c r="Z564" s="400" t="str">
        <f>IFERROR(VLOOKUP($A564,#REF!,21,0),"")</f>
        <v/>
      </c>
      <c r="AA564" s="358"/>
      <c r="AB564" s="358"/>
      <c r="AC564" s="358" t="s">
        <v>127</v>
      </c>
      <c r="AD564" s="358" t="s">
        <v>178</v>
      </c>
      <c r="AE564" s="141"/>
      <c r="AF564" s="141" t="s">
        <v>3077</v>
      </c>
      <c r="AG564" s="141" t="s">
        <v>3989</v>
      </c>
      <c r="AH564" s="141"/>
      <c r="AI564" s="141"/>
      <c r="AJ564" s="141" t="s">
        <v>3969</v>
      </c>
      <c r="AK564" s="141"/>
      <c r="AL564" s="141"/>
      <c r="AM564" s="141"/>
      <c r="AN564" s="120"/>
      <c r="AO564" s="120"/>
      <c r="AP564" s="120"/>
      <c r="AQ564" s="313"/>
      <c r="AR564" s="119"/>
      <c r="AS564" s="22"/>
      <c r="AT564" s="22"/>
      <c r="AU564" s="22"/>
      <c r="AV564" s="22"/>
      <c r="AW564" s="82"/>
      <c r="AX564" s="82"/>
      <c r="AY564" s="82"/>
      <c r="AZ564" s="82"/>
      <c r="BA564" s="82"/>
      <c r="BB564" s="82"/>
      <c r="BC564" s="82"/>
      <c r="BD564" s="82"/>
      <c r="BE564" s="82"/>
      <c r="BF564" s="82"/>
      <c r="BG564" s="112"/>
      <c r="BH564" s="112"/>
      <c r="BI564" s="112"/>
      <c r="BJ564" s="112"/>
      <c r="BK564" s="82"/>
      <c r="BL564" s="82"/>
      <c r="BN564" s="412"/>
      <c r="BO564" s="412"/>
      <c r="BP564" s="412"/>
      <c r="BQ564" s="412"/>
      <c r="BR564" s="412"/>
      <c r="BZ564">
        <f t="shared" si="53"/>
        <v>1</v>
      </c>
    </row>
    <row r="565" spans="1:78" s="275" customFormat="1" ht="16.5" hidden="1" customHeight="1">
      <c r="A565" s="35" t="str">
        <f t="shared" si="46"/>
        <v>M136/2646130</v>
      </c>
      <c r="B565" s="364"/>
      <c r="C565" s="358" t="s">
        <v>24</v>
      </c>
      <c r="D565" s="358">
        <v>562</v>
      </c>
      <c r="E565" s="141" t="s">
        <v>3990</v>
      </c>
      <c r="F565" s="141" t="s">
        <v>406</v>
      </c>
      <c r="G565" s="128">
        <v>46130</v>
      </c>
      <c r="H565" s="141" t="s">
        <v>3956</v>
      </c>
      <c r="I565" s="141">
        <v>13</v>
      </c>
      <c r="J565" s="359" t="str">
        <f>IFERROR(VLOOKUP($A565,#REF!,3,0),"")</f>
        <v/>
      </c>
      <c r="K565" s="359">
        <f>IFERROR(VLOOKUP($A565,#REF!,4,0),AF565)</f>
        <v>0</v>
      </c>
      <c r="L565" s="359" t="str">
        <f>IFERROR(VLOOKUP($A565,#REF!,5,0),"")</f>
        <v/>
      </c>
      <c r="M565" s="359" t="str">
        <f>IFERROR(VLOOKUP($A565,#REF!,7,0),"")</f>
        <v/>
      </c>
      <c r="N565" s="359"/>
      <c r="O565" s="359" t="str">
        <f>IFERROR(VLOOKUP($A565,#REF!,6,0),"")</f>
        <v/>
      </c>
      <c r="P565" s="359" t="str">
        <f>IFERROR(VLOOKUP($A565,#REF!,9,0),"")</f>
        <v/>
      </c>
      <c r="Q565" s="359" t="str">
        <f>IFERROR(VLOOKUP($A565,#REF!,10,0),"")</f>
        <v/>
      </c>
      <c r="R565" s="359" t="str">
        <f>IFERROR(VLOOKUP($A565,#REF!,11,0),"")</f>
        <v/>
      </c>
      <c r="S565" s="359" t="str">
        <f>IFERROR(VLOOKUP($A565,#REF!,13,0),"")</f>
        <v/>
      </c>
      <c r="T565" s="359" t="str">
        <f>IFERROR(VLOOKUP($A565,#REF!,14,0),"")</f>
        <v/>
      </c>
      <c r="U565" s="359" t="str">
        <f>IFERROR(VLOOKUP($A565,#REF!,15,0),"")</f>
        <v/>
      </c>
      <c r="V565" s="359" t="str">
        <f>IFERROR(VLOOKUP($A565,#REF!,16,0),"")</f>
        <v/>
      </c>
      <c r="W565" s="359" t="str">
        <f>IFERROR(VLOOKUP($A565,#REF!,17,0),"")</f>
        <v/>
      </c>
      <c r="X565" s="359" t="str">
        <f>IFERROR(VLOOKUP($A565,#REF!,18,0),"")</f>
        <v/>
      </c>
      <c r="Y565" s="359" t="str">
        <f>IFERROR(VLOOKUP($A565,#REF!,19,0),"")</f>
        <v/>
      </c>
      <c r="Z565" s="400" t="str">
        <f>IFERROR(VLOOKUP($A565,#REF!,21,0),"")</f>
        <v/>
      </c>
      <c r="AA565" s="141"/>
      <c r="AB565" s="141"/>
      <c r="AC565" s="141" t="s">
        <v>1076</v>
      </c>
      <c r="AD565" s="141" t="s">
        <v>3357</v>
      </c>
      <c r="AE565" s="102" t="s">
        <v>3957</v>
      </c>
      <c r="AF565" s="102"/>
      <c r="AG565" s="102" t="s">
        <v>3991</v>
      </c>
      <c r="AH565" s="102" t="s">
        <v>3992</v>
      </c>
      <c r="AI565" s="102"/>
      <c r="AJ565" s="141" t="s">
        <v>2050</v>
      </c>
      <c r="AK565" s="141"/>
      <c r="AL565" s="141"/>
      <c r="AM565" s="141"/>
      <c r="AN565" s="273"/>
      <c r="AO565" s="273"/>
      <c r="AP565" s="273"/>
      <c r="AQ565" s="314"/>
      <c r="AR565" s="274"/>
      <c r="AS565" s="104"/>
      <c r="AT565" s="104"/>
      <c r="AU565" s="104"/>
      <c r="AV565" s="104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114"/>
      <c r="BH565" s="114"/>
      <c r="BI565" s="114"/>
      <c r="BJ565" s="114"/>
      <c r="BK565" s="95"/>
      <c r="BL565" s="95"/>
      <c r="BM565"/>
      <c r="BN565" s="412"/>
      <c r="BO565" s="412"/>
      <c r="BP565" s="412"/>
      <c r="BQ565" s="412"/>
      <c r="BR565" s="412"/>
      <c r="BS565" s="96"/>
      <c r="BT565" s="96"/>
      <c r="BU565" s="96"/>
      <c r="BV565" s="96"/>
      <c r="BW565"/>
      <c r="BZ565" s="275">
        <f t="shared" si="53"/>
        <v>1</v>
      </c>
    </row>
    <row r="566" spans="1:78" s="275" customFormat="1" ht="14.1" hidden="1" customHeight="1">
      <c r="A566" s="35" t="str">
        <f t="shared" si="46"/>
        <v>M141/2646130</v>
      </c>
      <c r="B566" s="364"/>
      <c r="C566" s="358" t="s">
        <v>24</v>
      </c>
      <c r="D566" s="358">
        <v>563</v>
      </c>
      <c r="E566" s="141" t="s">
        <v>3993</v>
      </c>
      <c r="F566" s="141" t="s">
        <v>64</v>
      </c>
      <c r="G566" s="128">
        <v>46130</v>
      </c>
      <c r="H566" s="141" t="s">
        <v>3693</v>
      </c>
      <c r="I566" s="141">
        <v>20</v>
      </c>
      <c r="J566" s="359" t="str">
        <f>IFERROR(VLOOKUP($A566,#REF!,3,0),"")</f>
        <v/>
      </c>
      <c r="K566" s="359">
        <f>IFERROR(VLOOKUP($A566,#REF!,4,0),AF566)</f>
        <v>0</v>
      </c>
      <c r="L566" s="359" t="str">
        <f>IFERROR(VLOOKUP($A566,#REF!,5,0),"")</f>
        <v/>
      </c>
      <c r="M566" s="359" t="str">
        <f>IFERROR(VLOOKUP($A566,#REF!,7,0),"")</f>
        <v/>
      </c>
      <c r="N566" s="359"/>
      <c r="O566" s="359" t="str">
        <f>IFERROR(VLOOKUP($A566,#REF!,6,0),"")</f>
        <v/>
      </c>
      <c r="P566" s="359" t="str">
        <f>IFERROR(VLOOKUP($A566,#REF!,9,0),"")</f>
        <v/>
      </c>
      <c r="Q566" s="359" t="str">
        <f>IFERROR(VLOOKUP($A566,#REF!,10,0),"")</f>
        <v/>
      </c>
      <c r="R566" s="359" t="str">
        <f>IFERROR(VLOOKUP($A566,#REF!,11,0),"")</f>
        <v/>
      </c>
      <c r="S566" s="359" t="str">
        <f>IFERROR(VLOOKUP($A566,#REF!,13,0),"")</f>
        <v/>
      </c>
      <c r="T566" s="359" t="str">
        <f>IFERROR(VLOOKUP($A566,#REF!,14,0),"")</f>
        <v/>
      </c>
      <c r="U566" s="359" t="str">
        <f>IFERROR(VLOOKUP($A566,#REF!,15,0),"")</f>
        <v/>
      </c>
      <c r="V566" s="359" t="str">
        <f>IFERROR(VLOOKUP($A566,#REF!,16,0),"")</f>
        <v/>
      </c>
      <c r="W566" s="359" t="str">
        <f>IFERROR(VLOOKUP($A566,#REF!,17,0),"")</f>
        <v/>
      </c>
      <c r="X566" s="359" t="str">
        <f>IFERROR(VLOOKUP($A566,#REF!,18,0),"")</f>
        <v/>
      </c>
      <c r="Y566" s="359" t="str">
        <f>IFERROR(VLOOKUP($A566,#REF!,19,0),"")</f>
        <v/>
      </c>
      <c r="Z566" s="400" t="str">
        <f>IFERROR(VLOOKUP($A566,#REF!,21,0),"")</f>
        <v/>
      </c>
      <c r="AA566" s="141"/>
      <c r="AB566" s="141"/>
      <c r="AC566" s="141" t="s">
        <v>1077</v>
      </c>
      <c r="AD566" s="141" t="s">
        <v>1138</v>
      </c>
      <c r="AE566" s="141"/>
      <c r="AF566" s="102"/>
      <c r="AG566" s="102"/>
      <c r="AH566" s="102"/>
      <c r="AI566" s="102"/>
      <c r="AJ566" s="141" t="s">
        <v>3994</v>
      </c>
      <c r="AK566" s="141"/>
      <c r="AL566" s="141"/>
      <c r="AM566" s="141"/>
      <c r="AN566" s="273"/>
      <c r="AO566" s="273"/>
      <c r="AP566" s="273"/>
      <c r="AQ566" s="314"/>
      <c r="AR566" s="274"/>
      <c r="AS566" s="104"/>
      <c r="AT566" s="104"/>
      <c r="AU566" s="104"/>
      <c r="AV566" s="104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114"/>
      <c r="BH566" s="114"/>
      <c r="BI566" s="114"/>
      <c r="BJ566" s="114"/>
      <c r="BK566" s="95"/>
      <c r="BL566" s="95"/>
      <c r="BM566"/>
      <c r="BN566" s="412"/>
      <c r="BO566" s="412"/>
      <c r="BP566" s="412"/>
      <c r="BQ566" s="412"/>
      <c r="BR566" s="412"/>
      <c r="BS566" s="96"/>
      <c r="BT566" s="96"/>
      <c r="BU566" s="96"/>
      <c r="BV566" s="96"/>
      <c r="BW566"/>
      <c r="BZ566" s="275">
        <f t="shared" si="53"/>
        <v>1</v>
      </c>
    </row>
    <row r="567" spans="1:78" ht="15.6" hidden="1" customHeight="1">
      <c r="A567" s="35" t="str">
        <f t="shared" si="46"/>
        <v>M167/2646130</v>
      </c>
      <c r="C567" s="358" t="s">
        <v>24</v>
      </c>
      <c r="D567" s="358">
        <v>564</v>
      </c>
      <c r="E567" s="358" t="s">
        <v>3995</v>
      </c>
      <c r="F567" s="358" t="s">
        <v>34</v>
      </c>
      <c r="G567" s="384">
        <v>46130</v>
      </c>
      <c r="H567" s="358" t="s">
        <v>65</v>
      </c>
      <c r="I567" s="358">
        <v>22</v>
      </c>
      <c r="J567" s="359" t="str">
        <f>IFERROR(VLOOKUP($A567,#REF!,3,0),"")</f>
        <v/>
      </c>
      <c r="K567" s="359">
        <f>IFERROR(VLOOKUP($A567,#REF!,4,0),AF567)</f>
        <v>0</v>
      </c>
      <c r="L567" s="359" t="str">
        <f>IFERROR(VLOOKUP($A567,#REF!,5,0),"")</f>
        <v/>
      </c>
      <c r="M567" s="359" t="str">
        <f>IFERROR(VLOOKUP($A567,#REF!,7,0),"")</f>
        <v/>
      </c>
      <c r="N567" s="359"/>
      <c r="O567" s="359" t="str">
        <f>IFERROR(VLOOKUP($A567,#REF!,6,0),"")</f>
        <v/>
      </c>
      <c r="P567" s="359" t="str">
        <f>IFERROR(VLOOKUP($A567,#REF!,9,0),"")</f>
        <v/>
      </c>
      <c r="Q567" s="359" t="str">
        <f>IFERROR(VLOOKUP($A567,#REF!,10,0),"")</f>
        <v/>
      </c>
      <c r="R567" s="359" t="str">
        <f>IFERROR(VLOOKUP($A567,#REF!,11,0),"")</f>
        <v/>
      </c>
      <c r="S567" s="359" t="str">
        <f>IFERROR(VLOOKUP($A567,#REF!,13,0),"")</f>
        <v/>
      </c>
      <c r="T567" s="359" t="str">
        <f>IFERROR(VLOOKUP($A567,#REF!,14,0),"")</f>
        <v/>
      </c>
      <c r="U567" s="359" t="str">
        <f>IFERROR(VLOOKUP($A567,#REF!,15,0),"")</f>
        <v/>
      </c>
      <c r="V567" s="359" t="str">
        <f>IFERROR(VLOOKUP($A567,#REF!,16,0),"")</f>
        <v/>
      </c>
      <c r="W567" s="359" t="str">
        <f>IFERROR(VLOOKUP($A567,#REF!,17,0),"")</f>
        <v/>
      </c>
      <c r="X567" s="359" t="str">
        <f>IFERROR(VLOOKUP($A567,#REF!,18,0),"")</f>
        <v/>
      </c>
      <c r="Y567" s="359" t="str">
        <f>IFERROR(VLOOKUP($A567,#REF!,19,0),"")</f>
        <v/>
      </c>
      <c r="Z567" s="400" t="str">
        <f>IFERROR(VLOOKUP($A567,#REF!,21,0),"")</f>
        <v/>
      </c>
      <c r="AA567" s="358"/>
      <c r="AB567" s="358"/>
      <c r="AC567" s="358" t="s">
        <v>1077</v>
      </c>
      <c r="AD567" s="358" t="s">
        <v>1138</v>
      </c>
      <c r="AE567" s="358"/>
      <c r="AF567" s="141"/>
      <c r="AG567" s="358"/>
      <c r="AH567" s="358"/>
      <c r="AI567" s="358"/>
      <c r="AJ567" s="380" t="s">
        <v>3701</v>
      </c>
      <c r="AK567" s="380"/>
      <c r="AL567" s="380"/>
      <c r="AM567" s="380"/>
      <c r="AN567" s="120"/>
      <c r="AO567" s="120"/>
      <c r="AP567" s="120"/>
      <c r="AQ567" s="313"/>
      <c r="AR567" s="119"/>
      <c r="AS567" s="22"/>
      <c r="AT567" s="22"/>
      <c r="AU567" s="22"/>
      <c r="AV567" s="2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112"/>
      <c r="BH567" s="112"/>
      <c r="BI567" s="112"/>
      <c r="BJ567" s="112"/>
      <c r="BK567" s="82"/>
      <c r="BL567" s="82"/>
      <c r="BN567" s="412"/>
      <c r="BO567" s="412"/>
      <c r="BP567" s="412"/>
      <c r="BQ567" s="412"/>
      <c r="BR567" s="412"/>
      <c r="BZ567">
        <f t="shared" si="53"/>
        <v>1</v>
      </c>
    </row>
    <row r="568" spans="1:78" ht="15.6" hidden="1" customHeight="1">
      <c r="A568" s="35" t="str">
        <f t="shared" si="46"/>
        <v>M171/2646130</v>
      </c>
      <c r="C568" s="358" t="s">
        <v>24</v>
      </c>
      <c r="D568" s="358">
        <v>565</v>
      </c>
      <c r="E568" s="358" t="s">
        <v>3996</v>
      </c>
      <c r="F568" s="358" t="s">
        <v>34</v>
      </c>
      <c r="G568" s="384">
        <v>46130</v>
      </c>
      <c r="H568" s="358" t="s">
        <v>187</v>
      </c>
      <c r="I568" s="358">
        <v>10</v>
      </c>
      <c r="J568" s="359" t="str">
        <f>IFERROR(VLOOKUP($A568,#REF!,3,0),"")</f>
        <v/>
      </c>
      <c r="K568" s="359">
        <f>IFERROR(VLOOKUP($A568,#REF!,4,0),AF568)</f>
        <v>0</v>
      </c>
      <c r="L568" s="359" t="str">
        <f>IFERROR(VLOOKUP($A568,#REF!,5,0),"")</f>
        <v/>
      </c>
      <c r="M568" s="359" t="str">
        <f>IFERROR(VLOOKUP($A568,#REF!,7,0),"")</f>
        <v/>
      </c>
      <c r="N568" s="359"/>
      <c r="O568" s="359" t="str">
        <f>IFERROR(VLOOKUP($A568,#REF!,6,0),"")</f>
        <v/>
      </c>
      <c r="P568" s="359" t="str">
        <f>IFERROR(VLOOKUP($A568,#REF!,9,0),"")</f>
        <v/>
      </c>
      <c r="Q568" s="359" t="str">
        <f>IFERROR(VLOOKUP($A568,#REF!,10,0),"")</f>
        <v/>
      </c>
      <c r="R568" s="359" t="str">
        <f>IFERROR(VLOOKUP($A568,#REF!,11,0),"")</f>
        <v/>
      </c>
      <c r="S568" s="359" t="str">
        <f>IFERROR(VLOOKUP($A568,#REF!,13,0),"")</f>
        <v/>
      </c>
      <c r="T568" s="359" t="str">
        <f>IFERROR(VLOOKUP($A568,#REF!,14,0),"")</f>
        <v/>
      </c>
      <c r="U568" s="359" t="str">
        <f>IFERROR(VLOOKUP($A568,#REF!,15,0),"")</f>
        <v/>
      </c>
      <c r="V568" s="359" t="str">
        <f>IFERROR(VLOOKUP($A568,#REF!,16,0),"")</f>
        <v/>
      </c>
      <c r="W568" s="359" t="str">
        <f>IFERROR(VLOOKUP($A568,#REF!,17,0),"")</f>
        <v/>
      </c>
      <c r="X568" s="359" t="str">
        <f>IFERROR(VLOOKUP($A568,#REF!,18,0),"")</f>
        <v/>
      </c>
      <c r="Y568" s="359" t="str">
        <f>IFERROR(VLOOKUP($A568,#REF!,19,0),"")</f>
        <v/>
      </c>
      <c r="Z568" s="400" t="str">
        <f>IFERROR(VLOOKUP($A568,#REF!,21,0),"")</f>
        <v/>
      </c>
      <c r="AA568" s="358"/>
      <c r="AB568" s="358"/>
      <c r="AC568" s="358" t="s">
        <v>1077</v>
      </c>
      <c r="AD568" s="358" t="s">
        <v>1138</v>
      </c>
      <c r="AE568" s="358"/>
      <c r="AF568" s="141"/>
      <c r="AG568" s="358"/>
      <c r="AH568" s="358"/>
      <c r="AI568" s="358"/>
      <c r="AJ568" s="328" t="s">
        <v>3997</v>
      </c>
      <c r="AK568" s="328"/>
      <c r="AL568" s="328"/>
      <c r="AM568" s="328"/>
      <c r="AN568" s="120"/>
      <c r="AO568" s="120"/>
      <c r="AP568" s="120"/>
      <c r="AQ568" s="313"/>
      <c r="AR568" s="119"/>
      <c r="AS568" s="22"/>
      <c r="AT568" s="22"/>
      <c r="AU568" s="22"/>
      <c r="AV568" s="22"/>
      <c r="AW568" s="82"/>
      <c r="AX568" s="82"/>
      <c r="AY568" s="82"/>
      <c r="AZ568" s="82"/>
      <c r="BA568" s="82"/>
      <c r="BB568" s="82"/>
      <c r="BC568" s="82"/>
      <c r="BD568" s="82"/>
      <c r="BE568" s="82"/>
      <c r="BF568" s="82"/>
      <c r="BG568" s="112"/>
      <c r="BH568" s="112"/>
      <c r="BI568" s="112"/>
      <c r="BJ568" s="112"/>
      <c r="BK568" s="82"/>
      <c r="BL568" s="82"/>
      <c r="BN568" s="412"/>
      <c r="BO568" s="412"/>
      <c r="BP568" s="412"/>
      <c r="BQ568" s="412"/>
      <c r="BR568" s="412"/>
    </row>
    <row r="569" spans="1:78" ht="15.6" hidden="1" customHeight="1">
      <c r="A569" s="35" t="str">
        <f t="shared" si="46"/>
        <v>067/2646130</v>
      </c>
      <c r="C569" s="358" t="s">
        <v>24</v>
      </c>
      <c r="D569" s="358">
        <v>566</v>
      </c>
      <c r="E569" s="358" t="s">
        <v>3998</v>
      </c>
      <c r="F569" s="358" t="s">
        <v>34</v>
      </c>
      <c r="G569" s="384">
        <v>46130</v>
      </c>
      <c r="H569" s="358" t="s">
        <v>2016</v>
      </c>
      <c r="I569" s="358">
        <v>15</v>
      </c>
      <c r="J569" s="359" t="str">
        <f>IFERROR(VLOOKUP($A569,#REF!,3,0),"")</f>
        <v/>
      </c>
      <c r="K569" s="359" t="str">
        <f>IFERROR(VLOOKUP($A569,#REF!,4,0),AF569)</f>
        <v>INT</v>
      </c>
      <c r="L569" s="359" t="str">
        <f>IFERROR(VLOOKUP($A569,#REF!,5,0),"")</f>
        <v/>
      </c>
      <c r="M569" s="359" t="str">
        <f>IFERROR(VLOOKUP($A569,#REF!,7,0),"")</f>
        <v/>
      </c>
      <c r="N569" s="359"/>
      <c r="O569" s="359" t="str">
        <f>IFERROR(VLOOKUP($A569,#REF!,6,0),"")</f>
        <v/>
      </c>
      <c r="P569" s="359" t="str">
        <f>IFERROR(VLOOKUP($A569,#REF!,9,0),"")</f>
        <v/>
      </c>
      <c r="Q569" s="359" t="str">
        <f>IFERROR(VLOOKUP($A569,#REF!,10,0),"")</f>
        <v/>
      </c>
      <c r="R569" s="359" t="str">
        <f>IFERROR(VLOOKUP($A569,#REF!,11,0),"")</f>
        <v/>
      </c>
      <c r="S569" s="359" t="str">
        <f>IFERROR(VLOOKUP($A569,#REF!,13,0),"")</f>
        <v/>
      </c>
      <c r="T569" s="359" t="str">
        <f>IFERROR(VLOOKUP($A569,#REF!,14,0),"")</f>
        <v/>
      </c>
      <c r="U569" s="359" t="str">
        <f>IFERROR(VLOOKUP($A569,#REF!,15,0),"")</f>
        <v/>
      </c>
      <c r="V569" s="359" t="str">
        <f>IFERROR(VLOOKUP($A569,#REF!,16,0),"")</f>
        <v/>
      </c>
      <c r="W569" s="359" t="str">
        <f>IFERROR(VLOOKUP($A569,#REF!,17,0),"")</f>
        <v/>
      </c>
      <c r="X569" s="359" t="str">
        <f>IFERROR(VLOOKUP($A569,#REF!,18,0),"")</f>
        <v/>
      </c>
      <c r="Y569" s="359" t="str">
        <f>IFERROR(VLOOKUP($A569,#REF!,19,0),"")</f>
        <v/>
      </c>
      <c r="Z569" s="400" t="str">
        <f>IFERROR(VLOOKUP($A569,#REF!,21,0),"")</f>
        <v/>
      </c>
      <c r="AA569" s="358"/>
      <c r="AB569" s="358"/>
      <c r="AC569" s="358" t="s">
        <v>1721</v>
      </c>
      <c r="AD569" s="358" t="s">
        <v>1638</v>
      </c>
      <c r="AE569" s="141"/>
      <c r="AF569" s="141" t="s">
        <v>3077</v>
      </c>
      <c r="AG569" s="141" t="s">
        <v>3999</v>
      </c>
      <c r="AH569" s="141"/>
      <c r="AI569" s="141"/>
      <c r="AJ569" s="141" t="s">
        <v>2050</v>
      </c>
      <c r="AK569" s="141"/>
      <c r="AL569" s="141"/>
      <c r="AM569" s="141"/>
      <c r="AN569" s="120"/>
      <c r="AO569" s="120"/>
      <c r="AP569" s="120"/>
      <c r="AQ569" s="313"/>
      <c r="AR569" s="119"/>
      <c r="AS569" s="22"/>
      <c r="AT569" s="22"/>
      <c r="AU569" s="22"/>
      <c r="AV569" s="22"/>
      <c r="AW569" s="82"/>
      <c r="AX569" s="82"/>
      <c r="AY569" s="82"/>
      <c r="AZ569" s="82"/>
      <c r="BA569" s="82"/>
      <c r="BB569" s="82"/>
      <c r="BC569" s="82"/>
      <c r="BD569" s="82"/>
      <c r="BE569" s="82"/>
      <c r="BF569" s="82"/>
      <c r="BG569" s="112"/>
      <c r="BH569" s="112"/>
      <c r="BI569" s="112"/>
      <c r="BJ569" s="112"/>
      <c r="BK569" s="82"/>
      <c r="BL569" s="82"/>
      <c r="BN569" s="412"/>
      <c r="BO569" s="412"/>
      <c r="BP569" s="412"/>
      <c r="BQ569" s="412"/>
      <c r="BR569" s="412"/>
      <c r="BZ569">
        <f t="shared" si="53"/>
        <v>1</v>
      </c>
    </row>
    <row r="570" spans="1:78" ht="15.6" hidden="1" customHeight="1">
      <c r="A570" s="35" t="str">
        <f t="shared" si="46"/>
        <v>075/2646130</v>
      </c>
      <c r="C570" s="358" t="s">
        <v>24</v>
      </c>
      <c r="D570" s="358">
        <v>567</v>
      </c>
      <c r="E570" s="358" t="s">
        <v>4000</v>
      </c>
      <c r="F570" s="358" t="s">
        <v>34</v>
      </c>
      <c r="G570" s="384">
        <v>46130</v>
      </c>
      <c r="H570" s="358" t="s">
        <v>927</v>
      </c>
      <c r="I570" s="358">
        <v>16</v>
      </c>
      <c r="J570" s="359" t="str">
        <f>IFERROR(VLOOKUP($A570,#REF!,3,0),"")</f>
        <v/>
      </c>
      <c r="K570" s="359">
        <f>IFERROR(VLOOKUP($A570,#REF!,4,0),AF570)</f>
        <v>0</v>
      </c>
      <c r="L570" s="359" t="str">
        <f>IFERROR(VLOOKUP($A570,#REF!,5,0),"")</f>
        <v/>
      </c>
      <c r="M570" s="359" t="str">
        <f>IFERROR(VLOOKUP($A570,#REF!,7,0),"")</f>
        <v/>
      </c>
      <c r="N570" s="359"/>
      <c r="O570" s="359" t="str">
        <f>IFERROR(VLOOKUP($A570,#REF!,6,0),"")</f>
        <v/>
      </c>
      <c r="P570" s="359" t="str">
        <f>IFERROR(VLOOKUP($A570,#REF!,9,0),"")</f>
        <v/>
      </c>
      <c r="Q570" s="359" t="str">
        <f>IFERROR(VLOOKUP($A570,#REF!,10,0),"")</f>
        <v/>
      </c>
      <c r="R570" s="359" t="str">
        <f>IFERROR(VLOOKUP($A570,#REF!,11,0),"")</f>
        <v/>
      </c>
      <c r="S570" s="359" t="str">
        <f>IFERROR(VLOOKUP($A570,#REF!,13,0),"")</f>
        <v/>
      </c>
      <c r="T570" s="359" t="str">
        <f>IFERROR(VLOOKUP($A570,#REF!,14,0),"")</f>
        <v/>
      </c>
      <c r="U570" s="359" t="str">
        <f>IFERROR(VLOOKUP($A570,#REF!,15,0),"")</f>
        <v/>
      </c>
      <c r="V570" s="359" t="str">
        <f>IFERROR(VLOOKUP($A570,#REF!,16,0),"")</f>
        <v/>
      </c>
      <c r="W570" s="359" t="str">
        <f>IFERROR(VLOOKUP($A570,#REF!,17,0),"")</f>
        <v/>
      </c>
      <c r="X570" s="359" t="str">
        <f>IFERROR(VLOOKUP($A570,#REF!,18,0),"")</f>
        <v/>
      </c>
      <c r="Y570" s="359" t="str">
        <f>IFERROR(VLOOKUP($A570,#REF!,19,0),"")</f>
        <v/>
      </c>
      <c r="Z570" s="400" t="str">
        <f>IFERROR(VLOOKUP($A570,#REF!,21,0),"")</f>
        <v/>
      </c>
      <c r="AA570" s="358"/>
      <c r="AB570" s="358"/>
      <c r="AC570" s="358" t="s">
        <v>1721</v>
      </c>
      <c r="AD570" s="358" t="s">
        <v>1638</v>
      </c>
      <c r="AE570" s="141"/>
      <c r="AF570" s="141"/>
      <c r="AG570" s="141"/>
      <c r="AH570" s="141"/>
      <c r="AI570" s="141"/>
      <c r="AJ570" s="141" t="s">
        <v>2050</v>
      </c>
      <c r="AK570" s="141"/>
      <c r="AL570" s="141"/>
      <c r="AM570" s="141"/>
      <c r="AN570" s="120"/>
      <c r="AO570" s="120"/>
      <c r="AP570" s="120"/>
      <c r="AQ570" s="313"/>
      <c r="AR570" s="119"/>
      <c r="AS570" s="22"/>
      <c r="AT570" s="22"/>
      <c r="AU570" s="22"/>
      <c r="AV570" s="2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112"/>
      <c r="BH570" s="112"/>
      <c r="BI570" s="112"/>
      <c r="BJ570" s="112"/>
      <c r="BK570" s="82"/>
      <c r="BL570" s="82"/>
      <c r="BN570" s="412"/>
      <c r="BO570" s="412"/>
      <c r="BP570" s="412"/>
      <c r="BQ570" s="412"/>
      <c r="BR570" s="412"/>
      <c r="BZ570">
        <f t="shared" si="53"/>
        <v>1</v>
      </c>
    </row>
    <row r="571" spans="1:78" ht="15.6" hidden="1" customHeight="1">
      <c r="A571" s="35" t="str">
        <f t="shared" si="46"/>
        <v>M225/2646130</v>
      </c>
      <c r="C571" s="358" t="s">
        <v>24</v>
      </c>
      <c r="D571" s="358">
        <v>568</v>
      </c>
      <c r="E571" s="358" t="s">
        <v>4001</v>
      </c>
      <c r="F571" s="358" t="s">
        <v>4002</v>
      </c>
      <c r="G571" s="384">
        <v>46130</v>
      </c>
      <c r="H571" s="358" t="s">
        <v>646</v>
      </c>
      <c r="I571" s="358">
        <v>12</v>
      </c>
      <c r="J571" s="359" t="str">
        <f>IFERROR(VLOOKUP($A571,#REF!,3,0),"")</f>
        <v/>
      </c>
      <c r="K571" s="359">
        <f>IFERROR(VLOOKUP($A571,#REF!,4,0),AF571)</f>
        <v>0</v>
      </c>
      <c r="L571" s="359" t="str">
        <f>IFERROR(VLOOKUP($A571,#REF!,5,0),"")</f>
        <v/>
      </c>
      <c r="M571" s="359" t="str">
        <f>IFERROR(VLOOKUP($A571,#REF!,7,0),"")</f>
        <v/>
      </c>
      <c r="N571" s="359"/>
      <c r="O571" s="359" t="str">
        <f>IFERROR(VLOOKUP($A571,#REF!,6,0),"")</f>
        <v/>
      </c>
      <c r="P571" s="359" t="str">
        <f>IFERROR(VLOOKUP($A571,#REF!,9,0),"")</f>
        <v/>
      </c>
      <c r="Q571" s="359" t="str">
        <f>IFERROR(VLOOKUP($A571,#REF!,10,0),"")</f>
        <v/>
      </c>
      <c r="R571" s="359" t="str">
        <f>IFERROR(VLOOKUP($A571,#REF!,11,0),"")</f>
        <v/>
      </c>
      <c r="S571" s="359" t="str">
        <f>IFERROR(VLOOKUP($A571,#REF!,13,0),"")</f>
        <v/>
      </c>
      <c r="T571" s="359" t="str">
        <f>IFERROR(VLOOKUP($A571,#REF!,14,0),"")</f>
        <v/>
      </c>
      <c r="U571" s="359" t="str">
        <f>IFERROR(VLOOKUP($A571,#REF!,15,0),"")</f>
        <v/>
      </c>
      <c r="V571" s="359" t="str">
        <f>IFERROR(VLOOKUP($A571,#REF!,16,0),"")</f>
        <v/>
      </c>
      <c r="W571" s="359" t="str">
        <f>IFERROR(VLOOKUP($A571,#REF!,17,0),"")</f>
        <v/>
      </c>
      <c r="X571" s="359" t="str">
        <f>IFERROR(VLOOKUP($A571,#REF!,18,0),"")</f>
        <v/>
      </c>
      <c r="Y571" s="359" t="str">
        <f>IFERROR(VLOOKUP($A571,#REF!,19,0),"")</f>
        <v/>
      </c>
      <c r="Z571" s="400" t="str">
        <f>IFERROR(VLOOKUP($A571,#REF!,21,0),"")</f>
        <v/>
      </c>
      <c r="AA571" s="358"/>
      <c r="AB571" s="358"/>
      <c r="AC571" s="358" t="s">
        <v>1077</v>
      </c>
      <c r="AD571" s="358" t="s">
        <v>1138</v>
      </c>
      <c r="AE571" s="141"/>
      <c r="AF571" s="141"/>
      <c r="AG571" s="141"/>
      <c r="AH571" s="141"/>
      <c r="AI571" s="141"/>
      <c r="AJ571" s="141" t="s">
        <v>2050</v>
      </c>
      <c r="AK571" s="141"/>
      <c r="AL571" s="141"/>
      <c r="AM571" s="141"/>
      <c r="AN571" s="120"/>
      <c r="AO571" s="120"/>
      <c r="AP571" s="120"/>
      <c r="AQ571" s="313"/>
      <c r="AR571" s="119"/>
      <c r="AS571" s="22"/>
      <c r="AT571" s="22"/>
      <c r="AU571" s="22"/>
      <c r="AV571" s="2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112"/>
      <c r="BH571" s="112"/>
      <c r="BI571" s="112"/>
      <c r="BJ571" s="112"/>
      <c r="BK571" s="82"/>
      <c r="BL571" s="82"/>
      <c r="BN571" s="412"/>
      <c r="BO571" s="412"/>
      <c r="BP571" s="412"/>
      <c r="BQ571" s="412"/>
      <c r="BR571" s="412"/>
      <c r="BZ571">
        <f t="shared" si="53"/>
        <v>1</v>
      </c>
    </row>
    <row r="572" spans="1:78" ht="15.6" hidden="1" customHeight="1">
      <c r="A572" s="35" t="str">
        <f t="shared" si="46"/>
        <v>041/2646130</v>
      </c>
      <c r="C572" s="358" t="s">
        <v>24</v>
      </c>
      <c r="D572" s="358">
        <v>569</v>
      </c>
      <c r="E572" s="358" t="s">
        <v>4003</v>
      </c>
      <c r="F572" s="358" t="s">
        <v>3779</v>
      </c>
      <c r="G572" s="384">
        <v>46130</v>
      </c>
      <c r="H572" s="358" t="s">
        <v>167</v>
      </c>
      <c r="I572" s="358">
        <v>11</v>
      </c>
      <c r="J572" s="359" t="str">
        <f>IFERROR(VLOOKUP($A572,#REF!,3,0),"")</f>
        <v/>
      </c>
      <c r="K572" s="359" t="str">
        <f>IFERROR(VLOOKUP($A572,#REF!,4,0),AF572)</f>
        <v>INT</v>
      </c>
      <c r="L572" s="359" t="str">
        <f>IFERROR(VLOOKUP($A572,#REF!,5,0),"")</f>
        <v/>
      </c>
      <c r="M572" s="359" t="str">
        <f>IFERROR(VLOOKUP($A572,#REF!,7,0),"")</f>
        <v/>
      </c>
      <c r="N572" s="359"/>
      <c r="O572" s="359" t="str">
        <f>IFERROR(VLOOKUP($A572,#REF!,6,0),"")</f>
        <v/>
      </c>
      <c r="P572" s="359" t="str">
        <f>IFERROR(VLOOKUP($A572,#REF!,9,0),"")</f>
        <v/>
      </c>
      <c r="Q572" s="359" t="str">
        <f>IFERROR(VLOOKUP($A572,#REF!,10,0),"")</f>
        <v/>
      </c>
      <c r="R572" s="359" t="str">
        <f>IFERROR(VLOOKUP($A572,#REF!,11,0),"")</f>
        <v/>
      </c>
      <c r="S572" s="359" t="str">
        <f>IFERROR(VLOOKUP($A572,#REF!,13,0),"")</f>
        <v/>
      </c>
      <c r="T572" s="359" t="str">
        <f>IFERROR(VLOOKUP($A572,#REF!,14,0),"")</f>
        <v/>
      </c>
      <c r="U572" s="359" t="str">
        <f>IFERROR(VLOOKUP($A572,#REF!,15,0),"")</f>
        <v/>
      </c>
      <c r="V572" s="359" t="str">
        <f>IFERROR(VLOOKUP($A572,#REF!,16,0),"")</f>
        <v/>
      </c>
      <c r="W572" s="359" t="str">
        <f>IFERROR(VLOOKUP($A572,#REF!,17,0),"")</f>
        <v/>
      </c>
      <c r="X572" s="359" t="str">
        <f>IFERROR(VLOOKUP($A572,#REF!,18,0),"")</f>
        <v/>
      </c>
      <c r="Y572" s="359" t="str">
        <f>IFERROR(VLOOKUP($A572,#REF!,19,0),"")</f>
        <v/>
      </c>
      <c r="Z572" s="400" t="str">
        <f>IFERROR(VLOOKUP($A572,#REF!,21,0),"")</f>
        <v/>
      </c>
      <c r="AA572" s="358"/>
      <c r="AB572" s="358"/>
      <c r="AC572" s="358" t="s">
        <v>1076</v>
      </c>
      <c r="AD572" s="358" t="s">
        <v>3357</v>
      </c>
      <c r="AE572" s="102"/>
      <c r="AF572" s="141" t="s">
        <v>3077</v>
      </c>
      <c r="AG572" s="141" t="s">
        <v>2130</v>
      </c>
      <c r="AH572" s="141"/>
      <c r="AI572" s="141"/>
      <c r="AJ572" s="141" t="s">
        <v>4004</v>
      </c>
      <c r="AK572" s="141"/>
      <c r="AL572" s="141"/>
      <c r="AM572" s="141"/>
      <c r="AN572" s="120"/>
      <c r="AO572" s="120"/>
      <c r="AP572" s="120"/>
      <c r="AQ572" s="313"/>
      <c r="AR572" s="119"/>
      <c r="AS572" s="22"/>
      <c r="AT572" s="22"/>
      <c r="AU572" s="22"/>
      <c r="AV572" s="2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112"/>
      <c r="BH572" s="112"/>
      <c r="BI572" s="112"/>
      <c r="BJ572" s="112"/>
      <c r="BK572" s="82"/>
      <c r="BL572" s="82"/>
      <c r="BN572" s="412"/>
      <c r="BO572" s="412"/>
      <c r="BP572" s="412"/>
      <c r="BQ572" s="412"/>
      <c r="BR572" s="412"/>
      <c r="BZ572">
        <f t="shared" si="53"/>
        <v>1</v>
      </c>
    </row>
    <row r="573" spans="1:78" ht="15.6" hidden="1" customHeight="1">
      <c r="A573" s="35" t="str">
        <f t="shared" si="46"/>
        <v>M243/2646130</v>
      </c>
      <c r="C573" s="358" t="s">
        <v>24</v>
      </c>
      <c r="D573" s="358">
        <v>570</v>
      </c>
      <c r="E573" s="358" t="s">
        <v>4005</v>
      </c>
      <c r="F573" s="358" t="s">
        <v>83</v>
      </c>
      <c r="G573" s="384">
        <v>46130</v>
      </c>
      <c r="H573" s="358" t="s">
        <v>718</v>
      </c>
      <c r="I573" s="358">
        <v>15</v>
      </c>
      <c r="J573" s="359" t="str">
        <f>IFERROR(VLOOKUP($A573,#REF!,3,0),"")</f>
        <v/>
      </c>
      <c r="K573" s="359">
        <f>IFERROR(VLOOKUP($A573,#REF!,4,0),AF573)</f>
        <v>0</v>
      </c>
      <c r="L573" s="359" t="str">
        <f>IFERROR(VLOOKUP($A573,#REF!,5,0),"")</f>
        <v/>
      </c>
      <c r="M573" s="359" t="str">
        <f>IFERROR(VLOOKUP($A573,#REF!,7,0),"")</f>
        <v/>
      </c>
      <c r="N573" s="359"/>
      <c r="O573" s="359" t="str">
        <f>IFERROR(VLOOKUP($A573,#REF!,6,0),"")</f>
        <v/>
      </c>
      <c r="P573" s="359" t="str">
        <f>IFERROR(VLOOKUP($A573,#REF!,9,0),"")</f>
        <v/>
      </c>
      <c r="Q573" s="359" t="str">
        <f>IFERROR(VLOOKUP($A573,#REF!,10,0),"")</f>
        <v/>
      </c>
      <c r="R573" s="359" t="str">
        <f>IFERROR(VLOOKUP($A573,#REF!,11,0),"")</f>
        <v/>
      </c>
      <c r="S573" s="359" t="str">
        <f>IFERROR(VLOOKUP($A573,#REF!,13,0),"")</f>
        <v/>
      </c>
      <c r="T573" s="359" t="str">
        <f>IFERROR(VLOOKUP($A573,#REF!,14,0),"")</f>
        <v/>
      </c>
      <c r="U573" s="359" t="str">
        <f>IFERROR(VLOOKUP($A573,#REF!,15,0),"")</f>
        <v/>
      </c>
      <c r="V573" s="359" t="str">
        <f>IFERROR(VLOOKUP($A573,#REF!,16,0),"")</f>
        <v/>
      </c>
      <c r="W573" s="359" t="str">
        <f>IFERROR(VLOOKUP($A573,#REF!,17,0),"")</f>
        <v/>
      </c>
      <c r="X573" s="359" t="str">
        <f>IFERROR(VLOOKUP($A573,#REF!,18,0),"")</f>
        <v/>
      </c>
      <c r="Y573" s="359" t="str">
        <f>IFERROR(VLOOKUP($A573,#REF!,19,0),"")</f>
        <v/>
      </c>
      <c r="Z573" s="400" t="str">
        <f>IFERROR(VLOOKUP($A573,#REF!,21,0),"")</f>
        <v/>
      </c>
      <c r="AA573" s="358"/>
      <c r="AB573" s="358"/>
      <c r="AC573" s="358" t="s">
        <v>1076</v>
      </c>
      <c r="AD573" s="358" t="s">
        <v>3357</v>
      </c>
      <c r="AE573" s="102" t="s">
        <v>3957</v>
      </c>
      <c r="AF573" s="141"/>
      <c r="AG573" s="102" t="s">
        <v>4006</v>
      </c>
      <c r="AH573" s="141"/>
      <c r="AI573" s="141"/>
      <c r="AJ573" s="141" t="s">
        <v>4007</v>
      </c>
      <c r="AK573" s="141"/>
      <c r="AL573" s="141"/>
      <c r="AM573" s="141"/>
      <c r="AN573" s="120"/>
      <c r="AO573" s="120"/>
      <c r="AP573" s="120"/>
      <c r="AQ573" s="313"/>
      <c r="AR573" s="119"/>
      <c r="AS573" s="22"/>
      <c r="AT573" s="22"/>
      <c r="AU573" s="22"/>
      <c r="AV573" s="2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112"/>
      <c r="BH573" s="112"/>
      <c r="BI573" s="112"/>
      <c r="BJ573" s="112"/>
      <c r="BK573" s="82"/>
      <c r="BL573" s="82"/>
      <c r="BN573" s="412"/>
      <c r="BO573" s="412"/>
      <c r="BP573" s="412"/>
      <c r="BQ573" s="412"/>
      <c r="BR573" s="412"/>
      <c r="BZ573">
        <f t="shared" si="53"/>
        <v>1</v>
      </c>
    </row>
    <row r="574" spans="1:78" ht="15.6" hidden="1" customHeight="1">
      <c r="A574" s="35" t="str">
        <f t="shared" si="46"/>
        <v>M246/2646130</v>
      </c>
      <c r="C574" s="358" t="s">
        <v>24</v>
      </c>
      <c r="D574" s="358">
        <v>571</v>
      </c>
      <c r="E574" s="358" t="s">
        <v>3933</v>
      </c>
      <c r="F574" s="358" t="s">
        <v>34</v>
      </c>
      <c r="G574" s="384">
        <v>46130</v>
      </c>
      <c r="H574" s="358" t="s">
        <v>4008</v>
      </c>
      <c r="I574" s="358">
        <v>12</v>
      </c>
      <c r="J574" s="359" t="str">
        <f>IFERROR(VLOOKUP($A574,#REF!,3,0),"")</f>
        <v/>
      </c>
      <c r="K574" s="359">
        <f>IFERROR(VLOOKUP($A574,#REF!,4,0),AF574)</f>
        <v>0</v>
      </c>
      <c r="L574" s="359" t="str">
        <f>IFERROR(VLOOKUP($A574,#REF!,5,0),"")</f>
        <v/>
      </c>
      <c r="M574" s="359" t="str">
        <f>IFERROR(VLOOKUP($A574,#REF!,7,0),"")</f>
        <v/>
      </c>
      <c r="N574" s="359"/>
      <c r="O574" s="359" t="str">
        <f>IFERROR(VLOOKUP($A574,#REF!,6,0),"")</f>
        <v/>
      </c>
      <c r="P574" s="359" t="str">
        <f>IFERROR(VLOOKUP($A574,#REF!,9,0),"")</f>
        <v/>
      </c>
      <c r="Q574" s="359" t="str">
        <f>IFERROR(VLOOKUP($A574,#REF!,10,0),"")</f>
        <v/>
      </c>
      <c r="R574" s="359" t="str">
        <f>IFERROR(VLOOKUP($A574,#REF!,11,0),"")</f>
        <v/>
      </c>
      <c r="S574" s="359" t="str">
        <f>IFERROR(VLOOKUP($A574,#REF!,13,0),"")</f>
        <v/>
      </c>
      <c r="T574" s="359" t="str">
        <f>IFERROR(VLOOKUP($A574,#REF!,14,0),"")</f>
        <v/>
      </c>
      <c r="U574" s="359" t="str">
        <f>IFERROR(VLOOKUP($A574,#REF!,15,0),"")</f>
        <v/>
      </c>
      <c r="V574" s="359" t="str">
        <f>IFERROR(VLOOKUP($A574,#REF!,16,0),"")</f>
        <v/>
      </c>
      <c r="W574" s="359" t="str">
        <f>IFERROR(VLOOKUP($A574,#REF!,17,0),"")</f>
        <v/>
      </c>
      <c r="X574" s="359" t="str">
        <f>IFERROR(VLOOKUP($A574,#REF!,18,0),"")</f>
        <v/>
      </c>
      <c r="Y574" s="359" t="str">
        <f>IFERROR(VLOOKUP($A574,#REF!,19,0),"")</f>
        <v/>
      </c>
      <c r="Z574" s="400" t="str">
        <f>IFERROR(VLOOKUP($A574,#REF!,21,0),"")</f>
        <v/>
      </c>
      <c r="AA574" s="358"/>
      <c r="AB574" s="358"/>
      <c r="AC574" s="358" t="s">
        <v>127</v>
      </c>
      <c r="AD574" s="358" t="s">
        <v>178</v>
      </c>
      <c r="AE574" s="102"/>
      <c r="AF574" s="141"/>
      <c r="AG574" s="141" t="s">
        <v>2085</v>
      </c>
      <c r="AH574" s="141"/>
      <c r="AI574" s="141"/>
      <c r="AJ574" s="141" t="s">
        <v>4007</v>
      </c>
      <c r="AK574" s="141"/>
      <c r="AL574" s="141"/>
      <c r="AM574" s="141"/>
      <c r="AN574" s="120"/>
      <c r="AO574" s="120"/>
      <c r="AP574" s="120"/>
      <c r="AQ574" s="313"/>
      <c r="AR574" s="119"/>
      <c r="AS574" s="22"/>
      <c r="AT574" s="22"/>
      <c r="AU574" s="22"/>
      <c r="AV574" s="2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112"/>
      <c r="BH574" s="112"/>
      <c r="BI574" s="112"/>
      <c r="BJ574" s="112"/>
      <c r="BK574" s="82"/>
      <c r="BL574" s="82"/>
      <c r="BN574" s="412"/>
      <c r="BO574" s="412"/>
      <c r="BP574" s="412"/>
      <c r="BQ574" s="412"/>
      <c r="BR574" s="412"/>
      <c r="BZ574">
        <f t="shared" si="53"/>
        <v>1</v>
      </c>
    </row>
    <row r="575" spans="1:78" ht="15.6" hidden="1" customHeight="1">
      <c r="A575" s="35" t="str">
        <f t="shared" si="46"/>
        <v>M235/2646132</v>
      </c>
      <c r="C575" s="358" t="s">
        <v>24</v>
      </c>
      <c r="D575" s="358">
        <v>572</v>
      </c>
      <c r="E575" s="358" t="s">
        <v>4009</v>
      </c>
      <c r="F575" s="358" t="s">
        <v>34</v>
      </c>
      <c r="G575" s="384">
        <v>46132</v>
      </c>
      <c r="H575" s="358" t="s">
        <v>644</v>
      </c>
      <c r="I575" s="358">
        <v>8</v>
      </c>
      <c r="J575" s="359" t="str">
        <f>IFERROR(VLOOKUP($A575,#REF!,3,0),"")</f>
        <v/>
      </c>
      <c r="K575" s="359">
        <f>IFERROR(VLOOKUP($A575,#REF!,4,0),AF575)</f>
        <v>0</v>
      </c>
      <c r="L575" s="359" t="str">
        <f>IFERROR(VLOOKUP($A575,#REF!,5,0),"")</f>
        <v/>
      </c>
      <c r="M575" s="359" t="str">
        <f>IFERROR(VLOOKUP($A575,#REF!,7,0),"")</f>
        <v/>
      </c>
      <c r="N575" s="359"/>
      <c r="O575" s="359" t="str">
        <f>IFERROR(VLOOKUP($A575,#REF!,6,0),"")</f>
        <v/>
      </c>
      <c r="P575" s="359" t="str">
        <f>IFERROR(VLOOKUP($A575,#REF!,9,0),"")</f>
        <v/>
      </c>
      <c r="Q575" s="359" t="str">
        <f>IFERROR(VLOOKUP($A575,#REF!,10,0),"")</f>
        <v/>
      </c>
      <c r="R575" s="359" t="str">
        <f>IFERROR(VLOOKUP($A575,#REF!,11,0),"")</f>
        <v/>
      </c>
      <c r="S575" s="359" t="str">
        <f>IFERROR(VLOOKUP($A575,#REF!,13,0),"")</f>
        <v/>
      </c>
      <c r="T575" s="359" t="str">
        <f>IFERROR(VLOOKUP($A575,#REF!,14,0),"")</f>
        <v/>
      </c>
      <c r="U575" s="359" t="str">
        <f>IFERROR(VLOOKUP($A575,#REF!,15,0),"")</f>
        <v/>
      </c>
      <c r="V575" s="359" t="str">
        <f>IFERROR(VLOOKUP($A575,#REF!,16,0),"")</f>
        <v/>
      </c>
      <c r="W575" s="359" t="str">
        <f>IFERROR(VLOOKUP($A575,#REF!,17,0),"")</f>
        <v/>
      </c>
      <c r="X575" s="359" t="str">
        <f>IFERROR(VLOOKUP($A575,#REF!,18,0),"")</f>
        <v/>
      </c>
      <c r="Y575" s="359" t="str">
        <f>IFERROR(VLOOKUP($A575,#REF!,19,0),"")</f>
        <v/>
      </c>
      <c r="Z575" s="400" t="str">
        <f>IFERROR(VLOOKUP($A575,#REF!,21,0),"")</f>
        <v/>
      </c>
      <c r="AA575" s="358"/>
      <c r="AB575" s="358"/>
      <c r="AC575" s="358" t="s">
        <v>1077</v>
      </c>
      <c r="AD575" s="358" t="s">
        <v>1138</v>
      </c>
      <c r="AE575" s="141"/>
      <c r="AF575" s="141"/>
      <c r="AG575" s="141"/>
      <c r="AH575" s="141"/>
      <c r="AI575" s="141"/>
      <c r="AJ575" s="141" t="s">
        <v>4007</v>
      </c>
      <c r="AK575" s="141"/>
      <c r="AL575" s="141"/>
      <c r="AM575" s="141"/>
      <c r="AN575" s="120"/>
      <c r="AO575" s="120"/>
      <c r="AP575" s="120"/>
      <c r="AQ575" s="313"/>
      <c r="AR575" s="119"/>
      <c r="AS575" s="22"/>
      <c r="AT575" s="22"/>
      <c r="AU575" s="22"/>
      <c r="AV575" s="2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112"/>
      <c r="BH575" s="112"/>
      <c r="BI575" s="112"/>
      <c r="BJ575" s="112"/>
      <c r="BK575" s="82"/>
      <c r="BL575" s="82"/>
      <c r="BN575" s="412"/>
      <c r="BO575" s="412"/>
      <c r="BP575" s="412"/>
      <c r="BQ575" s="412"/>
      <c r="BR575" s="412"/>
      <c r="BZ575">
        <f t="shared" si="53"/>
        <v>1</v>
      </c>
    </row>
    <row r="576" spans="1:78" ht="15.6" hidden="1" customHeight="1">
      <c r="A576" s="35" t="str">
        <f t="shared" si="46"/>
        <v>M216/2646133</v>
      </c>
      <c r="C576" s="358" t="s">
        <v>24</v>
      </c>
      <c r="D576" s="358">
        <v>573</v>
      </c>
      <c r="E576" s="358" t="s">
        <v>4010</v>
      </c>
      <c r="F576" s="358" t="s">
        <v>64</v>
      </c>
      <c r="G576" s="384">
        <v>46133</v>
      </c>
      <c r="H576" s="358" t="s">
        <v>927</v>
      </c>
      <c r="I576" s="358">
        <v>13</v>
      </c>
      <c r="J576" s="359" t="str">
        <f>IFERROR(VLOOKUP($A576,#REF!,3,0),"")</f>
        <v/>
      </c>
      <c r="K576" s="359">
        <f>IFERROR(VLOOKUP($A576,#REF!,4,0),AF576)</f>
        <v>0</v>
      </c>
      <c r="L576" s="359" t="str">
        <f>IFERROR(VLOOKUP($A576,#REF!,5,0),"")</f>
        <v/>
      </c>
      <c r="M576" s="359" t="str">
        <f>IFERROR(VLOOKUP($A576,#REF!,7,0),"")</f>
        <v/>
      </c>
      <c r="N576" s="359"/>
      <c r="O576" s="359" t="str">
        <f>IFERROR(VLOOKUP($A576,#REF!,6,0),"")</f>
        <v/>
      </c>
      <c r="P576" s="359" t="str">
        <f>IFERROR(VLOOKUP($A576,#REF!,9,0),"")</f>
        <v/>
      </c>
      <c r="Q576" s="359" t="str">
        <f>IFERROR(VLOOKUP($A576,#REF!,10,0),"")</f>
        <v/>
      </c>
      <c r="R576" s="359" t="str">
        <f>IFERROR(VLOOKUP($A576,#REF!,11,0),"")</f>
        <v/>
      </c>
      <c r="S576" s="359" t="str">
        <f>IFERROR(VLOOKUP($A576,#REF!,13,0),"")</f>
        <v/>
      </c>
      <c r="T576" s="359" t="str">
        <f>IFERROR(VLOOKUP($A576,#REF!,14,0),"")</f>
        <v/>
      </c>
      <c r="U576" s="359" t="str">
        <f>IFERROR(VLOOKUP($A576,#REF!,15,0),"")</f>
        <v/>
      </c>
      <c r="V576" s="359" t="str">
        <f>IFERROR(VLOOKUP($A576,#REF!,16,0),"")</f>
        <v/>
      </c>
      <c r="W576" s="359" t="str">
        <f>IFERROR(VLOOKUP($A576,#REF!,17,0),"")</f>
        <v/>
      </c>
      <c r="X576" s="359" t="str">
        <f>IFERROR(VLOOKUP($A576,#REF!,18,0),"")</f>
        <v/>
      </c>
      <c r="Y576" s="359" t="str">
        <f>IFERROR(VLOOKUP($A576,#REF!,19,0),"")</f>
        <v/>
      </c>
      <c r="Z576" s="400" t="str">
        <f>IFERROR(VLOOKUP($A576,#REF!,21,0),"")</f>
        <v/>
      </c>
      <c r="AA576" s="358"/>
      <c r="AB576" s="358"/>
      <c r="AC576" s="358" t="s">
        <v>1077</v>
      </c>
      <c r="AD576" s="358" t="s">
        <v>1138</v>
      </c>
      <c r="AE576" s="358" t="s">
        <v>3805</v>
      </c>
      <c r="AF576" s="141"/>
      <c r="AG576" s="323" t="s">
        <v>4011</v>
      </c>
      <c r="AH576" s="358"/>
      <c r="AI576" s="358"/>
      <c r="AJ576" s="141" t="s">
        <v>4007</v>
      </c>
      <c r="AK576" s="141"/>
      <c r="AL576" s="141"/>
      <c r="AM576" s="141"/>
      <c r="AN576" s="120"/>
      <c r="AO576" s="120"/>
      <c r="AP576" s="120"/>
      <c r="AQ576" s="313"/>
      <c r="AR576" s="119"/>
      <c r="AS576" s="22"/>
      <c r="AT576" s="22"/>
      <c r="AU576" s="22"/>
      <c r="AV576" s="2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112"/>
      <c r="BH576" s="112"/>
      <c r="BI576" s="112"/>
      <c r="BJ576" s="112"/>
      <c r="BK576" s="82"/>
      <c r="BL576" s="82"/>
      <c r="BN576" s="412"/>
      <c r="BO576" s="412"/>
      <c r="BP576" s="412"/>
      <c r="BQ576" s="412"/>
      <c r="BR576" s="412"/>
      <c r="BZ576">
        <f t="shared" si="53"/>
        <v>1</v>
      </c>
    </row>
    <row r="577" spans="1:78" ht="15.6" hidden="1" customHeight="1">
      <c r="A577" s="35" t="str">
        <f t="shared" si="46"/>
        <v>M216/2646134</v>
      </c>
      <c r="C577" s="358" t="s">
        <v>24</v>
      </c>
      <c r="D577" s="358">
        <v>574</v>
      </c>
      <c r="E577" s="358" t="s">
        <v>4010</v>
      </c>
      <c r="F577" s="358" t="s">
        <v>64</v>
      </c>
      <c r="G577" s="384">
        <v>46134</v>
      </c>
      <c r="H577" s="358" t="s">
        <v>927</v>
      </c>
      <c r="I577" s="358">
        <v>13</v>
      </c>
      <c r="J577" s="359" t="str">
        <f>IFERROR(VLOOKUP($A577,#REF!,3,0),"")</f>
        <v/>
      </c>
      <c r="K577" s="359">
        <f>IFERROR(VLOOKUP($A577,#REF!,4,0),AF577)</f>
        <v>0</v>
      </c>
      <c r="L577" s="359" t="str">
        <f>IFERROR(VLOOKUP($A577,#REF!,5,0),"")</f>
        <v/>
      </c>
      <c r="M577" s="359" t="str">
        <f>IFERROR(VLOOKUP($A577,#REF!,7,0),"")</f>
        <v/>
      </c>
      <c r="N577" s="359"/>
      <c r="O577" s="359" t="str">
        <f>IFERROR(VLOOKUP($A577,#REF!,6,0),"")</f>
        <v/>
      </c>
      <c r="P577" s="359" t="str">
        <f>IFERROR(VLOOKUP($A577,#REF!,9,0),"")</f>
        <v/>
      </c>
      <c r="Q577" s="359" t="str">
        <f>IFERROR(VLOOKUP($A577,#REF!,10,0),"")</f>
        <v/>
      </c>
      <c r="R577" s="359" t="str">
        <f>IFERROR(VLOOKUP($A577,#REF!,11,0),"")</f>
        <v/>
      </c>
      <c r="S577" s="359" t="str">
        <f>IFERROR(VLOOKUP($A577,#REF!,13,0),"")</f>
        <v/>
      </c>
      <c r="T577" s="359" t="str">
        <f>IFERROR(VLOOKUP($A577,#REF!,14,0),"")</f>
        <v/>
      </c>
      <c r="U577" s="359" t="str">
        <f>IFERROR(VLOOKUP($A577,#REF!,15,0),"")</f>
        <v/>
      </c>
      <c r="V577" s="359" t="str">
        <f>IFERROR(VLOOKUP($A577,#REF!,16,0),"")</f>
        <v/>
      </c>
      <c r="W577" s="359" t="str">
        <f>IFERROR(VLOOKUP($A577,#REF!,17,0),"")</f>
        <v/>
      </c>
      <c r="X577" s="359" t="str">
        <f>IFERROR(VLOOKUP($A577,#REF!,18,0),"")</f>
        <v/>
      </c>
      <c r="Y577" s="359" t="str">
        <f>IFERROR(VLOOKUP($A577,#REF!,19,0),"")</f>
        <v/>
      </c>
      <c r="Z577" s="400" t="str">
        <f>IFERROR(VLOOKUP($A577,#REF!,21,0),"")</f>
        <v/>
      </c>
      <c r="AA577" s="358"/>
      <c r="AB577" s="358"/>
      <c r="AC577" s="358" t="s">
        <v>1077</v>
      </c>
      <c r="AD577" s="358" t="s">
        <v>1138</v>
      </c>
      <c r="AE577" s="358" t="s">
        <v>3805</v>
      </c>
      <c r="AF577" s="141"/>
      <c r="AG577" s="323" t="s">
        <v>4011</v>
      </c>
      <c r="AH577" s="358"/>
      <c r="AI577" s="358"/>
      <c r="AJ577" s="141" t="s">
        <v>4007</v>
      </c>
      <c r="AK577" s="141"/>
      <c r="AL577" s="141"/>
      <c r="AM577" s="141"/>
      <c r="AN577" s="120"/>
      <c r="AO577" s="120"/>
      <c r="AP577" s="120"/>
      <c r="AQ577" s="313"/>
      <c r="AR577" s="119"/>
      <c r="AS577" s="22"/>
      <c r="AT577" s="22"/>
      <c r="AU577" s="22"/>
      <c r="AV577" s="2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112"/>
      <c r="BH577" s="112"/>
      <c r="BI577" s="112"/>
      <c r="BJ577" s="112"/>
      <c r="BK577" s="82"/>
      <c r="BL577" s="82"/>
      <c r="BN577" s="412"/>
      <c r="BO577" s="412"/>
      <c r="BP577" s="412"/>
      <c r="BQ577" s="412"/>
      <c r="BR577" s="412"/>
      <c r="BZ577">
        <f t="shared" ref="BZ577" si="57">IF(G577&gt;1,1,"")</f>
        <v>1</v>
      </c>
    </row>
    <row r="578" spans="1:78" ht="15.6" hidden="1" customHeight="1">
      <c r="A578" s="35" t="str">
        <f t="shared" si="46"/>
        <v>M231/2646134</v>
      </c>
      <c r="C578" s="358" t="s">
        <v>24</v>
      </c>
      <c r="D578" s="358">
        <v>575</v>
      </c>
      <c r="E578" s="358" t="s">
        <v>4012</v>
      </c>
      <c r="F578" s="358" t="s">
        <v>50</v>
      </c>
      <c r="G578" s="384">
        <v>46134</v>
      </c>
      <c r="H578" s="358" t="s">
        <v>2295</v>
      </c>
      <c r="I578" s="358">
        <v>13</v>
      </c>
      <c r="J578" s="359" t="str">
        <f>IFERROR(VLOOKUP($A578,#REF!,3,0),"")</f>
        <v/>
      </c>
      <c r="K578" s="359">
        <f>IFERROR(VLOOKUP($A578,#REF!,4,0),AF578)</f>
        <v>0</v>
      </c>
      <c r="L578" s="359" t="str">
        <f>IFERROR(VLOOKUP($A578,#REF!,5,0),"")</f>
        <v/>
      </c>
      <c r="M578" s="359" t="str">
        <f>IFERROR(VLOOKUP($A578,#REF!,7,0),"")</f>
        <v/>
      </c>
      <c r="N578" s="359"/>
      <c r="O578" s="359" t="str">
        <f>IFERROR(VLOOKUP($A578,#REF!,6,0),"")</f>
        <v/>
      </c>
      <c r="P578" s="359" t="str">
        <f>IFERROR(VLOOKUP($A578,#REF!,9,0),"")</f>
        <v/>
      </c>
      <c r="Q578" s="359" t="str">
        <f>IFERROR(VLOOKUP($A578,#REF!,10,0),"")</f>
        <v/>
      </c>
      <c r="R578" s="359" t="str">
        <f>IFERROR(VLOOKUP($A578,#REF!,11,0),"")</f>
        <v/>
      </c>
      <c r="S578" s="359" t="str">
        <f>IFERROR(VLOOKUP($A578,#REF!,13,0),"")</f>
        <v/>
      </c>
      <c r="T578" s="359" t="str">
        <f>IFERROR(VLOOKUP($A578,#REF!,14,0),"")</f>
        <v/>
      </c>
      <c r="U578" s="359" t="str">
        <f>IFERROR(VLOOKUP($A578,#REF!,15,0),"")</f>
        <v/>
      </c>
      <c r="V578" s="359" t="str">
        <f>IFERROR(VLOOKUP($A578,#REF!,16,0),"")</f>
        <v/>
      </c>
      <c r="W578" s="359" t="str">
        <f>IFERROR(VLOOKUP($A578,#REF!,17,0),"")</f>
        <v/>
      </c>
      <c r="X578" s="359" t="str">
        <f>IFERROR(VLOOKUP($A578,#REF!,18,0),"")</f>
        <v/>
      </c>
      <c r="Y578" s="359" t="str">
        <f>IFERROR(VLOOKUP($A578,#REF!,19,0),"")</f>
        <v/>
      </c>
      <c r="Z578" s="400" t="str">
        <f>IFERROR(VLOOKUP($A578,#REF!,21,0),"")</f>
        <v/>
      </c>
      <c r="AA578" s="358"/>
      <c r="AB578" s="358"/>
      <c r="AC578" s="358" t="s">
        <v>1077</v>
      </c>
      <c r="AD578" s="358" t="s">
        <v>1138</v>
      </c>
      <c r="AE578" s="358"/>
      <c r="AF578" s="141"/>
      <c r="AG578" s="141" t="s">
        <v>2203</v>
      </c>
      <c r="AH578" s="358"/>
      <c r="AI578" s="358"/>
      <c r="AJ578" s="141" t="s">
        <v>4007</v>
      </c>
      <c r="AK578" s="141"/>
      <c r="AL578" s="141"/>
      <c r="AM578" s="141"/>
      <c r="AN578" s="120"/>
      <c r="AO578" s="120"/>
      <c r="AP578" s="120"/>
      <c r="AQ578" s="313"/>
      <c r="AR578" s="119"/>
      <c r="AS578" s="22"/>
      <c r="AT578" s="22"/>
      <c r="AU578" s="22"/>
      <c r="AV578" s="2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112"/>
      <c r="BH578" s="112"/>
      <c r="BI578" s="112"/>
      <c r="BJ578" s="112"/>
      <c r="BK578" s="82"/>
      <c r="BL578" s="82"/>
      <c r="BN578" s="412"/>
      <c r="BO578" s="412"/>
      <c r="BP578" s="412"/>
      <c r="BQ578" s="412"/>
      <c r="BR578" s="412"/>
      <c r="BZ578">
        <f t="shared" si="53"/>
        <v>1</v>
      </c>
    </row>
    <row r="579" spans="1:78" ht="15.6" hidden="1" customHeight="1">
      <c r="A579" s="35" t="str">
        <f t="shared" si="46"/>
        <v>M54/2646134</v>
      </c>
      <c r="C579" s="358" t="s">
        <v>24</v>
      </c>
      <c r="D579" s="358">
        <v>576</v>
      </c>
      <c r="E579" s="358" t="s">
        <v>4013</v>
      </c>
      <c r="F579" s="358" t="s">
        <v>1937</v>
      </c>
      <c r="G579" s="384">
        <v>46134</v>
      </c>
      <c r="H579" s="358" t="s">
        <v>181</v>
      </c>
      <c r="I579" s="358">
        <v>10</v>
      </c>
      <c r="J579" s="359" t="str">
        <f>IFERROR(VLOOKUP($A579,#REF!,3,0),"")</f>
        <v/>
      </c>
      <c r="K579" s="359">
        <f>IFERROR(VLOOKUP($A579,#REF!,4,0),AF579)</f>
        <v>0</v>
      </c>
      <c r="L579" s="359" t="str">
        <f>IFERROR(VLOOKUP($A579,#REF!,5,0),"")</f>
        <v/>
      </c>
      <c r="M579" s="359" t="str">
        <f>IFERROR(VLOOKUP($A579,#REF!,7,0),"")</f>
        <v/>
      </c>
      <c r="N579" s="359"/>
      <c r="O579" s="359" t="str">
        <f>IFERROR(VLOOKUP($A579,#REF!,6,0),"")</f>
        <v/>
      </c>
      <c r="P579" s="359" t="str">
        <f>IFERROR(VLOOKUP($A579,#REF!,9,0),"")</f>
        <v/>
      </c>
      <c r="Q579" s="359" t="str">
        <f>IFERROR(VLOOKUP($A579,#REF!,10,0),"")</f>
        <v/>
      </c>
      <c r="R579" s="359" t="str">
        <f>IFERROR(VLOOKUP($A579,#REF!,11,0),"")</f>
        <v/>
      </c>
      <c r="S579" s="359" t="str">
        <f>IFERROR(VLOOKUP($A579,#REF!,13,0),"")</f>
        <v/>
      </c>
      <c r="T579" s="359" t="str">
        <f>IFERROR(VLOOKUP($A579,#REF!,14,0),"")</f>
        <v/>
      </c>
      <c r="U579" s="359" t="str">
        <f>IFERROR(VLOOKUP($A579,#REF!,15,0),"")</f>
        <v/>
      </c>
      <c r="V579" s="359" t="str">
        <f>IFERROR(VLOOKUP($A579,#REF!,16,0),"")</f>
        <v/>
      </c>
      <c r="W579" s="359" t="str">
        <f>IFERROR(VLOOKUP($A579,#REF!,17,0),"")</f>
        <v/>
      </c>
      <c r="X579" s="359" t="str">
        <f>IFERROR(VLOOKUP($A579,#REF!,18,0),"")</f>
        <v/>
      </c>
      <c r="Y579" s="359" t="str">
        <f>IFERROR(VLOOKUP($A579,#REF!,19,0),"")</f>
        <v/>
      </c>
      <c r="Z579" s="400" t="str">
        <f>IFERROR(VLOOKUP($A579,#REF!,21,0),"")</f>
        <v/>
      </c>
      <c r="AA579" s="358"/>
      <c r="AB579" s="358"/>
      <c r="AC579" s="358" t="s">
        <v>1077</v>
      </c>
      <c r="AD579" s="358" t="s">
        <v>1138</v>
      </c>
      <c r="AE579" s="358"/>
      <c r="AF579" s="141"/>
      <c r="AG579" s="358"/>
      <c r="AH579" s="358"/>
      <c r="AI579" s="358"/>
      <c r="AJ579" s="141" t="s">
        <v>4014</v>
      </c>
      <c r="AK579" s="141"/>
      <c r="AL579" s="141"/>
      <c r="AM579" s="141"/>
      <c r="AN579" s="120"/>
      <c r="AO579" s="120"/>
      <c r="AP579" s="120"/>
      <c r="AQ579" s="313"/>
      <c r="AR579" s="119"/>
      <c r="AS579" s="22"/>
      <c r="AT579" s="22"/>
      <c r="AU579" s="22"/>
      <c r="AV579" s="2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112"/>
      <c r="BH579" s="112"/>
      <c r="BI579" s="112"/>
      <c r="BJ579" s="112"/>
      <c r="BK579" s="82"/>
      <c r="BL579" s="82"/>
      <c r="BN579" s="412"/>
      <c r="BO579" s="412"/>
      <c r="BP579" s="412"/>
      <c r="BQ579" s="412"/>
      <c r="BR579" s="412"/>
      <c r="BZ579">
        <f t="shared" si="53"/>
        <v>1</v>
      </c>
    </row>
    <row r="580" spans="1:78" ht="15.6" hidden="1" customHeight="1">
      <c r="A580" s="35" t="str">
        <f t="shared" si="46"/>
        <v>M177/2646134</v>
      </c>
      <c r="C580" s="358" t="s">
        <v>24</v>
      </c>
      <c r="D580" s="358">
        <v>577</v>
      </c>
      <c r="E580" s="358" t="s">
        <v>4015</v>
      </c>
      <c r="F580" s="358" t="s">
        <v>3763</v>
      </c>
      <c r="G580" s="384">
        <v>46134</v>
      </c>
      <c r="H580" s="358" t="s">
        <v>126</v>
      </c>
      <c r="I580" s="358">
        <v>23</v>
      </c>
      <c r="J580" s="359" t="str">
        <f>IFERROR(VLOOKUP($A580,#REF!,3,0),"")</f>
        <v/>
      </c>
      <c r="K580" s="359">
        <f>IFERROR(VLOOKUP($A580,#REF!,4,0),AF580)</f>
        <v>0</v>
      </c>
      <c r="L580" s="359" t="str">
        <f>IFERROR(VLOOKUP($A580,#REF!,5,0),"")</f>
        <v/>
      </c>
      <c r="M580" s="359" t="str">
        <f>IFERROR(VLOOKUP($A580,#REF!,7,0),"")</f>
        <v/>
      </c>
      <c r="N580" s="359"/>
      <c r="O580" s="359" t="str">
        <f>IFERROR(VLOOKUP($A580,#REF!,6,0),"")</f>
        <v/>
      </c>
      <c r="P580" s="359" t="str">
        <f>IFERROR(VLOOKUP($A580,#REF!,9,0),"")</f>
        <v/>
      </c>
      <c r="Q580" s="359" t="str">
        <f>IFERROR(VLOOKUP($A580,#REF!,10,0),"")</f>
        <v/>
      </c>
      <c r="R580" s="359" t="str">
        <f>IFERROR(VLOOKUP($A580,#REF!,11,0),"")</f>
        <v/>
      </c>
      <c r="S580" s="359" t="str">
        <f>IFERROR(VLOOKUP($A580,#REF!,13,0),"")</f>
        <v/>
      </c>
      <c r="T580" s="359" t="str">
        <f>IFERROR(VLOOKUP($A580,#REF!,14,0),"")</f>
        <v/>
      </c>
      <c r="U580" s="359" t="str">
        <f>IFERROR(VLOOKUP($A580,#REF!,15,0),"")</f>
        <v/>
      </c>
      <c r="V580" s="359" t="str">
        <f>IFERROR(VLOOKUP($A580,#REF!,16,0),"")</f>
        <v/>
      </c>
      <c r="W580" s="359" t="str">
        <f>IFERROR(VLOOKUP($A580,#REF!,17,0),"")</f>
        <v/>
      </c>
      <c r="X580" s="359" t="str">
        <f>IFERROR(VLOOKUP($A580,#REF!,18,0),"")</f>
        <v/>
      </c>
      <c r="Y580" s="359" t="str">
        <f>IFERROR(VLOOKUP($A580,#REF!,19,0),"")</f>
        <v/>
      </c>
      <c r="Z580" s="400" t="str">
        <f>IFERROR(VLOOKUP($A580,#REF!,21,0),"")</f>
        <v/>
      </c>
      <c r="AA580" s="358"/>
      <c r="AB580" s="358"/>
      <c r="AC580" s="358" t="s">
        <v>127</v>
      </c>
      <c r="AD580" s="358" t="s">
        <v>28</v>
      </c>
      <c r="AE580" s="358"/>
      <c r="AF580" s="141"/>
      <c r="AG580" s="358"/>
      <c r="AH580" s="358"/>
      <c r="AI580" s="358"/>
      <c r="AJ580" s="141" t="s">
        <v>3972</v>
      </c>
      <c r="AK580" s="141"/>
      <c r="AL580" s="141"/>
      <c r="AM580" s="141"/>
      <c r="AN580" s="120"/>
      <c r="AO580" s="120"/>
      <c r="AP580" s="120"/>
      <c r="AQ580" s="313"/>
      <c r="AR580" s="119"/>
      <c r="AS580" s="22"/>
      <c r="AT580" s="22"/>
      <c r="AU580" s="22"/>
      <c r="AV580" s="22"/>
      <c r="AW580" s="82"/>
      <c r="AX580" s="82"/>
      <c r="AY580" s="82"/>
      <c r="AZ580" s="82"/>
      <c r="BA580" s="82"/>
      <c r="BB580" s="82"/>
      <c r="BC580" s="82"/>
      <c r="BD580" s="82"/>
      <c r="BE580" s="82"/>
      <c r="BF580" s="82"/>
      <c r="BG580" s="112"/>
      <c r="BH580" s="112"/>
      <c r="BI580" s="112"/>
      <c r="BJ580" s="112"/>
      <c r="BK580" s="82"/>
      <c r="BL580" s="82"/>
      <c r="BN580" s="412"/>
      <c r="BO580" s="412"/>
      <c r="BP580" s="412"/>
      <c r="BQ580" s="412"/>
      <c r="BR580" s="412"/>
      <c r="BZ580">
        <f t="shared" ref="BZ580" si="58">IF(G580&gt;1,1,"")</f>
        <v>1</v>
      </c>
    </row>
    <row r="581" spans="1:78" ht="15.6" hidden="1" customHeight="1">
      <c r="A581" s="35" t="str">
        <f t="shared" ref="A581:A644" si="59">E581&amp;G581</f>
        <v>M191/2646134</v>
      </c>
      <c r="C581" s="358" t="s">
        <v>24</v>
      </c>
      <c r="D581" s="358">
        <v>578</v>
      </c>
      <c r="E581" s="358" t="s">
        <v>3973</v>
      </c>
      <c r="F581" s="358" t="s">
        <v>3763</v>
      </c>
      <c r="G581" s="384">
        <v>46134</v>
      </c>
      <c r="H581" s="358" t="s">
        <v>1611</v>
      </c>
      <c r="I581" s="358">
        <v>12</v>
      </c>
      <c r="J581" s="359" t="str">
        <f>IFERROR(VLOOKUP($A581,#REF!,3,0),"")</f>
        <v/>
      </c>
      <c r="K581" s="359">
        <f>IFERROR(VLOOKUP($A581,#REF!,4,0),AF581)</f>
        <v>0</v>
      </c>
      <c r="L581" s="359" t="str">
        <f>IFERROR(VLOOKUP($A581,#REF!,5,0),"")</f>
        <v/>
      </c>
      <c r="M581" s="359" t="str">
        <f>IFERROR(VLOOKUP($A581,#REF!,7,0),"")</f>
        <v/>
      </c>
      <c r="N581" s="359"/>
      <c r="O581" s="359" t="str">
        <f>IFERROR(VLOOKUP($A581,#REF!,6,0),"")</f>
        <v/>
      </c>
      <c r="P581" s="359" t="str">
        <f>IFERROR(VLOOKUP($A581,#REF!,9,0),"")</f>
        <v/>
      </c>
      <c r="Q581" s="359" t="str">
        <f>IFERROR(VLOOKUP($A581,#REF!,10,0),"")</f>
        <v/>
      </c>
      <c r="R581" s="359" t="str">
        <f>IFERROR(VLOOKUP($A581,#REF!,11,0),"")</f>
        <v/>
      </c>
      <c r="S581" s="359" t="str">
        <f>IFERROR(VLOOKUP($A581,#REF!,13,0),"")</f>
        <v/>
      </c>
      <c r="T581" s="359" t="str">
        <f>IFERROR(VLOOKUP($A581,#REF!,14,0),"")</f>
        <v/>
      </c>
      <c r="U581" s="359" t="str">
        <f>IFERROR(VLOOKUP($A581,#REF!,15,0),"")</f>
        <v/>
      </c>
      <c r="V581" s="359" t="str">
        <f>IFERROR(VLOOKUP($A581,#REF!,16,0),"")</f>
        <v/>
      </c>
      <c r="W581" s="359" t="str">
        <f>IFERROR(VLOOKUP($A581,#REF!,17,0),"")</f>
        <v/>
      </c>
      <c r="X581" s="359" t="str">
        <f>IFERROR(VLOOKUP($A581,#REF!,18,0),"")</f>
        <v/>
      </c>
      <c r="Y581" s="359" t="str">
        <f>IFERROR(VLOOKUP($A581,#REF!,19,0),"")</f>
        <v/>
      </c>
      <c r="Z581" s="400" t="str">
        <f>IFERROR(VLOOKUP($A581,#REF!,21,0),"")</f>
        <v/>
      </c>
      <c r="AA581" s="358"/>
      <c r="AB581" s="358"/>
      <c r="AC581" s="358" t="s">
        <v>1077</v>
      </c>
      <c r="AD581" s="358" t="s">
        <v>1138</v>
      </c>
      <c r="AE581" s="358"/>
      <c r="AF581" s="141"/>
      <c r="AG581" s="358"/>
      <c r="AH581" s="358"/>
      <c r="AI581" s="358"/>
      <c r="AJ581" s="141" t="s">
        <v>3765</v>
      </c>
      <c r="AK581" s="141"/>
      <c r="AL581" s="141"/>
      <c r="AM581" s="141"/>
      <c r="AN581" s="120"/>
      <c r="AO581" s="120"/>
      <c r="AP581" s="120"/>
      <c r="AQ581" s="313"/>
      <c r="AR581" s="119"/>
      <c r="AS581" s="22"/>
      <c r="AT581" s="22"/>
      <c r="AU581" s="22"/>
      <c r="AV581" s="22"/>
      <c r="AW581" s="82"/>
      <c r="AX581" s="82"/>
      <c r="AY581" s="82"/>
      <c r="AZ581" s="82"/>
      <c r="BA581" s="82"/>
      <c r="BB581" s="82"/>
      <c r="BC581" s="82"/>
      <c r="BD581" s="82"/>
      <c r="BE581" s="82"/>
      <c r="BF581" s="82"/>
      <c r="BG581" s="112"/>
      <c r="BH581" s="112"/>
      <c r="BI581" s="112"/>
      <c r="BJ581" s="112"/>
      <c r="BK581" s="82"/>
      <c r="BL581" s="82"/>
      <c r="BN581" s="412"/>
      <c r="BO581" s="412"/>
      <c r="BP581" s="412"/>
      <c r="BQ581" s="412"/>
      <c r="BR581" s="412"/>
      <c r="BZ581">
        <f t="shared" si="53"/>
        <v>1</v>
      </c>
    </row>
    <row r="582" spans="1:78" ht="15.6" hidden="1" customHeight="1">
      <c r="A582" s="35" t="str">
        <f t="shared" si="59"/>
        <v>M191/2646134</v>
      </c>
      <c r="C582" s="358" t="s">
        <v>24</v>
      </c>
      <c r="D582" s="358">
        <v>579</v>
      </c>
      <c r="E582" s="358" t="s">
        <v>3973</v>
      </c>
      <c r="F582" s="358" t="s">
        <v>1641</v>
      </c>
      <c r="G582" s="384">
        <v>46134</v>
      </c>
      <c r="H582" s="358" t="s">
        <v>1611</v>
      </c>
      <c r="I582" s="358">
        <v>12</v>
      </c>
      <c r="J582" s="359" t="str">
        <f>IFERROR(VLOOKUP($A582,#REF!,3,0),"")</f>
        <v/>
      </c>
      <c r="K582" s="359">
        <f>IFERROR(VLOOKUP($A582,#REF!,4,0),AF582)</f>
        <v>0</v>
      </c>
      <c r="L582" s="359" t="str">
        <f>IFERROR(VLOOKUP($A582,#REF!,5,0),"")</f>
        <v/>
      </c>
      <c r="M582" s="359" t="str">
        <f>IFERROR(VLOOKUP($A582,#REF!,7,0),"")</f>
        <v/>
      </c>
      <c r="N582" s="359"/>
      <c r="O582" s="359" t="str">
        <f>IFERROR(VLOOKUP($A582,#REF!,6,0),"")</f>
        <v/>
      </c>
      <c r="P582" s="359" t="str">
        <f>IFERROR(VLOOKUP($A582,#REF!,9,0),"")</f>
        <v/>
      </c>
      <c r="Q582" s="359" t="str">
        <f>IFERROR(VLOOKUP($A582,#REF!,10,0),"")</f>
        <v/>
      </c>
      <c r="R582" s="359" t="str">
        <f>IFERROR(VLOOKUP($A582,#REF!,11,0),"")</f>
        <v/>
      </c>
      <c r="S582" s="359" t="str">
        <f>IFERROR(VLOOKUP($A582,#REF!,13,0),"")</f>
        <v/>
      </c>
      <c r="T582" s="359" t="str">
        <f>IFERROR(VLOOKUP($A582,#REF!,14,0),"")</f>
        <v/>
      </c>
      <c r="U582" s="359" t="str">
        <f>IFERROR(VLOOKUP($A582,#REF!,15,0),"")</f>
        <v/>
      </c>
      <c r="V582" s="359" t="str">
        <f>IFERROR(VLOOKUP($A582,#REF!,16,0),"")</f>
        <v/>
      </c>
      <c r="W582" s="359" t="str">
        <f>IFERROR(VLOOKUP($A582,#REF!,17,0),"")</f>
        <v/>
      </c>
      <c r="X582" s="359" t="str">
        <f>IFERROR(VLOOKUP($A582,#REF!,18,0),"")</f>
        <v/>
      </c>
      <c r="Y582" s="359" t="str">
        <f>IFERROR(VLOOKUP($A582,#REF!,19,0),"")</f>
        <v/>
      </c>
      <c r="Z582" s="400" t="str">
        <f>IFERROR(VLOOKUP($A582,#REF!,21,0),"")</f>
        <v/>
      </c>
      <c r="AA582" s="358"/>
      <c r="AB582" s="358"/>
      <c r="AC582" s="358" t="s">
        <v>1077</v>
      </c>
      <c r="AD582" s="358" t="s">
        <v>1138</v>
      </c>
      <c r="AE582" s="358"/>
      <c r="AF582" s="141"/>
      <c r="AG582" s="358"/>
      <c r="AH582" s="358"/>
      <c r="AI582" s="358"/>
      <c r="AJ582" s="141" t="s">
        <v>3765</v>
      </c>
      <c r="AK582" s="141"/>
      <c r="AL582" s="141"/>
      <c r="AM582" s="141"/>
      <c r="AN582" s="120"/>
      <c r="AO582" s="120"/>
      <c r="AP582" s="120"/>
      <c r="AQ582" s="313"/>
      <c r="AR582" s="119"/>
      <c r="AS582" s="22"/>
      <c r="AT582" s="22"/>
      <c r="AU582" s="22"/>
      <c r="AV582" s="22"/>
      <c r="AW582" s="82"/>
      <c r="AX582" s="82"/>
      <c r="AY582" s="82"/>
      <c r="AZ582" s="82"/>
      <c r="BA582" s="82"/>
      <c r="BB582" s="82"/>
      <c r="BC582" s="82"/>
      <c r="BD582" s="82"/>
      <c r="BE582" s="82"/>
      <c r="BF582" s="82"/>
      <c r="BG582" s="112"/>
      <c r="BH582" s="112"/>
      <c r="BI582" s="112"/>
      <c r="BJ582" s="112"/>
      <c r="BK582" s="82"/>
      <c r="BL582" s="82"/>
      <c r="BN582" s="412"/>
      <c r="BO582" s="412"/>
      <c r="BP582" s="412"/>
      <c r="BQ582" s="412"/>
      <c r="BR582" s="412"/>
      <c r="BZ582">
        <f t="shared" si="53"/>
        <v>1</v>
      </c>
    </row>
    <row r="583" spans="1:78" ht="15.6" hidden="1" customHeight="1">
      <c r="A583" s="35" t="str">
        <f t="shared" si="59"/>
        <v>060/2646135</v>
      </c>
      <c r="C583" s="358" t="s">
        <v>24</v>
      </c>
      <c r="D583" s="358">
        <v>580</v>
      </c>
      <c r="E583" s="358" t="s">
        <v>4016</v>
      </c>
      <c r="F583" s="358" t="s">
        <v>50</v>
      </c>
      <c r="G583" s="384">
        <v>46135</v>
      </c>
      <c r="H583" s="358" t="s">
        <v>167</v>
      </c>
      <c r="I583" s="358">
        <v>14</v>
      </c>
      <c r="J583" s="359" t="str">
        <f>IFERROR(VLOOKUP($A583,#REF!,3,0),"")</f>
        <v/>
      </c>
      <c r="K583" s="359">
        <f>IFERROR(VLOOKUP($A583,#REF!,4,0),AF583)</f>
        <v>0</v>
      </c>
      <c r="L583" s="359" t="str">
        <f>IFERROR(VLOOKUP($A583,#REF!,5,0),"")</f>
        <v/>
      </c>
      <c r="M583" s="359" t="str">
        <f>IFERROR(VLOOKUP($A583,#REF!,7,0),"")</f>
        <v/>
      </c>
      <c r="N583" s="359"/>
      <c r="O583" s="359" t="str">
        <f>IFERROR(VLOOKUP($A583,#REF!,6,0),"")</f>
        <v/>
      </c>
      <c r="P583" s="359" t="str">
        <f>IFERROR(VLOOKUP($A583,#REF!,9,0),"")</f>
        <v/>
      </c>
      <c r="Q583" s="359" t="str">
        <f>IFERROR(VLOOKUP($A583,#REF!,10,0),"")</f>
        <v/>
      </c>
      <c r="R583" s="359" t="str">
        <f>IFERROR(VLOOKUP($A583,#REF!,11,0),"")</f>
        <v/>
      </c>
      <c r="S583" s="359" t="str">
        <f>IFERROR(VLOOKUP($A583,#REF!,13,0),"")</f>
        <v/>
      </c>
      <c r="T583" s="359" t="str">
        <f>IFERROR(VLOOKUP($A583,#REF!,14,0),"")</f>
        <v/>
      </c>
      <c r="U583" s="359" t="str">
        <f>IFERROR(VLOOKUP($A583,#REF!,15,0),"")</f>
        <v/>
      </c>
      <c r="V583" s="359" t="str">
        <f>IFERROR(VLOOKUP($A583,#REF!,16,0),"")</f>
        <v/>
      </c>
      <c r="W583" s="359" t="str">
        <f>IFERROR(VLOOKUP($A583,#REF!,17,0),"")</f>
        <v/>
      </c>
      <c r="X583" s="359" t="str">
        <f>IFERROR(VLOOKUP($A583,#REF!,18,0),"")</f>
        <v/>
      </c>
      <c r="Y583" s="359" t="str">
        <f>IFERROR(VLOOKUP($A583,#REF!,19,0),"")</f>
        <v/>
      </c>
      <c r="Z583" s="400" t="str">
        <f>IFERROR(VLOOKUP($A583,#REF!,21,0),"")</f>
        <v/>
      </c>
      <c r="AA583" s="358"/>
      <c r="AB583" s="358"/>
      <c r="AC583" s="358" t="s">
        <v>1721</v>
      </c>
      <c r="AD583" s="358" t="s">
        <v>1638</v>
      </c>
      <c r="AE583" s="141"/>
      <c r="AF583" s="141"/>
      <c r="AG583" s="141"/>
      <c r="AH583" s="141"/>
      <c r="AI583" s="141"/>
      <c r="AJ583" s="141" t="s">
        <v>3765</v>
      </c>
      <c r="AK583" s="141"/>
      <c r="AL583" s="141"/>
      <c r="AM583" s="141"/>
      <c r="AN583" s="120"/>
      <c r="AO583" s="120"/>
      <c r="AP583" s="120"/>
      <c r="AQ583" s="313"/>
      <c r="AR583" s="119"/>
      <c r="AS583" s="22"/>
      <c r="AT583" s="22"/>
      <c r="AU583" s="22"/>
      <c r="AV583" s="22"/>
      <c r="AW583" s="82"/>
      <c r="AX583" s="82"/>
      <c r="AY583" s="82"/>
      <c r="AZ583" s="82"/>
      <c r="BA583" s="82"/>
      <c r="BB583" s="82"/>
      <c r="BC583" s="82"/>
      <c r="BD583" s="82"/>
      <c r="BE583" s="82"/>
      <c r="BF583" s="82"/>
      <c r="BG583" s="112"/>
      <c r="BH583" s="112"/>
      <c r="BI583" s="112"/>
      <c r="BJ583" s="112"/>
      <c r="BK583" s="82"/>
      <c r="BL583" s="82"/>
      <c r="BN583" s="412"/>
      <c r="BO583" s="412"/>
      <c r="BP583" s="412"/>
      <c r="BQ583" s="412"/>
      <c r="BR583" s="412"/>
      <c r="BZ583">
        <f t="shared" ref="BZ583" si="60">IF(G583&gt;1,1,"")</f>
        <v>1</v>
      </c>
    </row>
    <row r="584" spans="1:78" ht="15.6" hidden="1" customHeight="1">
      <c r="A584" s="35" t="str">
        <f t="shared" si="59"/>
        <v>M073/2646136</v>
      </c>
      <c r="C584" s="358" t="s">
        <v>24</v>
      </c>
      <c r="D584" s="358">
        <v>581</v>
      </c>
      <c r="E584" s="358" t="s">
        <v>4017</v>
      </c>
      <c r="F584" s="358" t="s">
        <v>50</v>
      </c>
      <c r="G584" s="384">
        <v>46136</v>
      </c>
      <c r="H584" s="358" t="s">
        <v>2014</v>
      </c>
      <c r="I584" s="358">
        <v>18</v>
      </c>
      <c r="J584" s="359" t="str">
        <f>IFERROR(VLOOKUP($A584,#REF!,3,0),"")</f>
        <v/>
      </c>
      <c r="K584" s="359">
        <f>IFERROR(VLOOKUP($A584,#REF!,4,0),AF584)</f>
        <v>0</v>
      </c>
      <c r="L584" s="359" t="str">
        <f>IFERROR(VLOOKUP($A584,#REF!,5,0),"")</f>
        <v/>
      </c>
      <c r="M584" s="359" t="str">
        <f>IFERROR(VLOOKUP($A584,#REF!,7,0),"")</f>
        <v/>
      </c>
      <c r="N584" s="359"/>
      <c r="O584" s="359" t="str">
        <f>IFERROR(VLOOKUP($A584,#REF!,6,0),"")</f>
        <v/>
      </c>
      <c r="P584" s="359" t="str">
        <f>IFERROR(VLOOKUP($A584,#REF!,9,0),"")</f>
        <v/>
      </c>
      <c r="Q584" s="359" t="str">
        <f>IFERROR(VLOOKUP($A584,#REF!,10,0),"")</f>
        <v/>
      </c>
      <c r="R584" s="359" t="str">
        <f>IFERROR(VLOOKUP($A584,#REF!,11,0),"")</f>
        <v/>
      </c>
      <c r="S584" s="359" t="str">
        <f>IFERROR(VLOOKUP($A584,#REF!,13,0),"")</f>
        <v/>
      </c>
      <c r="T584" s="359" t="str">
        <f>IFERROR(VLOOKUP($A584,#REF!,14,0),"")</f>
        <v/>
      </c>
      <c r="U584" s="359" t="str">
        <f>IFERROR(VLOOKUP($A584,#REF!,15,0),"")</f>
        <v/>
      </c>
      <c r="V584" s="359" t="str">
        <f>IFERROR(VLOOKUP($A584,#REF!,16,0),"")</f>
        <v/>
      </c>
      <c r="W584" s="359" t="str">
        <f>IFERROR(VLOOKUP($A584,#REF!,17,0),"")</f>
        <v/>
      </c>
      <c r="X584" s="359" t="str">
        <f>IFERROR(VLOOKUP($A584,#REF!,18,0),"")</f>
        <v/>
      </c>
      <c r="Y584" s="359" t="str">
        <f>IFERROR(VLOOKUP($A584,#REF!,19,0),"")</f>
        <v/>
      </c>
      <c r="Z584" s="400" t="str">
        <f>IFERROR(VLOOKUP($A584,#REF!,21,0),"")</f>
        <v/>
      </c>
      <c r="AA584" s="358"/>
      <c r="AB584" s="358"/>
      <c r="AC584" s="358" t="s">
        <v>1077</v>
      </c>
      <c r="AD584" s="358" t="s">
        <v>1138</v>
      </c>
      <c r="AE584" s="358"/>
      <c r="AF584" s="141"/>
      <c r="AG584" s="358"/>
      <c r="AH584" s="358"/>
      <c r="AI584" s="358"/>
      <c r="AJ584" s="141" t="s">
        <v>3994</v>
      </c>
      <c r="AK584" s="141"/>
      <c r="AL584" s="141"/>
      <c r="AM584" s="141"/>
      <c r="AN584" s="120"/>
      <c r="AO584" s="120"/>
      <c r="AP584" s="120"/>
      <c r="AQ584" s="313"/>
      <c r="AR584" s="119"/>
      <c r="AS584" s="22"/>
      <c r="AT584" s="22"/>
      <c r="AU584" s="22"/>
      <c r="AV584" s="22"/>
      <c r="AW584" s="82"/>
      <c r="AX584" s="82"/>
      <c r="AY584" s="82"/>
      <c r="AZ584" s="82"/>
      <c r="BA584" s="82"/>
      <c r="BB584" s="82"/>
      <c r="BC584" s="82"/>
      <c r="BD584" s="82"/>
      <c r="BE584" s="82"/>
      <c r="BF584" s="82"/>
      <c r="BG584" s="112"/>
      <c r="BH584" s="112"/>
      <c r="BI584" s="112"/>
      <c r="BJ584" s="112"/>
      <c r="BK584" s="82"/>
      <c r="BL584" s="82"/>
      <c r="BN584" s="412"/>
      <c r="BO584" s="412"/>
      <c r="BP584" s="412"/>
      <c r="BQ584" s="412"/>
      <c r="BR584" s="412"/>
      <c r="BZ584">
        <f t="shared" si="53"/>
        <v>1</v>
      </c>
    </row>
    <row r="585" spans="1:78" ht="15.6" hidden="1" customHeight="1">
      <c r="A585" s="35" t="str">
        <f t="shared" si="59"/>
        <v>M158/2646136</v>
      </c>
      <c r="C585" s="358" t="s">
        <v>24</v>
      </c>
      <c r="D585" s="358">
        <v>582</v>
      </c>
      <c r="E585" s="358" t="s">
        <v>4018</v>
      </c>
      <c r="F585" s="358" t="s">
        <v>50</v>
      </c>
      <c r="G585" s="384">
        <v>46136</v>
      </c>
      <c r="H585" s="358" t="s">
        <v>4019</v>
      </c>
      <c r="I585" s="358">
        <v>17</v>
      </c>
      <c r="J585" s="359" t="str">
        <f>IFERROR(VLOOKUP($A585,#REF!,3,0),"")</f>
        <v/>
      </c>
      <c r="K585" s="359">
        <f>IFERROR(VLOOKUP($A585,#REF!,4,0),AF585)</f>
        <v>0</v>
      </c>
      <c r="L585" s="359" t="str">
        <f>IFERROR(VLOOKUP($A585,#REF!,5,0),"")</f>
        <v/>
      </c>
      <c r="M585" s="359" t="str">
        <f>IFERROR(VLOOKUP($A585,#REF!,7,0),"")</f>
        <v/>
      </c>
      <c r="N585" s="359"/>
      <c r="O585" s="359" t="str">
        <f>IFERROR(VLOOKUP($A585,#REF!,6,0),"")</f>
        <v/>
      </c>
      <c r="P585" s="359" t="str">
        <f>IFERROR(VLOOKUP($A585,#REF!,9,0),"")</f>
        <v/>
      </c>
      <c r="Q585" s="359" t="str">
        <f>IFERROR(VLOOKUP($A585,#REF!,10,0),"")</f>
        <v/>
      </c>
      <c r="R585" s="359" t="str">
        <f>IFERROR(VLOOKUP($A585,#REF!,11,0),"")</f>
        <v/>
      </c>
      <c r="S585" s="359" t="str">
        <f>IFERROR(VLOOKUP($A585,#REF!,13,0),"")</f>
        <v/>
      </c>
      <c r="T585" s="359" t="str">
        <f>IFERROR(VLOOKUP($A585,#REF!,14,0),"")</f>
        <v/>
      </c>
      <c r="U585" s="359" t="str">
        <f>IFERROR(VLOOKUP($A585,#REF!,15,0),"")</f>
        <v/>
      </c>
      <c r="V585" s="359" t="str">
        <f>IFERROR(VLOOKUP($A585,#REF!,16,0),"")</f>
        <v/>
      </c>
      <c r="W585" s="359" t="str">
        <f>IFERROR(VLOOKUP($A585,#REF!,17,0),"")</f>
        <v/>
      </c>
      <c r="X585" s="359" t="str">
        <f>IFERROR(VLOOKUP($A585,#REF!,18,0),"")</f>
        <v/>
      </c>
      <c r="Y585" s="359" t="str">
        <f>IFERROR(VLOOKUP($A585,#REF!,19,0),"")</f>
        <v/>
      </c>
      <c r="Z585" s="400" t="str">
        <f>IFERROR(VLOOKUP($A585,#REF!,21,0),"")</f>
        <v/>
      </c>
      <c r="AA585" s="358"/>
      <c r="AB585" s="358"/>
      <c r="AC585" s="358" t="s">
        <v>1077</v>
      </c>
      <c r="AD585" s="358" t="s">
        <v>1138</v>
      </c>
      <c r="AE585" s="358"/>
      <c r="AF585" s="141"/>
      <c r="AG585" s="141" t="s">
        <v>2203</v>
      </c>
      <c r="AH585" s="358"/>
      <c r="AI585" s="358"/>
      <c r="AJ585" s="141" t="s">
        <v>2050</v>
      </c>
      <c r="AK585" s="141"/>
      <c r="AL585" s="141"/>
      <c r="AM585" s="141"/>
      <c r="AN585" s="120"/>
      <c r="AO585" s="120"/>
      <c r="AP585" s="120"/>
      <c r="AQ585" s="313"/>
      <c r="AR585" s="119"/>
      <c r="AS585" s="22"/>
      <c r="AT585" s="22"/>
      <c r="AU585" s="22"/>
      <c r="AV585" s="22"/>
      <c r="AW585" s="82"/>
      <c r="AX585" s="82"/>
      <c r="AY585" s="82"/>
      <c r="AZ585" s="82"/>
      <c r="BA585" s="82"/>
      <c r="BB585" s="82"/>
      <c r="BC585" s="82"/>
      <c r="BD585" s="82"/>
      <c r="BE585" s="82"/>
      <c r="BF585" s="82"/>
      <c r="BG585" s="112"/>
      <c r="BH585" s="112"/>
      <c r="BI585" s="112"/>
      <c r="BJ585" s="112"/>
      <c r="BK585" s="82"/>
      <c r="BL585" s="82"/>
      <c r="BN585" s="412"/>
      <c r="BO585" s="412"/>
      <c r="BP585" s="412"/>
      <c r="BQ585" s="412"/>
      <c r="BR585" s="412"/>
      <c r="BZ585">
        <f t="shared" si="53"/>
        <v>1</v>
      </c>
    </row>
    <row r="586" spans="1:78" ht="15.6" hidden="1" customHeight="1">
      <c r="A586" s="35" t="str">
        <f t="shared" si="59"/>
        <v>070/2646136</v>
      </c>
      <c r="C586" s="358" t="s">
        <v>24</v>
      </c>
      <c r="D586" s="358">
        <v>583</v>
      </c>
      <c r="E586" s="358" t="s">
        <v>3458</v>
      </c>
      <c r="F586" s="358" t="s">
        <v>50</v>
      </c>
      <c r="G586" s="384">
        <v>46136</v>
      </c>
      <c r="H586" s="358" t="s">
        <v>167</v>
      </c>
      <c r="I586" s="358">
        <v>10</v>
      </c>
      <c r="J586" s="359" t="str">
        <f>IFERROR(VLOOKUP($A586,#REF!,3,0),"")</f>
        <v/>
      </c>
      <c r="K586" s="359">
        <f>IFERROR(VLOOKUP($A586,#REF!,4,0),AF586)</f>
        <v>0</v>
      </c>
      <c r="L586" s="359" t="str">
        <f>IFERROR(VLOOKUP($A586,#REF!,5,0),"")</f>
        <v/>
      </c>
      <c r="M586" s="359" t="str">
        <f>IFERROR(VLOOKUP($A586,#REF!,7,0),"")</f>
        <v/>
      </c>
      <c r="N586" s="359"/>
      <c r="O586" s="359" t="str">
        <f>IFERROR(VLOOKUP($A586,#REF!,6,0),"")</f>
        <v/>
      </c>
      <c r="P586" s="359" t="str">
        <f>IFERROR(VLOOKUP($A586,#REF!,9,0),"")</f>
        <v/>
      </c>
      <c r="Q586" s="359" t="str">
        <f>IFERROR(VLOOKUP($A586,#REF!,10,0),"")</f>
        <v/>
      </c>
      <c r="R586" s="359" t="str">
        <f>IFERROR(VLOOKUP($A586,#REF!,11,0),"")</f>
        <v/>
      </c>
      <c r="S586" s="359" t="str">
        <f>IFERROR(VLOOKUP($A586,#REF!,13,0),"")</f>
        <v/>
      </c>
      <c r="T586" s="359" t="str">
        <f>IFERROR(VLOOKUP($A586,#REF!,14,0),"")</f>
        <v/>
      </c>
      <c r="U586" s="359" t="str">
        <f>IFERROR(VLOOKUP($A586,#REF!,15,0),"")</f>
        <v/>
      </c>
      <c r="V586" s="359" t="str">
        <f>IFERROR(VLOOKUP($A586,#REF!,16,0),"")</f>
        <v/>
      </c>
      <c r="W586" s="359" t="str">
        <f>IFERROR(VLOOKUP($A586,#REF!,17,0),"")</f>
        <v/>
      </c>
      <c r="X586" s="359" t="str">
        <f>IFERROR(VLOOKUP($A586,#REF!,18,0),"")</f>
        <v/>
      </c>
      <c r="Y586" s="359" t="str">
        <f>IFERROR(VLOOKUP($A586,#REF!,19,0),"")</f>
        <v/>
      </c>
      <c r="Z586" s="400" t="str">
        <f>IFERROR(VLOOKUP($A586,#REF!,21,0),"")</f>
        <v/>
      </c>
      <c r="AA586" s="358"/>
      <c r="AB586" s="358"/>
      <c r="AC586" s="358" t="s">
        <v>1721</v>
      </c>
      <c r="AD586" s="358" t="s">
        <v>1638</v>
      </c>
      <c r="AE586" s="358"/>
      <c r="AF586" s="141"/>
      <c r="AG586" s="358"/>
      <c r="AH586" s="358"/>
      <c r="AI586" s="358"/>
      <c r="AJ586" s="141" t="s">
        <v>2050</v>
      </c>
      <c r="AK586" s="141"/>
      <c r="AL586" s="141"/>
      <c r="AM586" s="141"/>
      <c r="AN586" s="120"/>
      <c r="AO586" s="120"/>
      <c r="AP586" s="120"/>
      <c r="AQ586" s="313"/>
      <c r="AR586" s="119"/>
      <c r="AS586" s="22"/>
      <c r="AT586" s="22"/>
      <c r="AU586" s="22"/>
      <c r="AV586" s="22"/>
      <c r="AW586" s="82"/>
      <c r="AX586" s="82"/>
      <c r="AY586" s="82"/>
      <c r="AZ586" s="82"/>
      <c r="BA586" s="82"/>
      <c r="BB586" s="82"/>
      <c r="BC586" s="82"/>
      <c r="BD586" s="82"/>
      <c r="BE586" s="82"/>
      <c r="BF586" s="82"/>
      <c r="BG586" s="112"/>
      <c r="BH586" s="112"/>
      <c r="BI586" s="112"/>
      <c r="BJ586" s="112"/>
      <c r="BK586" s="82"/>
      <c r="BL586" s="82"/>
      <c r="BN586" s="412"/>
      <c r="BO586" s="412"/>
      <c r="BP586" s="412"/>
      <c r="BQ586" s="412"/>
      <c r="BR586" s="412"/>
      <c r="BZ586">
        <f t="shared" ref="BZ586" si="61">IF(G586&gt;1,1,"")</f>
        <v>1</v>
      </c>
    </row>
    <row r="587" spans="1:78" ht="15.6" hidden="1" customHeight="1">
      <c r="A587" s="35" t="str">
        <f t="shared" si="59"/>
        <v>M206/2646139</v>
      </c>
      <c r="C587" s="358" t="s">
        <v>24</v>
      </c>
      <c r="D587" s="358">
        <v>584</v>
      </c>
      <c r="E587" s="358" t="s">
        <v>4020</v>
      </c>
      <c r="F587" s="358" t="s">
        <v>50</v>
      </c>
      <c r="G587" s="384">
        <v>46139</v>
      </c>
      <c r="H587" s="358" t="s">
        <v>199</v>
      </c>
      <c r="I587" s="358">
        <v>22</v>
      </c>
      <c r="J587" s="359" t="str">
        <f>IFERROR(VLOOKUP($A587,#REF!,3,0),"")</f>
        <v/>
      </c>
      <c r="K587" s="359">
        <f>IFERROR(VLOOKUP($A587,#REF!,4,0),AF587)</f>
        <v>0</v>
      </c>
      <c r="L587" s="359" t="str">
        <f>IFERROR(VLOOKUP($A587,#REF!,5,0),"")</f>
        <v/>
      </c>
      <c r="M587" s="359" t="str">
        <f>IFERROR(VLOOKUP($A587,#REF!,7,0),"")</f>
        <v/>
      </c>
      <c r="N587" s="359"/>
      <c r="O587" s="359" t="str">
        <f>IFERROR(VLOOKUP($A587,#REF!,6,0),"")</f>
        <v/>
      </c>
      <c r="P587" s="359" t="str">
        <f>IFERROR(VLOOKUP($A587,#REF!,9,0),"")</f>
        <v/>
      </c>
      <c r="Q587" s="359" t="str">
        <f>IFERROR(VLOOKUP($A587,#REF!,10,0),"")</f>
        <v/>
      </c>
      <c r="R587" s="359" t="str">
        <f>IFERROR(VLOOKUP($A587,#REF!,11,0),"")</f>
        <v/>
      </c>
      <c r="S587" s="359" t="str">
        <f>IFERROR(VLOOKUP($A587,#REF!,13,0),"")</f>
        <v/>
      </c>
      <c r="T587" s="359" t="str">
        <f>IFERROR(VLOOKUP($A587,#REF!,14,0),"")</f>
        <v/>
      </c>
      <c r="U587" s="359" t="str">
        <f>IFERROR(VLOOKUP($A587,#REF!,15,0),"")</f>
        <v/>
      </c>
      <c r="V587" s="359" t="str">
        <f>IFERROR(VLOOKUP($A587,#REF!,16,0),"")</f>
        <v/>
      </c>
      <c r="W587" s="359" t="str">
        <f>IFERROR(VLOOKUP($A587,#REF!,17,0),"")</f>
        <v/>
      </c>
      <c r="X587" s="359" t="str">
        <f>IFERROR(VLOOKUP($A587,#REF!,18,0),"")</f>
        <v/>
      </c>
      <c r="Y587" s="359" t="str">
        <f>IFERROR(VLOOKUP($A587,#REF!,19,0),"")</f>
        <v/>
      </c>
      <c r="Z587" s="400" t="str">
        <f>IFERROR(VLOOKUP($A587,#REF!,21,0),"")</f>
        <v/>
      </c>
      <c r="AA587" s="358"/>
      <c r="AB587" s="358"/>
      <c r="AC587" s="358" t="s">
        <v>3075</v>
      </c>
      <c r="AD587" s="358" t="s">
        <v>47</v>
      </c>
      <c r="AE587" s="358"/>
      <c r="AF587" s="141"/>
      <c r="AG587" s="358"/>
      <c r="AH587" s="358"/>
      <c r="AI587" s="358"/>
      <c r="AJ587" s="141" t="s">
        <v>2050</v>
      </c>
      <c r="AK587" s="141"/>
      <c r="AL587" s="141"/>
      <c r="AM587" s="141"/>
      <c r="AN587" s="120"/>
      <c r="AO587" s="120"/>
      <c r="AP587" s="120"/>
      <c r="AQ587" s="313"/>
      <c r="AR587" s="119"/>
      <c r="AS587" s="22"/>
      <c r="AT587" s="22"/>
      <c r="AU587" s="22"/>
      <c r="AV587" s="2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112"/>
      <c r="BH587" s="112"/>
      <c r="BI587" s="112"/>
      <c r="BJ587" s="112"/>
      <c r="BK587" s="82"/>
      <c r="BL587" s="82"/>
      <c r="BN587" s="412"/>
      <c r="BO587" s="412"/>
      <c r="BP587" s="412"/>
      <c r="BQ587" s="412"/>
      <c r="BR587" s="412"/>
      <c r="BZ587">
        <f t="shared" si="53"/>
        <v>1</v>
      </c>
    </row>
    <row r="588" spans="1:78" ht="15.6" hidden="1" customHeight="1">
      <c r="A588" s="35" t="str">
        <f t="shared" si="59"/>
        <v>M236/2646139</v>
      </c>
      <c r="C588" s="358" t="s">
        <v>24</v>
      </c>
      <c r="D588" s="358">
        <v>585</v>
      </c>
      <c r="E588" s="358" t="s">
        <v>4021</v>
      </c>
      <c r="F588" s="358" t="s">
        <v>34</v>
      </c>
      <c r="G588" s="384">
        <v>46139</v>
      </c>
      <c r="H588" s="358" t="s">
        <v>4022</v>
      </c>
      <c r="I588" s="358">
        <v>8</v>
      </c>
      <c r="J588" s="359" t="str">
        <f>IFERROR(VLOOKUP($A588,#REF!,3,0),"")</f>
        <v/>
      </c>
      <c r="K588" s="359">
        <f>IFERROR(VLOOKUP($A588,#REF!,4,0),AF588)</f>
        <v>0</v>
      </c>
      <c r="L588" s="359" t="str">
        <f>IFERROR(VLOOKUP($A588,#REF!,5,0),"")</f>
        <v/>
      </c>
      <c r="M588" s="359" t="str">
        <f>IFERROR(VLOOKUP($A588,#REF!,7,0),"")</f>
        <v/>
      </c>
      <c r="N588" s="359"/>
      <c r="O588" s="359" t="str">
        <f>IFERROR(VLOOKUP($A588,#REF!,6,0),"")</f>
        <v/>
      </c>
      <c r="P588" s="359" t="str">
        <f>IFERROR(VLOOKUP($A588,#REF!,9,0),"")</f>
        <v/>
      </c>
      <c r="Q588" s="359" t="str">
        <f>IFERROR(VLOOKUP($A588,#REF!,10,0),"")</f>
        <v/>
      </c>
      <c r="R588" s="359" t="str">
        <f>IFERROR(VLOOKUP($A588,#REF!,11,0),"")</f>
        <v/>
      </c>
      <c r="S588" s="359" t="str">
        <f>IFERROR(VLOOKUP($A588,#REF!,13,0),"")</f>
        <v/>
      </c>
      <c r="T588" s="359" t="str">
        <f>IFERROR(VLOOKUP($A588,#REF!,14,0),"")</f>
        <v/>
      </c>
      <c r="U588" s="359" t="str">
        <f>IFERROR(VLOOKUP($A588,#REF!,15,0),"")</f>
        <v/>
      </c>
      <c r="V588" s="359" t="str">
        <f>IFERROR(VLOOKUP($A588,#REF!,16,0),"")</f>
        <v/>
      </c>
      <c r="W588" s="359" t="str">
        <f>IFERROR(VLOOKUP($A588,#REF!,17,0),"")</f>
        <v/>
      </c>
      <c r="X588" s="359" t="str">
        <f>IFERROR(VLOOKUP($A588,#REF!,18,0),"")</f>
        <v/>
      </c>
      <c r="Y588" s="359" t="str">
        <f>IFERROR(VLOOKUP($A588,#REF!,19,0),"")</f>
        <v/>
      </c>
      <c r="Z588" s="400" t="str">
        <f>IFERROR(VLOOKUP($A588,#REF!,21,0),"")</f>
        <v/>
      </c>
      <c r="AA588" s="358"/>
      <c r="AB588" s="358"/>
      <c r="AC588" s="358" t="s">
        <v>1077</v>
      </c>
      <c r="AD588" s="358" t="s">
        <v>1138</v>
      </c>
      <c r="AE588" s="358"/>
      <c r="AF588" s="141"/>
      <c r="AG588" s="358"/>
      <c r="AH588" s="358"/>
      <c r="AI588" s="358"/>
      <c r="AJ588" s="141" t="s">
        <v>3994</v>
      </c>
      <c r="AK588" s="141"/>
      <c r="AL588" s="141"/>
      <c r="AM588" s="141"/>
      <c r="AN588" s="120"/>
      <c r="AO588" s="120"/>
      <c r="AP588" s="120"/>
      <c r="AQ588" s="313"/>
      <c r="AR588" s="119"/>
      <c r="AS588" s="22"/>
      <c r="AT588" s="22"/>
      <c r="AU588" s="22"/>
      <c r="AV588" s="22"/>
      <c r="AW588" s="82"/>
      <c r="AX588" s="82"/>
      <c r="AY588" s="82"/>
      <c r="AZ588" s="82"/>
      <c r="BA588" s="82"/>
      <c r="BB588" s="82"/>
      <c r="BC588" s="82"/>
      <c r="BD588" s="82"/>
      <c r="BE588" s="82"/>
      <c r="BF588" s="82"/>
      <c r="BG588" s="112"/>
      <c r="BH588" s="112"/>
      <c r="BI588" s="112"/>
      <c r="BJ588" s="112"/>
      <c r="BK588" s="82"/>
      <c r="BL588" s="82"/>
      <c r="BN588" s="412"/>
      <c r="BO588" s="412"/>
      <c r="BP588" s="412"/>
      <c r="BQ588" s="412"/>
      <c r="BR588" s="412"/>
      <c r="BZ588">
        <f t="shared" si="53"/>
        <v>1</v>
      </c>
    </row>
    <row r="589" spans="1:78" ht="15.6" hidden="1" customHeight="1">
      <c r="A589" s="35" t="str">
        <f t="shared" si="59"/>
        <v>M253/2646139</v>
      </c>
      <c r="C589" s="358"/>
      <c r="D589" s="358"/>
      <c r="E589" s="358" t="s">
        <v>4023</v>
      </c>
      <c r="F589" s="358" t="s">
        <v>4024</v>
      </c>
      <c r="G589" s="384">
        <v>46139</v>
      </c>
      <c r="H589" s="358" t="s">
        <v>737</v>
      </c>
      <c r="I589" s="358">
        <v>12</v>
      </c>
      <c r="J589" s="359" t="str">
        <f>IFERROR(VLOOKUP($A589,#REF!,3,0),"")</f>
        <v/>
      </c>
      <c r="K589" s="359">
        <f>IFERROR(VLOOKUP($A589,#REF!,4,0),AF589)</f>
        <v>0</v>
      </c>
      <c r="L589" s="359" t="str">
        <f>IFERROR(VLOOKUP($A589,#REF!,5,0),"")</f>
        <v/>
      </c>
      <c r="M589" s="359" t="str">
        <f>IFERROR(VLOOKUP($A589,#REF!,7,0),"")</f>
        <v/>
      </c>
      <c r="N589" s="359"/>
      <c r="O589" s="359" t="str">
        <f>IFERROR(VLOOKUP($A589,#REF!,6,0),"")</f>
        <v/>
      </c>
      <c r="P589" s="359" t="str">
        <f>IFERROR(VLOOKUP($A589,#REF!,9,0),"")</f>
        <v/>
      </c>
      <c r="Q589" s="359" t="str">
        <f>IFERROR(VLOOKUP($A589,#REF!,10,0),"")</f>
        <v/>
      </c>
      <c r="R589" s="359" t="str">
        <f>IFERROR(VLOOKUP($A589,#REF!,11,0),"")</f>
        <v/>
      </c>
      <c r="S589" s="359" t="str">
        <f>IFERROR(VLOOKUP($A589,#REF!,13,0),"")</f>
        <v/>
      </c>
      <c r="T589" s="359" t="str">
        <f>IFERROR(VLOOKUP($A589,#REF!,14,0),"")</f>
        <v/>
      </c>
      <c r="U589" s="359" t="str">
        <f>IFERROR(VLOOKUP($A589,#REF!,15,0),"")</f>
        <v/>
      </c>
      <c r="V589" s="359" t="str">
        <f>IFERROR(VLOOKUP($A589,#REF!,16,0),"")</f>
        <v/>
      </c>
      <c r="W589" s="359" t="str">
        <f>IFERROR(VLOOKUP($A589,#REF!,17,0),"")</f>
        <v/>
      </c>
      <c r="X589" s="359" t="str">
        <f>IFERROR(VLOOKUP($A589,#REF!,18,0),"")</f>
        <v/>
      </c>
      <c r="Y589" s="359" t="str">
        <f>IFERROR(VLOOKUP($A589,#REF!,19,0),"")</f>
        <v/>
      </c>
      <c r="Z589" s="400" t="str">
        <f>IFERROR(VLOOKUP($A589,#REF!,21,0),"")</f>
        <v/>
      </c>
      <c r="AA589" s="358"/>
      <c r="AB589" s="358"/>
      <c r="AC589" s="358" t="s">
        <v>3075</v>
      </c>
      <c r="AD589" s="358" t="s">
        <v>47</v>
      </c>
      <c r="AE589" s="358"/>
      <c r="AF589" s="141"/>
      <c r="AG589" s="358"/>
      <c r="AH589" s="358"/>
      <c r="AI589" s="358"/>
      <c r="AJ589" s="141" t="s">
        <v>2083</v>
      </c>
      <c r="AK589" s="141"/>
      <c r="AL589" s="141"/>
      <c r="AM589" s="141"/>
      <c r="AN589" s="120"/>
      <c r="AO589" s="120"/>
      <c r="AP589" s="120"/>
      <c r="AQ589" s="313"/>
      <c r="AR589" s="119"/>
      <c r="AS589" s="22"/>
      <c r="AT589" s="22"/>
      <c r="AU589" s="22"/>
      <c r="AV589" s="22"/>
      <c r="AW589" s="82"/>
      <c r="AX589" s="82"/>
      <c r="AY589" s="82"/>
      <c r="AZ589" s="82"/>
      <c r="BA589" s="82"/>
      <c r="BB589" s="82"/>
      <c r="BC589" s="82"/>
      <c r="BD589" s="82"/>
      <c r="BE589" s="82"/>
      <c r="BF589" s="82"/>
      <c r="BG589" s="112"/>
      <c r="BH589" s="112"/>
      <c r="BI589" s="112"/>
      <c r="BJ589" s="112"/>
      <c r="BK589" s="82"/>
      <c r="BL589" s="82"/>
      <c r="BN589" s="412"/>
      <c r="BO589" s="412"/>
      <c r="BP589" s="412"/>
      <c r="BQ589" s="412"/>
      <c r="BR589" s="412"/>
      <c r="BZ589">
        <f t="shared" si="53"/>
        <v>1</v>
      </c>
    </row>
    <row r="590" spans="1:78" ht="15.6" hidden="1" customHeight="1">
      <c r="A590" s="35" t="str">
        <f t="shared" si="59"/>
        <v>M151/2646140</v>
      </c>
      <c r="C590" s="358" t="s">
        <v>24</v>
      </c>
      <c r="D590" s="358">
        <v>586</v>
      </c>
      <c r="E590" s="358" t="s">
        <v>4025</v>
      </c>
      <c r="F590" s="358" t="s">
        <v>1937</v>
      </c>
      <c r="G590" s="384">
        <v>46140</v>
      </c>
      <c r="H590" s="358" t="s">
        <v>3350</v>
      </c>
      <c r="I590" s="358">
        <v>10</v>
      </c>
      <c r="J590" s="359" t="str">
        <f>IFERROR(VLOOKUP($A590,#REF!,3,0),"")</f>
        <v/>
      </c>
      <c r="K590" s="359">
        <f>IFERROR(VLOOKUP($A590,#REF!,4,0),AF590)</f>
        <v>0</v>
      </c>
      <c r="L590" s="359" t="str">
        <f>IFERROR(VLOOKUP($A590,#REF!,5,0),"")</f>
        <v/>
      </c>
      <c r="M590" s="359" t="str">
        <f>IFERROR(VLOOKUP($A590,#REF!,7,0),"")</f>
        <v/>
      </c>
      <c r="N590" s="359"/>
      <c r="O590" s="359" t="str">
        <f>IFERROR(VLOOKUP($A590,#REF!,6,0),"")</f>
        <v/>
      </c>
      <c r="P590" s="359" t="str">
        <f>IFERROR(VLOOKUP($A590,#REF!,9,0),"")</f>
        <v/>
      </c>
      <c r="Q590" s="359" t="str">
        <f>IFERROR(VLOOKUP($A590,#REF!,10,0),"")</f>
        <v/>
      </c>
      <c r="R590" s="359" t="str">
        <f>IFERROR(VLOOKUP($A590,#REF!,11,0),"")</f>
        <v/>
      </c>
      <c r="S590" s="359" t="str">
        <f>IFERROR(VLOOKUP($A590,#REF!,13,0),"")</f>
        <v/>
      </c>
      <c r="T590" s="359" t="str">
        <f>IFERROR(VLOOKUP($A590,#REF!,14,0),"")</f>
        <v/>
      </c>
      <c r="U590" s="359" t="str">
        <f>IFERROR(VLOOKUP($A590,#REF!,15,0),"")</f>
        <v/>
      </c>
      <c r="V590" s="359" t="str">
        <f>IFERROR(VLOOKUP($A590,#REF!,16,0),"")</f>
        <v/>
      </c>
      <c r="W590" s="359" t="str">
        <f>IFERROR(VLOOKUP($A590,#REF!,17,0),"")</f>
        <v/>
      </c>
      <c r="X590" s="359" t="str">
        <f>IFERROR(VLOOKUP($A590,#REF!,18,0),"")</f>
        <v/>
      </c>
      <c r="Y590" s="359" t="str">
        <f>IFERROR(VLOOKUP($A590,#REF!,19,0),"")</f>
        <v/>
      </c>
      <c r="Z590" s="400" t="str">
        <f>IFERROR(VLOOKUP($A590,#REF!,21,0),"")</f>
        <v/>
      </c>
      <c r="AA590" s="358"/>
      <c r="AB590" s="358"/>
      <c r="AC590" s="358" t="s">
        <v>1077</v>
      </c>
      <c r="AD590" s="358" t="s">
        <v>1138</v>
      </c>
      <c r="AE590" s="358"/>
      <c r="AF590" s="141"/>
      <c r="AG590" s="358"/>
      <c r="AH590" s="358"/>
      <c r="AI590" s="358"/>
      <c r="AJ590" s="141" t="s">
        <v>2083</v>
      </c>
      <c r="AK590" s="141"/>
      <c r="AL590" s="141"/>
      <c r="AM590" s="141"/>
      <c r="AN590" s="120"/>
      <c r="AO590" s="120"/>
      <c r="AP590" s="120"/>
      <c r="AQ590" s="313"/>
      <c r="AR590" s="119"/>
      <c r="AS590" s="22"/>
      <c r="AT590" s="22"/>
      <c r="AU590" s="22"/>
      <c r="AV590" s="22"/>
      <c r="AW590" s="82"/>
      <c r="AX590" s="82"/>
      <c r="AY590" s="82"/>
      <c r="AZ590" s="82"/>
      <c r="BA590" s="82"/>
      <c r="BB590" s="82"/>
      <c r="BC590" s="82"/>
      <c r="BD590" s="82"/>
      <c r="BE590" s="82"/>
      <c r="BF590" s="82"/>
      <c r="BG590" s="112"/>
      <c r="BH590" s="112"/>
      <c r="BI590" s="112"/>
      <c r="BJ590" s="112"/>
      <c r="BK590" s="82"/>
      <c r="BL590" s="82"/>
      <c r="BN590" s="412"/>
      <c r="BO590" s="412"/>
      <c r="BP590" s="412"/>
      <c r="BQ590" s="412"/>
      <c r="BR590" s="412"/>
      <c r="BZ590">
        <f t="shared" si="53"/>
        <v>1</v>
      </c>
    </row>
    <row r="591" spans="1:78" ht="15.6" hidden="1" customHeight="1">
      <c r="A591" s="35" t="str">
        <f t="shared" si="59"/>
        <v>M151/2646141</v>
      </c>
      <c r="C591" s="358" t="s">
        <v>24</v>
      </c>
      <c r="D591" s="358">
        <v>587</v>
      </c>
      <c r="E591" s="358" t="s">
        <v>4025</v>
      </c>
      <c r="F591" s="358" t="s">
        <v>1937</v>
      </c>
      <c r="G591" s="384">
        <v>46141</v>
      </c>
      <c r="H591" s="358" t="s">
        <v>3350</v>
      </c>
      <c r="I591" s="358">
        <v>10</v>
      </c>
      <c r="J591" s="359" t="str">
        <f>IFERROR(VLOOKUP($A591,#REF!,3,0),"")</f>
        <v/>
      </c>
      <c r="K591" s="359">
        <f>IFERROR(VLOOKUP($A591,#REF!,4,0),AF591)</f>
        <v>0</v>
      </c>
      <c r="L591" s="359" t="str">
        <f>IFERROR(VLOOKUP($A591,#REF!,5,0),"")</f>
        <v/>
      </c>
      <c r="M591" s="359" t="str">
        <f>IFERROR(VLOOKUP($A591,#REF!,7,0),"")</f>
        <v/>
      </c>
      <c r="N591" s="359"/>
      <c r="O591" s="359" t="str">
        <f>IFERROR(VLOOKUP($A591,#REF!,6,0),"")</f>
        <v/>
      </c>
      <c r="P591" s="359" t="str">
        <f>IFERROR(VLOOKUP($A591,#REF!,9,0),"")</f>
        <v/>
      </c>
      <c r="Q591" s="359" t="str">
        <f>IFERROR(VLOOKUP($A591,#REF!,10,0),"")</f>
        <v/>
      </c>
      <c r="R591" s="359" t="str">
        <f>IFERROR(VLOOKUP($A591,#REF!,11,0),"")</f>
        <v/>
      </c>
      <c r="S591" s="359" t="str">
        <f>IFERROR(VLOOKUP($A591,#REF!,13,0),"")</f>
        <v/>
      </c>
      <c r="T591" s="359" t="str">
        <f>IFERROR(VLOOKUP($A591,#REF!,14,0),"")</f>
        <v/>
      </c>
      <c r="U591" s="359" t="str">
        <f>IFERROR(VLOOKUP($A591,#REF!,15,0),"")</f>
        <v/>
      </c>
      <c r="V591" s="359" t="str">
        <f>IFERROR(VLOOKUP($A591,#REF!,16,0),"")</f>
        <v/>
      </c>
      <c r="W591" s="359" t="str">
        <f>IFERROR(VLOOKUP($A591,#REF!,17,0),"")</f>
        <v/>
      </c>
      <c r="X591" s="359" t="str">
        <f>IFERROR(VLOOKUP($A591,#REF!,18,0),"")</f>
        <v/>
      </c>
      <c r="Y591" s="359" t="str">
        <f>IFERROR(VLOOKUP($A591,#REF!,19,0),"")</f>
        <v/>
      </c>
      <c r="Z591" s="400" t="str">
        <f>IFERROR(VLOOKUP($A591,#REF!,21,0),"")</f>
        <v/>
      </c>
      <c r="AA591" s="358"/>
      <c r="AB591" s="358"/>
      <c r="AC591" s="358" t="s">
        <v>1077</v>
      </c>
      <c r="AD591" s="358" t="s">
        <v>1138</v>
      </c>
      <c r="AE591" s="358"/>
      <c r="AF591" s="141"/>
      <c r="AG591" s="358"/>
      <c r="AH591" s="358"/>
      <c r="AI591" s="358"/>
      <c r="AJ591" s="141" t="s">
        <v>2083</v>
      </c>
      <c r="AK591" s="141"/>
      <c r="AL591" s="141"/>
      <c r="AM591" s="141"/>
      <c r="AN591" s="120"/>
      <c r="AO591" s="120"/>
      <c r="AP591" s="120"/>
      <c r="AQ591" s="313"/>
      <c r="AR591" s="119"/>
      <c r="AS591" s="22"/>
      <c r="AT591" s="22"/>
      <c r="AU591" s="22"/>
      <c r="AV591" s="22"/>
      <c r="AW591" s="82"/>
      <c r="AX591" s="82"/>
      <c r="AY591" s="82"/>
      <c r="AZ591" s="82"/>
      <c r="BA591" s="82"/>
      <c r="BB591" s="82"/>
      <c r="BC591" s="82"/>
      <c r="BD591" s="82"/>
      <c r="BE591" s="82"/>
      <c r="BF591" s="82"/>
      <c r="BG591" s="112"/>
      <c r="BH591" s="112"/>
      <c r="BI591" s="112"/>
      <c r="BJ591" s="112"/>
      <c r="BK591" s="82"/>
      <c r="BL591" s="82"/>
      <c r="BN591" s="412"/>
      <c r="BO591" s="412"/>
      <c r="BP591" s="412"/>
      <c r="BQ591" s="412"/>
      <c r="BR591" s="412"/>
      <c r="BZ591">
        <f t="shared" ref="BZ591" si="62">IF(G591&gt;1,1,"")</f>
        <v>1</v>
      </c>
    </row>
    <row r="592" spans="1:78" ht="15.6" hidden="1" customHeight="1">
      <c r="A592" s="35" t="str">
        <f t="shared" si="59"/>
        <v>M211/2646142</v>
      </c>
      <c r="C592" s="358" t="s">
        <v>24</v>
      </c>
      <c r="D592" s="358">
        <v>588</v>
      </c>
      <c r="E592" s="358" t="s">
        <v>4026</v>
      </c>
      <c r="F592" s="358" t="s">
        <v>50</v>
      </c>
      <c r="G592" s="384">
        <v>46142</v>
      </c>
      <c r="H592" s="358" t="s">
        <v>167</v>
      </c>
      <c r="I592" s="358">
        <v>30</v>
      </c>
      <c r="J592" s="359" t="str">
        <f>IFERROR(VLOOKUP($A592,#REF!,3,0),"")</f>
        <v/>
      </c>
      <c r="K592" s="359">
        <f>IFERROR(VLOOKUP($A592,#REF!,4,0),AF592)</f>
        <v>0</v>
      </c>
      <c r="L592" s="359" t="str">
        <f>IFERROR(VLOOKUP($A592,#REF!,5,0),"")</f>
        <v/>
      </c>
      <c r="M592" s="359" t="str">
        <f>IFERROR(VLOOKUP($A592,#REF!,7,0),"")</f>
        <v/>
      </c>
      <c r="N592" s="359"/>
      <c r="O592" s="359" t="str">
        <f>IFERROR(VLOOKUP($A592,#REF!,6,0),"")</f>
        <v/>
      </c>
      <c r="P592" s="359" t="str">
        <f>IFERROR(VLOOKUP($A592,#REF!,9,0),"")</f>
        <v/>
      </c>
      <c r="Q592" s="359" t="str">
        <f>IFERROR(VLOOKUP($A592,#REF!,10,0),"")</f>
        <v/>
      </c>
      <c r="R592" s="359" t="str">
        <f>IFERROR(VLOOKUP($A592,#REF!,11,0),"")</f>
        <v/>
      </c>
      <c r="S592" s="359" t="str">
        <f>IFERROR(VLOOKUP($A592,#REF!,13,0),"")</f>
        <v/>
      </c>
      <c r="T592" s="359" t="str">
        <f>IFERROR(VLOOKUP($A592,#REF!,14,0),"")</f>
        <v/>
      </c>
      <c r="U592" s="359" t="str">
        <f>IFERROR(VLOOKUP($A592,#REF!,15,0),"")</f>
        <v/>
      </c>
      <c r="V592" s="359" t="str">
        <f>IFERROR(VLOOKUP($A592,#REF!,16,0),"")</f>
        <v/>
      </c>
      <c r="W592" s="359" t="str">
        <f>IFERROR(VLOOKUP($A592,#REF!,17,0),"")</f>
        <v/>
      </c>
      <c r="X592" s="359" t="str">
        <f>IFERROR(VLOOKUP($A592,#REF!,18,0),"")</f>
        <v/>
      </c>
      <c r="Y592" s="359" t="str">
        <f>IFERROR(VLOOKUP($A592,#REF!,19,0),"")</f>
        <v/>
      </c>
      <c r="Z592" s="400" t="str">
        <f>IFERROR(VLOOKUP($A592,#REF!,21,0),"")</f>
        <v/>
      </c>
      <c r="AA592" s="358"/>
      <c r="AB592" s="358"/>
      <c r="AC592" s="358" t="s">
        <v>3075</v>
      </c>
      <c r="AD592" s="358" t="s">
        <v>47</v>
      </c>
      <c r="AE592" s="358"/>
      <c r="AF592" s="141"/>
      <c r="AG592" s="358"/>
      <c r="AH592" s="358"/>
      <c r="AI592" s="358"/>
      <c r="AJ592" s="141" t="s">
        <v>2083</v>
      </c>
      <c r="AK592" s="141"/>
      <c r="AL592" s="141"/>
      <c r="AM592" s="141"/>
      <c r="AN592" s="120"/>
      <c r="AO592" s="120"/>
      <c r="AP592" s="120"/>
      <c r="AQ592" s="313"/>
      <c r="AR592" s="119"/>
      <c r="AS592" s="22"/>
      <c r="AT592" s="22"/>
      <c r="AU592" s="22"/>
      <c r="AV592" s="2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112"/>
      <c r="BH592" s="112"/>
      <c r="BI592" s="112"/>
      <c r="BJ592" s="112"/>
      <c r="BK592" s="82"/>
      <c r="BL592" s="82"/>
      <c r="BN592" s="412"/>
      <c r="BO592" s="412"/>
      <c r="BP592" s="412"/>
      <c r="BQ592" s="412"/>
      <c r="BR592" s="412"/>
      <c r="BZ592">
        <f t="shared" si="53"/>
        <v>1</v>
      </c>
    </row>
    <row r="593" spans="1:123" s="272" customFormat="1" ht="15.6" hidden="1" customHeight="1">
      <c r="A593" s="35" t="str">
        <f t="shared" si="59"/>
        <v>M023/2646142</v>
      </c>
      <c r="B593" s="35"/>
      <c r="C593" s="318" t="s">
        <v>24</v>
      </c>
      <c r="D593" s="358">
        <v>589</v>
      </c>
      <c r="E593" s="318" t="s">
        <v>4027</v>
      </c>
      <c r="F593" s="318" t="s">
        <v>102</v>
      </c>
      <c r="G593" s="319">
        <v>46142</v>
      </c>
      <c r="H593" s="318" t="s">
        <v>368</v>
      </c>
      <c r="I593" s="318">
        <v>12</v>
      </c>
      <c r="J593" s="359" t="str">
        <f>IFERROR(VLOOKUP($A593,#REF!,3,0),"")</f>
        <v/>
      </c>
      <c r="K593" s="359">
        <f>IFERROR(VLOOKUP($A593,#REF!,4,0),AF593)</f>
        <v>0</v>
      </c>
      <c r="L593" s="359" t="str">
        <f>IFERROR(VLOOKUP($A593,#REF!,5,0),"")</f>
        <v/>
      </c>
      <c r="M593" s="359" t="str">
        <f>IFERROR(VLOOKUP($A593,#REF!,7,0),"")</f>
        <v/>
      </c>
      <c r="N593" s="359"/>
      <c r="O593" s="359" t="str">
        <f>IFERROR(VLOOKUP($A593,#REF!,6,0),"")</f>
        <v/>
      </c>
      <c r="P593" s="359" t="str">
        <f>IFERROR(VLOOKUP($A593,#REF!,9,0),"")</f>
        <v/>
      </c>
      <c r="Q593" s="359" t="str">
        <f>IFERROR(VLOOKUP($A593,#REF!,10,0),"")</f>
        <v/>
      </c>
      <c r="R593" s="359" t="str">
        <f>IFERROR(VLOOKUP($A593,#REF!,11,0),"")</f>
        <v/>
      </c>
      <c r="S593" s="359" t="str">
        <f>IFERROR(VLOOKUP($A593,#REF!,13,0),"")</f>
        <v/>
      </c>
      <c r="T593" s="359" t="str">
        <f>IFERROR(VLOOKUP($A593,#REF!,14,0),"")</f>
        <v/>
      </c>
      <c r="U593" s="359" t="str">
        <f>IFERROR(VLOOKUP($A593,#REF!,15,0),"")</f>
        <v/>
      </c>
      <c r="V593" s="359" t="str">
        <f>IFERROR(VLOOKUP($A593,#REF!,16,0),"")</f>
        <v/>
      </c>
      <c r="W593" s="359" t="str">
        <f>IFERROR(VLOOKUP($A593,#REF!,17,0),"")</f>
        <v/>
      </c>
      <c r="X593" s="359" t="str">
        <f>IFERROR(VLOOKUP($A593,#REF!,18,0),"")</f>
        <v/>
      </c>
      <c r="Y593" s="359" t="str">
        <f>IFERROR(VLOOKUP($A593,#REF!,19,0),"")</f>
        <v/>
      </c>
      <c r="Z593" s="400" t="str">
        <f>IFERROR(VLOOKUP($A593,#REF!,21,0),"")</f>
        <v/>
      </c>
      <c r="AA593" s="318"/>
      <c r="AB593" s="318"/>
      <c r="AC593" s="318" t="s">
        <v>1077</v>
      </c>
      <c r="AD593" s="318" t="s">
        <v>1138</v>
      </c>
      <c r="AE593" s="318" t="s">
        <v>4028</v>
      </c>
      <c r="AF593" s="318"/>
      <c r="AG593" s="318" t="s">
        <v>4029</v>
      </c>
      <c r="AH593" s="141"/>
      <c r="AI593" s="141"/>
      <c r="AJ593" s="141" t="s">
        <v>2050</v>
      </c>
      <c r="AK593" s="141"/>
      <c r="AL593" s="141"/>
      <c r="AM593" s="141"/>
      <c r="AN593" s="120"/>
      <c r="AO593" s="120"/>
      <c r="AP593" s="120"/>
      <c r="AQ593" s="313"/>
      <c r="AR593" s="119"/>
      <c r="AS593" s="22"/>
      <c r="AT593" s="22"/>
      <c r="AU593" s="22"/>
      <c r="AV593" s="22"/>
      <c r="AW593" s="82"/>
      <c r="AX593" s="82"/>
      <c r="AY593" s="82"/>
      <c r="AZ593" s="82"/>
      <c r="BA593" s="82"/>
      <c r="BB593" s="82"/>
      <c r="BC593" s="82"/>
      <c r="BD593" s="82"/>
      <c r="BE593" s="82"/>
      <c r="BF593" s="82"/>
      <c r="BG593" s="112"/>
      <c r="BH593" s="112"/>
      <c r="BI593" s="112"/>
      <c r="BJ593" s="112"/>
      <c r="BK593" s="82"/>
      <c r="BL593" s="82"/>
      <c r="BM593"/>
      <c r="BN593" s="412"/>
      <c r="BO593" s="412"/>
      <c r="BP593" s="412"/>
      <c r="BQ593" s="412"/>
      <c r="BR593" s="412"/>
      <c r="BS593" s="96"/>
      <c r="BT593" s="96"/>
      <c r="BU593" s="96"/>
      <c r="BV593" s="96"/>
      <c r="BW593"/>
      <c r="BX593"/>
      <c r="BY593"/>
      <c r="BZ593">
        <f t="shared" si="53"/>
        <v>1</v>
      </c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</row>
    <row r="594" spans="1:123" ht="15.6" hidden="1" customHeight="1">
      <c r="A594" s="35" t="str">
        <f t="shared" si="59"/>
        <v/>
      </c>
      <c r="C594" s="358" t="s">
        <v>24</v>
      </c>
      <c r="D594" s="358">
        <v>590</v>
      </c>
      <c r="E594" s="119"/>
      <c r="F594" s="119"/>
      <c r="G594" s="266"/>
      <c r="H594" s="119"/>
      <c r="I594" s="358"/>
      <c r="J594" s="359" t="str">
        <f>IFERROR(VLOOKUP($A594,#REF!,3,0),"")</f>
        <v/>
      </c>
      <c r="K594" s="359">
        <f>IFERROR(VLOOKUP($A594,#REF!,4,0),AF594)</f>
        <v>0</v>
      </c>
      <c r="L594" s="359" t="str">
        <f>IFERROR(VLOOKUP($A594,#REF!,5,0),"")</f>
        <v/>
      </c>
      <c r="M594" s="359" t="str">
        <f>IFERROR(VLOOKUP($A594,#REF!,7,0),"")</f>
        <v/>
      </c>
      <c r="N594" s="359"/>
      <c r="O594" s="359" t="str">
        <f>IFERROR(VLOOKUP($A594,#REF!,6,0),"")</f>
        <v/>
      </c>
      <c r="P594" s="359" t="str">
        <f>IFERROR(VLOOKUP($A594,#REF!,9,0),"")</f>
        <v/>
      </c>
      <c r="Q594" s="359" t="str">
        <f>IFERROR(VLOOKUP($A594,#REF!,10,0),"")</f>
        <v/>
      </c>
      <c r="R594" s="359" t="str">
        <f>IFERROR(VLOOKUP($A594,#REF!,11,0),"")</f>
        <v/>
      </c>
      <c r="S594" s="359" t="str">
        <f>IFERROR(VLOOKUP($A594,#REF!,13,0),"")</f>
        <v/>
      </c>
      <c r="T594" s="359" t="str">
        <f>IFERROR(VLOOKUP($A594,#REF!,14,0),"")</f>
        <v/>
      </c>
      <c r="U594" s="359" t="str">
        <f>IFERROR(VLOOKUP($A594,#REF!,15,0),"")</f>
        <v/>
      </c>
      <c r="V594" s="359" t="str">
        <f>IFERROR(VLOOKUP($A594,#REF!,16,0),"")</f>
        <v/>
      </c>
      <c r="W594" s="359" t="str">
        <f>IFERROR(VLOOKUP($A594,#REF!,17,0),"")</f>
        <v/>
      </c>
      <c r="X594" s="359" t="str">
        <f>IFERROR(VLOOKUP($A594,#REF!,18,0),"")</f>
        <v/>
      </c>
      <c r="Y594" s="359" t="str">
        <f>IFERROR(VLOOKUP($A594,#REF!,19,0),"")</f>
        <v/>
      </c>
      <c r="Z594" s="400" t="str">
        <f>IFERROR(VLOOKUP($A594,#REF!,21,0),"")</f>
        <v/>
      </c>
      <c r="AA594" s="358"/>
      <c r="AB594" s="358"/>
      <c r="AC594" s="358"/>
      <c r="AD594" s="358"/>
      <c r="AE594" s="358"/>
      <c r="AF594" s="141"/>
      <c r="AG594" s="358"/>
      <c r="AH594" s="358"/>
      <c r="AI594" s="358"/>
      <c r="AJ594" s="380"/>
      <c r="AK594" s="380"/>
      <c r="AL594" s="380"/>
      <c r="AM594" s="380"/>
      <c r="AN594" s="120"/>
      <c r="AO594" s="120"/>
      <c r="AP594" s="120"/>
      <c r="AQ594" s="93"/>
      <c r="AR594" s="358"/>
      <c r="AS594" s="358"/>
      <c r="AT594" s="358"/>
      <c r="AU594" s="358"/>
      <c r="AV594" s="358"/>
      <c r="AW594" s="82"/>
      <c r="AX594" s="82"/>
      <c r="AY594" s="82"/>
      <c r="AZ594" s="82"/>
      <c r="BA594" s="82"/>
      <c r="BB594" s="82"/>
      <c r="BC594" s="82"/>
      <c r="BD594" s="82"/>
      <c r="BE594" s="82"/>
      <c r="BF594" s="82"/>
      <c r="BG594" s="112"/>
      <c r="BH594" s="112"/>
      <c r="BI594" s="112"/>
      <c r="BJ594" s="112"/>
      <c r="BK594" s="82"/>
      <c r="BL594" s="82"/>
      <c r="BN594" s="412"/>
      <c r="BO594" s="412"/>
      <c r="BP594" s="412"/>
      <c r="BQ594" s="412"/>
      <c r="BR594" s="412"/>
      <c r="BZ594" t="str">
        <f t="shared" si="53"/>
        <v/>
      </c>
    </row>
    <row r="595" spans="1:123" ht="15.6" hidden="1" customHeight="1">
      <c r="A595" s="35" t="str">
        <f t="shared" si="59"/>
        <v/>
      </c>
      <c r="C595" s="358" t="s">
        <v>24</v>
      </c>
      <c r="D595" s="358">
        <v>591</v>
      </c>
      <c r="E595" s="119"/>
      <c r="F595" s="119"/>
      <c r="G595" s="266"/>
      <c r="H595" s="119"/>
      <c r="I595" s="358"/>
      <c r="J595" s="359" t="str">
        <f>IFERROR(VLOOKUP($A595,#REF!,3,0),"")</f>
        <v/>
      </c>
      <c r="K595" s="359">
        <f>IFERROR(VLOOKUP($A595,#REF!,4,0),AF595)</f>
        <v>0</v>
      </c>
      <c r="L595" s="359" t="str">
        <f>IFERROR(VLOOKUP($A595,#REF!,5,0),"")</f>
        <v/>
      </c>
      <c r="M595" s="359" t="str">
        <f>IFERROR(VLOOKUP($A595,#REF!,7,0),"")</f>
        <v/>
      </c>
      <c r="N595" s="359"/>
      <c r="O595" s="359" t="str">
        <f>IFERROR(VLOOKUP($A595,#REF!,6,0),"")</f>
        <v/>
      </c>
      <c r="P595" s="359" t="str">
        <f>IFERROR(VLOOKUP($A595,#REF!,9,0),"")</f>
        <v/>
      </c>
      <c r="Q595" s="359" t="str">
        <f>IFERROR(VLOOKUP($A595,#REF!,10,0),"")</f>
        <v/>
      </c>
      <c r="R595" s="359" t="str">
        <f>IFERROR(VLOOKUP($A595,#REF!,11,0),"")</f>
        <v/>
      </c>
      <c r="S595" s="359" t="str">
        <f>IFERROR(VLOOKUP($A595,#REF!,13,0),"")</f>
        <v/>
      </c>
      <c r="T595" s="359" t="str">
        <f>IFERROR(VLOOKUP($A595,#REF!,14,0),"")</f>
        <v/>
      </c>
      <c r="U595" s="359" t="str">
        <f>IFERROR(VLOOKUP($A595,#REF!,15,0),"")</f>
        <v/>
      </c>
      <c r="V595" s="359" t="str">
        <f>IFERROR(VLOOKUP($A595,#REF!,16,0),"")</f>
        <v/>
      </c>
      <c r="W595" s="359" t="str">
        <f>IFERROR(VLOOKUP($A595,#REF!,17,0),"")</f>
        <v/>
      </c>
      <c r="X595" s="359" t="str">
        <f>IFERROR(VLOOKUP($A595,#REF!,18,0),"")</f>
        <v/>
      </c>
      <c r="Y595" s="359" t="str">
        <f>IFERROR(VLOOKUP($A595,#REF!,19,0),"")</f>
        <v/>
      </c>
      <c r="Z595" s="400" t="str">
        <f>IFERROR(VLOOKUP($A595,#REF!,21,0),"")</f>
        <v/>
      </c>
      <c r="AA595" s="358"/>
      <c r="AB595" s="358"/>
      <c r="AC595" s="358"/>
      <c r="AD595" s="358"/>
      <c r="AE595" s="358"/>
      <c r="AF595" s="141"/>
      <c r="AG595" s="358"/>
      <c r="AH595" s="358"/>
      <c r="AI595" s="358"/>
      <c r="AJ595" s="380"/>
      <c r="AK595" s="380"/>
      <c r="AL595" s="380"/>
      <c r="AM595" s="380"/>
      <c r="AN595" s="120"/>
      <c r="AO595" s="120"/>
      <c r="AP595" s="120"/>
      <c r="AQ595" s="93"/>
      <c r="AR595" s="358"/>
      <c r="AS595" s="358"/>
      <c r="AT595" s="358"/>
      <c r="AU595" s="358"/>
      <c r="AV595" s="358"/>
      <c r="AW595" s="82"/>
      <c r="AX595" s="82"/>
      <c r="AY595" s="82"/>
      <c r="AZ595" s="82"/>
      <c r="BA595" s="82"/>
      <c r="BB595" s="82"/>
      <c r="BC595" s="82"/>
      <c r="BD595" s="82"/>
      <c r="BE595" s="82"/>
      <c r="BF595" s="82"/>
      <c r="BG595" s="112"/>
      <c r="BH595" s="112"/>
      <c r="BI595" s="112"/>
      <c r="BJ595" s="112"/>
      <c r="BK595" s="82"/>
      <c r="BL595" s="82"/>
      <c r="BN595" s="412"/>
      <c r="BO595" s="412"/>
      <c r="BP595" s="412"/>
      <c r="BQ595" s="412"/>
      <c r="BR595" s="412"/>
      <c r="BZ595" t="str">
        <f t="shared" si="53"/>
        <v/>
      </c>
    </row>
    <row r="596" spans="1:123" ht="15.6" hidden="1" customHeight="1">
      <c r="A596" s="35" t="str">
        <f t="shared" si="59"/>
        <v/>
      </c>
      <c r="C596" s="358" t="s">
        <v>24</v>
      </c>
      <c r="D596" s="358">
        <v>592</v>
      </c>
      <c r="E596" s="119"/>
      <c r="F596" s="119"/>
      <c r="G596" s="266"/>
      <c r="H596" s="119"/>
      <c r="I596" s="358"/>
      <c r="J596" s="359" t="str">
        <f>IFERROR(VLOOKUP($A596,#REF!,3,0),"")</f>
        <v/>
      </c>
      <c r="K596" s="359">
        <f>IFERROR(VLOOKUP($A596,#REF!,4,0),AF596)</f>
        <v>0</v>
      </c>
      <c r="L596" s="359" t="str">
        <f>IFERROR(VLOOKUP($A596,#REF!,5,0),"")</f>
        <v/>
      </c>
      <c r="M596" s="359" t="str">
        <f>IFERROR(VLOOKUP($A596,#REF!,7,0),"")</f>
        <v/>
      </c>
      <c r="N596" s="359"/>
      <c r="O596" s="359" t="str">
        <f>IFERROR(VLOOKUP($A596,#REF!,6,0),"")</f>
        <v/>
      </c>
      <c r="P596" s="359" t="str">
        <f>IFERROR(VLOOKUP($A596,#REF!,9,0),"")</f>
        <v/>
      </c>
      <c r="Q596" s="359" t="str">
        <f>IFERROR(VLOOKUP($A596,#REF!,10,0),"")</f>
        <v/>
      </c>
      <c r="R596" s="359" t="str">
        <f>IFERROR(VLOOKUP($A596,#REF!,11,0),"")</f>
        <v/>
      </c>
      <c r="S596" s="359" t="str">
        <f>IFERROR(VLOOKUP($A596,#REF!,13,0),"")</f>
        <v/>
      </c>
      <c r="T596" s="359" t="str">
        <f>IFERROR(VLOOKUP($A596,#REF!,14,0),"")</f>
        <v/>
      </c>
      <c r="U596" s="359" t="str">
        <f>IFERROR(VLOOKUP($A596,#REF!,15,0),"")</f>
        <v/>
      </c>
      <c r="V596" s="359" t="str">
        <f>IFERROR(VLOOKUP($A596,#REF!,16,0),"")</f>
        <v/>
      </c>
      <c r="W596" s="359" t="str">
        <f>IFERROR(VLOOKUP($A596,#REF!,17,0),"")</f>
        <v/>
      </c>
      <c r="X596" s="359" t="str">
        <f>IFERROR(VLOOKUP($A596,#REF!,18,0),"")</f>
        <v/>
      </c>
      <c r="Y596" s="359" t="str">
        <f>IFERROR(VLOOKUP($A596,#REF!,19,0),"")</f>
        <v/>
      </c>
      <c r="Z596" s="400" t="str">
        <f>IFERROR(VLOOKUP($A596,#REF!,21,0),"")</f>
        <v/>
      </c>
      <c r="AA596" s="358"/>
      <c r="AB596" s="358"/>
      <c r="AC596" s="358"/>
      <c r="AD596" s="358"/>
      <c r="AE596" s="358"/>
      <c r="AF596" s="141"/>
      <c r="AG596" s="358"/>
      <c r="AH596" s="358"/>
      <c r="AI596" s="358"/>
      <c r="AJ596" s="380"/>
      <c r="AK596" s="380"/>
      <c r="AL596" s="380"/>
      <c r="AM596" s="380"/>
      <c r="AN596" s="120"/>
      <c r="AO596" s="120"/>
      <c r="AP596" s="120"/>
      <c r="AQ596" s="93"/>
      <c r="AR596" s="358"/>
      <c r="AS596" s="358"/>
      <c r="AT596" s="358"/>
      <c r="AU596" s="358"/>
      <c r="AV596" s="358"/>
      <c r="AW596" s="82"/>
      <c r="AX596" s="82"/>
      <c r="AY596" s="82"/>
      <c r="AZ596" s="82"/>
      <c r="BA596" s="82"/>
      <c r="BB596" s="82"/>
      <c r="BC596" s="82"/>
      <c r="BD596" s="82"/>
      <c r="BE596" s="82"/>
      <c r="BF596" s="82"/>
      <c r="BG596" s="112"/>
      <c r="BH596" s="112"/>
      <c r="BI596" s="112"/>
      <c r="BJ596" s="112"/>
      <c r="BK596" s="82"/>
      <c r="BL596" s="82"/>
      <c r="BN596" s="412"/>
      <c r="BO596" s="412"/>
      <c r="BP596" s="412"/>
      <c r="BQ596" s="412"/>
      <c r="BR596" s="412"/>
      <c r="BZ596" t="str">
        <f t="shared" si="53"/>
        <v/>
      </c>
    </row>
    <row r="597" spans="1:123" ht="15.6" hidden="1" customHeight="1">
      <c r="A597" s="35" t="str">
        <f t="shared" si="59"/>
        <v/>
      </c>
      <c r="C597" s="358" t="s">
        <v>24</v>
      </c>
      <c r="D597" s="358">
        <v>593</v>
      </c>
      <c r="E597" s="119"/>
      <c r="F597" s="119"/>
      <c r="G597" s="266"/>
      <c r="H597" s="119"/>
      <c r="I597" s="358"/>
      <c r="J597" s="359" t="str">
        <f>IFERROR(VLOOKUP($A597,#REF!,3,0),"")</f>
        <v/>
      </c>
      <c r="K597" s="359">
        <f>IFERROR(VLOOKUP($A597,#REF!,4,0),AF597)</f>
        <v>0</v>
      </c>
      <c r="L597" s="359" t="str">
        <f>IFERROR(VLOOKUP($A597,#REF!,5,0),"")</f>
        <v/>
      </c>
      <c r="M597" s="359" t="str">
        <f>IFERROR(VLOOKUP($A597,#REF!,7,0),"")</f>
        <v/>
      </c>
      <c r="N597" s="359"/>
      <c r="O597" s="359" t="str">
        <f>IFERROR(VLOOKUP($A597,#REF!,6,0),"")</f>
        <v/>
      </c>
      <c r="P597" s="359" t="str">
        <f>IFERROR(VLOOKUP($A597,#REF!,9,0),"")</f>
        <v/>
      </c>
      <c r="Q597" s="359" t="str">
        <f>IFERROR(VLOOKUP($A597,#REF!,10,0),"")</f>
        <v/>
      </c>
      <c r="R597" s="359" t="str">
        <f>IFERROR(VLOOKUP($A597,#REF!,11,0),"")</f>
        <v/>
      </c>
      <c r="S597" s="359" t="str">
        <f>IFERROR(VLOOKUP($A597,#REF!,13,0),"")</f>
        <v/>
      </c>
      <c r="T597" s="359" t="str">
        <f>IFERROR(VLOOKUP($A597,#REF!,14,0),"")</f>
        <v/>
      </c>
      <c r="U597" s="359" t="str">
        <f>IFERROR(VLOOKUP($A597,#REF!,15,0),"")</f>
        <v/>
      </c>
      <c r="V597" s="359" t="str">
        <f>IFERROR(VLOOKUP($A597,#REF!,16,0),"")</f>
        <v/>
      </c>
      <c r="W597" s="359" t="str">
        <f>IFERROR(VLOOKUP($A597,#REF!,17,0),"")</f>
        <v/>
      </c>
      <c r="X597" s="359" t="str">
        <f>IFERROR(VLOOKUP($A597,#REF!,18,0),"")</f>
        <v/>
      </c>
      <c r="Y597" s="359" t="str">
        <f>IFERROR(VLOOKUP($A597,#REF!,19,0),"")</f>
        <v/>
      </c>
      <c r="Z597" s="400" t="str">
        <f>IFERROR(VLOOKUP($A597,#REF!,21,0),"")</f>
        <v/>
      </c>
      <c r="AA597" s="358"/>
      <c r="AB597" s="358"/>
      <c r="AC597" s="358"/>
      <c r="AD597" s="358"/>
      <c r="AE597" s="358"/>
      <c r="AF597" s="141"/>
      <c r="AG597" s="358"/>
      <c r="AH597" s="358"/>
      <c r="AI597" s="358"/>
      <c r="AJ597" s="380"/>
      <c r="AK597" s="380"/>
      <c r="AL597" s="380"/>
      <c r="AM597" s="380"/>
      <c r="AN597" s="120"/>
      <c r="AO597" s="120"/>
      <c r="AP597" s="120"/>
      <c r="AQ597" s="93"/>
      <c r="AR597" s="358"/>
      <c r="AS597" s="358"/>
      <c r="AT597" s="358"/>
      <c r="AU597" s="358"/>
      <c r="AV597" s="358"/>
      <c r="AW597" s="82"/>
      <c r="AX597" s="82"/>
      <c r="AY597" s="82"/>
      <c r="AZ597" s="82"/>
      <c r="BA597" s="82"/>
      <c r="BB597" s="82"/>
      <c r="BC597" s="82"/>
      <c r="BD597" s="82"/>
      <c r="BE597" s="82"/>
      <c r="BF597" s="82"/>
      <c r="BG597" s="112"/>
      <c r="BH597" s="112"/>
      <c r="BI597" s="112"/>
      <c r="BJ597" s="112"/>
      <c r="BK597" s="82"/>
      <c r="BL597" s="82"/>
      <c r="BN597" s="412"/>
      <c r="BO597" s="412"/>
      <c r="BP597" s="412"/>
      <c r="BQ597" s="412"/>
      <c r="BR597" s="412"/>
      <c r="BZ597" t="str">
        <f t="shared" si="53"/>
        <v/>
      </c>
    </row>
    <row r="598" spans="1:123" ht="15.6" hidden="1" customHeight="1">
      <c r="A598" s="35" t="str">
        <f t="shared" si="59"/>
        <v/>
      </c>
      <c r="C598" s="358" t="s">
        <v>24</v>
      </c>
      <c r="D598" s="358">
        <v>594</v>
      </c>
      <c r="E598" s="119"/>
      <c r="F598" s="119"/>
      <c r="G598" s="266"/>
      <c r="H598" s="119"/>
      <c r="I598" s="358"/>
      <c r="J598" s="359" t="str">
        <f>IFERROR(VLOOKUP($A598,#REF!,3,0),"")</f>
        <v/>
      </c>
      <c r="K598" s="359">
        <f>IFERROR(VLOOKUP($A598,#REF!,4,0),AF598)</f>
        <v>0</v>
      </c>
      <c r="L598" s="359" t="str">
        <f>IFERROR(VLOOKUP($A598,#REF!,5,0),"")</f>
        <v/>
      </c>
      <c r="M598" s="359" t="str">
        <f>IFERROR(VLOOKUP($A598,#REF!,7,0),"")</f>
        <v/>
      </c>
      <c r="N598" s="359"/>
      <c r="O598" s="359" t="str">
        <f>IFERROR(VLOOKUP($A598,#REF!,6,0),"")</f>
        <v/>
      </c>
      <c r="P598" s="359" t="str">
        <f>IFERROR(VLOOKUP($A598,#REF!,9,0),"")</f>
        <v/>
      </c>
      <c r="Q598" s="359" t="str">
        <f>IFERROR(VLOOKUP($A598,#REF!,10,0),"")</f>
        <v/>
      </c>
      <c r="R598" s="359" t="str">
        <f>IFERROR(VLOOKUP($A598,#REF!,11,0),"")</f>
        <v/>
      </c>
      <c r="S598" s="359" t="str">
        <f>IFERROR(VLOOKUP($A598,#REF!,13,0),"")</f>
        <v/>
      </c>
      <c r="T598" s="359" t="str">
        <f>IFERROR(VLOOKUP($A598,#REF!,14,0),"")</f>
        <v/>
      </c>
      <c r="U598" s="359" t="str">
        <f>IFERROR(VLOOKUP($A598,#REF!,15,0),"")</f>
        <v/>
      </c>
      <c r="V598" s="359" t="str">
        <f>IFERROR(VLOOKUP($A598,#REF!,16,0),"")</f>
        <v/>
      </c>
      <c r="W598" s="359" t="str">
        <f>IFERROR(VLOOKUP($A598,#REF!,17,0),"")</f>
        <v/>
      </c>
      <c r="X598" s="359" t="str">
        <f>IFERROR(VLOOKUP($A598,#REF!,18,0),"")</f>
        <v/>
      </c>
      <c r="Y598" s="359" t="str">
        <f>IFERROR(VLOOKUP($A598,#REF!,19,0),"")</f>
        <v/>
      </c>
      <c r="Z598" s="400" t="str">
        <f>IFERROR(VLOOKUP($A598,#REF!,21,0),"")</f>
        <v/>
      </c>
      <c r="AA598" s="358"/>
      <c r="AB598" s="358"/>
      <c r="AC598" s="358"/>
      <c r="AD598" s="358"/>
      <c r="AE598" s="358"/>
      <c r="AF598" s="141"/>
      <c r="AG598" s="358"/>
      <c r="AH598" s="358"/>
      <c r="AI598" s="358"/>
      <c r="AJ598" s="380"/>
      <c r="AK598" s="380"/>
      <c r="AL598" s="380"/>
      <c r="AM598" s="380"/>
      <c r="AN598" s="120"/>
      <c r="AO598" s="120"/>
      <c r="AP598" s="120"/>
      <c r="AQ598" s="93"/>
      <c r="AR598" s="358"/>
      <c r="AS598" s="358"/>
      <c r="AT598" s="358"/>
      <c r="AU598" s="358"/>
      <c r="AV598" s="358"/>
      <c r="AW598" s="82"/>
      <c r="AX598" s="82"/>
      <c r="AY598" s="82"/>
      <c r="AZ598" s="82"/>
      <c r="BA598" s="82"/>
      <c r="BB598" s="82"/>
      <c r="BC598" s="82"/>
      <c r="BD598" s="82"/>
      <c r="BE598" s="82"/>
      <c r="BF598" s="82"/>
      <c r="BG598" s="112"/>
      <c r="BH598" s="112"/>
      <c r="BI598" s="112"/>
      <c r="BJ598" s="112"/>
      <c r="BK598" s="82"/>
      <c r="BL598" s="82"/>
      <c r="BN598" s="412"/>
      <c r="BO598" s="412"/>
      <c r="BP598" s="412"/>
      <c r="BQ598" s="412"/>
      <c r="BR598" s="412"/>
      <c r="BZ598" t="str">
        <f t="shared" si="53"/>
        <v/>
      </c>
    </row>
    <row r="599" spans="1:123" ht="15.6" hidden="1" customHeight="1">
      <c r="A599" s="35" t="str">
        <f t="shared" si="59"/>
        <v/>
      </c>
      <c r="C599" s="358" t="s">
        <v>24</v>
      </c>
      <c r="D599" s="358">
        <v>595</v>
      </c>
      <c r="E599" s="119"/>
      <c r="F599" s="119"/>
      <c r="G599" s="266"/>
      <c r="H599" s="119"/>
      <c r="I599" s="358"/>
      <c r="J599" s="359" t="str">
        <f>IFERROR(VLOOKUP($A599,#REF!,3,0),"")</f>
        <v/>
      </c>
      <c r="K599" s="359">
        <f>IFERROR(VLOOKUP($A599,#REF!,4,0),AF599)</f>
        <v>0</v>
      </c>
      <c r="L599" s="359" t="str">
        <f>IFERROR(VLOOKUP($A599,#REF!,5,0),"")</f>
        <v/>
      </c>
      <c r="M599" s="359" t="str">
        <f>IFERROR(VLOOKUP($A599,#REF!,7,0),"")</f>
        <v/>
      </c>
      <c r="N599" s="359"/>
      <c r="O599" s="359" t="str">
        <f>IFERROR(VLOOKUP($A599,#REF!,6,0),"")</f>
        <v/>
      </c>
      <c r="P599" s="359" t="str">
        <f>IFERROR(VLOOKUP($A599,#REF!,9,0),"")</f>
        <v/>
      </c>
      <c r="Q599" s="359" t="str">
        <f>IFERROR(VLOOKUP($A599,#REF!,10,0),"")</f>
        <v/>
      </c>
      <c r="R599" s="359" t="str">
        <f>IFERROR(VLOOKUP($A599,#REF!,11,0),"")</f>
        <v/>
      </c>
      <c r="S599" s="359" t="str">
        <f>IFERROR(VLOOKUP($A599,#REF!,13,0),"")</f>
        <v/>
      </c>
      <c r="T599" s="359" t="str">
        <f>IFERROR(VLOOKUP($A599,#REF!,14,0),"")</f>
        <v/>
      </c>
      <c r="U599" s="359" t="str">
        <f>IFERROR(VLOOKUP($A599,#REF!,15,0),"")</f>
        <v/>
      </c>
      <c r="V599" s="359" t="str">
        <f>IFERROR(VLOOKUP($A599,#REF!,16,0),"")</f>
        <v/>
      </c>
      <c r="W599" s="359" t="str">
        <f>IFERROR(VLOOKUP($A599,#REF!,17,0),"")</f>
        <v/>
      </c>
      <c r="X599" s="359" t="str">
        <f>IFERROR(VLOOKUP($A599,#REF!,18,0),"")</f>
        <v/>
      </c>
      <c r="Y599" s="359" t="str">
        <f>IFERROR(VLOOKUP($A599,#REF!,19,0),"")</f>
        <v/>
      </c>
      <c r="Z599" s="400" t="str">
        <f>IFERROR(VLOOKUP($A599,#REF!,21,0),"")</f>
        <v/>
      </c>
      <c r="AA599" s="358"/>
      <c r="AB599" s="358"/>
      <c r="AC599" s="358"/>
      <c r="AD599" s="358"/>
      <c r="AE599" s="358"/>
      <c r="AF599" s="141"/>
      <c r="AG599" s="358"/>
      <c r="AH599" s="358"/>
      <c r="AI599" s="358"/>
      <c r="AJ599" s="380"/>
      <c r="AK599" s="380"/>
      <c r="AL599" s="380"/>
      <c r="AM599" s="380"/>
      <c r="AN599" s="120"/>
      <c r="AO599" s="120"/>
      <c r="AP599" s="120"/>
      <c r="AQ599" s="93"/>
      <c r="AR599" s="358"/>
      <c r="AS599" s="358"/>
      <c r="AT599" s="358"/>
      <c r="AU599" s="358"/>
      <c r="AV599" s="358"/>
      <c r="AW599" s="82"/>
      <c r="AX599" s="82"/>
      <c r="AY599" s="82"/>
      <c r="AZ599" s="82"/>
      <c r="BA599" s="82"/>
      <c r="BB599" s="82"/>
      <c r="BC599" s="82"/>
      <c r="BD599" s="82"/>
      <c r="BE599" s="82"/>
      <c r="BF599" s="82"/>
      <c r="BG599" s="112"/>
      <c r="BH599" s="112"/>
      <c r="BI599" s="112"/>
      <c r="BJ599" s="112"/>
      <c r="BK599" s="82"/>
      <c r="BL599" s="82"/>
      <c r="BN599" s="412"/>
      <c r="BO599" s="412"/>
      <c r="BP599" s="412"/>
      <c r="BQ599" s="412"/>
      <c r="BR599" s="412"/>
      <c r="BZ599" t="str">
        <f t="shared" si="53"/>
        <v/>
      </c>
    </row>
    <row r="600" spans="1:123" ht="15.6" hidden="1" customHeight="1">
      <c r="A600" s="35" t="str">
        <f t="shared" si="59"/>
        <v/>
      </c>
      <c r="C600" s="358" t="s">
        <v>24</v>
      </c>
      <c r="D600" s="358">
        <v>596</v>
      </c>
      <c r="E600" s="119"/>
      <c r="F600" s="119"/>
      <c r="G600" s="266"/>
      <c r="H600" s="119"/>
      <c r="I600" s="358"/>
      <c r="J600" s="359" t="str">
        <f>IFERROR(VLOOKUP($A600,#REF!,3,0),"")</f>
        <v/>
      </c>
      <c r="K600" s="359">
        <f>IFERROR(VLOOKUP($A600,#REF!,4,0),AF600)</f>
        <v>0</v>
      </c>
      <c r="L600" s="359" t="str">
        <f>IFERROR(VLOOKUP($A600,#REF!,5,0),"")</f>
        <v/>
      </c>
      <c r="M600" s="359" t="str">
        <f>IFERROR(VLOOKUP($A600,#REF!,7,0),"")</f>
        <v/>
      </c>
      <c r="N600" s="359"/>
      <c r="O600" s="359" t="str">
        <f>IFERROR(VLOOKUP($A600,#REF!,6,0),"")</f>
        <v/>
      </c>
      <c r="P600" s="359" t="str">
        <f>IFERROR(VLOOKUP($A600,#REF!,9,0),"")</f>
        <v/>
      </c>
      <c r="Q600" s="359" t="str">
        <f>IFERROR(VLOOKUP($A600,#REF!,10,0),"")</f>
        <v/>
      </c>
      <c r="R600" s="359" t="str">
        <f>IFERROR(VLOOKUP($A600,#REF!,11,0),"")</f>
        <v/>
      </c>
      <c r="S600" s="359" t="str">
        <f>IFERROR(VLOOKUP($A600,#REF!,13,0),"")</f>
        <v/>
      </c>
      <c r="T600" s="359" t="str">
        <f>IFERROR(VLOOKUP($A600,#REF!,14,0),"")</f>
        <v/>
      </c>
      <c r="U600" s="359" t="str">
        <f>IFERROR(VLOOKUP($A600,#REF!,15,0),"")</f>
        <v/>
      </c>
      <c r="V600" s="359" t="str">
        <f>IFERROR(VLOOKUP($A600,#REF!,16,0),"")</f>
        <v/>
      </c>
      <c r="W600" s="359" t="str">
        <f>IFERROR(VLOOKUP($A600,#REF!,17,0),"")</f>
        <v/>
      </c>
      <c r="X600" s="359" t="str">
        <f>IFERROR(VLOOKUP($A600,#REF!,18,0),"")</f>
        <v/>
      </c>
      <c r="Y600" s="359" t="str">
        <f>IFERROR(VLOOKUP($A600,#REF!,19,0),"")</f>
        <v/>
      </c>
      <c r="Z600" s="400" t="str">
        <f>IFERROR(VLOOKUP($A600,#REF!,21,0),"")</f>
        <v/>
      </c>
      <c r="AA600" s="358"/>
      <c r="AB600" s="358"/>
      <c r="AC600" s="358"/>
      <c r="AD600" s="358"/>
      <c r="AE600" s="358"/>
      <c r="AF600" s="141"/>
      <c r="AG600" s="358"/>
      <c r="AH600" s="358"/>
      <c r="AI600" s="358"/>
      <c r="AJ600" s="380"/>
      <c r="AK600" s="380"/>
      <c r="AL600" s="380"/>
      <c r="AM600" s="380"/>
      <c r="AN600" s="120"/>
      <c r="AO600" s="120"/>
      <c r="AP600" s="120"/>
      <c r="AQ600" s="93"/>
      <c r="AR600" s="358"/>
      <c r="AS600" s="358"/>
      <c r="AT600" s="358"/>
      <c r="AU600" s="358"/>
      <c r="AV600" s="358"/>
      <c r="AW600" s="82"/>
      <c r="AX600" s="82"/>
      <c r="AY600" s="82"/>
      <c r="AZ600" s="82"/>
      <c r="BA600" s="82"/>
      <c r="BB600" s="82"/>
      <c r="BC600" s="82"/>
      <c r="BD600" s="82"/>
      <c r="BE600" s="82"/>
      <c r="BF600" s="82"/>
      <c r="BG600" s="112"/>
      <c r="BH600" s="112"/>
      <c r="BI600" s="112"/>
      <c r="BJ600" s="112"/>
      <c r="BK600" s="82"/>
      <c r="BL600" s="82"/>
      <c r="BN600" s="412"/>
      <c r="BO600" s="412"/>
      <c r="BP600" s="412"/>
      <c r="BQ600" s="412"/>
      <c r="BR600" s="412"/>
      <c r="BZ600" t="str">
        <f t="shared" si="53"/>
        <v/>
      </c>
    </row>
    <row r="601" spans="1:123" ht="15.6" hidden="1" customHeight="1">
      <c r="A601" s="35" t="str">
        <f t="shared" si="59"/>
        <v/>
      </c>
      <c r="C601" s="358" t="s">
        <v>24</v>
      </c>
      <c r="D601" s="358">
        <v>597</v>
      </c>
      <c r="E601" s="119"/>
      <c r="F601" s="119"/>
      <c r="G601" s="266"/>
      <c r="H601" s="119"/>
      <c r="I601" s="358"/>
      <c r="J601" s="359" t="str">
        <f>IFERROR(VLOOKUP($A601,#REF!,3,0),"")</f>
        <v/>
      </c>
      <c r="K601" s="359">
        <f>IFERROR(VLOOKUP($A601,#REF!,4,0),AF601)</f>
        <v>0</v>
      </c>
      <c r="L601" s="359" t="str">
        <f>IFERROR(VLOOKUP($A601,#REF!,5,0),"")</f>
        <v/>
      </c>
      <c r="M601" s="359" t="str">
        <f>IFERROR(VLOOKUP($A601,#REF!,7,0),"")</f>
        <v/>
      </c>
      <c r="N601" s="359"/>
      <c r="O601" s="359" t="str">
        <f>IFERROR(VLOOKUP($A601,#REF!,6,0),"")</f>
        <v/>
      </c>
      <c r="P601" s="359" t="str">
        <f>IFERROR(VLOOKUP($A601,#REF!,9,0),"")</f>
        <v/>
      </c>
      <c r="Q601" s="359" t="str">
        <f>IFERROR(VLOOKUP($A601,#REF!,10,0),"")</f>
        <v/>
      </c>
      <c r="R601" s="359" t="str">
        <f>IFERROR(VLOOKUP($A601,#REF!,11,0),"")</f>
        <v/>
      </c>
      <c r="S601" s="359" t="str">
        <f>IFERROR(VLOOKUP($A601,#REF!,13,0),"")</f>
        <v/>
      </c>
      <c r="T601" s="359" t="str">
        <f>IFERROR(VLOOKUP($A601,#REF!,14,0),"")</f>
        <v/>
      </c>
      <c r="U601" s="359" t="str">
        <f>IFERROR(VLOOKUP($A601,#REF!,15,0),"")</f>
        <v/>
      </c>
      <c r="V601" s="359" t="str">
        <f>IFERROR(VLOOKUP($A601,#REF!,16,0),"")</f>
        <v/>
      </c>
      <c r="W601" s="359" t="str">
        <f>IFERROR(VLOOKUP($A601,#REF!,17,0),"")</f>
        <v/>
      </c>
      <c r="X601" s="359" t="str">
        <f>IFERROR(VLOOKUP($A601,#REF!,18,0),"")</f>
        <v/>
      </c>
      <c r="Y601" s="359" t="str">
        <f>IFERROR(VLOOKUP($A601,#REF!,19,0),"")</f>
        <v/>
      </c>
      <c r="Z601" s="400" t="str">
        <f>IFERROR(VLOOKUP($A601,#REF!,21,0),"")</f>
        <v/>
      </c>
      <c r="AA601" s="358"/>
      <c r="AB601" s="358"/>
      <c r="AC601" s="358"/>
      <c r="AD601" s="358"/>
      <c r="AE601" s="358"/>
      <c r="AF601" s="141"/>
      <c r="AG601" s="358"/>
      <c r="AH601" s="358"/>
      <c r="AI601" s="358"/>
      <c r="AJ601" s="380"/>
      <c r="AK601" s="380"/>
      <c r="AL601" s="380"/>
      <c r="AM601" s="380"/>
      <c r="AN601" s="120"/>
      <c r="AO601" s="120"/>
      <c r="AP601" s="120"/>
      <c r="AQ601" s="93"/>
      <c r="AR601" s="358"/>
      <c r="AS601" s="358"/>
      <c r="AT601" s="358"/>
      <c r="AU601" s="358"/>
      <c r="AV601" s="358"/>
      <c r="AW601" s="82"/>
      <c r="AX601" s="82"/>
      <c r="AY601" s="82"/>
      <c r="AZ601" s="82"/>
      <c r="BA601" s="82"/>
      <c r="BB601" s="82"/>
      <c r="BC601" s="82"/>
      <c r="BD601" s="82"/>
      <c r="BE601" s="82"/>
      <c r="BF601" s="82"/>
      <c r="BG601" s="112"/>
      <c r="BH601" s="112"/>
      <c r="BI601" s="112"/>
      <c r="BJ601" s="112"/>
      <c r="BK601" s="82"/>
      <c r="BL601" s="82"/>
      <c r="BN601" s="412"/>
      <c r="BO601" s="412"/>
      <c r="BP601" s="412"/>
      <c r="BQ601" s="412"/>
      <c r="BR601" s="412"/>
      <c r="BZ601" t="str">
        <f t="shared" si="53"/>
        <v/>
      </c>
    </row>
    <row r="602" spans="1:123" ht="15.6" hidden="1" customHeight="1">
      <c r="A602" s="35" t="str">
        <f t="shared" si="59"/>
        <v/>
      </c>
      <c r="C602" s="358" t="s">
        <v>24</v>
      </c>
      <c r="D602" s="358">
        <v>598</v>
      </c>
      <c r="E602" s="119"/>
      <c r="F602" s="119"/>
      <c r="G602" s="266"/>
      <c r="H602" s="119"/>
      <c r="I602" s="358"/>
      <c r="J602" s="359" t="str">
        <f>IFERROR(VLOOKUP($A602,#REF!,3,0),"")</f>
        <v/>
      </c>
      <c r="K602" s="359">
        <f>IFERROR(VLOOKUP($A602,#REF!,4,0),AF602)</f>
        <v>0</v>
      </c>
      <c r="L602" s="359" t="str">
        <f>IFERROR(VLOOKUP($A602,#REF!,5,0),"")</f>
        <v/>
      </c>
      <c r="M602" s="359" t="str">
        <f>IFERROR(VLOOKUP($A602,#REF!,7,0),"")</f>
        <v/>
      </c>
      <c r="N602" s="359"/>
      <c r="O602" s="359" t="str">
        <f>IFERROR(VLOOKUP($A602,#REF!,6,0),"")</f>
        <v/>
      </c>
      <c r="P602" s="359" t="str">
        <f>IFERROR(VLOOKUP($A602,#REF!,9,0),"")</f>
        <v/>
      </c>
      <c r="Q602" s="359" t="str">
        <f>IFERROR(VLOOKUP($A602,#REF!,10,0),"")</f>
        <v/>
      </c>
      <c r="R602" s="359" t="str">
        <f>IFERROR(VLOOKUP($A602,#REF!,11,0),"")</f>
        <v/>
      </c>
      <c r="S602" s="359" t="str">
        <f>IFERROR(VLOOKUP($A602,#REF!,13,0),"")</f>
        <v/>
      </c>
      <c r="T602" s="359" t="str">
        <f>IFERROR(VLOOKUP($A602,#REF!,14,0),"")</f>
        <v/>
      </c>
      <c r="U602" s="359" t="str">
        <f>IFERROR(VLOOKUP($A602,#REF!,15,0),"")</f>
        <v/>
      </c>
      <c r="V602" s="359" t="str">
        <f>IFERROR(VLOOKUP($A602,#REF!,16,0),"")</f>
        <v/>
      </c>
      <c r="W602" s="359" t="str">
        <f>IFERROR(VLOOKUP($A602,#REF!,17,0),"")</f>
        <v/>
      </c>
      <c r="X602" s="359" t="str">
        <f>IFERROR(VLOOKUP($A602,#REF!,18,0),"")</f>
        <v/>
      </c>
      <c r="Y602" s="359" t="str">
        <f>IFERROR(VLOOKUP($A602,#REF!,19,0),"")</f>
        <v/>
      </c>
      <c r="Z602" s="400" t="str">
        <f>IFERROR(VLOOKUP($A602,#REF!,21,0),"")</f>
        <v/>
      </c>
      <c r="AA602" s="358"/>
      <c r="AB602" s="358"/>
      <c r="AC602" s="358"/>
      <c r="AD602" s="358"/>
      <c r="AE602" s="358"/>
      <c r="AF602" s="141"/>
      <c r="AG602" s="358"/>
      <c r="AH602" s="358"/>
      <c r="AI602" s="358"/>
      <c r="AJ602" s="380"/>
      <c r="AK602" s="380"/>
      <c r="AL602" s="380"/>
      <c r="AM602" s="380"/>
      <c r="AN602" s="120"/>
      <c r="AO602" s="120"/>
      <c r="AP602" s="120"/>
      <c r="AQ602" s="93"/>
      <c r="AR602" s="358"/>
      <c r="AS602" s="358"/>
      <c r="AT602" s="358"/>
      <c r="AU602" s="358"/>
      <c r="AV602" s="358"/>
      <c r="AW602" s="82"/>
      <c r="AX602" s="82"/>
      <c r="AY602" s="82"/>
      <c r="AZ602" s="82"/>
      <c r="BA602" s="82"/>
      <c r="BB602" s="82"/>
      <c r="BC602" s="82"/>
      <c r="BD602" s="82"/>
      <c r="BE602" s="82"/>
      <c r="BF602" s="82"/>
      <c r="BG602" s="112"/>
      <c r="BH602" s="112"/>
      <c r="BI602" s="112"/>
      <c r="BJ602" s="112"/>
      <c r="BK602" s="82"/>
      <c r="BL602" s="82"/>
      <c r="BN602" s="412"/>
      <c r="BO602" s="412"/>
      <c r="BP602" s="412"/>
      <c r="BQ602" s="412"/>
      <c r="BR602" s="412"/>
      <c r="BZ602" t="str">
        <f t="shared" si="53"/>
        <v/>
      </c>
    </row>
    <row r="603" spans="1:123" ht="15.6" hidden="1" customHeight="1">
      <c r="A603" s="35" t="str">
        <f t="shared" si="59"/>
        <v/>
      </c>
      <c r="C603" s="358" t="s">
        <v>24</v>
      </c>
      <c r="D603" s="358">
        <v>599</v>
      </c>
      <c r="E603" s="119"/>
      <c r="F603" s="119"/>
      <c r="G603" s="266"/>
      <c r="H603" s="119"/>
      <c r="I603" s="358"/>
      <c r="J603" s="359" t="str">
        <f>IFERROR(VLOOKUP($A603,#REF!,3,0),"")</f>
        <v/>
      </c>
      <c r="K603" s="359">
        <f>IFERROR(VLOOKUP($A603,#REF!,4,0),AF603)</f>
        <v>0</v>
      </c>
      <c r="L603" s="359" t="str">
        <f>IFERROR(VLOOKUP($A603,#REF!,5,0),"")</f>
        <v/>
      </c>
      <c r="M603" s="359" t="str">
        <f>IFERROR(VLOOKUP($A603,#REF!,7,0),"")</f>
        <v/>
      </c>
      <c r="N603" s="359"/>
      <c r="O603" s="359" t="str">
        <f>IFERROR(VLOOKUP($A603,#REF!,6,0),"")</f>
        <v/>
      </c>
      <c r="P603" s="359" t="str">
        <f>IFERROR(VLOOKUP($A603,#REF!,9,0),"")</f>
        <v/>
      </c>
      <c r="Q603" s="359" t="str">
        <f>IFERROR(VLOOKUP($A603,#REF!,10,0),"")</f>
        <v/>
      </c>
      <c r="R603" s="359" t="str">
        <f>IFERROR(VLOOKUP($A603,#REF!,11,0),"")</f>
        <v/>
      </c>
      <c r="S603" s="359" t="str">
        <f>IFERROR(VLOOKUP($A603,#REF!,13,0),"")</f>
        <v/>
      </c>
      <c r="T603" s="359" t="str">
        <f>IFERROR(VLOOKUP($A603,#REF!,14,0),"")</f>
        <v/>
      </c>
      <c r="U603" s="359" t="str">
        <f>IFERROR(VLOOKUP($A603,#REF!,15,0),"")</f>
        <v/>
      </c>
      <c r="V603" s="359" t="str">
        <f>IFERROR(VLOOKUP($A603,#REF!,16,0),"")</f>
        <v/>
      </c>
      <c r="W603" s="359" t="str">
        <f>IFERROR(VLOOKUP($A603,#REF!,17,0),"")</f>
        <v/>
      </c>
      <c r="X603" s="359" t="str">
        <f>IFERROR(VLOOKUP($A603,#REF!,18,0),"")</f>
        <v/>
      </c>
      <c r="Y603" s="359" t="str">
        <f>IFERROR(VLOOKUP($A603,#REF!,19,0),"")</f>
        <v/>
      </c>
      <c r="Z603" s="400" t="str">
        <f>IFERROR(VLOOKUP($A603,#REF!,21,0),"")</f>
        <v/>
      </c>
      <c r="AA603" s="358"/>
      <c r="AB603" s="358"/>
      <c r="AC603" s="358"/>
      <c r="AD603" s="358"/>
      <c r="AE603" s="358"/>
      <c r="AF603" s="141"/>
      <c r="AG603" s="358"/>
      <c r="AH603" s="358"/>
      <c r="AI603" s="358"/>
      <c r="AJ603" s="380"/>
      <c r="AK603" s="380"/>
      <c r="AL603" s="380"/>
      <c r="AM603" s="380"/>
      <c r="AN603" s="120"/>
      <c r="AO603" s="120"/>
      <c r="AP603" s="120"/>
      <c r="AQ603" s="93"/>
      <c r="AR603" s="358"/>
      <c r="AS603" s="358"/>
      <c r="AT603" s="358"/>
      <c r="AU603" s="358"/>
      <c r="AV603" s="358"/>
      <c r="AW603" s="82"/>
      <c r="AX603" s="82"/>
      <c r="AY603" s="82"/>
      <c r="AZ603" s="82"/>
      <c r="BA603" s="82"/>
      <c r="BB603" s="82"/>
      <c r="BC603" s="82"/>
      <c r="BD603" s="82"/>
      <c r="BE603" s="82"/>
      <c r="BF603" s="82"/>
      <c r="BG603" s="112"/>
      <c r="BH603" s="112"/>
      <c r="BI603" s="112"/>
      <c r="BJ603" s="112"/>
      <c r="BK603" s="82"/>
      <c r="BL603" s="82"/>
      <c r="BN603" s="412"/>
      <c r="BO603" s="412"/>
      <c r="BP603" s="412"/>
      <c r="BQ603" s="412"/>
      <c r="BR603" s="412"/>
      <c r="BZ603" t="str">
        <f t="shared" si="53"/>
        <v/>
      </c>
    </row>
    <row r="604" spans="1:123" ht="15.6" hidden="1" customHeight="1">
      <c r="A604" s="35" t="str">
        <f t="shared" si="59"/>
        <v/>
      </c>
      <c r="C604" s="358" t="s">
        <v>24</v>
      </c>
      <c r="D604" s="358">
        <v>600</v>
      </c>
      <c r="E604" s="119"/>
      <c r="F604" s="119"/>
      <c r="G604" s="266"/>
      <c r="H604" s="119"/>
      <c r="I604" s="358"/>
      <c r="J604" s="359" t="str">
        <f>IFERROR(VLOOKUP($A604,#REF!,3,0),"")</f>
        <v/>
      </c>
      <c r="K604" s="359">
        <f>IFERROR(VLOOKUP($A604,#REF!,4,0),AF604)</f>
        <v>0</v>
      </c>
      <c r="L604" s="359" t="str">
        <f>IFERROR(VLOOKUP($A604,#REF!,5,0),"")</f>
        <v/>
      </c>
      <c r="M604" s="359" t="str">
        <f>IFERROR(VLOOKUP($A604,#REF!,7,0),"")</f>
        <v/>
      </c>
      <c r="N604" s="359"/>
      <c r="O604" s="359" t="str">
        <f>IFERROR(VLOOKUP($A604,#REF!,6,0),"")</f>
        <v/>
      </c>
      <c r="P604" s="359" t="str">
        <f>IFERROR(VLOOKUP($A604,#REF!,9,0),"")</f>
        <v/>
      </c>
      <c r="Q604" s="359" t="str">
        <f>IFERROR(VLOOKUP($A604,#REF!,10,0),"")</f>
        <v/>
      </c>
      <c r="R604" s="359" t="str">
        <f>IFERROR(VLOOKUP($A604,#REF!,11,0),"")</f>
        <v/>
      </c>
      <c r="S604" s="359" t="str">
        <f>IFERROR(VLOOKUP($A604,#REF!,13,0),"")</f>
        <v/>
      </c>
      <c r="T604" s="359" t="str">
        <f>IFERROR(VLOOKUP($A604,#REF!,14,0),"")</f>
        <v/>
      </c>
      <c r="U604" s="359" t="str">
        <f>IFERROR(VLOOKUP($A604,#REF!,15,0),"")</f>
        <v/>
      </c>
      <c r="V604" s="359" t="str">
        <f>IFERROR(VLOOKUP($A604,#REF!,16,0),"")</f>
        <v/>
      </c>
      <c r="W604" s="359" t="str">
        <f>IFERROR(VLOOKUP($A604,#REF!,17,0),"")</f>
        <v/>
      </c>
      <c r="X604" s="359" t="str">
        <f>IFERROR(VLOOKUP($A604,#REF!,18,0),"")</f>
        <v/>
      </c>
      <c r="Y604" s="359" t="str">
        <f>IFERROR(VLOOKUP($A604,#REF!,19,0),"")</f>
        <v/>
      </c>
      <c r="Z604" s="400" t="str">
        <f>IFERROR(VLOOKUP($A604,#REF!,21,0),"")</f>
        <v/>
      </c>
      <c r="AA604" s="358"/>
      <c r="AB604" s="358"/>
      <c r="AC604" s="358"/>
      <c r="AD604" s="358"/>
      <c r="AE604" s="358"/>
      <c r="AF604" s="141"/>
      <c r="AG604" s="358"/>
      <c r="AH604" s="358"/>
      <c r="AI604" s="358"/>
      <c r="AJ604" s="380"/>
      <c r="AK604" s="380"/>
      <c r="AL604" s="380"/>
      <c r="AM604" s="380"/>
      <c r="AN604" s="120"/>
      <c r="AO604" s="120"/>
      <c r="AP604" s="120"/>
      <c r="AQ604" s="93"/>
      <c r="AR604" s="358"/>
      <c r="AS604" s="358"/>
      <c r="AT604" s="358"/>
      <c r="AU604" s="358"/>
      <c r="AV604" s="358"/>
      <c r="AW604" s="82"/>
      <c r="AX604" s="82"/>
      <c r="AY604" s="82"/>
      <c r="AZ604" s="82"/>
      <c r="BA604" s="82"/>
      <c r="BB604" s="82"/>
      <c r="BC604" s="82"/>
      <c r="BD604" s="82"/>
      <c r="BE604" s="82"/>
      <c r="BF604" s="82"/>
      <c r="BG604" s="112"/>
      <c r="BH604" s="112"/>
      <c r="BI604" s="112"/>
      <c r="BJ604" s="112"/>
      <c r="BK604" s="82"/>
      <c r="BL604" s="82"/>
      <c r="BN604" s="412"/>
      <c r="BO604" s="412"/>
      <c r="BP604" s="412"/>
      <c r="BQ604" s="412"/>
      <c r="BR604" s="412"/>
      <c r="BZ604" t="str">
        <f t="shared" si="53"/>
        <v/>
      </c>
    </row>
    <row r="605" spans="1:123" ht="15.6" hidden="1" customHeight="1">
      <c r="A605" s="35" t="str">
        <f t="shared" si="59"/>
        <v/>
      </c>
      <c r="C605" s="358" t="s">
        <v>24</v>
      </c>
      <c r="D605" s="358">
        <v>601</v>
      </c>
      <c r="E605" s="119"/>
      <c r="F605" s="119"/>
      <c r="G605" s="266"/>
      <c r="H605" s="119"/>
      <c r="I605" s="358"/>
      <c r="J605" s="359" t="str">
        <f>IFERROR(VLOOKUP($A605,#REF!,3,0),"")</f>
        <v/>
      </c>
      <c r="K605" s="359">
        <f>IFERROR(VLOOKUP($A605,#REF!,4,0),AF605)</f>
        <v>0</v>
      </c>
      <c r="L605" s="359" t="str">
        <f>IFERROR(VLOOKUP($A605,#REF!,5,0),"")</f>
        <v/>
      </c>
      <c r="M605" s="359" t="str">
        <f>IFERROR(VLOOKUP($A605,#REF!,7,0),"")</f>
        <v/>
      </c>
      <c r="N605" s="359"/>
      <c r="O605" s="359" t="str">
        <f>IFERROR(VLOOKUP($A605,#REF!,6,0),"")</f>
        <v/>
      </c>
      <c r="P605" s="359" t="str">
        <f>IFERROR(VLOOKUP($A605,#REF!,9,0),"")</f>
        <v/>
      </c>
      <c r="Q605" s="359" t="str">
        <f>IFERROR(VLOOKUP($A605,#REF!,10,0),"")</f>
        <v/>
      </c>
      <c r="R605" s="359" t="str">
        <f>IFERROR(VLOOKUP($A605,#REF!,11,0),"")</f>
        <v/>
      </c>
      <c r="S605" s="359" t="str">
        <f>IFERROR(VLOOKUP($A605,#REF!,13,0),"")</f>
        <v/>
      </c>
      <c r="T605" s="359" t="str">
        <f>IFERROR(VLOOKUP($A605,#REF!,14,0),"")</f>
        <v/>
      </c>
      <c r="U605" s="359" t="str">
        <f>IFERROR(VLOOKUP($A605,#REF!,15,0),"")</f>
        <v/>
      </c>
      <c r="V605" s="359" t="str">
        <f>IFERROR(VLOOKUP($A605,#REF!,16,0),"")</f>
        <v/>
      </c>
      <c r="W605" s="359" t="str">
        <f>IFERROR(VLOOKUP($A605,#REF!,17,0),"")</f>
        <v/>
      </c>
      <c r="X605" s="359" t="str">
        <f>IFERROR(VLOOKUP($A605,#REF!,18,0),"")</f>
        <v/>
      </c>
      <c r="Y605" s="359" t="str">
        <f>IFERROR(VLOOKUP($A605,#REF!,19,0),"")</f>
        <v/>
      </c>
      <c r="Z605" s="400" t="str">
        <f>IFERROR(VLOOKUP($A605,#REF!,21,0),"")</f>
        <v/>
      </c>
      <c r="AA605" s="358"/>
      <c r="AB605" s="358"/>
      <c r="AC605" s="358"/>
      <c r="AD605" s="358"/>
      <c r="AE605" s="358"/>
      <c r="AF605" s="141"/>
      <c r="AG605" s="358"/>
      <c r="AH605" s="358"/>
      <c r="AI605" s="358"/>
      <c r="AJ605" s="380"/>
      <c r="AK605" s="380"/>
      <c r="AL605" s="380"/>
      <c r="AM605" s="380"/>
      <c r="AN605" s="120"/>
      <c r="AO605" s="120"/>
      <c r="AP605" s="120"/>
      <c r="AQ605" s="93"/>
      <c r="AR605" s="358"/>
      <c r="AS605" s="358"/>
      <c r="AT605" s="358"/>
      <c r="AU605" s="358"/>
      <c r="AV605" s="358"/>
      <c r="AW605" s="82"/>
      <c r="AX605" s="82"/>
      <c r="AY605" s="82"/>
      <c r="AZ605" s="82"/>
      <c r="BA605" s="82"/>
      <c r="BB605" s="82"/>
      <c r="BC605" s="82"/>
      <c r="BD605" s="82"/>
      <c r="BE605" s="82"/>
      <c r="BF605" s="82"/>
      <c r="BG605" s="112"/>
      <c r="BH605" s="112"/>
      <c r="BI605" s="112"/>
      <c r="BJ605" s="112"/>
      <c r="BK605" s="82"/>
      <c r="BL605" s="82"/>
      <c r="BN605" s="412"/>
      <c r="BO605" s="412"/>
      <c r="BP605" s="412"/>
      <c r="BQ605" s="412"/>
      <c r="BR605" s="412"/>
      <c r="BZ605" t="str">
        <f t="shared" si="53"/>
        <v/>
      </c>
    </row>
    <row r="606" spans="1:123" ht="15.6" hidden="1" customHeight="1">
      <c r="A606" s="35" t="str">
        <f t="shared" si="59"/>
        <v/>
      </c>
      <c r="C606" s="358" t="s">
        <v>24</v>
      </c>
      <c r="D606" s="358">
        <v>602</v>
      </c>
      <c r="E606" s="119"/>
      <c r="F606" s="119"/>
      <c r="G606" s="266"/>
      <c r="H606" s="119"/>
      <c r="I606" s="358"/>
      <c r="J606" s="359" t="str">
        <f>IFERROR(VLOOKUP($A606,#REF!,3,0),"")</f>
        <v/>
      </c>
      <c r="K606" s="359">
        <f>IFERROR(VLOOKUP($A606,#REF!,4,0),AF606)</f>
        <v>0</v>
      </c>
      <c r="L606" s="359" t="str">
        <f>IFERROR(VLOOKUP($A606,#REF!,5,0),"")</f>
        <v/>
      </c>
      <c r="M606" s="359" t="str">
        <f>IFERROR(VLOOKUP($A606,#REF!,7,0),"")</f>
        <v/>
      </c>
      <c r="N606" s="359"/>
      <c r="O606" s="359" t="str">
        <f>IFERROR(VLOOKUP($A606,#REF!,6,0),"")</f>
        <v/>
      </c>
      <c r="P606" s="359" t="str">
        <f>IFERROR(VLOOKUP($A606,#REF!,9,0),"")</f>
        <v/>
      </c>
      <c r="Q606" s="359" t="str">
        <f>IFERROR(VLOOKUP($A606,#REF!,10,0),"")</f>
        <v/>
      </c>
      <c r="R606" s="359" t="str">
        <f>IFERROR(VLOOKUP($A606,#REF!,11,0),"")</f>
        <v/>
      </c>
      <c r="S606" s="359" t="str">
        <f>IFERROR(VLOOKUP($A606,#REF!,13,0),"")</f>
        <v/>
      </c>
      <c r="T606" s="359" t="str">
        <f>IFERROR(VLOOKUP($A606,#REF!,14,0),"")</f>
        <v/>
      </c>
      <c r="U606" s="359" t="str">
        <f>IFERROR(VLOOKUP($A606,#REF!,15,0),"")</f>
        <v/>
      </c>
      <c r="V606" s="359" t="str">
        <f>IFERROR(VLOOKUP($A606,#REF!,16,0),"")</f>
        <v/>
      </c>
      <c r="W606" s="359" t="str">
        <f>IFERROR(VLOOKUP($A606,#REF!,17,0),"")</f>
        <v/>
      </c>
      <c r="X606" s="359" t="str">
        <f>IFERROR(VLOOKUP($A606,#REF!,18,0),"")</f>
        <v/>
      </c>
      <c r="Y606" s="359" t="str">
        <f>IFERROR(VLOOKUP($A606,#REF!,19,0),"")</f>
        <v/>
      </c>
      <c r="Z606" s="400" t="str">
        <f>IFERROR(VLOOKUP($A606,#REF!,21,0),"")</f>
        <v/>
      </c>
      <c r="AA606" s="358"/>
      <c r="AB606" s="358"/>
      <c r="AC606" s="358"/>
      <c r="AD606" s="358"/>
      <c r="AE606" s="358"/>
      <c r="AF606" s="141"/>
      <c r="AG606" s="358"/>
      <c r="AH606" s="358"/>
      <c r="AI606" s="358"/>
      <c r="AJ606" s="380"/>
      <c r="AK606" s="380"/>
      <c r="AL606" s="380"/>
      <c r="AM606" s="380"/>
      <c r="AN606" s="120"/>
      <c r="AO606" s="120"/>
      <c r="AP606" s="120"/>
      <c r="AQ606" s="93"/>
      <c r="AR606" s="358"/>
      <c r="AS606" s="358"/>
      <c r="AT606" s="358"/>
      <c r="AU606" s="358"/>
      <c r="AV606" s="358"/>
      <c r="AW606" s="82"/>
      <c r="AX606" s="82"/>
      <c r="AY606" s="82"/>
      <c r="AZ606" s="82"/>
      <c r="BA606" s="82"/>
      <c r="BB606" s="82"/>
      <c r="BC606" s="82"/>
      <c r="BD606" s="82"/>
      <c r="BE606" s="82"/>
      <c r="BF606" s="82"/>
      <c r="BG606" s="112"/>
      <c r="BH606" s="112"/>
      <c r="BI606" s="112"/>
      <c r="BJ606" s="112"/>
      <c r="BK606" s="82"/>
      <c r="BL606" s="82"/>
      <c r="BN606" s="412"/>
      <c r="BO606" s="412"/>
      <c r="BP606" s="412"/>
      <c r="BQ606" s="412"/>
      <c r="BR606" s="412"/>
      <c r="BZ606" t="str">
        <f t="shared" si="53"/>
        <v/>
      </c>
    </row>
    <row r="607" spans="1:123" ht="15.6" hidden="1" customHeight="1">
      <c r="A607" s="35" t="str">
        <f t="shared" si="59"/>
        <v/>
      </c>
      <c r="C607" s="358" t="s">
        <v>24</v>
      </c>
      <c r="D607" s="358">
        <v>603</v>
      </c>
      <c r="E607" s="119"/>
      <c r="F607" s="119"/>
      <c r="G607" s="266"/>
      <c r="H607" s="119"/>
      <c r="I607" s="358"/>
      <c r="J607" s="359" t="str">
        <f>IFERROR(VLOOKUP($A607,#REF!,3,0),"")</f>
        <v/>
      </c>
      <c r="K607" s="359">
        <f>IFERROR(VLOOKUP($A607,#REF!,4,0),AF607)</f>
        <v>0</v>
      </c>
      <c r="L607" s="359" t="str">
        <f>IFERROR(VLOOKUP($A607,#REF!,5,0),"")</f>
        <v/>
      </c>
      <c r="M607" s="359" t="str">
        <f>IFERROR(VLOOKUP($A607,#REF!,7,0),"")</f>
        <v/>
      </c>
      <c r="N607" s="359"/>
      <c r="O607" s="359" t="str">
        <f>IFERROR(VLOOKUP($A607,#REF!,6,0),"")</f>
        <v/>
      </c>
      <c r="P607" s="359" t="str">
        <f>IFERROR(VLOOKUP($A607,#REF!,9,0),"")</f>
        <v/>
      </c>
      <c r="Q607" s="359" t="str">
        <f>IFERROR(VLOOKUP($A607,#REF!,10,0),"")</f>
        <v/>
      </c>
      <c r="R607" s="359" t="str">
        <f>IFERROR(VLOOKUP($A607,#REF!,11,0),"")</f>
        <v/>
      </c>
      <c r="S607" s="359" t="str">
        <f>IFERROR(VLOOKUP($A607,#REF!,13,0),"")</f>
        <v/>
      </c>
      <c r="T607" s="359" t="str">
        <f>IFERROR(VLOOKUP($A607,#REF!,14,0),"")</f>
        <v/>
      </c>
      <c r="U607" s="359" t="str">
        <f>IFERROR(VLOOKUP($A607,#REF!,15,0),"")</f>
        <v/>
      </c>
      <c r="V607" s="359" t="str">
        <f>IFERROR(VLOOKUP($A607,#REF!,16,0),"")</f>
        <v/>
      </c>
      <c r="W607" s="359" t="str">
        <f>IFERROR(VLOOKUP($A607,#REF!,17,0),"")</f>
        <v/>
      </c>
      <c r="X607" s="359" t="str">
        <f>IFERROR(VLOOKUP($A607,#REF!,18,0),"")</f>
        <v/>
      </c>
      <c r="Y607" s="359" t="str">
        <f>IFERROR(VLOOKUP($A607,#REF!,19,0),"")</f>
        <v/>
      </c>
      <c r="Z607" s="400" t="str">
        <f>IFERROR(VLOOKUP($A607,#REF!,21,0),"")</f>
        <v/>
      </c>
      <c r="AA607" s="358"/>
      <c r="AB607" s="358"/>
      <c r="AC607" s="358"/>
      <c r="AD607" s="358"/>
      <c r="AE607" s="358"/>
      <c r="AF607" s="141"/>
      <c r="AG607" s="358"/>
      <c r="AH607" s="358"/>
      <c r="AI607" s="358"/>
      <c r="AJ607" s="380"/>
      <c r="AK607" s="380"/>
      <c r="AL607" s="380"/>
      <c r="AM607" s="380"/>
      <c r="AN607" s="120"/>
      <c r="AO607" s="120"/>
      <c r="AP607" s="120"/>
      <c r="AQ607" s="93"/>
      <c r="AR607" s="358"/>
      <c r="AS607" s="358"/>
      <c r="AT607" s="358"/>
      <c r="AU607" s="358"/>
      <c r="AV607" s="358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112"/>
      <c r="BH607" s="112"/>
      <c r="BI607" s="112"/>
      <c r="BJ607" s="112"/>
      <c r="BK607" s="82"/>
      <c r="BL607" s="82"/>
      <c r="BN607" s="412"/>
      <c r="BO607" s="412"/>
      <c r="BP607" s="412"/>
      <c r="BQ607" s="412"/>
      <c r="BR607" s="412"/>
      <c r="BZ607" t="str">
        <f t="shared" si="53"/>
        <v/>
      </c>
    </row>
    <row r="608" spans="1:123" ht="15.6" hidden="1" customHeight="1">
      <c r="A608" s="35" t="str">
        <f t="shared" si="59"/>
        <v/>
      </c>
      <c r="C608" s="358" t="s">
        <v>24</v>
      </c>
      <c r="D608" s="358">
        <v>604</v>
      </c>
      <c r="E608" s="119"/>
      <c r="F608" s="119"/>
      <c r="G608" s="266"/>
      <c r="H608" s="119"/>
      <c r="I608" s="358"/>
      <c r="J608" s="359" t="str">
        <f>IFERROR(VLOOKUP($A608,#REF!,3,0),"")</f>
        <v/>
      </c>
      <c r="K608" s="359">
        <f>IFERROR(VLOOKUP($A608,#REF!,4,0),AF608)</f>
        <v>0</v>
      </c>
      <c r="L608" s="359" t="str">
        <f>IFERROR(VLOOKUP($A608,#REF!,5,0),"")</f>
        <v/>
      </c>
      <c r="M608" s="359" t="str">
        <f>IFERROR(VLOOKUP($A608,#REF!,7,0),"")</f>
        <v/>
      </c>
      <c r="N608" s="359"/>
      <c r="O608" s="359" t="str">
        <f>IFERROR(VLOOKUP($A608,#REF!,6,0),"")</f>
        <v/>
      </c>
      <c r="P608" s="359" t="str">
        <f>IFERROR(VLOOKUP($A608,#REF!,9,0),"")</f>
        <v/>
      </c>
      <c r="Q608" s="359" t="str">
        <f>IFERROR(VLOOKUP($A608,#REF!,10,0),"")</f>
        <v/>
      </c>
      <c r="R608" s="359" t="str">
        <f>IFERROR(VLOOKUP($A608,#REF!,11,0),"")</f>
        <v/>
      </c>
      <c r="S608" s="359" t="str">
        <f>IFERROR(VLOOKUP($A608,#REF!,13,0),"")</f>
        <v/>
      </c>
      <c r="T608" s="359" t="str">
        <f>IFERROR(VLOOKUP($A608,#REF!,14,0),"")</f>
        <v/>
      </c>
      <c r="U608" s="359" t="str">
        <f>IFERROR(VLOOKUP($A608,#REF!,15,0),"")</f>
        <v/>
      </c>
      <c r="V608" s="359" t="str">
        <f>IFERROR(VLOOKUP($A608,#REF!,16,0),"")</f>
        <v/>
      </c>
      <c r="W608" s="359" t="str">
        <f>IFERROR(VLOOKUP($A608,#REF!,17,0),"")</f>
        <v/>
      </c>
      <c r="X608" s="359" t="str">
        <f>IFERROR(VLOOKUP($A608,#REF!,18,0),"")</f>
        <v/>
      </c>
      <c r="Y608" s="359" t="str">
        <f>IFERROR(VLOOKUP($A608,#REF!,19,0),"")</f>
        <v/>
      </c>
      <c r="Z608" s="400" t="str">
        <f>IFERROR(VLOOKUP($A608,#REF!,21,0),"")</f>
        <v/>
      </c>
      <c r="AA608" s="358"/>
      <c r="AB608" s="358"/>
      <c r="AC608" s="358"/>
      <c r="AD608" s="358"/>
      <c r="AE608" s="358"/>
      <c r="AF608" s="141"/>
      <c r="AG608" s="358"/>
      <c r="AH608" s="358"/>
      <c r="AI608" s="358"/>
      <c r="AJ608" s="380"/>
      <c r="AK608" s="380"/>
      <c r="AL608" s="380"/>
      <c r="AM608" s="380"/>
      <c r="AN608" s="120"/>
      <c r="AO608" s="120"/>
      <c r="AP608" s="120"/>
      <c r="AQ608" s="93"/>
      <c r="AR608" s="358"/>
      <c r="AS608" s="358"/>
      <c r="AT608" s="358"/>
      <c r="AU608" s="358"/>
      <c r="AV608" s="358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112"/>
      <c r="BH608" s="112"/>
      <c r="BI608" s="112"/>
      <c r="BJ608" s="112"/>
      <c r="BK608" s="82"/>
      <c r="BL608" s="82"/>
      <c r="BN608" s="412"/>
      <c r="BO608" s="412"/>
      <c r="BP608" s="412"/>
      <c r="BQ608" s="412"/>
      <c r="BR608" s="412"/>
      <c r="BZ608" t="str">
        <f t="shared" si="53"/>
        <v/>
      </c>
    </row>
    <row r="609" spans="1:78" ht="15.6" hidden="1" customHeight="1">
      <c r="A609" s="35" t="str">
        <f t="shared" si="59"/>
        <v/>
      </c>
      <c r="C609" s="358" t="s">
        <v>24</v>
      </c>
      <c r="D609" s="358">
        <v>605</v>
      </c>
      <c r="E609" s="119"/>
      <c r="F609" s="119"/>
      <c r="G609" s="266"/>
      <c r="H609" s="119"/>
      <c r="I609" s="358"/>
      <c r="J609" s="359" t="str">
        <f>IFERROR(VLOOKUP($A609,#REF!,3,0),"")</f>
        <v/>
      </c>
      <c r="K609" s="359">
        <f>IFERROR(VLOOKUP($A609,#REF!,4,0),AF609)</f>
        <v>0</v>
      </c>
      <c r="L609" s="359" t="str">
        <f>IFERROR(VLOOKUP($A609,#REF!,5,0),"")</f>
        <v/>
      </c>
      <c r="M609" s="359" t="str">
        <f>IFERROR(VLOOKUP($A609,#REF!,7,0),"")</f>
        <v/>
      </c>
      <c r="N609" s="359"/>
      <c r="O609" s="359" t="str">
        <f>IFERROR(VLOOKUP($A609,#REF!,6,0),"")</f>
        <v/>
      </c>
      <c r="P609" s="359" t="str">
        <f>IFERROR(VLOOKUP($A609,#REF!,9,0),"")</f>
        <v/>
      </c>
      <c r="Q609" s="359" t="str">
        <f>IFERROR(VLOOKUP($A609,#REF!,10,0),"")</f>
        <v/>
      </c>
      <c r="R609" s="359" t="str">
        <f>IFERROR(VLOOKUP($A609,#REF!,11,0),"")</f>
        <v/>
      </c>
      <c r="S609" s="359" t="str">
        <f>IFERROR(VLOOKUP($A609,#REF!,13,0),"")</f>
        <v/>
      </c>
      <c r="T609" s="359" t="str">
        <f>IFERROR(VLOOKUP($A609,#REF!,14,0),"")</f>
        <v/>
      </c>
      <c r="U609" s="359" t="str">
        <f>IFERROR(VLOOKUP($A609,#REF!,15,0),"")</f>
        <v/>
      </c>
      <c r="V609" s="359" t="str">
        <f>IFERROR(VLOOKUP($A609,#REF!,16,0),"")</f>
        <v/>
      </c>
      <c r="W609" s="359" t="str">
        <f>IFERROR(VLOOKUP($A609,#REF!,17,0),"")</f>
        <v/>
      </c>
      <c r="X609" s="359" t="str">
        <f>IFERROR(VLOOKUP($A609,#REF!,18,0),"")</f>
        <v/>
      </c>
      <c r="Y609" s="359" t="str">
        <f>IFERROR(VLOOKUP($A609,#REF!,19,0),"")</f>
        <v/>
      </c>
      <c r="Z609" s="400" t="str">
        <f>IFERROR(VLOOKUP($A609,#REF!,21,0),"")</f>
        <v/>
      </c>
      <c r="AA609" s="358"/>
      <c r="AB609" s="358"/>
      <c r="AC609" s="358"/>
      <c r="AD609" s="358"/>
      <c r="AE609" s="358"/>
      <c r="AF609" s="141"/>
      <c r="AG609" s="358"/>
      <c r="AH609" s="358"/>
      <c r="AI609" s="358"/>
      <c r="AJ609" s="380"/>
      <c r="AK609" s="380"/>
      <c r="AL609" s="380"/>
      <c r="AM609" s="380"/>
      <c r="AN609" s="120"/>
      <c r="AO609" s="120"/>
      <c r="AP609" s="120"/>
      <c r="AQ609" s="93"/>
      <c r="AR609" s="358"/>
      <c r="AS609" s="358"/>
      <c r="AT609" s="358"/>
      <c r="AU609" s="358"/>
      <c r="AV609" s="358"/>
      <c r="AW609" s="82"/>
      <c r="AX609" s="82"/>
      <c r="AY609" s="82"/>
      <c r="AZ609" s="82"/>
      <c r="BA609" s="82"/>
      <c r="BB609" s="82"/>
      <c r="BC609" s="82"/>
      <c r="BD609" s="82"/>
      <c r="BE609" s="82"/>
      <c r="BF609" s="82"/>
      <c r="BG609" s="112"/>
      <c r="BH609" s="112"/>
      <c r="BI609" s="112"/>
      <c r="BJ609" s="112"/>
      <c r="BK609" s="82"/>
      <c r="BL609" s="82"/>
      <c r="BN609" s="412"/>
      <c r="BO609" s="412"/>
      <c r="BP609" s="412"/>
      <c r="BQ609" s="412"/>
      <c r="BR609" s="412"/>
      <c r="BZ609" t="str">
        <f t="shared" si="53"/>
        <v/>
      </c>
    </row>
    <row r="610" spans="1:78" ht="15.6" hidden="1" customHeight="1">
      <c r="A610" s="35" t="str">
        <f t="shared" si="59"/>
        <v/>
      </c>
      <c r="C610" s="358" t="s">
        <v>24</v>
      </c>
      <c r="D610" s="358">
        <v>606</v>
      </c>
      <c r="E610" s="119"/>
      <c r="F610" s="119"/>
      <c r="G610" s="266"/>
      <c r="H610" s="119"/>
      <c r="I610" s="358"/>
      <c r="J610" s="359" t="str">
        <f>IFERROR(VLOOKUP($A610,#REF!,3,0),"")</f>
        <v/>
      </c>
      <c r="K610" s="359">
        <f>IFERROR(VLOOKUP($A610,#REF!,4,0),AF610)</f>
        <v>0</v>
      </c>
      <c r="L610" s="359" t="str">
        <f>IFERROR(VLOOKUP($A610,#REF!,5,0),"")</f>
        <v/>
      </c>
      <c r="M610" s="359" t="str">
        <f>IFERROR(VLOOKUP($A610,#REF!,7,0),"")</f>
        <v/>
      </c>
      <c r="N610" s="359"/>
      <c r="O610" s="359" t="str">
        <f>IFERROR(VLOOKUP($A610,#REF!,6,0),"")</f>
        <v/>
      </c>
      <c r="P610" s="359" t="str">
        <f>IFERROR(VLOOKUP($A610,#REF!,9,0),"")</f>
        <v/>
      </c>
      <c r="Q610" s="359" t="str">
        <f>IFERROR(VLOOKUP($A610,#REF!,10,0),"")</f>
        <v/>
      </c>
      <c r="R610" s="359" t="str">
        <f>IFERROR(VLOOKUP($A610,#REF!,11,0),"")</f>
        <v/>
      </c>
      <c r="S610" s="359" t="str">
        <f>IFERROR(VLOOKUP($A610,#REF!,13,0),"")</f>
        <v/>
      </c>
      <c r="T610" s="359" t="str">
        <f>IFERROR(VLOOKUP($A610,#REF!,14,0),"")</f>
        <v/>
      </c>
      <c r="U610" s="359" t="str">
        <f>IFERROR(VLOOKUP($A610,#REF!,15,0),"")</f>
        <v/>
      </c>
      <c r="V610" s="359" t="str">
        <f>IFERROR(VLOOKUP($A610,#REF!,16,0),"")</f>
        <v/>
      </c>
      <c r="W610" s="359" t="str">
        <f>IFERROR(VLOOKUP($A610,#REF!,17,0),"")</f>
        <v/>
      </c>
      <c r="X610" s="359" t="str">
        <f>IFERROR(VLOOKUP($A610,#REF!,18,0),"")</f>
        <v/>
      </c>
      <c r="Y610" s="359" t="str">
        <f>IFERROR(VLOOKUP($A610,#REF!,19,0),"")</f>
        <v/>
      </c>
      <c r="Z610" s="400" t="str">
        <f>IFERROR(VLOOKUP($A610,#REF!,21,0),"")</f>
        <v/>
      </c>
      <c r="AA610" s="358"/>
      <c r="AB610" s="358"/>
      <c r="AC610" s="358"/>
      <c r="AD610" s="358"/>
      <c r="AE610" s="358"/>
      <c r="AF610" s="141"/>
      <c r="AG610" s="358"/>
      <c r="AH610" s="358"/>
      <c r="AI610" s="358"/>
      <c r="AJ610" s="380"/>
      <c r="AK610" s="380"/>
      <c r="AL610" s="380"/>
      <c r="AM610" s="380"/>
      <c r="AN610" s="120"/>
      <c r="AO610" s="120"/>
      <c r="AP610" s="120"/>
      <c r="AQ610" s="93"/>
      <c r="AR610" s="358"/>
      <c r="AS610" s="358"/>
      <c r="AT610" s="358"/>
      <c r="AU610" s="358"/>
      <c r="AV610" s="358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112"/>
      <c r="BH610" s="112"/>
      <c r="BI610" s="112"/>
      <c r="BJ610" s="112"/>
      <c r="BK610" s="82"/>
      <c r="BL610" s="82"/>
      <c r="BN610" s="412"/>
      <c r="BO610" s="412"/>
      <c r="BP610" s="412"/>
      <c r="BQ610" s="412"/>
      <c r="BR610" s="412"/>
      <c r="BZ610" t="str">
        <f t="shared" si="53"/>
        <v/>
      </c>
    </row>
    <row r="611" spans="1:78" ht="15.6" hidden="1" customHeight="1">
      <c r="A611" s="35" t="str">
        <f t="shared" si="59"/>
        <v/>
      </c>
      <c r="C611" s="358" t="s">
        <v>24</v>
      </c>
      <c r="D611" s="358">
        <v>607</v>
      </c>
      <c r="E611" s="119"/>
      <c r="F611" s="119"/>
      <c r="G611" s="266"/>
      <c r="H611" s="119"/>
      <c r="I611" s="358"/>
      <c r="J611" s="359" t="str">
        <f>IFERROR(VLOOKUP($A611,#REF!,3,0),"")</f>
        <v/>
      </c>
      <c r="K611" s="359">
        <f>IFERROR(VLOOKUP($A611,#REF!,4,0),AF611)</f>
        <v>0</v>
      </c>
      <c r="L611" s="359" t="str">
        <f>IFERROR(VLOOKUP($A611,#REF!,5,0),"")</f>
        <v/>
      </c>
      <c r="M611" s="359" t="str">
        <f>IFERROR(VLOOKUP($A611,#REF!,7,0),"")</f>
        <v/>
      </c>
      <c r="N611" s="359"/>
      <c r="O611" s="359" t="str">
        <f>IFERROR(VLOOKUP($A611,#REF!,6,0),"")</f>
        <v/>
      </c>
      <c r="P611" s="359" t="str">
        <f>IFERROR(VLOOKUP($A611,#REF!,9,0),"")</f>
        <v/>
      </c>
      <c r="Q611" s="359" t="str">
        <f>IFERROR(VLOOKUP($A611,#REF!,10,0),"")</f>
        <v/>
      </c>
      <c r="R611" s="359" t="str">
        <f>IFERROR(VLOOKUP($A611,#REF!,11,0),"")</f>
        <v/>
      </c>
      <c r="S611" s="359" t="str">
        <f>IFERROR(VLOOKUP($A611,#REF!,13,0),"")</f>
        <v/>
      </c>
      <c r="T611" s="359" t="str">
        <f>IFERROR(VLOOKUP($A611,#REF!,14,0),"")</f>
        <v/>
      </c>
      <c r="U611" s="359" t="str">
        <f>IFERROR(VLOOKUP($A611,#REF!,15,0),"")</f>
        <v/>
      </c>
      <c r="V611" s="359" t="str">
        <f>IFERROR(VLOOKUP($A611,#REF!,16,0),"")</f>
        <v/>
      </c>
      <c r="W611" s="359" t="str">
        <f>IFERROR(VLOOKUP($A611,#REF!,17,0),"")</f>
        <v/>
      </c>
      <c r="X611" s="359" t="str">
        <f>IFERROR(VLOOKUP($A611,#REF!,18,0),"")</f>
        <v/>
      </c>
      <c r="Y611" s="359" t="str">
        <f>IFERROR(VLOOKUP($A611,#REF!,19,0),"")</f>
        <v/>
      </c>
      <c r="Z611" s="400" t="str">
        <f>IFERROR(VLOOKUP($A611,#REF!,21,0),"")</f>
        <v/>
      </c>
      <c r="AA611" s="358"/>
      <c r="AB611" s="358"/>
      <c r="AC611" s="358"/>
      <c r="AD611" s="358"/>
      <c r="AE611" s="358"/>
      <c r="AF611" s="141"/>
      <c r="AG611" s="358"/>
      <c r="AH611" s="358"/>
      <c r="AI611" s="358"/>
      <c r="AJ611" s="380"/>
      <c r="AK611" s="380"/>
      <c r="AL611" s="380"/>
      <c r="AM611" s="380"/>
      <c r="AN611" s="120"/>
      <c r="AO611" s="120"/>
      <c r="AP611" s="120"/>
      <c r="AQ611" s="93"/>
      <c r="AR611" s="358"/>
      <c r="AS611" s="358"/>
      <c r="AT611" s="358"/>
      <c r="AU611" s="358"/>
      <c r="AV611" s="358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112"/>
      <c r="BH611" s="112"/>
      <c r="BI611" s="112"/>
      <c r="BJ611" s="112"/>
      <c r="BK611" s="82"/>
      <c r="BL611" s="82"/>
      <c r="BN611" s="412"/>
      <c r="BO611" s="412"/>
      <c r="BP611" s="412"/>
      <c r="BQ611" s="412"/>
      <c r="BR611" s="412"/>
      <c r="BZ611" t="str">
        <f t="shared" si="53"/>
        <v/>
      </c>
    </row>
    <row r="612" spans="1:78" ht="15.6" hidden="1" customHeight="1">
      <c r="A612" s="35" t="str">
        <f t="shared" si="59"/>
        <v/>
      </c>
      <c r="C612" s="358" t="s">
        <v>24</v>
      </c>
      <c r="D612" s="358">
        <v>608</v>
      </c>
      <c r="E612" s="119"/>
      <c r="F612" s="119"/>
      <c r="G612" s="266"/>
      <c r="H612" s="119"/>
      <c r="I612" s="358"/>
      <c r="J612" s="359" t="str">
        <f>IFERROR(VLOOKUP($A612,#REF!,3,0),"")</f>
        <v/>
      </c>
      <c r="K612" s="359">
        <f>IFERROR(VLOOKUP($A612,#REF!,4,0),AF612)</f>
        <v>0</v>
      </c>
      <c r="L612" s="359" t="str">
        <f>IFERROR(VLOOKUP($A612,#REF!,5,0),"")</f>
        <v/>
      </c>
      <c r="M612" s="359" t="str">
        <f>IFERROR(VLOOKUP($A612,#REF!,7,0),"")</f>
        <v/>
      </c>
      <c r="N612" s="359"/>
      <c r="O612" s="359" t="str">
        <f>IFERROR(VLOOKUP($A612,#REF!,6,0),"")</f>
        <v/>
      </c>
      <c r="P612" s="359" t="str">
        <f>IFERROR(VLOOKUP($A612,#REF!,9,0),"")</f>
        <v/>
      </c>
      <c r="Q612" s="359" t="str">
        <f>IFERROR(VLOOKUP($A612,#REF!,10,0),"")</f>
        <v/>
      </c>
      <c r="R612" s="359" t="str">
        <f>IFERROR(VLOOKUP($A612,#REF!,11,0),"")</f>
        <v/>
      </c>
      <c r="S612" s="359" t="str">
        <f>IFERROR(VLOOKUP($A612,#REF!,13,0),"")</f>
        <v/>
      </c>
      <c r="T612" s="359" t="str">
        <f>IFERROR(VLOOKUP($A612,#REF!,14,0),"")</f>
        <v/>
      </c>
      <c r="U612" s="359" t="str">
        <f>IFERROR(VLOOKUP($A612,#REF!,15,0),"")</f>
        <v/>
      </c>
      <c r="V612" s="359" t="str">
        <f>IFERROR(VLOOKUP($A612,#REF!,16,0),"")</f>
        <v/>
      </c>
      <c r="W612" s="359" t="str">
        <f>IFERROR(VLOOKUP($A612,#REF!,17,0),"")</f>
        <v/>
      </c>
      <c r="X612" s="359" t="str">
        <f>IFERROR(VLOOKUP($A612,#REF!,18,0),"")</f>
        <v/>
      </c>
      <c r="Y612" s="359" t="str">
        <f>IFERROR(VLOOKUP($A612,#REF!,19,0),"")</f>
        <v/>
      </c>
      <c r="Z612" s="400" t="str">
        <f>IFERROR(VLOOKUP($A612,#REF!,21,0),"")</f>
        <v/>
      </c>
      <c r="AA612" s="358"/>
      <c r="AB612" s="358"/>
      <c r="AC612" s="358"/>
      <c r="AD612" s="358"/>
      <c r="AE612" s="358"/>
      <c r="AF612" s="141"/>
      <c r="AG612" s="358"/>
      <c r="AH612" s="358"/>
      <c r="AI612" s="358"/>
      <c r="AJ612" s="380"/>
      <c r="AK612" s="380"/>
      <c r="AL612" s="380"/>
      <c r="AM612" s="380"/>
      <c r="AN612" s="120"/>
      <c r="AO612" s="120"/>
      <c r="AP612" s="120"/>
      <c r="AQ612" s="93"/>
      <c r="AR612" s="358"/>
      <c r="AS612" s="358"/>
      <c r="AT612" s="358"/>
      <c r="AU612" s="358"/>
      <c r="AV612" s="358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112"/>
      <c r="BH612" s="112"/>
      <c r="BI612" s="112"/>
      <c r="BJ612" s="112"/>
      <c r="BK612" s="82"/>
      <c r="BL612" s="82"/>
      <c r="BN612" s="412"/>
      <c r="BO612" s="412"/>
      <c r="BP612" s="412"/>
      <c r="BQ612" s="412"/>
      <c r="BR612" s="412"/>
      <c r="BZ612" t="str">
        <f t="shared" si="53"/>
        <v/>
      </c>
    </row>
    <row r="613" spans="1:78" ht="15.6" hidden="1" customHeight="1">
      <c r="A613" s="35" t="str">
        <f t="shared" si="59"/>
        <v/>
      </c>
      <c r="C613" s="358" t="s">
        <v>24</v>
      </c>
      <c r="D613" s="358">
        <v>609</v>
      </c>
      <c r="E613" s="119"/>
      <c r="F613" s="119"/>
      <c r="G613" s="266"/>
      <c r="H613" s="119"/>
      <c r="I613" s="358"/>
      <c r="J613" s="359" t="str">
        <f>IFERROR(VLOOKUP($A613,#REF!,3,0),"")</f>
        <v/>
      </c>
      <c r="K613" s="359">
        <f>IFERROR(VLOOKUP($A613,#REF!,4,0),AF613)</f>
        <v>0</v>
      </c>
      <c r="L613" s="359" t="str">
        <f>IFERROR(VLOOKUP($A613,#REF!,5,0),"")</f>
        <v/>
      </c>
      <c r="M613" s="359" t="str">
        <f>IFERROR(VLOOKUP($A613,#REF!,7,0),"")</f>
        <v/>
      </c>
      <c r="N613" s="359"/>
      <c r="O613" s="359" t="str">
        <f>IFERROR(VLOOKUP($A613,#REF!,6,0),"")</f>
        <v/>
      </c>
      <c r="P613" s="359" t="str">
        <f>IFERROR(VLOOKUP($A613,#REF!,9,0),"")</f>
        <v/>
      </c>
      <c r="Q613" s="359" t="str">
        <f>IFERROR(VLOOKUP($A613,#REF!,10,0),"")</f>
        <v/>
      </c>
      <c r="R613" s="359" t="str">
        <f>IFERROR(VLOOKUP($A613,#REF!,11,0),"")</f>
        <v/>
      </c>
      <c r="S613" s="359" t="str">
        <f>IFERROR(VLOOKUP($A613,#REF!,13,0),"")</f>
        <v/>
      </c>
      <c r="T613" s="359" t="str">
        <f>IFERROR(VLOOKUP($A613,#REF!,14,0),"")</f>
        <v/>
      </c>
      <c r="U613" s="359" t="str">
        <f>IFERROR(VLOOKUP($A613,#REF!,15,0),"")</f>
        <v/>
      </c>
      <c r="V613" s="359" t="str">
        <f>IFERROR(VLOOKUP($A613,#REF!,16,0),"")</f>
        <v/>
      </c>
      <c r="W613" s="359" t="str">
        <f>IFERROR(VLOOKUP($A613,#REF!,17,0),"")</f>
        <v/>
      </c>
      <c r="X613" s="359" t="str">
        <f>IFERROR(VLOOKUP($A613,#REF!,18,0),"")</f>
        <v/>
      </c>
      <c r="Y613" s="359" t="str">
        <f>IFERROR(VLOOKUP($A613,#REF!,19,0),"")</f>
        <v/>
      </c>
      <c r="Z613" s="400" t="str">
        <f>IFERROR(VLOOKUP($A613,#REF!,21,0),"")</f>
        <v/>
      </c>
      <c r="AA613" s="358"/>
      <c r="AB613" s="358"/>
      <c r="AC613" s="358"/>
      <c r="AD613" s="358"/>
      <c r="AE613" s="358"/>
      <c r="AF613" s="141"/>
      <c r="AG613" s="358"/>
      <c r="AH613" s="358"/>
      <c r="AI613" s="358"/>
      <c r="AJ613" s="380"/>
      <c r="AK613" s="380"/>
      <c r="AL613" s="380"/>
      <c r="AM613" s="380"/>
      <c r="AN613" s="120"/>
      <c r="AO613" s="120"/>
      <c r="AP613" s="120"/>
      <c r="AQ613" s="93"/>
      <c r="AR613" s="358"/>
      <c r="AS613" s="358"/>
      <c r="AT613" s="358"/>
      <c r="AU613" s="358"/>
      <c r="AV613" s="358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112"/>
      <c r="BH613" s="112"/>
      <c r="BI613" s="112"/>
      <c r="BJ613" s="112"/>
      <c r="BK613" s="82"/>
      <c r="BL613" s="82"/>
      <c r="BN613" s="412"/>
      <c r="BO613" s="412"/>
      <c r="BP613" s="412"/>
      <c r="BQ613" s="412"/>
      <c r="BR613" s="412"/>
      <c r="BZ613" t="str">
        <f t="shared" si="53"/>
        <v/>
      </c>
    </row>
    <row r="614" spans="1:78" ht="15.6" hidden="1" customHeight="1">
      <c r="A614" s="35" t="str">
        <f t="shared" si="59"/>
        <v/>
      </c>
      <c r="C614" s="358" t="s">
        <v>24</v>
      </c>
      <c r="D614" s="358">
        <v>610</v>
      </c>
      <c r="E614" s="119"/>
      <c r="F614" s="119"/>
      <c r="G614" s="266"/>
      <c r="H614" s="119"/>
      <c r="I614" s="358"/>
      <c r="J614" s="359" t="str">
        <f>IFERROR(VLOOKUP($A614,#REF!,3,0),"")</f>
        <v/>
      </c>
      <c r="K614" s="359">
        <f>IFERROR(VLOOKUP($A614,#REF!,4,0),AF614)</f>
        <v>0</v>
      </c>
      <c r="L614" s="359" t="str">
        <f>IFERROR(VLOOKUP($A614,#REF!,5,0),"")</f>
        <v/>
      </c>
      <c r="M614" s="359" t="str">
        <f>IFERROR(VLOOKUP($A614,#REF!,7,0),"")</f>
        <v/>
      </c>
      <c r="N614" s="359"/>
      <c r="O614" s="359" t="str">
        <f>IFERROR(VLOOKUP($A614,#REF!,6,0),"")</f>
        <v/>
      </c>
      <c r="P614" s="359" t="str">
        <f>IFERROR(VLOOKUP($A614,#REF!,9,0),"")</f>
        <v/>
      </c>
      <c r="Q614" s="359" t="str">
        <f>IFERROR(VLOOKUP($A614,#REF!,10,0),"")</f>
        <v/>
      </c>
      <c r="R614" s="359" t="str">
        <f>IFERROR(VLOOKUP($A614,#REF!,11,0),"")</f>
        <v/>
      </c>
      <c r="S614" s="359" t="str">
        <f>IFERROR(VLOOKUP($A614,#REF!,13,0),"")</f>
        <v/>
      </c>
      <c r="T614" s="359" t="str">
        <f>IFERROR(VLOOKUP($A614,#REF!,14,0),"")</f>
        <v/>
      </c>
      <c r="U614" s="359" t="str">
        <f>IFERROR(VLOOKUP($A614,#REF!,15,0),"")</f>
        <v/>
      </c>
      <c r="V614" s="359" t="str">
        <f>IFERROR(VLOOKUP($A614,#REF!,16,0),"")</f>
        <v/>
      </c>
      <c r="W614" s="359" t="str">
        <f>IFERROR(VLOOKUP($A614,#REF!,17,0),"")</f>
        <v/>
      </c>
      <c r="X614" s="359" t="str">
        <f>IFERROR(VLOOKUP($A614,#REF!,18,0),"")</f>
        <v/>
      </c>
      <c r="Y614" s="359" t="str">
        <f>IFERROR(VLOOKUP($A614,#REF!,19,0),"")</f>
        <v/>
      </c>
      <c r="Z614" s="400" t="str">
        <f>IFERROR(VLOOKUP($A614,#REF!,21,0),"")</f>
        <v/>
      </c>
      <c r="AA614" s="358"/>
      <c r="AB614" s="358"/>
      <c r="AC614" s="358"/>
      <c r="AD614" s="358"/>
      <c r="AE614" s="358"/>
      <c r="AF614" s="141"/>
      <c r="AG614" s="358"/>
      <c r="AH614" s="358"/>
      <c r="AI614" s="358"/>
      <c r="AJ614" s="380"/>
      <c r="AK614" s="380"/>
      <c r="AL614" s="380"/>
      <c r="AM614" s="380"/>
      <c r="AN614" s="120"/>
      <c r="AO614" s="120"/>
      <c r="AP614" s="120"/>
      <c r="AQ614" s="93"/>
      <c r="AR614" s="358"/>
      <c r="AS614" s="358"/>
      <c r="AT614" s="358"/>
      <c r="AU614" s="358"/>
      <c r="AV614" s="358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112"/>
      <c r="BH614" s="112"/>
      <c r="BI614" s="112"/>
      <c r="BJ614" s="112"/>
      <c r="BK614" s="82"/>
      <c r="BL614" s="82"/>
      <c r="BN614" s="412"/>
      <c r="BO614" s="412"/>
      <c r="BP614" s="412"/>
      <c r="BQ614" s="412"/>
      <c r="BR614" s="412"/>
      <c r="BZ614" t="str">
        <f t="shared" si="53"/>
        <v/>
      </c>
    </row>
    <row r="615" spans="1:78" ht="15.6" hidden="1" customHeight="1">
      <c r="A615" s="35" t="str">
        <f t="shared" si="59"/>
        <v/>
      </c>
      <c r="C615" s="358" t="s">
        <v>24</v>
      </c>
      <c r="D615" s="358">
        <v>611</v>
      </c>
      <c r="E615" s="119"/>
      <c r="F615" s="119"/>
      <c r="G615" s="266"/>
      <c r="H615" s="119"/>
      <c r="I615" s="358"/>
      <c r="J615" s="359" t="str">
        <f>IFERROR(VLOOKUP($A615,#REF!,3,0),"")</f>
        <v/>
      </c>
      <c r="K615" s="359">
        <f>IFERROR(VLOOKUP($A615,#REF!,4,0),AF615)</f>
        <v>0</v>
      </c>
      <c r="L615" s="359" t="str">
        <f>IFERROR(VLOOKUP($A615,#REF!,5,0),"")</f>
        <v/>
      </c>
      <c r="M615" s="359" t="str">
        <f>IFERROR(VLOOKUP($A615,#REF!,7,0),"")</f>
        <v/>
      </c>
      <c r="N615" s="359"/>
      <c r="O615" s="359" t="str">
        <f>IFERROR(VLOOKUP($A615,#REF!,6,0),"")</f>
        <v/>
      </c>
      <c r="P615" s="359" t="str">
        <f>IFERROR(VLOOKUP($A615,#REF!,9,0),"")</f>
        <v/>
      </c>
      <c r="Q615" s="359" t="str">
        <f>IFERROR(VLOOKUP($A615,#REF!,10,0),"")</f>
        <v/>
      </c>
      <c r="R615" s="359" t="str">
        <f>IFERROR(VLOOKUP($A615,#REF!,11,0),"")</f>
        <v/>
      </c>
      <c r="S615" s="359" t="str">
        <f>IFERROR(VLOOKUP($A615,#REF!,13,0),"")</f>
        <v/>
      </c>
      <c r="T615" s="359" t="str">
        <f>IFERROR(VLOOKUP($A615,#REF!,14,0),"")</f>
        <v/>
      </c>
      <c r="U615" s="359" t="str">
        <f>IFERROR(VLOOKUP($A615,#REF!,15,0),"")</f>
        <v/>
      </c>
      <c r="V615" s="359" t="str">
        <f>IFERROR(VLOOKUP($A615,#REF!,16,0),"")</f>
        <v/>
      </c>
      <c r="W615" s="359" t="str">
        <f>IFERROR(VLOOKUP($A615,#REF!,17,0),"")</f>
        <v/>
      </c>
      <c r="X615" s="359" t="str">
        <f>IFERROR(VLOOKUP($A615,#REF!,18,0),"")</f>
        <v/>
      </c>
      <c r="Y615" s="359" t="str">
        <f>IFERROR(VLOOKUP($A615,#REF!,19,0),"")</f>
        <v/>
      </c>
      <c r="Z615" s="400" t="str">
        <f>IFERROR(VLOOKUP($A615,#REF!,21,0),"")</f>
        <v/>
      </c>
      <c r="AA615" s="358"/>
      <c r="AB615" s="358"/>
      <c r="AC615" s="358"/>
      <c r="AD615" s="358"/>
      <c r="AE615" s="358"/>
      <c r="AF615" s="141"/>
      <c r="AG615" s="358"/>
      <c r="AH615" s="358"/>
      <c r="AI615" s="358"/>
      <c r="AJ615" s="380"/>
      <c r="AK615" s="380"/>
      <c r="AL615" s="380"/>
      <c r="AM615" s="380"/>
      <c r="AN615" s="120"/>
      <c r="AO615" s="120"/>
      <c r="AP615" s="120"/>
      <c r="AQ615" s="93"/>
      <c r="AR615" s="358"/>
      <c r="AS615" s="358"/>
      <c r="AT615" s="358"/>
      <c r="AU615" s="358"/>
      <c r="AV615" s="358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112"/>
      <c r="BH615" s="112"/>
      <c r="BI615" s="112"/>
      <c r="BJ615" s="112"/>
      <c r="BK615" s="82"/>
      <c r="BL615" s="82"/>
      <c r="BN615" s="412"/>
      <c r="BO615" s="412"/>
      <c r="BP615" s="412"/>
      <c r="BQ615" s="412"/>
      <c r="BR615" s="412"/>
      <c r="BZ615" t="str">
        <f t="shared" si="53"/>
        <v/>
      </c>
    </row>
    <row r="616" spans="1:78" ht="15.6" hidden="1" customHeight="1">
      <c r="A616" s="35" t="str">
        <f t="shared" si="59"/>
        <v/>
      </c>
      <c r="C616" s="358" t="s">
        <v>24</v>
      </c>
      <c r="D616" s="358">
        <v>612</v>
      </c>
      <c r="E616" s="119"/>
      <c r="F616" s="119"/>
      <c r="G616" s="266"/>
      <c r="H616" s="119"/>
      <c r="I616" s="358"/>
      <c r="J616" s="359" t="str">
        <f>IFERROR(VLOOKUP($A616,#REF!,3,0),"")</f>
        <v/>
      </c>
      <c r="K616" s="359">
        <f>IFERROR(VLOOKUP($A616,#REF!,4,0),AF616)</f>
        <v>0</v>
      </c>
      <c r="L616" s="359" t="str">
        <f>IFERROR(VLOOKUP($A616,#REF!,5,0),"")</f>
        <v/>
      </c>
      <c r="M616" s="359" t="str">
        <f>IFERROR(VLOOKUP($A616,#REF!,7,0),"")</f>
        <v/>
      </c>
      <c r="N616" s="359"/>
      <c r="O616" s="359" t="str">
        <f>IFERROR(VLOOKUP($A616,#REF!,6,0),"")</f>
        <v/>
      </c>
      <c r="P616" s="359" t="str">
        <f>IFERROR(VLOOKUP($A616,#REF!,9,0),"")</f>
        <v/>
      </c>
      <c r="Q616" s="359" t="str">
        <f>IFERROR(VLOOKUP($A616,#REF!,10,0),"")</f>
        <v/>
      </c>
      <c r="R616" s="359" t="str">
        <f>IFERROR(VLOOKUP($A616,#REF!,11,0),"")</f>
        <v/>
      </c>
      <c r="S616" s="359" t="str">
        <f>IFERROR(VLOOKUP($A616,#REF!,13,0),"")</f>
        <v/>
      </c>
      <c r="T616" s="359" t="str">
        <f>IFERROR(VLOOKUP($A616,#REF!,14,0),"")</f>
        <v/>
      </c>
      <c r="U616" s="359" t="str">
        <f>IFERROR(VLOOKUP($A616,#REF!,15,0),"")</f>
        <v/>
      </c>
      <c r="V616" s="359" t="str">
        <f>IFERROR(VLOOKUP($A616,#REF!,16,0),"")</f>
        <v/>
      </c>
      <c r="W616" s="359" t="str">
        <f>IFERROR(VLOOKUP($A616,#REF!,17,0),"")</f>
        <v/>
      </c>
      <c r="X616" s="359" t="str">
        <f>IFERROR(VLOOKUP($A616,#REF!,18,0),"")</f>
        <v/>
      </c>
      <c r="Y616" s="359" t="str">
        <f>IFERROR(VLOOKUP($A616,#REF!,19,0),"")</f>
        <v/>
      </c>
      <c r="Z616" s="400" t="str">
        <f>IFERROR(VLOOKUP($A616,#REF!,21,0),"")</f>
        <v/>
      </c>
      <c r="AA616" s="358"/>
      <c r="AB616" s="358"/>
      <c r="AC616" s="358"/>
      <c r="AD616" s="358"/>
      <c r="AE616" s="358"/>
      <c r="AF616" s="141"/>
      <c r="AG616" s="358"/>
      <c r="AH616" s="358"/>
      <c r="AI616" s="358"/>
      <c r="AJ616" s="380"/>
      <c r="AK616" s="380"/>
      <c r="AL616" s="380"/>
      <c r="AM616" s="380"/>
      <c r="AN616" s="120"/>
      <c r="AO616" s="120"/>
      <c r="AP616" s="120"/>
      <c r="AQ616" s="93"/>
      <c r="AR616" s="358"/>
      <c r="AS616" s="358"/>
      <c r="AT616" s="358"/>
      <c r="AU616" s="358"/>
      <c r="AV616" s="358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112"/>
      <c r="BH616" s="112"/>
      <c r="BI616" s="112"/>
      <c r="BJ616" s="112"/>
      <c r="BK616" s="82"/>
      <c r="BL616" s="82"/>
      <c r="BN616" s="412"/>
      <c r="BO616" s="412"/>
      <c r="BP616" s="412"/>
      <c r="BQ616" s="412"/>
      <c r="BR616" s="412"/>
      <c r="BZ616" t="str">
        <f t="shared" si="53"/>
        <v/>
      </c>
    </row>
    <row r="617" spans="1:78" ht="15.6" hidden="1" customHeight="1">
      <c r="A617" s="35" t="str">
        <f t="shared" si="59"/>
        <v/>
      </c>
      <c r="C617" s="358" t="s">
        <v>24</v>
      </c>
      <c r="D617" s="358">
        <v>613</v>
      </c>
      <c r="E617" s="119"/>
      <c r="F617" s="119"/>
      <c r="G617" s="266"/>
      <c r="H617" s="119"/>
      <c r="I617" s="358"/>
      <c r="J617" s="359" t="str">
        <f>IFERROR(VLOOKUP($A617,#REF!,3,0),"")</f>
        <v/>
      </c>
      <c r="K617" s="359">
        <f>IFERROR(VLOOKUP($A617,#REF!,4,0),AF617)</f>
        <v>0</v>
      </c>
      <c r="L617" s="359" t="str">
        <f>IFERROR(VLOOKUP($A617,#REF!,5,0),"")</f>
        <v/>
      </c>
      <c r="M617" s="359" t="str">
        <f>IFERROR(VLOOKUP($A617,#REF!,7,0),"")</f>
        <v/>
      </c>
      <c r="N617" s="359"/>
      <c r="O617" s="359" t="str">
        <f>IFERROR(VLOOKUP($A617,#REF!,6,0),"")</f>
        <v/>
      </c>
      <c r="P617" s="359" t="str">
        <f>IFERROR(VLOOKUP($A617,#REF!,9,0),"")</f>
        <v/>
      </c>
      <c r="Q617" s="359" t="str">
        <f>IFERROR(VLOOKUP($A617,#REF!,10,0),"")</f>
        <v/>
      </c>
      <c r="R617" s="359" t="str">
        <f>IFERROR(VLOOKUP($A617,#REF!,11,0),"")</f>
        <v/>
      </c>
      <c r="S617" s="359" t="str">
        <f>IFERROR(VLOOKUP($A617,#REF!,13,0),"")</f>
        <v/>
      </c>
      <c r="T617" s="359" t="str">
        <f>IFERROR(VLOOKUP($A617,#REF!,14,0),"")</f>
        <v/>
      </c>
      <c r="U617" s="359" t="str">
        <f>IFERROR(VLOOKUP($A617,#REF!,15,0),"")</f>
        <v/>
      </c>
      <c r="V617" s="359" t="str">
        <f>IFERROR(VLOOKUP($A617,#REF!,16,0),"")</f>
        <v/>
      </c>
      <c r="W617" s="359" t="str">
        <f>IFERROR(VLOOKUP($A617,#REF!,17,0),"")</f>
        <v/>
      </c>
      <c r="X617" s="359" t="str">
        <f>IFERROR(VLOOKUP($A617,#REF!,18,0),"")</f>
        <v/>
      </c>
      <c r="Y617" s="359" t="str">
        <f>IFERROR(VLOOKUP($A617,#REF!,19,0),"")</f>
        <v/>
      </c>
      <c r="Z617" s="400" t="str">
        <f>IFERROR(VLOOKUP($A617,#REF!,21,0),"")</f>
        <v/>
      </c>
      <c r="AA617" s="358"/>
      <c r="AB617" s="358"/>
      <c r="AC617" s="358"/>
      <c r="AD617" s="358"/>
      <c r="AE617" s="358"/>
      <c r="AF617" s="141"/>
      <c r="AG617" s="358"/>
      <c r="AH617" s="358"/>
      <c r="AI617" s="358"/>
      <c r="AJ617" s="380"/>
      <c r="AK617" s="380"/>
      <c r="AL617" s="380"/>
      <c r="AM617" s="380"/>
      <c r="AN617" s="120"/>
      <c r="AO617" s="120"/>
      <c r="AP617" s="120"/>
      <c r="AQ617" s="93"/>
      <c r="AR617" s="358"/>
      <c r="AS617" s="358"/>
      <c r="AT617" s="358"/>
      <c r="AU617" s="358"/>
      <c r="AV617" s="358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112"/>
      <c r="BH617" s="112"/>
      <c r="BI617" s="112"/>
      <c r="BJ617" s="112"/>
      <c r="BK617" s="82"/>
      <c r="BL617" s="82"/>
      <c r="BN617" s="412"/>
      <c r="BO617" s="412"/>
      <c r="BP617" s="412"/>
      <c r="BQ617" s="412"/>
      <c r="BR617" s="412"/>
      <c r="BZ617" t="str">
        <f t="shared" si="53"/>
        <v/>
      </c>
    </row>
    <row r="618" spans="1:78" ht="15.6" hidden="1" customHeight="1">
      <c r="A618" s="35" t="str">
        <f t="shared" si="59"/>
        <v/>
      </c>
      <c r="C618" s="358" t="s">
        <v>24</v>
      </c>
      <c r="D618" s="358">
        <v>614</v>
      </c>
      <c r="E618" s="119"/>
      <c r="F618" s="119"/>
      <c r="G618" s="266"/>
      <c r="H618" s="119"/>
      <c r="I618" s="358"/>
      <c r="J618" s="359" t="str">
        <f>IFERROR(VLOOKUP($A618,#REF!,3,0),"")</f>
        <v/>
      </c>
      <c r="K618" s="359">
        <f>IFERROR(VLOOKUP($A618,#REF!,4,0),AF618)</f>
        <v>0</v>
      </c>
      <c r="L618" s="359" t="str">
        <f>IFERROR(VLOOKUP($A618,#REF!,5,0),"")</f>
        <v/>
      </c>
      <c r="M618" s="359" t="str">
        <f>IFERROR(VLOOKUP($A618,#REF!,7,0),"")</f>
        <v/>
      </c>
      <c r="N618" s="359"/>
      <c r="O618" s="359" t="str">
        <f>IFERROR(VLOOKUP($A618,#REF!,6,0),"")</f>
        <v/>
      </c>
      <c r="P618" s="359" t="str">
        <f>IFERROR(VLOOKUP($A618,#REF!,9,0),"")</f>
        <v/>
      </c>
      <c r="Q618" s="359" t="str">
        <f>IFERROR(VLOOKUP($A618,#REF!,10,0),"")</f>
        <v/>
      </c>
      <c r="R618" s="359" t="str">
        <f>IFERROR(VLOOKUP($A618,#REF!,11,0),"")</f>
        <v/>
      </c>
      <c r="S618" s="359" t="str">
        <f>IFERROR(VLOOKUP($A618,#REF!,13,0),"")</f>
        <v/>
      </c>
      <c r="T618" s="359" t="str">
        <f>IFERROR(VLOOKUP($A618,#REF!,14,0),"")</f>
        <v/>
      </c>
      <c r="U618" s="359" t="str">
        <f>IFERROR(VLOOKUP($A618,#REF!,15,0),"")</f>
        <v/>
      </c>
      <c r="V618" s="359" t="str">
        <f>IFERROR(VLOOKUP($A618,#REF!,16,0),"")</f>
        <v/>
      </c>
      <c r="W618" s="359" t="str">
        <f>IFERROR(VLOOKUP($A618,#REF!,17,0),"")</f>
        <v/>
      </c>
      <c r="X618" s="359" t="str">
        <f>IFERROR(VLOOKUP($A618,#REF!,18,0),"")</f>
        <v/>
      </c>
      <c r="Y618" s="359" t="str">
        <f>IFERROR(VLOOKUP($A618,#REF!,19,0),"")</f>
        <v/>
      </c>
      <c r="Z618" s="400" t="str">
        <f>IFERROR(VLOOKUP($A618,#REF!,21,0),"")</f>
        <v/>
      </c>
      <c r="AA618" s="358"/>
      <c r="AB618" s="358"/>
      <c r="AC618" s="358"/>
      <c r="AD618" s="358"/>
      <c r="AE618" s="358"/>
      <c r="AF618" s="141"/>
      <c r="AG618" s="358"/>
      <c r="AH618" s="358"/>
      <c r="AI618" s="358"/>
      <c r="AJ618" s="380"/>
      <c r="AK618" s="380"/>
      <c r="AL618" s="380"/>
      <c r="AM618" s="380"/>
      <c r="AN618" s="120"/>
      <c r="AO618" s="120"/>
      <c r="AP618" s="120"/>
      <c r="AQ618" s="93"/>
      <c r="AR618" s="358"/>
      <c r="AS618" s="358"/>
      <c r="AT618" s="358"/>
      <c r="AU618" s="358"/>
      <c r="AV618" s="358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112"/>
      <c r="BH618" s="112"/>
      <c r="BI618" s="112"/>
      <c r="BJ618" s="112"/>
      <c r="BK618" s="82"/>
      <c r="BL618" s="82"/>
      <c r="BN618" s="412"/>
      <c r="BO618" s="412"/>
      <c r="BP618" s="412"/>
      <c r="BQ618" s="412"/>
      <c r="BR618" s="412"/>
      <c r="BZ618" t="str">
        <f t="shared" si="53"/>
        <v/>
      </c>
    </row>
    <row r="619" spans="1:78" ht="15.6" hidden="1" customHeight="1">
      <c r="A619" s="35" t="str">
        <f t="shared" si="59"/>
        <v/>
      </c>
      <c r="C619" s="358" t="s">
        <v>24</v>
      </c>
      <c r="D619" s="358">
        <v>615</v>
      </c>
      <c r="E619" s="119"/>
      <c r="F619" s="119"/>
      <c r="G619" s="266"/>
      <c r="H619" s="119"/>
      <c r="I619" s="358"/>
      <c r="J619" s="359" t="str">
        <f>IFERROR(VLOOKUP($A619,#REF!,3,0),"")</f>
        <v/>
      </c>
      <c r="K619" s="359">
        <f>IFERROR(VLOOKUP($A619,#REF!,4,0),AF619)</f>
        <v>0</v>
      </c>
      <c r="L619" s="359" t="str">
        <f>IFERROR(VLOOKUP($A619,#REF!,5,0),"")</f>
        <v/>
      </c>
      <c r="M619" s="359" t="str">
        <f>IFERROR(VLOOKUP($A619,#REF!,7,0),"")</f>
        <v/>
      </c>
      <c r="N619" s="359"/>
      <c r="O619" s="359" t="str">
        <f>IFERROR(VLOOKUP($A619,#REF!,6,0),"")</f>
        <v/>
      </c>
      <c r="P619" s="359" t="str">
        <f>IFERROR(VLOOKUP($A619,#REF!,9,0),"")</f>
        <v/>
      </c>
      <c r="Q619" s="359" t="str">
        <f>IFERROR(VLOOKUP($A619,#REF!,10,0),"")</f>
        <v/>
      </c>
      <c r="R619" s="359" t="str">
        <f>IFERROR(VLOOKUP($A619,#REF!,11,0),"")</f>
        <v/>
      </c>
      <c r="S619" s="359" t="str">
        <f>IFERROR(VLOOKUP($A619,#REF!,13,0),"")</f>
        <v/>
      </c>
      <c r="T619" s="359" t="str">
        <f>IFERROR(VLOOKUP($A619,#REF!,14,0),"")</f>
        <v/>
      </c>
      <c r="U619" s="359" t="str">
        <f>IFERROR(VLOOKUP($A619,#REF!,15,0),"")</f>
        <v/>
      </c>
      <c r="V619" s="359" t="str">
        <f>IFERROR(VLOOKUP($A619,#REF!,16,0),"")</f>
        <v/>
      </c>
      <c r="W619" s="359" t="str">
        <f>IFERROR(VLOOKUP($A619,#REF!,17,0),"")</f>
        <v/>
      </c>
      <c r="X619" s="359" t="str">
        <f>IFERROR(VLOOKUP($A619,#REF!,18,0),"")</f>
        <v/>
      </c>
      <c r="Y619" s="359" t="str">
        <f>IFERROR(VLOOKUP($A619,#REF!,19,0),"")</f>
        <v/>
      </c>
      <c r="Z619" s="400" t="str">
        <f>IFERROR(VLOOKUP($A619,#REF!,21,0),"")</f>
        <v/>
      </c>
      <c r="AA619" s="358"/>
      <c r="AB619" s="358"/>
      <c r="AC619" s="358"/>
      <c r="AD619" s="358"/>
      <c r="AE619" s="358"/>
      <c r="AF619" s="141"/>
      <c r="AG619" s="358"/>
      <c r="AH619" s="358"/>
      <c r="AI619" s="358"/>
      <c r="AJ619" s="380"/>
      <c r="AK619" s="380"/>
      <c r="AL619" s="380"/>
      <c r="AM619" s="380"/>
      <c r="AN619" s="120"/>
      <c r="AO619" s="120"/>
      <c r="AP619" s="120"/>
      <c r="AQ619" s="93"/>
      <c r="AR619" s="358"/>
      <c r="AS619" s="358"/>
      <c r="AT619" s="358"/>
      <c r="AU619" s="358"/>
      <c r="AV619" s="358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112"/>
      <c r="BH619" s="112"/>
      <c r="BI619" s="112"/>
      <c r="BJ619" s="112"/>
      <c r="BK619" s="82"/>
      <c r="BL619" s="82"/>
      <c r="BN619" s="412"/>
      <c r="BO619" s="412"/>
      <c r="BP619" s="412"/>
      <c r="BQ619" s="412"/>
      <c r="BR619" s="412"/>
      <c r="BZ619" t="str">
        <f t="shared" si="53"/>
        <v/>
      </c>
    </row>
    <row r="620" spans="1:78" ht="15.6" hidden="1" customHeight="1">
      <c r="A620" s="35" t="str">
        <f t="shared" si="59"/>
        <v/>
      </c>
      <c r="C620" s="358" t="s">
        <v>24</v>
      </c>
      <c r="D620" s="358">
        <v>616</v>
      </c>
      <c r="E620" s="119"/>
      <c r="F620" s="119"/>
      <c r="G620" s="266"/>
      <c r="H620" s="119"/>
      <c r="I620" s="358"/>
      <c r="J620" s="359" t="str">
        <f>IFERROR(VLOOKUP($A620,#REF!,3,0),"")</f>
        <v/>
      </c>
      <c r="K620" s="359">
        <f>IFERROR(VLOOKUP($A620,#REF!,4,0),AF620)</f>
        <v>0</v>
      </c>
      <c r="L620" s="359" t="str">
        <f>IFERROR(VLOOKUP($A620,#REF!,5,0),"")</f>
        <v/>
      </c>
      <c r="M620" s="359" t="str">
        <f>IFERROR(VLOOKUP($A620,#REF!,7,0),"")</f>
        <v/>
      </c>
      <c r="N620" s="359"/>
      <c r="O620" s="359" t="str">
        <f>IFERROR(VLOOKUP($A620,#REF!,6,0),"")</f>
        <v/>
      </c>
      <c r="P620" s="359" t="str">
        <f>IFERROR(VLOOKUP($A620,#REF!,9,0),"")</f>
        <v/>
      </c>
      <c r="Q620" s="359" t="str">
        <f>IFERROR(VLOOKUP($A620,#REF!,10,0),"")</f>
        <v/>
      </c>
      <c r="R620" s="359" t="str">
        <f>IFERROR(VLOOKUP($A620,#REF!,11,0),"")</f>
        <v/>
      </c>
      <c r="S620" s="359" t="str">
        <f>IFERROR(VLOOKUP($A620,#REF!,13,0),"")</f>
        <v/>
      </c>
      <c r="T620" s="359" t="str">
        <f>IFERROR(VLOOKUP($A620,#REF!,14,0),"")</f>
        <v/>
      </c>
      <c r="U620" s="359" t="str">
        <f>IFERROR(VLOOKUP($A620,#REF!,15,0),"")</f>
        <v/>
      </c>
      <c r="V620" s="359" t="str">
        <f>IFERROR(VLOOKUP($A620,#REF!,16,0),"")</f>
        <v/>
      </c>
      <c r="W620" s="359" t="str">
        <f>IFERROR(VLOOKUP($A620,#REF!,17,0),"")</f>
        <v/>
      </c>
      <c r="X620" s="359" t="str">
        <f>IFERROR(VLOOKUP($A620,#REF!,18,0),"")</f>
        <v/>
      </c>
      <c r="Y620" s="359" t="str">
        <f>IFERROR(VLOOKUP($A620,#REF!,19,0),"")</f>
        <v/>
      </c>
      <c r="Z620" s="400" t="str">
        <f>IFERROR(VLOOKUP($A620,#REF!,21,0),"")</f>
        <v/>
      </c>
      <c r="AA620" s="358"/>
      <c r="AB620" s="358"/>
      <c r="AC620" s="358"/>
      <c r="AD620" s="358"/>
      <c r="AE620" s="358"/>
      <c r="AF620" s="141"/>
      <c r="AG620" s="358"/>
      <c r="AH620" s="358"/>
      <c r="AI620" s="358"/>
      <c r="AJ620" s="380"/>
      <c r="AK620" s="380"/>
      <c r="AL620" s="380"/>
      <c r="AM620" s="380"/>
      <c r="AN620" s="120"/>
      <c r="AO620" s="120"/>
      <c r="AP620" s="120"/>
      <c r="AQ620" s="93"/>
      <c r="AR620" s="358"/>
      <c r="AS620" s="358"/>
      <c r="AT620" s="358"/>
      <c r="AU620" s="358"/>
      <c r="AV620" s="358"/>
      <c r="AW620" s="82"/>
      <c r="AX620" s="82"/>
      <c r="AY620" s="82"/>
      <c r="AZ620" s="82"/>
      <c r="BA620" s="82"/>
      <c r="BB620" s="82"/>
      <c r="BC620" s="82"/>
      <c r="BD620" s="82"/>
      <c r="BE620" s="82"/>
      <c r="BF620" s="82"/>
      <c r="BG620" s="112"/>
      <c r="BH620" s="112"/>
      <c r="BI620" s="112"/>
      <c r="BJ620" s="112"/>
      <c r="BK620" s="82"/>
      <c r="BL620" s="82"/>
      <c r="BN620" s="412"/>
      <c r="BO620" s="412"/>
      <c r="BP620" s="412"/>
      <c r="BQ620" s="412"/>
      <c r="BR620" s="412"/>
      <c r="BZ620" t="str">
        <f t="shared" si="53"/>
        <v/>
      </c>
    </row>
    <row r="621" spans="1:78" ht="15.6" hidden="1" customHeight="1">
      <c r="A621" s="35" t="str">
        <f t="shared" si="59"/>
        <v/>
      </c>
      <c r="C621" s="358" t="s">
        <v>24</v>
      </c>
      <c r="D621" s="358">
        <v>617</v>
      </c>
      <c r="E621" s="119"/>
      <c r="F621" s="119"/>
      <c r="G621" s="266"/>
      <c r="H621" s="119"/>
      <c r="I621" s="358"/>
      <c r="J621" s="359" t="str">
        <f>IFERROR(VLOOKUP($A621,#REF!,3,0),"")</f>
        <v/>
      </c>
      <c r="K621" s="359">
        <f>IFERROR(VLOOKUP($A621,#REF!,4,0),AF621)</f>
        <v>0</v>
      </c>
      <c r="L621" s="359" t="str">
        <f>IFERROR(VLOOKUP($A621,#REF!,5,0),"")</f>
        <v/>
      </c>
      <c r="M621" s="359" t="str">
        <f>IFERROR(VLOOKUP($A621,#REF!,7,0),"")</f>
        <v/>
      </c>
      <c r="N621" s="359"/>
      <c r="O621" s="359" t="str">
        <f>IFERROR(VLOOKUP($A621,#REF!,6,0),"")</f>
        <v/>
      </c>
      <c r="P621" s="359" t="str">
        <f>IFERROR(VLOOKUP($A621,#REF!,9,0),"")</f>
        <v/>
      </c>
      <c r="Q621" s="359" t="str">
        <f>IFERROR(VLOOKUP($A621,#REF!,10,0),"")</f>
        <v/>
      </c>
      <c r="R621" s="359" t="str">
        <f>IFERROR(VLOOKUP($A621,#REF!,11,0),"")</f>
        <v/>
      </c>
      <c r="S621" s="359" t="str">
        <f>IFERROR(VLOOKUP($A621,#REF!,13,0),"")</f>
        <v/>
      </c>
      <c r="T621" s="359" t="str">
        <f>IFERROR(VLOOKUP($A621,#REF!,14,0),"")</f>
        <v/>
      </c>
      <c r="U621" s="359" t="str">
        <f>IFERROR(VLOOKUP($A621,#REF!,15,0),"")</f>
        <v/>
      </c>
      <c r="V621" s="359" t="str">
        <f>IFERROR(VLOOKUP($A621,#REF!,16,0),"")</f>
        <v/>
      </c>
      <c r="W621" s="359" t="str">
        <f>IFERROR(VLOOKUP($A621,#REF!,17,0),"")</f>
        <v/>
      </c>
      <c r="X621" s="359" t="str">
        <f>IFERROR(VLOOKUP($A621,#REF!,18,0),"")</f>
        <v/>
      </c>
      <c r="Y621" s="359" t="str">
        <f>IFERROR(VLOOKUP($A621,#REF!,19,0),"")</f>
        <v/>
      </c>
      <c r="Z621" s="400" t="str">
        <f>IFERROR(VLOOKUP($A621,#REF!,21,0),"")</f>
        <v/>
      </c>
      <c r="AA621" s="358"/>
      <c r="AB621" s="358"/>
      <c r="AC621" s="358"/>
      <c r="AD621" s="358"/>
      <c r="AE621" s="358"/>
      <c r="AF621" s="141"/>
      <c r="AG621" s="358"/>
      <c r="AH621" s="358"/>
      <c r="AI621" s="358"/>
      <c r="AJ621" s="380"/>
      <c r="AK621" s="380"/>
      <c r="AL621" s="380"/>
      <c r="AM621" s="380"/>
      <c r="AN621" s="120"/>
      <c r="AO621" s="120"/>
      <c r="AP621" s="120"/>
      <c r="AQ621" s="93"/>
      <c r="AR621" s="358"/>
      <c r="AS621" s="358"/>
      <c r="AT621" s="358"/>
      <c r="AU621" s="358"/>
      <c r="AV621" s="358"/>
      <c r="AW621" s="82"/>
      <c r="AX621" s="82"/>
      <c r="AY621" s="82"/>
      <c r="AZ621" s="82"/>
      <c r="BA621" s="82"/>
      <c r="BB621" s="82"/>
      <c r="BC621" s="82"/>
      <c r="BD621" s="82"/>
      <c r="BE621" s="82"/>
      <c r="BF621" s="82"/>
      <c r="BG621" s="112"/>
      <c r="BH621" s="112"/>
      <c r="BI621" s="112"/>
      <c r="BJ621" s="112"/>
      <c r="BK621" s="82"/>
      <c r="BL621" s="82"/>
      <c r="BN621" s="412"/>
      <c r="BO621" s="412"/>
      <c r="BP621" s="412"/>
      <c r="BQ621" s="412"/>
      <c r="BR621" s="412"/>
      <c r="BZ621" t="str">
        <f t="shared" si="53"/>
        <v/>
      </c>
    </row>
    <row r="622" spans="1:78" ht="15.6" hidden="1" customHeight="1">
      <c r="A622" s="35" t="str">
        <f t="shared" si="59"/>
        <v/>
      </c>
      <c r="C622" s="358" t="s">
        <v>24</v>
      </c>
      <c r="D622" s="358">
        <v>618</v>
      </c>
      <c r="E622" s="119"/>
      <c r="F622" s="119"/>
      <c r="G622" s="266"/>
      <c r="H622" s="119"/>
      <c r="I622" s="358"/>
      <c r="J622" s="359" t="str">
        <f>IFERROR(VLOOKUP($A622,#REF!,3,0),"")</f>
        <v/>
      </c>
      <c r="K622" s="359">
        <f>IFERROR(VLOOKUP($A622,#REF!,4,0),AF622)</f>
        <v>0</v>
      </c>
      <c r="L622" s="359" t="str">
        <f>IFERROR(VLOOKUP($A622,#REF!,5,0),"")</f>
        <v/>
      </c>
      <c r="M622" s="359" t="str">
        <f>IFERROR(VLOOKUP($A622,#REF!,7,0),"")</f>
        <v/>
      </c>
      <c r="N622" s="359"/>
      <c r="O622" s="359" t="str">
        <f>IFERROR(VLOOKUP($A622,#REF!,6,0),"")</f>
        <v/>
      </c>
      <c r="P622" s="359" t="str">
        <f>IFERROR(VLOOKUP($A622,#REF!,9,0),"")</f>
        <v/>
      </c>
      <c r="Q622" s="359" t="str">
        <f>IFERROR(VLOOKUP($A622,#REF!,10,0),"")</f>
        <v/>
      </c>
      <c r="R622" s="359" t="str">
        <f>IFERROR(VLOOKUP($A622,#REF!,11,0),"")</f>
        <v/>
      </c>
      <c r="S622" s="359" t="str">
        <f>IFERROR(VLOOKUP($A622,#REF!,13,0),"")</f>
        <v/>
      </c>
      <c r="T622" s="359" t="str">
        <f>IFERROR(VLOOKUP($A622,#REF!,14,0),"")</f>
        <v/>
      </c>
      <c r="U622" s="359" t="str">
        <f>IFERROR(VLOOKUP($A622,#REF!,15,0),"")</f>
        <v/>
      </c>
      <c r="V622" s="359" t="str">
        <f>IFERROR(VLOOKUP($A622,#REF!,16,0),"")</f>
        <v/>
      </c>
      <c r="W622" s="359" t="str">
        <f>IFERROR(VLOOKUP($A622,#REF!,17,0),"")</f>
        <v/>
      </c>
      <c r="X622" s="359" t="str">
        <f>IFERROR(VLOOKUP($A622,#REF!,18,0),"")</f>
        <v/>
      </c>
      <c r="Y622" s="359" t="str">
        <f>IFERROR(VLOOKUP($A622,#REF!,19,0),"")</f>
        <v/>
      </c>
      <c r="Z622" s="400" t="str">
        <f>IFERROR(VLOOKUP($A622,#REF!,21,0),"")</f>
        <v/>
      </c>
      <c r="AA622" s="358"/>
      <c r="AB622" s="358"/>
      <c r="AC622" s="358"/>
      <c r="AD622" s="358"/>
      <c r="AE622" s="358"/>
      <c r="AF622" s="141"/>
      <c r="AG622" s="358"/>
      <c r="AH622" s="358"/>
      <c r="AI622" s="358"/>
      <c r="AJ622" s="380"/>
      <c r="AK622" s="380"/>
      <c r="AL622" s="380"/>
      <c r="AM622" s="380"/>
      <c r="AN622" s="120"/>
      <c r="AO622" s="120"/>
      <c r="AP622" s="120"/>
      <c r="AQ622" s="93"/>
      <c r="AR622" s="358"/>
      <c r="AS622" s="358"/>
      <c r="AT622" s="358"/>
      <c r="AU622" s="358"/>
      <c r="AV622" s="358"/>
      <c r="AW622" s="82"/>
      <c r="AX622" s="82"/>
      <c r="AY622" s="82"/>
      <c r="AZ622" s="82"/>
      <c r="BA622" s="82"/>
      <c r="BB622" s="82"/>
      <c r="BC622" s="82"/>
      <c r="BD622" s="82"/>
      <c r="BE622" s="82"/>
      <c r="BF622" s="82"/>
      <c r="BG622" s="112"/>
      <c r="BH622" s="112"/>
      <c r="BI622" s="112"/>
      <c r="BJ622" s="112"/>
      <c r="BK622" s="82"/>
      <c r="BL622" s="82"/>
      <c r="BN622" s="412"/>
      <c r="BO622" s="412"/>
      <c r="BP622" s="412"/>
      <c r="BQ622" s="412"/>
      <c r="BR622" s="412"/>
      <c r="BZ622" t="str">
        <f t="shared" si="53"/>
        <v/>
      </c>
    </row>
    <row r="623" spans="1:78" ht="15.6" hidden="1" customHeight="1">
      <c r="A623" s="35" t="str">
        <f t="shared" si="59"/>
        <v/>
      </c>
      <c r="C623" s="358" t="s">
        <v>24</v>
      </c>
      <c r="D623" s="358">
        <v>619</v>
      </c>
      <c r="E623" s="119"/>
      <c r="F623" s="119"/>
      <c r="G623" s="266"/>
      <c r="H623" s="119"/>
      <c r="I623" s="358"/>
      <c r="J623" s="359" t="str">
        <f>IFERROR(VLOOKUP($A623,#REF!,3,0),"")</f>
        <v/>
      </c>
      <c r="K623" s="359">
        <f>IFERROR(VLOOKUP($A623,#REF!,4,0),AF623)</f>
        <v>0</v>
      </c>
      <c r="L623" s="359" t="str">
        <f>IFERROR(VLOOKUP($A623,#REF!,5,0),"")</f>
        <v/>
      </c>
      <c r="M623" s="359" t="str">
        <f>IFERROR(VLOOKUP($A623,#REF!,7,0),"")</f>
        <v/>
      </c>
      <c r="N623" s="359"/>
      <c r="O623" s="359" t="str">
        <f>IFERROR(VLOOKUP($A623,#REF!,6,0),"")</f>
        <v/>
      </c>
      <c r="P623" s="359" t="str">
        <f>IFERROR(VLOOKUP($A623,#REF!,9,0),"")</f>
        <v/>
      </c>
      <c r="Q623" s="359" t="str">
        <f>IFERROR(VLOOKUP($A623,#REF!,10,0),"")</f>
        <v/>
      </c>
      <c r="R623" s="359" t="str">
        <f>IFERROR(VLOOKUP($A623,#REF!,11,0),"")</f>
        <v/>
      </c>
      <c r="S623" s="359" t="str">
        <f>IFERROR(VLOOKUP($A623,#REF!,13,0),"")</f>
        <v/>
      </c>
      <c r="T623" s="359" t="str">
        <f>IFERROR(VLOOKUP($A623,#REF!,14,0),"")</f>
        <v/>
      </c>
      <c r="U623" s="359" t="str">
        <f>IFERROR(VLOOKUP($A623,#REF!,15,0),"")</f>
        <v/>
      </c>
      <c r="V623" s="359" t="str">
        <f>IFERROR(VLOOKUP($A623,#REF!,16,0),"")</f>
        <v/>
      </c>
      <c r="W623" s="359" t="str">
        <f>IFERROR(VLOOKUP($A623,#REF!,17,0),"")</f>
        <v/>
      </c>
      <c r="X623" s="359" t="str">
        <f>IFERROR(VLOOKUP($A623,#REF!,18,0),"")</f>
        <v/>
      </c>
      <c r="Y623" s="359" t="str">
        <f>IFERROR(VLOOKUP($A623,#REF!,19,0),"")</f>
        <v/>
      </c>
      <c r="Z623" s="400" t="str">
        <f>IFERROR(VLOOKUP($A623,#REF!,21,0),"")</f>
        <v/>
      </c>
      <c r="AA623" s="358"/>
      <c r="AB623" s="358"/>
      <c r="AC623" s="358"/>
      <c r="AD623" s="358"/>
      <c r="AE623" s="358"/>
      <c r="AF623" s="141"/>
      <c r="AG623" s="358"/>
      <c r="AH623" s="358"/>
      <c r="AI623" s="358"/>
      <c r="AJ623" s="380"/>
      <c r="AK623" s="380"/>
      <c r="AL623" s="380"/>
      <c r="AM623" s="380"/>
      <c r="AN623" s="120"/>
      <c r="AO623" s="120"/>
      <c r="AP623" s="120"/>
      <c r="AQ623" s="93"/>
      <c r="AR623" s="358"/>
      <c r="AS623" s="358"/>
      <c r="AT623" s="358"/>
      <c r="AU623" s="358"/>
      <c r="AV623" s="358"/>
      <c r="AW623" s="82"/>
      <c r="AX623" s="82"/>
      <c r="AY623" s="82"/>
      <c r="AZ623" s="82"/>
      <c r="BA623" s="82"/>
      <c r="BB623" s="82"/>
      <c r="BC623" s="82"/>
      <c r="BD623" s="82"/>
      <c r="BE623" s="82"/>
      <c r="BF623" s="82"/>
      <c r="BG623" s="112"/>
      <c r="BH623" s="112"/>
      <c r="BI623" s="112"/>
      <c r="BJ623" s="112"/>
      <c r="BK623" s="82"/>
      <c r="BL623" s="82"/>
      <c r="BN623" s="412"/>
      <c r="BO623" s="412"/>
      <c r="BP623" s="412"/>
      <c r="BQ623" s="412"/>
      <c r="BR623" s="412"/>
      <c r="BZ623" t="str">
        <f t="shared" si="53"/>
        <v/>
      </c>
    </row>
    <row r="624" spans="1:78" ht="15.6" hidden="1" customHeight="1">
      <c r="A624" s="35" t="str">
        <f t="shared" si="59"/>
        <v/>
      </c>
      <c r="C624" s="358" t="s">
        <v>24</v>
      </c>
      <c r="D624" s="358">
        <v>620</v>
      </c>
      <c r="E624" s="119"/>
      <c r="F624" s="119"/>
      <c r="G624" s="266"/>
      <c r="H624" s="119"/>
      <c r="I624" s="358"/>
      <c r="J624" s="359" t="str">
        <f>IFERROR(VLOOKUP($A624,#REF!,3,0),"")</f>
        <v/>
      </c>
      <c r="K624" s="359">
        <f>IFERROR(VLOOKUP($A624,#REF!,4,0),AF624)</f>
        <v>0</v>
      </c>
      <c r="L624" s="359" t="str">
        <f>IFERROR(VLOOKUP($A624,#REF!,5,0),"")</f>
        <v/>
      </c>
      <c r="M624" s="359" t="str">
        <f>IFERROR(VLOOKUP($A624,#REF!,7,0),"")</f>
        <v/>
      </c>
      <c r="N624" s="359"/>
      <c r="O624" s="359" t="str">
        <f>IFERROR(VLOOKUP($A624,#REF!,6,0),"")</f>
        <v/>
      </c>
      <c r="P624" s="359" t="str">
        <f>IFERROR(VLOOKUP($A624,#REF!,9,0),"")</f>
        <v/>
      </c>
      <c r="Q624" s="359" t="str">
        <f>IFERROR(VLOOKUP($A624,#REF!,10,0),"")</f>
        <v/>
      </c>
      <c r="R624" s="359" t="str">
        <f>IFERROR(VLOOKUP($A624,#REF!,11,0),"")</f>
        <v/>
      </c>
      <c r="S624" s="359" t="str">
        <f>IFERROR(VLOOKUP($A624,#REF!,13,0),"")</f>
        <v/>
      </c>
      <c r="T624" s="359" t="str">
        <f>IFERROR(VLOOKUP($A624,#REF!,14,0),"")</f>
        <v/>
      </c>
      <c r="U624" s="359" t="str">
        <f>IFERROR(VLOOKUP($A624,#REF!,15,0),"")</f>
        <v/>
      </c>
      <c r="V624" s="359" t="str">
        <f>IFERROR(VLOOKUP($A624,#REF!,16,0),"")</f>
        <v/>
      </c>
      <c r="W624" s="359" t="str">
        <f>IFERROR(VLOOKUP($A624,#REF!,17,0),"")</f>
        <v/>
      </c>
      <c r="X624" s="359" t="str">
        <f>IFERROR(VLOOKUP($A624,#REF!,18,0),"")</f>
        <v/>
      </c>
      <c r="Y624" s="359" t="str">
        <f>IFERROR(VLOOKUP($A624,#REF!,19,0),"")</f>
        <v/>
      </c>
      <c r="Z624" s="400" t="str">
        <f>IFERROR(VLOOKUP($A624,#REF!,21,0),"")</f>
        <v/>
      </c>
      <c r="AA624" s="358"/>
      <c r="AB624" s="358"/>
      <c r="AC624" s="358"/>
      <c r="AD624" s="358"/>
      <c r="AE624" s="358"/>
      <c r="AF624" s="141"/>
      <c r="AG624" s="358"/>
      <c r="AH624" s="358"/>
      <c r="AI624" s="358"/>
      <c r="AJ624" s="380"/>
      <c r="AK624" s="380"/>
      <c r="AL624" s="380"/>
      <c r="AM624" s="380"/>
      <c r="AN624" s="120"/>
      <c r="AO624" s="120"/>
      <c r="AP624" s="120"/>
      <c r="AQ624" s="93"/>
      <c r="AR624" s="358"/>
      <c r="AS624" s="358"/>
      <c r="AT624" s="358"/>
      <c r="AU624" s="358"/>
      <c r="AV624" s="358"/>
      <c r="AW624" s="82"/>
      <c r="AX624" s="82"/>
      <c r="AY624" s="82"/>
      <c r="AZ624" s="82"/>
      <c r="BA624" s="82"/>
      <c r="BB624" s="82"/>
      <c r="BC624" s="82"/>
      <c r="BD624" s="82"/>
      <c r="BE624" s="82"/>
      <c r="BF624" s="82"/>
      <c r="BG624" s="112"/>
      <c r="BH624" s="112"/>
      <c r="BI624" s="112"/>
      <c r="BJ624" s="112"/>
      <c r="BK624" s="82"/>
      <c r="BL624" s="82"/>
      <c r="BN624" s="412"/>
      <c r="BO624" s="412"/>
      <c r="BP624" s="412"/>
      <c r="BQ624" s="412"/>
      <c r="BR624" s="412"/>
      <c r="BZ624" t="str">
        <f t="shared" si="53"/>
        <v/>
      </c>
    </row>
    <row r="625" spans="1:78" ht="15.6" hidden="1" customHeight="1">
      <c r="A625" s="35" t="str">
        <f t="shared" si="59"/>
        <v/>
      </c>
      <c r="C625" s="358" t="s">
        <v>24</v>
      </c>
      <c r="D625" s="358">
        <v>621</v>
      </c>
      <c r="E625" s="119"/>
      <c r="F625" s="119"/>
      <c r="G625" s="266"/>
      <c r="H625" s="119"/>
      <c r="I625" s="358"/>
      <c r="J625" s="359" t="str">
        <f>IFERROR(VLOOKUP($A625,#REF!,3,0),"")</f>
        <v/>
      </c>
      <c r="K625" s="359">
        <f>IFERROR(VLOOKUP($A625,#REF!,4,0),AF625)</f>
        <v>0</v>
      </c>
      <c r="L625" s="359" t="str">
        <f>IFERROR(VLOOKUP($A625,#REF!,5,0),"")</f>
        <v/>
      </c>
      <c r="M625" s="359" t="str">
        <f>IFERROR(VLOOKUP($A625,#REF!,7,0),"")</f>
        <v/>
      </c>
      <c r="N625" s="359"/>
      <c r="O625" s="359" t="str">
        <f>IFERROR(VLOOKUP($A625,#REF!,6,0),"")</f>
        <v/>
      </c>
      <c r="P625" s="359" t="str">
        <f>IFERROR(VLOOKUP($A625,#REF!,9,0),"")</f>
        <v/>
      </c>
      <c r="Q625" s="359" t="str">
        <f>IFERROR(VLOOKUP($A625,#REF!,10,0),"")</f>
        <v/>
      </c>
      <c r="R625" s="359" t="str">
        <f>IFERROR(VLOOKUP($A625,#REF!,11,0),"")</f>
        <v/>
      </c>
      <c r="S625" s="359" t="str">
        <f>IFERROR(VLOOKUP($A625,#REF!,13,0),"")</f>
        <v/>
      </c>
      <c r="T625" s="359" t="str">
        <f>IFERROR(VLOOKUP($A625,#REF!,14,0),"")</f>
        <v/>
      </c>
      <c r="U625" s="359" t="str">
        <f>IFERROR(VLOOKUP($A625,#REF!,15,0),"")</f>
        <v/>
      </c>
      <c r="V625" s="359" t="str">
        <f>IFERROR(VLOOKUP($A625,#REF!,16,0),"")</f>
        <v/>
      </c>
      <c r="W625" s="359" t="str">
        <f>IFERROR(VLOOKUP($A625,#REF!,17,0),"")</f>
        <v/>
      </c>
      <c r="X625" s="359" t="str">
        <f>IFERROR(VLOOKUP($A625,#REF!,18,0),"")</f>
        <v/>
      </c>
      <c r="Y625" s="359" t="str">
        <f>IFERROR(VLOOKUP($A625,#REF!,19,0),"")</f>
        <v/>
      </c>
      <c r="Z625" s="400" t="str">
        <f>IFERROR(VLOOKUP($A625,#REF!,21,0),"")</f>
        <v/>
      </c>
      <c r="AA625" s="358"/>
      <c r="AB625" s="358"/>
      <c r="AC625" s="358"/>
      <c r="AD625" s="358"/>
      <c r="AE625" s="358"/>
      <c r="AF625" s="141"/>
      <c r="AG625" s="358"/>
      <c r="AH625" s="358"/>
      <c r="AI625" s="358"/>
      <c r="AJ625" s="380"/>
      <c r="AK625" s="380"/>
      <c r="AL625" s="380"/>
      <c r="AM625" s="380"/>
      <c r="AN625" s="120"/>
      <c r="AO625" s="120"/>
      <c r="AP625" s="120"/>
      <c r="AQ625" s="93"/>
      <c r="AR625" s="358"/>
      <c r="AS625" s="358"/>
      <c r="AT625" s="358"/>
      <c r="AU625" s="358"/>
      <c r="AV625" s="358"/>
      <c r="AW625" s="82"/>
      <c r="AX625" s="82"/>
      <c r="AY625" s="82"/>
      <c r="AZ625" s="82"/>
      <c r="BA625" s="82"/>
      <c r="BB625" s="82"/>
      <c r="BC625" s="82"/>
      <c r="BD625" s="82"/>
      <c r="BE625" s="82"/>
      <c r="BF625" s="82"/>
      <c r="BG625" s="112"/>
      <c r="BH625" s="112"/>
      <c r="BI625" s="112"/>
      <c r="BJ625" s="112"/>
      <c r="BK625" s="82"/>
      <c r="BL625" s="82"/>
      <c r="BN625" s="412"/>
      <c r="BO625" s="412"/>
      <c r="BP625" s="412"/>
      <c r="BQ625" s="412"/>
      <c r="BR625" s="412"/>
      <c r="BZ625" t="str">
        <f t="shared" si="53"/>
        <v/>
      </c>
    </row>
    <row r="626" spans="1:78" ht="15.6" hidden="1" customHeight="1">
      <c r="A626" s="35" t="str">
        <f t="shared" si="59"/>
        <v/>
      </c>
      <c r="C626" s="358" t="s">
        <v>24</v>
      </c>
      <c r="D626" s="358">
        <v>622</v>
      </c>
      <c r="E626" s="119"/>
      <c r="F626" s="119"/>
      <c r="G626" s="266"/>
      <c r="H626" s="119"/>
      <c r="I626" s="358"/>
      <c r="J626" s="359" t="str">
        <f>IFERROR(VLOOKUP($A626,#REF!,3,0),"")</f>
        <v/>
      </c>
      <c r="K626" s="359">
        <f>IFERROR(VLOOKUP($A626,#REF!,4,0),AF626)</f>
        <v>0</v>
      </c>
      <c r="L626" s="359" t="str">
        <f>IFERROR(VLOOKUP($A626,#REF!,5,0),"")</f>
        <v/>
      </c>
      <c r="M626" s="359" t="str">
        <f>IFERROR(VLOOKUP($A626,#REF!,7,0),"")</f>
        <v/>
      </c>
      <c r="N626" s="359"/>
      <c r="O626" s="359" t="str">
        <f>IFERROR(VLOOKUP($A626,#REF!,6,0),"")</f>
        <v/>
      </c>
      <c r="P626" s="359" t="str">
        <f>IFERROR(VLOOKUP($A626,#REF!,9,0),"")</f>
        <v/>
      </c>
      <c r="Q626" s="359" t="str">
        <f>IFERROR(VLOOKUP($A626,#REF!,10,0),"")</f>
        <v/>
      </c>
      <c r="R626" s="359" t="str">
        <f>IFERROR(VLOOKUP($A626,#REF!,11,0),"")</f>
        <v/>
      </c>
      <c r="S626" s="359" t="str">
        <f>IFERROR(VLOOKUP($A626,#REF!,13,0),"")</f>
        <v/>
      </c>
      <c r="T626" s="359" t="str">
        <f>IFERROR(VLOOKUP($A626,#REF!,14,0),"")</f>
        <v/>
      </c>
      <c r="U626" s="359" t="str">
        <f>IFERROR(VLOOKUP($A626,#REF!,15,0),"")</f>
        <v/>
      </c>
      <c r="V626" s="359" t="str">
        <f>IFERROR(VLOOKUP($A626,#REF!,16,0),"")</f>
        <v/>
      </c>
      <c r="W626" s="359" t="str">
        <f>IFERROR(VLOOKUP($A626,#REF!,17,0),"")</f>
        <v/>
      </c>
      <c r="X626" s="359" t="str">
        <f>IFERROR(VLOOKUP($A626,#REF!,18,0),"")</f>
        <v/>
      </c>
      <c r="Y626" s="359" t="str">
        <f>IFERROR(VLOOKUP($A626,#REF!,19,0),"")</f>
        <v/>
      </c>
      <c r="Z626" s="400" t="str">
        <f>IFERROR(VLOOKUP($A626,#REF!,21,0),"")</f>
        <v/>
      </c>
      <c r="AA626" s="358"/>
      <c r="AB626" s="358"/>
      <c r="AC626" s="358"/>
      <c r="AD626" s="358"/>
      <c r="AE626" s="358"/>
      <c r="AF626" s="141"/>
      <c r="AG626" s="358"/>
      <c r="AH626" s="358"/>
      <c r="AI626" s="358"/>
      <c r="AJ626" s="380"/>
      <c r="AK626" s="380"/>
      <c r="AL626" s="380"/>
      <c r="AM626" s="380"/>
      <c r="AN626" s="120"/>
      <c r="AO626" s="120"/>
      <c r="AP626" s="120"/>
      <c r="AQ626" s="93"/>
      <c r="AR626" s="358"/>
      <c r="AS626" s="358"/>
      <c r="AT626" s="358"/>
      <c r="AU626" s="358"/>
      <c r="AV626" s="358"/>
      <c r="AW626" s="82"/>
      <c r="AX626" s="82"/>
      <c r="AY626" s="82"/>
      <c r="AZ626" s="82"/>
      <c r="BA626" s="82"/>
      <c r="BB626" s="82"/>
      <c r="BC626" s="82"/>
      <c r="BD626" s="82"/>
      <c r="BE626" s="82"/>
      <c r="BF626" s="82"/>
      <c r="BG626" s="112"/>
      <c r="BH626" s="112"/>
      <c r="BI626" s="112"/>
      <c r="BJ626" s="112"/>
      <c r="BK626" s="82"/>
      <c r="BL626" s="82"/>
      <c r="BN626" s="412"/>
      <c r="BO626" s="412"/>
      <c r="BP626" s="412"/>
      <c r="BQ626" s="412"/>
      <c r="BR626" s="412"/>
      <c r="BZ626" t="str">
        <f t="shared" si="53"/>
        <v/>
      </c>
    </row>
    <row r="627" spans="1:78" ht="15.6" hidden="1" customHeight="1">
      <c r="A627" s="35" t="str">
        <f t="shared" si="59"/>
        <v/>
      </c>
      <c r="C627" s="358" t="s">
        <v>24</v>
      </c>
      <c r="D627" s="358">
        <v>623</v>
      </c>
      <c r="E627" s="119"/>
      <c r="F627" s="119"/>
      <c r="G627" s="266"/>
      <c r="H627" s="119"/>
      <c r="I627" s="358"/>
      <c r="J627" s="359" t="str">
        <f>IFERROR(VLOOKUP($A627,#REF!,3,0),"")</f>
        <v/>
      </c>
      <c r="K627" s="359">
        <f>IFERROR(VLOOKUP($A627,#REF!,4,0),AF627)</f>
        <v>0</v>
      </c>
      <c r="L627" s="359" t="str">
        <f>IFERROR(VLOOKUP($A627,#REF!,5,0),"")</f>
        <v/>
      </c>
      <c r="M627" s="359" t="str">
        <f>IFERROR(VLOOKUP($A627,#REF!,7,0),"")</f>
        <v/>
      </c>
      <c r="N627" s="359"/>
      <c r="O627" s="359" t="str">
        <f>IFERROR(VLOOKUP($A627,#REF!,6,0),"")</f>
        <v/>
      </c>
      <c r="P627" s="359" t="str">
        <f>IFERROR(VLOOKUP($A627,#REF!,9,0),"")</f>
        <v/>
      </c>
      <c r="Q627" s="359" t="str">
        <f>IFERROR(VLOOKUP($A627,#REF!,10,0),"")</f>
        <v/>
      </c>
      <c r="R627" s="359" t="str">
        <f>IFERROR(VLOOKUP($A627,#REF!,11,0),"")</f>
        <v/>
      </c>
      <c r="S627" s="359" t="str">
        <f>IFERROR(VLOOKUP($A627,#REF!,13,0),"")</f>
        <v/>
      </c>
      <c r="T627" s="359" t="str">
        <f>IFERROR(VLOOKUP($A627,#REF!,14,0),"")</f>
        <v/>
      </c>
      <c r="U627" s="359" t="str">
        <f>IFERROR(VLOOKUP($A627,#REF!,15,0),"")</f>
        <v/>
      </c>
      <c r="V627" s="359" t="str">
        <f>IFERROR(VLOOKUP($A627,#REF!,16,0),"")</f>
        <v/>
      </c>
      <c r="W627" s="359" t="str">
        <f>IFERROR(VLOOKUP($A627,#REF!,17,0),"")</f>
        <v/>
      </c>
      <c r="X627" s="359" t="str">
        <f>IFERROR(VLOOKUP($A627,#REF!,18,0),"")</f>
        <v/>
      </c>
      <c r="Y627" s="359" t="str">
        <f>IFERROR(VLOOKUP($A627,#REF!,19,0),"")</f>
        <v/>
      </c>
      <c r="Z627" s="400" t="str">
        <f>IFERROR(VLOOKUP($A627,#REF!,21,0),"")</f>
        <v/>
      </c>
      <c r="AA627" s="358"/>
      <c r="AB627" s="358"/>
      <c r="AC627" s="358"/>
      <c r="AD627" s="358"/>
      <c r="AE627" s="358"/>
      <c r="AF627" s="141"/>
      <c r="AG627" s="358"/>
      <c r="AH627" s="358"/>
      <c r="AI627" s="358"/>
      <c r="AJ627" s="380"/>
      <c r="AK627" s="380"/>
      <c r="AL627" s="380"/>
      <c r="AM627" s="380"/>
      <c r="AN627" s="120"/>
      <c r="AO627" s="120"/>
      <c r="AP627" s="120"/>
      <c r="AQ627" s="93"/>
      <c r="AR627" s="358"/>
      <c r="AS627" s="358"/>
      <c r="AT627" s="358"/>
      <c r="AU627" s="358"/>
      <c r="AV627" s="358"/>
      <c r="AW627" s="82"/>
      <c r="AX627" s="82"/>
      <c r="AY627" s="82"/>
      <c r="AZ627" s="82"/>
      <c r="BA627" s="82"/>
      <c r="BB627" s="82"/>
      <c r="BC627" s="82"/>
      <c r="BD627" s="82"/>
      <c r="BE627" s="82"/>
      <c r="BF627" s="82"/>
      <c r="BG627" s="112"/>
      <c r="BH627" s="112"/>
      <c r="BI627" s="112"/>
      <c r="BJ627" s="112"/>
      <c r="BK627" s="82"/>
      <c r="BL627" s="82"/>
      <c r="BN627" s="412"/>
      <c r="BO627" s="412"/>
      <c r="BP627" s="412"/>
      <c r="BQ627" s="412"/>
      <c r="BR627" s="412"/>
      <c r="BZ627" t="str">
        <f t="shared" si="53"/>
        <v/>
      </c>
    </row>
    <row r="628" spans="1:78" ht="15.6" hidden="1" customHeight="1">
      <c r="A628" s="35" t="str">
        <f t="shared" si="59"/>
        <v/>
      </c>
      <c r="C628" s="358" t="s">
        <v>24</v>
      </c>
      <c r="D628" s="358">
        <v>624</v>
      </c>
      <c r="E628" s="119"/>
      <c r="F628" s="119"/>
      <c r="G628" s="266"/>
      <c r="H628" s="119"/>
      <c r="I628" s="358"/>
      <c r="J628" s="359" t="str">
        <f>IFERROR(VLOOKUP($A628,#REF!,3,0),"")</f>
        <v/>
      </c>
      <c r="K628" s="359">
        <f>IFERROR(VLOOKUP($A628,#REF!,4,0),AF628)</f>
        <v>0</v>
      </c>
      <c r="L628" s="359" t="str">
        <f>IFERROR(VLOOKUP($A628,#REF!,5,0),"")</f>
        <v/>
      </c>
      <c r="M628" s="359" t="str">
        <f>IFERROR(VLOOKUP($A628,#REF!,7,0),"")</f>
        <v/>
      </c>
      <c r="N628" s="359"/>
      <c r="O628" s="359" t="str">
        <f>IFERROR(VLOOKUP($A628,#REF!,6,0),"")</f>
        <v/>
      </c>
      <c r="P628" s="359" t="str">
        <f>IFERROR(VLOOKUP($A628,#REF!,9,0),"")</f>
        <v/>
      </c>
      <c r="Q628" s="359" t="str">
        <f>IFERROR(VLOOKUP($A628,#REF!,10,0),"")</f>
        <v/>
      </c>
      <c r="R628" s="359" t="str">
        <f>IFERROR(VLOOKUP($A628,#REF!,11,0),"")</f>
        <v/>
      </c>
      <c r="S628" s="359" t="str">
        <f>IFERROR(VLOOKUP($A628,#REF!,13,0),"")</f>
        <v/>
      </c>
      <c r="T628" s="359" t="str">
        <f>IFERROR(VLOOKUP($A628,#REF!,14,0),"")</f>
        <v/>
      </c>
      <c r="U628" s="359" t="str">
        <f>IFERROR(VLOOKUP($A628,#REF!,15,0),"")</f>
        <v/>
      </c>
      <c r="V628" s="359" t="str">
        <f>IFERROR(VLOOKUP($A628,#REF!,16,0),"")</f>
        <v/>
      </c>
      <c r="W628" s="359" t="str">
        <f>IFERROR(VLOOKUP($A628,#REF!,17,0),"")</f>
        <v/>
      </c>
      <c r="X628" s="359" t="str">
        <f>IFERROR(VLOOKUP($A628,#REF!,18,0),"")</f>
        <v/>
      </c>
      <c r="Y628" s="359" t="str">
        <f>IFERROR(VLOOKUP($A628,#REF!,19,0),"")</f>
        <v/>
      </c>
      <c r="Z628" s="400" t="str">
        <f>IFERROR(VLOOKUP($A628,#REF!,21,0),"")</f>
        <v/>
      </c>
      <c r="AA628" s="358"/>
      <c r="AB628" s="358"/>
      <c r="AC628" s="358"/>
      <c r="AD628" s="358"/>
      <c r="AE628" s="358"/>
      <c r="AF628" s="141"/>
      <c r="AG628" s="358"/>
      <c r="AH628" s="358"/>
      <c r="AI628" s="358"/>
      <c r="AJ628" s="380"/>
      <c r="AK628" s="380"/>
      <c r="AL628" s="380"/>
      <c r="AM628" s="380"/>
      <c r="AN628" s="120"/>
      <c r="AO628" s="120"/>
      <c r="AP628" s="120"/>
      <c r="AQ628" s="93"/>
      <c r="AR628" s="358"/>
      <c r="AS628" s="358"/>
      <c r="AT628" s="358"/>
      <c r="AU628" s="358"/>
      <c r="AV628" s="358"/>
      <c r="AW628" s="82"/>
      <c r="AX628" s="82"/>
      <c r="AY628" s="82"/>
      <c r="AZ628" s="82"/>
      <c r="BA628" s="82"/>
      <c r="BB628" s="82"/>
      <c r="BC628" s="82"/>
      <c r="BD628" s="82"/>
      <c r="BE628" s="82"/>
      <c r="BF628" s="82"/>
      <c r="BG628" s="112"/>
      <c r="BH628" s="112"/>
      <c r="BI628" s="112"/>
      <c r="BJ628" s="112"/>
      <c r="BK628" s="82"/>
      <c r="BL628" s="82"/>
      <c r="BN628" s="412"/>
      <c r="BO628" s="412"/>
      <c r="BP628" s="412"/>
      <c r="BQ628" s="412"/>
      <c r="BR628" s="412"/>
      <c r="BZ628" t="str">
        <f t="shared" si="53"/>
        <v/>
      </c>
    </row>
    <row r="629" spans="1:78" ht="15.6" hidden="1" customHeight="1">
      <c r="A629" s="35" t="str">
        <f t="shared" si="59"/>
        <v/>
      </c>
      <c r="C629" s="358" t="s">
        <v>24</v>
      </c>
      <c r="D629" s="358">
        <v>625</v>
      </c>
      <c r="E629" s="119"/>
      <c r="F629" s="119"/>
      <c r="G629" s="266"/>
      <c r="H629" s="119"/>
      <c r="I629" s="358"/>
      <c r="J629" s="359" t="str">
        <f>IFERROR(VLOOKUP($A629,#REF!,3,0),"")</f>
        <v/>
      </c>
      <c r="K629" s="359">
        <f>IFERROR(VLOOKUP($A629,#REF!,4,0),AF629)</f>
        <v>0</v>
      </c>
      <c r="L629" s="359" t="str">
        <f>IFERROR(VLOOKUP($A629,#REF!,5,0),"")</f>
        <v/>
      </c>
      <c r="M629" s="359" t="str">
        <f>IFERROR(VLOOKUP($A629,#REF!,7,0),"")</f>
        <v/>
      </c>
      <c r="N629" s="359"/>
      <c r="O629" s="359" t="str">
        <f>IFERROR(VLOOKUP($A629,#REF!,6,0),"")</f>
        <v/>
      </c>
      <c r="P629" s="359" t="str">
        <f>IFERROR(VLOOKUP($A629,#REF!,9,0),"")</f>
        <v/>
      </c>
      <c r="Q629" s="359" t="str">
        <f>IFERROR(VLOOKUP($A629,#REF!,10,0),"")</f>
        <v/>
      </c>
      <c r="R629" s="359" t="str">
        <f>IFERROR(VLOOKUP($A629,#REF!,11,0),"")</f>
        <v/>
      </c>
      <c r="S629" s="359" t="str">
        <f>IFERROR(VLOOKUP($A629,#REF!,13,0),"")</f>
        <v/>
      </c>
      <c r="T629" s="359" t="str">
        <f>IFERROR(VLOOKUP($A629,#REF!,14,0),"")</f>
        <v/>
      </c>
      <c r="U629" s="359" t="str">
        <f>IFERROR(VLOOKUP($A629,#REF!,15,0),"")</f>
        <v/>
      </c>
      <c r="V629" s="359" t="str">
        <f>IFERROR(VLOOKUP($A629,#REF!,16,0),"")</f>
        <v/>
      </c>
      <c r="W629" s="359" t="str">
        <f>IFERROR(VLOOKUP($A629,#REF!,17,0),"")</f>
        <v/>
      </c>
      <c r="X629" s="359" t="str">
        <f>IFERROR(VLOOKUP($A629,#REF!,18,0),"")</f>
        <v/>
      </c>
      <c r="Y629" s="359" t="str">
        <f>IFERROR(VLOOKUP($A629,#REF!,19,0),"")</f>
        <v/>
      </c>
      <c r="Z629" s="400" t="str">
        <f>IFERROR(VLOOKUP($A629,#REF!,21,0),"")</f>
        <v/>
      </c>
      <c r="AA629" s="358"/>
      <c r="AB629" s="358"/>
      <c r="AC629" s="358"/>
      <c r="AD629" s="358"/>
      <c r="AE629" s="358"/>
      <c r="AF629" s="141"/>
      <c r="AG629" s="358"/>
      <c r="AH629" s="358"/>
      <c r="AI629" s="358"/>
      <c r="AJ629" s="380"/>
      <c r="AK629" s="380"/>
      <c r="AL629" s="380"/>
      <c r="AM629" s="380"/>
      <c r="AN629" s="120"/>
      <c r="AO629" s="120"/>
      <c r="AP629" s="120"/>
      <c r="AQ629" s="93"/>
      <c r="AR629" s="358"/>
      <c r="AS629" s="358"/>
      <c r="AT629" s="358"/>
      <c r="AU629" s="358"/>
      <c r="AV629" s="358"/>
      <c r="AW629" s="82"/>
      <c r="AX629" s="82"/>
      <c r="AY629" s="82"/>
      <c r="AZ629" s="82"/>
      <c r="BA629" s="82"/>
      <c r="BB629" s="82"/>
      <c r="BC629" s="82"/>
      <c r="BD629" s="82"/>
      <c r="BE629" s="82"/>
      <c r="BF629" s="82"/>
      <c r="BG629" s="112"/>
      <c r="BH629" s="112"/>
      <c r="BI629" s="112"/>
      <c r="BJ629" s="112"/>
      <c r="BK629" s="82"/>
      <c r="BL629" s="82"/>
      <c r="BN629" s="412"/>
      <c r="BO629" s="412"/>
      <c r="BP629" s="412"/>
      <c r="BQ629" s="412"/>
      <c r="BR629" s="412"/>
      <c r="BZ629" t="str">
        <f t="shared" si="53"/>
        <v/>
      </c>
    </row>
    <row r="630" spans="1:78" ht="15.6" hidden="1" customHeight="1">
      <c r="A630" s="35" t="str">
        <f t="shared" si="59"/>
        <v/>
      </c>
      <c r="C630" s="358" t="s">
        <v>24</v>
      </c>
      <c r="D630" s="358">
        <v>626</v>
      </c>
      <c r="E630" s="119"/>
      <c r="F630" s="119"/>
      <c r="G630" s="266"/>
      <c r="H630" s="119"/>
      <c r="I630" s="358"/>
      <c r="J630" s="359" t="str">
        <f>IFERROR(VLOOKUP($A630,#REF!,3,0),"")</f>
        <v/>
      </c>
      <c r="K630" s="359">
        <f>IFERROR(VLOOKUP($A630,#REF!,4,0),AF630)</f>
        <v>0</v>
      </c>
      <c r="L630" s="359" t="str">
        <f>IFERROR(VLOOKUP($A630,#REF!,5,0),"")</f>
        <v/>
      </c>
      <c r="M630" s="359" t="str">
        <f>IFERROR(VLOOKUP($A630,#REF!,7,0),"")</f>
        <v/>
      </c>
      <c r="N630" s="359"/>
      <c r="O630" s="359" t="str">
        <f>IFERROR(VLOOKUP($A630,#REF!,6,0),"")</f>
        <v/>
      </c>
      <c r="P630" s="359" t="str">
        <f>IFERROR(VLOOKUP($A630,#REF!,9,0),"")</f>
        <v/>
      </c>
      <c r="Q630" s="359" t="str">
        <f>IFERROR(VLOOKUP($A630,#REF!,10,0),"")</f>
        <v/>
      </c>
      <c r="R630" s="359" t="str">
        <f>IFERROR(VLOOKUP($A630,#REF!,11,0),"")</f>
        <v/>
      </c>
      <c r="S630" s="359" t="str">
        <f>IFERROR(VLOOKUP($A630,#REF!,13,0),"")</f>
        <v/>
      </c>
      <c r="T630" s="359" t="str">
        <f>IFERROR(VLOOKUP($A630,#REF!,14,0),"")</f>
        <v/>
      </c>
      <c r="U630" s="359" t="str">
        <f>IFERROR(VLOOKUP($A630,#REF!,15,0),"")</f>
        <v/>
      </c>
      <c r="V630" s="359" t="str">
        <f>IFERROR(VLOOKUP($A630,#REF!,16,0),"")</f>
        <v/>
      </c>
      <c r="W630" s="359" t="str">
        <f>IFERROR(VLOOKUP($A630,#REF!,17,0),"")</f>
        <v/>
      </c>
      <c r="X630" s="359" t="str">
        <f>IFERROR(VLOOKUP($A630,#REF!,18,0),"")</f>
        <v/>
      </c>
      <c r="Y630" s="359" t="str">
        <f>IFERROR(VLOOKUP($A630,#REF!,19,0),"")</f>
        <v/>
      </c>
      <c r="Z630" s="400" t="str">
        <f>IFERROR(VLOOKUP($A630,#REF!,21,0),"")</f>
        <v/>
      </c>
      <c r="AA630" s="358"/>
      <c r="AB630" s="358"/>
      <c r="AC630" s="358"/>
      <c r="AD630" s="358"/>
      <c r="AE630" s="358"/>
      <c r="AF630" s="141"/>
      <c r="AG630" s="358"/>
      <c r="AH630" s="358"/>
      <c r="AI630" s="358"/>
      <c r="AJ630" s="380"/>
      <c r="AK630" s="380"/>
      <c r="AL630" s="380"/>
      <c r="AM630" s="380"/>
      <c r="AN630" s="120"/>
      <c r="AO630" s="120"/>
      <c r="AP630" s="120"/>
      <c r="AQ630" s="93"/>
      <c r="AR630" s="358"/>
      <c r="AS630" s="358"/>
      <c r="AT630" s="358"/>
      <c r="AU630" s="358"/>
      <c r="AV630" s="358"/>
      <c r="AW630" s="82"/>
      <c r="AX630" s="82"/>
      <c r="AY630" s="82"/>
      <c r="AZ630" s="82"/>
      <c r="BA630" s="82"/>
      <c r="BB630" s="82"/>
      <c r="BC630" s="82"/>
      <c r="BD630" s="82"/>
      <c r="BE630" s="82"/>
      <c r="BF630" s="82"/>
      <c r="BG630" s="112"/>
      <c r="BH630" s="112"/>
      <c r="BI630" s="112"/>
      <c r="BJ630" s="112"/>
      <c r="BK630" s="82"/>
      <c r="BL630" s="82"/>
      <c r="BN630" s="412"/>
      <c r="BO630" s="412"/>
      <c r="BP630" s="412"/>
      <c r="BQ630" s="412"/>
      <c r="BR630" s="412"/>
      <c r="BZ630" t="str">
        <f t="shared" si="53"/>
        <v/>
      </c>
    </row>
    <row r="631" spans="1:78" ht="15.6" hidden="1" customHeight="1">
      <c r="A631" s="35" t="str">
        <f t="shared" si="59"/>
        <v/>
      </c>
      <c r="C631" s="358" t="s">
        <v>24</v>
      </c>
      <c r="D631" s="358">
        <v>627</v>
      </c>
      <c r="E631" s="119"/>
      <c r="F631" s="119"/>
      <c r="G631" s="266"/>
      <c r="H631" s="119"/>
      <c r="I631" s="358"/>
      <c r="J631" s="359" t="str">
        <f>IFERROR(VLOOKUP($A631,#REF!,3,0),"")</f>
        <v/>
      </c>
      <c r="K631" s="359">
        <f>IFERROR(VLOOKUP($A631,#REF!,4,0),AF631)</f>
        <v>0</v>
      </c>
      <c r="L631" s="359" t="str">
        <f>IFERROR(VLOOKUP($A631,#REF!,5,0),"")</f>
        <v/>
      </c>
      <c r="M631" s="359" t="str">
        <f>IFERROR(VLOOKUP($A631,#REF!,7,0),"")</f>
        <v/>
      </c>
      <c r="N631" s="359"/>
      <c r="O631" s="359" t="str">
        <f>IFERROR(VLOOKUP($A631,#REF!,6,0),"")</f>
        <v/>
      </c>
      <c r="P631" s="359" t="str">
        <f>IFERROR(VLOOKUP($A631,#REF!,9,0),"")</f>
        <v/>
      </c>
      <c r="Q631" s="359" t="str">
        <f>IFERROR(VLOOKUP($A631,#REF!,10,0),"")</f>
        <v/>
      </c>
      <c r="R631" s="359" t="str">
        <f>IFERROR(VLOOKUP($A631,#REF!,11,0),"")</f>
        <v/>
      </c>
      <c r="S631" s="359" t="str">
        <f>IFERROR(VLOOKUP($A631,#REF!,13,0),"")</f>
        <v/>
      </c>
      <c r="T631" s="359" t="str">
        <f>IFERROR(VLOOKUP($A631,#REF!,14,0),"")</f>
        <v/>
      </c>
      <c r="U631" s="359" t="str">
        <f>IFERROR(VLOOKUP($A631,#REF!,15,0),"")</f>
        <v/>
      </c>
      <c r="V631" s="359" t="str">
        <f>IFERROR(VLOOKUP($A631,#REF!,16,0),"")</f>
        <v/>
      </c>
      <c r="W631" s="359" t="str">
        <f>IFERROR(VLOOKUP($A631,#REF!,17,0),"")</f>
        <v/>
      </c>
      <c r="X631" s="359" t="str">
        <f>IFERROR(VLOOKUP($A631,#REF!,18,0),"")</f>
        <v/>
      </c>
      <c r="Y631" s="359" t="str">
        <f>IFERROR(VLOOKUP($A631,#REF!,19,0),"")</f>
        <v/>
      </c>
      <c r="Z631" s="400" t="str">
        <f>IFERROR(VLOOKUP($A631,#REF!,21,0),"")</f>
        <v/>
      </c>
      <c r="AA631" s="358"/>
      <c r="AB631" s="358"/>
      <c r="AC631" s="358"/>
      <c r="AD631" s="358"/>
      <c r="AE631" s="358"/>
      <c r="AF631" s="141"/>
      <c r="AG631" s="358"/>
      <c r="AH631" s="358"/>
      <c r="AI631" s="358"/>
      <c r="AJ631" s="380"/>
      <c r="AK631" s="380"/>
      <c r="AL631" s="380"/>
      <c r="AM631" s="380"/>
      <c r="AN631" s="120"/>
      <c r="AO631" s="120"/>
      <c r="AP631" s="120"/>
      <c r="AQ631" s="93"/>
      <c r="AR631" s="358"/>
      <c r="AS631" s="358"/>
      <c r="AT631" s="358"/>
      <c r="AU631" s="358"/>
      <c r="AV631" s="358"/>
      <c r="AW631" s="82"/>
      <c r="AX631" s="82"/>
      <c r="AY631" s="82"/>
      <c r="AZ631" s="82"/>
      <c r="BA631" s="82"/>
      <c r="BB631" s="82"/>
      <c r="BC631" s="82"/>
      <c r="BD631" s="82"/>
      <c r="BE631" s="82"/>
      <c r="BF631" s="82"/>
      <c r="BG631" s="112"/>
      <c r="BH631" s="112"/>
      <c r="BI631" s="112"/>
      <c r="BJ631" s="112"/>
      <c r="BK631" s="82"/>
      <c r="BL631" s="82"/>
      <c r="BN631" s="412"/>
      <c r="BO631" s="412"/>
      <c r="BP631" s="412"/>
      <c r="BQ631" s="412"/>
      <c r="BR631" s="412"/>
      <c r="BZ631" t="str">
        <f t="shared" si="53"/>
        <v/>
      </c>
    </row>
    <row r="632" spans="1:78" ht="15.6" hidden="1" customHeight="1">
      <c r="A632" s="35" t="str">
        <f t="shared" si="59"/>
        <v/>
      </c>
      <c r="C632" s="358" t="s">
        <v>24</v>
      </c>
      <c r="D632" s="358">
        <v>628</v>
      </c>
      <c r="E632" s="119"/>
      <c r="F632" s="119"/>
      <c r="G632" s="266"/>
      <c r="H632" s="119"/>
      <c r="I632" s="358"/>
      <c r="J632" s="359" t="str">
        <f>IFERROR(VLOOKUP($A632,#REF!,3,0),"")</f>
        <v/>
      </c>
      <c r="K632" s="359">
        <f>IFERROR(VLOOKUP($A632,#REF!,4,0),AF632)</f>
        <v>0</v>
      </c>
      <c r="L632" s="359" t="str">
        <f>IFERROR(VLOOKUP($A632,#REF!,5,0),"")</f>
        <v/>
      </c>
      <c r="M632" s="359" t="str">
        <f>IFERROR(VLOOKUP($A632,#REF!,7,0),"")</f>
        <v/>
      </c>
      <c r="N632" s="359"/>
      <c r="O632" s="359" t="str">
        <f>IFERROR(VLOOKUP($A632,#REF!,6,0),"")</f>
        <v/>
      </c>
      <c r="P632" s="359" t="str">
        <f>IFERROR(VLOOKUP($A632,#REF!,9,0),"")</f>
        <v/>
      </c>
      <c r="Q632" s="359" t="str">
        <f>IFERROR(VLOOKUP($A632,#REF!,10,0),"")</f>
        <v/>
      </c>
      <c r="R632" s="359" t="str">
        <f>IFERROR(VLOOKUP($A632,#REF!,11,0),"")</f>
        <v/>
      </c>
      <c r="S632" s="359" t="str">
        <f>IFERROR(VLOOKUP($A632,#REF!,13,0),"")</f>
        <v/>
      </c>
      <c r="T632" s="359" t="str">
        <f>IFERROR(VLOOKUP($A632,#REF!,14,0),"")</f>
        <v/>
      </c>
      <c r="U632" s="359" t="str">
        <f>IFERROR(VLOOKUP($A632,#REF!,15,0),"")</f>
        <v/>
      </c>
      <c r="V632" s="359" t="str">
        <f>IFERROR(VLOOKUP($A632,#REF!,16,0),"")</f>
        <v/>
      </c>
      <c r="W632" s="359" t="str">
        <f>IFERROR(VLOOKUP($A632,#REF!,17,0),"")</f>
        <v/>
      </c>
      <c r="X632" s="359" t="str">
        <f>IFERROR(VLOOKUP($A632,#REF!,18,0),"")</f>
        <v/>
      </c>
      <c r="Y632" s="359" t="str">
        <f>IFERROR(VLOOKUP($A632,#REF!,19,0),"")</f>
        <v/>
      </c>
      <c r="Z632" s="400" t="str">
        <f>IFERROR(VLOOKUP($A632,#REF!,21,0),"")</f>
        <v/>
      </c>
      <c r="AA632" s="358"/>
      <c r="AB632" s="358"/>
      <c r="AC632" s="358"/>
      <c r="AD632" s="358"/>
      <c r="AE632" s="358"/>
      <c r="AF632" s="141"/>
      <c r="AG632" s="358"/>
      <c r="AH632" s="358"/>
      <c r="AI632" s="358"/>
      <c r="AJ632" s="380"/>
      <c r="AK632" s="380"/>
      <c r="AL632" s="380"/>
      <c r="AM632" s="380"/>
      <c r="AN632" s="120"/>
      <c r="AO632" s="120"/>
      <c r="AP632" s="120"/>
      <c r="AQ632" s="93"/>
      <c r="AR632" s="358"/>
      <c r="AS632" s="358"/>
      <c r="AT632" s="358"/>
      <c r="AU632" s="358"/>
      <c r="AV632" s="358"/>
      <c r="AW632" s="82"/>
      <c r="AX632" s="82"/>
      <c r="AY632" s="82"/>
      <c r="AZ632" s="82"/>
      <c r="BA632" s="82"/>
      <c r="BB632" s="82"/>
      <c r="BC632" s="82"/>
      <c r="BD632" s="82"/>
      <c r="BE632" s="82"/>
      <c r="BF632" s="82"/>
      <c r="BG632" s="112"/>
      <c r="BH632" s="112"/>
      <c r="BI632" s="112"/>
      <c r="BJ632" s="112"/>
      <c r="BK632" s="82"/>
      <c r="BL632" s="82"/>
      <c r="BN632" s="412"/>
      <c r="BO632" s="412"/>
      <c r="BP632" s="412"/>
      <c r="BQ632" s="412"/>
      <c r="BR632" s="412"/>
      <c r="BZ632" t="str">
        <f t="shared" si="53"/>
        <v/>
      </c>
    </row>
    <row r="633" spans="1:78" ht="15.6" hidden="1" customHeight="1">
      <c r="A633" s="35" t="str">
        <f t="shared" si="59"/>
        <v/>
      </c>
      <c r="C633" s="358" t="s">
        <v>24</v>
      </c>
      <c r="D633" s="358">
        <v>629</v>
      </c>
      <c r="E633" s="119"/>
      <c r="F633" s="119"/>
      <c r="G633" s="266"/>
      <c r="H633" s="119"/>
      <c r="I633" s="358"/>
      <c r="J633" s="359" t="str">
        <f>IFERROR(VLOOKUP($A633,#REF!,3,0),"")</f>
        <v/>
      </c>
      <c r="K633" s="359">
        <f>IFERROR(VLOOKUP($A633,#REF!,4,0),AF633)</f>
        <v>0</v>
      </c>
      <c r="L633" s="359" t="str">
        <f>IFERROR(VLOOKUP($A633,#REF!,5,0),"")</f>
        <v/>
      </c>
      <c r="M633" s="359" t="str">
        <f>IFERROR(VLOOKUP($A633,#REF!,7,0),"")</f>
        <v/>
      </c>
      <c r="N633" s="359"/>
      <c r="O633" s="359" t="str">
        <f>IFERROR(VLOOKUP($A633,#REF!,6,0),"")</f>
        <v/>
      </c>
      <c r="P633" s="359" t="str">
        <f>IFERROR(VLOOKUP($A633,#REF!,9,0),"")</f>
        <v/>
      </c>
      <c r="Q633" s="359" t="str">
        <f>IFERROR(VLOOKUP($A633,#REF!,10,0),"")</f>
        <v/>
      </c>
      <c r="R633" s="359" t="str">
        <f>IFERROR(VLOOKUP($A633,#REF!,11,0),"")</f>
        <v/>
      </c>
      <c r="S633" s="359" t="str">
        <f>IFERROR(VLOOKUP($A633,#REF!,13,0),"")</f>
        <v/>
      </c>
      <c r="T633" s="359" t="str">
        <f>IFERROR(VLOOKUP($A633,#REF!,14,0),"")</f>
        <v/>
      </c>
      <c r="U633" s="359" t="str">
        <f>IFERROR(VLOOKUP($A633,#REF!,15,0),"")</f>
        <v/>
      </c>
      <c r="V633" s="359" t="str">
        <f>IFERROR(VLOOKUP($A633,#REF!,16,0),"")</f>
        <v/>
      </c>
      <c r="W633" s="359" t="str">
        <f>IFERROR(VLOOKUP($A633,#REF!,17,0),"")</f>
        <v/>
      </c>
      <c r="X633" s="359" t="str">
        <f>IFERROR(VLOOKUP($A633,#REF!,18,0),"")</f>
        <v/>
      </c>
      <c r="Y633" s="359" t="str">
        <f>IFERROR(VLOOKUP($A633,#REF!,19,0),"")</f>
        <v/>
      </c>
      <c r="Z633" s="400" t="str">
        <f>IFERROR(VLOOKUP($A633,#REF!,21,0),"")</f>
        <v/>
      </c>
      <c r="AA633" s="358"/>
      <c r="AB633" s="358"/>
      <c r="AC633" s="358"/>
      <c r="AD633" s="358"/>
      <c r="AE633" s="358"/>
      <c r="AF633" s="141"/>
      <c r="AG633" s="358"/>
      <c r="AH633" s="358"/>
      <c r="AI633" s="358"/>
      <c r="AJ633" s="380"/>
      <c r="AK633" s="380"/>
      <c r="AL633" s="380"/>
      <c r="AM633" s="380"/>
      <c r="AN633" s="120"/>
      <c r="AO633" s="120"/>
      <c r="AP633" s="120"/>
      <c r="AQ633" s="93"/>
      <c r="AR633" s="358"/>
      <c r="AS633" s="358"/>
      <c r="AT633" s="358"/>
      <c r="AU633" s="358"/>
      <c r="AV633" s="358"/>
      <c r="AW633" s="82"/>
      <c r="AX633" s="82"/>
      <c r="AY633" s="82"/>
      <c r="AZ633" s="82"/>
      <c r="BA633" s="82"/>
      <c r="BB633" s="82"/>
      <c r="BC633" s="82"/>
      <c r="BD633" s="82"/>
      <c r="BE633" s="82"/>
      <c r="BF633" s="82"/>
      <c r="BG633" s="112"/>
      <c r="BH633" s="112"/>
      <c r="BI633" s="112"/>
      <c r="BJ633" s="112"/>
      <c r="BK633" s="82"/>
      <c r="BL633" s="82"/>
      <c r="BN633" s="412"/>
      <c r="BO633" s="412"/>
      <c r="BP633" s="412"/>
      <c r="BQ633" s="412"/>
      <c r="BR633" s="412"/>
      <c r="BZ633" t="str">
        <f t="shared" si="53"/>
        <v/>
      </c>
    </row>
    <row r="634" spans="1:78" ht="15.6" hidden="1" customHeight="1">
      <c r="A634" s="35" t="str">
        <f t="shared" si="59"/>
        <v/>
      </c>
      <c r="C634" s="358" t="s">
        <v>24</v>
      </c>
      <c r="D634" s="358">
        <v>630</v>
      </c>
      <c r="E634" s="119"/>
      <c r="F634" s="119"/>
      <c r="G634" s="266"/>
      <c r="H634" s="119"/>
      <c r="I634" s="358"/>
      <c r="J634" s="359" t="str">
        <f>IFERROR(VLOOKUP($A634,#REF!,3,0),"")</f>
        <v/>
      </c>
      <c r="K634" s="359">
        <f>IFERROR(VLOOKUP($A634,#REF!,4,0),AF634)</f>
        <v>0</v>
      </c>
      <c r="L634" s="359" t="str">
        <f>IFERROR(VLOOKUP($A634,#REF!,5,0),"")</f>
        <v/>
      </c>
      <c r="M634" s="359" t="str">
        <f>IFERROR(VLOOKUP($A634,#REF!,7,0),"")</f>
        <v/>
      </c>
      <c r="N634" s="359"/>
      <c r="O634" s="359" t="str">
        <f>IFERROR(VLOOKUP($A634,#REF!,6,0),"")</f>
        <v/>
      </c>
      <c r="P634" s="359" t="str">
        <f>IFERROR(VLOOKUP($A634,#REF!,9,0),"")</f>
        <v/>
      </c>
      <c r="Q634" s="359" t="str">
        <f>IFERROR(VLOOKUP($A634,#REF!,10,0),"")</f>
        <v/>
      </c>
      <c r="R634" s="359" t="str">
        <f>IFERROR(VLOOKUP($A634,#REF!,11,0),"")</f>
        <v/>
      </c>
      <c r="S634" s="359" t="str">
        <f>IFERROR(VLOOKUP($A634,#REF!,13,0),"")</f>
        <v/>
      </c>
      <c r="T634" s="359" t="str">
        <f>IFERROR(VLOOKUP($A634,#REF!,14,0),"")</f>
        <v/>
      </c>
      <c r="U634" s="359" t="str">
        <f>IFERROR(VLOOKUP($A634,#REF!,15,0),"")</f>
        <v/>
      </c>
      <c r="V634" s="359" t="str">
        <f>IFERROR(VLOOKUP($A634,#REF!,16,0),"")</f>
        <v/>
      </c>
      <c r="W634" s="359" t="str">
        <f>IFERROR(VLOOKUP($A634,#REF!,17,0),"")</f>
        <v/>
      </c>
      <c r="X634" s="359" t="str">
        <f>IFERROR(VLOOKUP($A634,#REF!,18,0),"")</f>
        <v/>
      </c>
      <c r="Y634" s="359" t="str">
        <f>IFERROR(VLOOKUP($A634,#REF!,19,0),"")</f>
        <v/>
      </c>
      <c r="Z634" s="400" t="str">
        <f>IFERROR(VLOOKUP($A634,#REF!,21,0),"")</f>
        <v/>
      </c>
      <c r="AA634" s="358"/>
      <c r="AB634" s="358"/>
      <c r="AC634" s="358"/>
      <c r="AD634" s="358"/>
      <c r="AE634" s="358"/>
      <c r="AF634" s="141"/>
      <c r="AG634" s="358"/>
      <c r="AH634" s="358"/>
      <c r="AI634" s="358"/>
      <c r="AJ634" s="380"/>
      <c r="AK634" s="380"/>
      <c r="AL634" s="380"/>
      <c r="AM634" s="380"/>
      <c r="AN634" s="120"/>
      <c r="AO634" s="120"/>
      <c r="AP634" s="120"/>
      <c r="AQ634" s="93"/>
      <c r="AR634" s="358"/>
      <c r="AS634" s="358"/>
      <c r="AT634" s="358"/>
      <c r="AU634" s="358"/>
      <c r="AV634" s="358"/>
      <c r="AW634" s="82"/>
      <c r="AX634" s="82"/>
      <c r="AY634" s="82"/>
      <c r="AZ634" s="82"/>
      <c r="BA634" s="82"/>
      <c r="BB634" s="82"/>
      <c r="BC634" s="82"/>
      <c r="BD634" s="82"/>
      <c r="BE634" s="82"/>
      <c r="BF634" s="82"/>
      <c r="BG634" s="112"/>
      <c r="BH634" s="112"/>
      <c r="BI634" s="112"/>
      <c r="BJ634" s="112"/>
      <c r="BK634" s="82"/>
      <c r="BL634" s="82"/>
      <c r="BN634" s="412"/>
      <c r="BO634" s="412"/>
      <c r="BP634" s="412"/>
      <c r="BQ634" s="412"/>
      <c r="BR634" s="412"/>
      <c r="BZ634" t="str">
        <f t="shared" si="53"/>
        <v/>
      </c>
    </row>
    <row r="635" spans="1:78" ht="15.6" hidden="1" customHeight="1">
      <c r="A635" s="35" t="str">
        <f t="shared" si="59"/>
        <v/>
      </c>
      <c r="C635" s="358" t="s">
        <v>24</v>
      </c>
      <c r="D635" s="358">
        <v>631</v>
      </c>
      <c r="E635" s="119"/>
      <c r="F635" s="119"/>
      <c r="G635" s="266"/>
      <c r="H635" s="119"/>
      <c r="I635" s="358"/>
      <c r="J635" s="359" t="str">
        <f>IFERROR(VLOOKUP($A635,#REF!,3,0),"")</f>
        <v/>
      </c>
      <c r="K635" s="359">
        <f>IFERROR(VLOOKUP($A635,#REF!,4,0),AF635)</f>
        <v>0</v>
      </c>
      <c r="L635" s="359" t="str">
        <f>IFERROR(VLOOKUP($A635,#REF!,5,0),"")</f>
        <v/>
      </c>
      <c r="M635" s="359" t="str">
        <f>IFERROR(VLOOKUP($A635,#REF!,7,0),"")</f>
        <v/>
      </c>
      <c r="N635" s="359"/>
      <c r="O635" s="359" t="str">
        <f>IFERROR(VLOOKUP($A635,#REF!,6,0),"")</f>
        <v/>
      </c>
      <c r="P635" s="359" t="str">
        <f>IFERROR(VLOOKUP($A635,#REF!,9,0),"")</f>
        <v/>
      </c>
      <c r="Q635" s="359" t="str">
        <f>IFERROR(VLOOKUP($A635,#REF!,10,0),"")</f>
        <v/>
      </c>
      <c r="R635" s="359" t="str">
        <f>IFERROR(VLOOKUP($A635,#REF!,11,0),"")</f>
        <v/>
      </c>
      <c r="S635" s="359" t="str">
        <f>IFERROR(VLOOKUP($A635,#REF!,13,0),"")</f>
        <v/>
      </c>
      <c r="T635" s="359" t="str">
        <f>IFERROR(VLOOKUP($A635,#REF!,14,0),"")</f>
        <v/>
      </c>
      <c r="U635" s="359" t="str">
        <f>IFERROR(VLOOKUP($A635,#REF!,15,0),"")</f>
        <v/>
      </c>
      <c r="V635" s="359" t="str">
        <f>IFERROR(VLOOKUP($A635,#REF!,16,0),"")</f>
        <v/>
      </c>
      <c r="W635" s="359" t="str">
        <f>IFERROR(VLOOKUP($A635,#REF!,17,0),"")</f>
        <v/>
      </c>
      <c r="X635" s="359" t="str">
        <f>IFERROR(VLOOKUP($A635,#REF!,18,0),"")</f>
        <v/>
      </c>
      <c r="Y635" s="359" t="str">
        <f>IFERROR(VLOOKUP($A635,#REF!,19,0),"")</f>
        <v/>
      </c>
      <c r="Z635" s="400" t="str">
        <f>IFERROR(VLOOKUP($A635,#REF!,21,0),"")</f>
        <v/>
      </c>
      <c r="AA635" s="358"/>
      <c r="AB635" s="358"/>
      <c r="AC635" s="358"/>
      <c r="AD635" s="358"/>
      <c r="AE635" s="358"/>
      <c r="AF635" s="141"/>
      <c r="AG635" s="358"/>
      <c r="AH635" s="358"/>
      <c r="AI635" s="358"/>
      <c r="AJ635" s="380"/>
      <c r="AK635" s="380"/>
      <c r="AL635" s="380"/>
      <c r="AM635" s="380"/>
      <c r="AN635" s="120"/>
      <c r="AO635" s="120"/>
      <c r="AP635" s="120"/>
      <c r="AQ635" s="93"/>
      <c r="AR635" s="358"/>
      <c r="AS635" s="358"/>
      <c r="AT635" s="358"/>
      <c r="AU635" s="358"/>
      <c r="AV635" s="358"/>
      <c r="AW635" s="82"/>
      <c r="AX635" s="82"/>
      <c r="AY635" s="82"/>
      <c r="AZ635" s="82"/>
      <c r="BA635" s="82"/>
      <c r="BB635" s="82"/>
      <c r="BC635" s="82"/>
      <c r="BD635" s="82"/>
      <c r="BE635" s="82"/>
      <c r="BF635" s="82"/>
      <c r="BG635" s="112"/>
      <c r="BH635" s="112"/>
      <c r="BI635" s="112"/>
      <c r="BJ635" s="112"/>
      <c r="BK635" s="82"/>
      <c r="BL635" s="82"/>
      <c r="BN635" s="412"/>
      <c r="BO635" s="412"/>
      <c r="BP635" s="412"/>
      <c r="BQ635" s="412"/>
      <c r="BR635" s="412"/>
      <c r="BZ635" t="str">
        <f t="shared" si="53"/>
        <v/>
      </c>
    </row>
    <row r="636" spans="1:78" ht="15.6" hidden="1" customHeight="1">
      <c r="A636" s="35" t="str">
        <f t="shared" si="59"/>
        <v/>
      </c>
      <c r="C636" s="358" t="s">
        <v>24</v>
      </c>
      <c r="D636" s="358">
        <v>632</v>
      </c>
      <c r="E636" s="119"/>
      <c r="F636" s="119"/>
      <c r="G636" s="266"/>
      <c r="H636" s="119"/>
      <c r="I636" s="358"/>
      <c r="J636" s="359" t="str">
        <f>IFERROR(VLOOKUP($A636,#REF!,3,0),"")</f>
        <v/>
      </c>
      <c r="K636" s="359">
        <f>IFERROR(VLOOKUP($A636,#REF!,4,0),AF636)</f>
        <v>0</v>
      </c>
      <c r="L636" s="359" t="str">
        <f>IFERROR(VLOOKUP($A636,#REF!,5,0),"")</f>
        <v/>
      </c>
      <c r="M636" s="359" t="str">
        <f>IFERROR(VLOOKUP($A636,#REF!,7,0),"")</f>
        <v/>
      </c>
      <c r="N636" s="359"/>
      <c r="O636" s="359" t="str">
        <f>IFERROR(VLOOKUP($A636,#REF!,6,0),"")</f>
        <v/>
      </c>
      <c r="P636" s="359" t="str">
        <f>IFERROR(VLOOKUP($A636,#REF!,9,0),"")</f>
        <v/>
      </c>
      <c r="Q636" s="359" t="str">
        <f>IFERROR(VLOOKUP($A636,#REF!,10,0),"")</f>
        <v/>
      </c>
      <c r="R636" s="359" t="str">
        <f>IFERROR(VLOOKUP($A636,#REF!,11,0),"")</f>
        <v/>
      </c>
      <c r="S636" s="359" t="str">
        <f>IFERROR(VLOOKUP($A636,#REF!,13,0),"")</f>
        <v/>
      </c>
      <c r="T636" s="359" t="str">
        <f>IFERROR(VLOOKUP($A636,#REF!,14,0),"")</f>
        <v/>
      </c>
      <c r="U636" s="359" t="str">
        <f>IFERROR(VLOOKUP($A636,#REF!,15,0),"")</f>
        <v/>
      </c>
      <c r="V636" s="359" t="str">
        <f>IFERROR(VLOOKUP($A636,#REF!,16,0),"")</f>
        <v/>
      </c>
      <c r="W636" s="359" t="str">
        <f>IFERROR(VLOOKUP($A636,#REF!,17,0),"")</f>
        <v/>
      </c>
      <c r="X636" s="359" t="str">
        <f>IFERROR(VLOOKUP($A636,#REF!,18,0),"")</f>
        <v/>
      </c>
      <c r="Y636" s="359" t="str">
        <f>IFERROR(VLOOKUP($A636,#REF!,19,0),"")</f>
        <v/>
      </c>
      <c r="Z636" s="400" t="str">
        <f>IFERROR(VLOOKUP($A636,#REF!,21,0),"")</f>
        <v/>
      </c>
      <c r="AA636" s="358"/>
      <c r="AB636" s="358"/>
      <c r="AC636" s="358"/>
      <c r="AD636" s="358"/>
      <c r="AE636" s="358"/>
      <c r="AF636" s="141"/>
      <c r="AG636" s="358"/>
      <c r="AH636" s="358"/>
      <c r="AI636" s="358"/>
      <c r="AJ636" s="380"/>
      <c r="AK636" s="380"/>
      <c r="AL636" s="380"/>
      <c r="AM636" s="380"/>
      <c r="AN636" s="120"/>
      <c r="AO636" s="120"/>
      <c r="AP636" s="120"/>
      <c r="AQ636" s="93"/>
      <c r="AR636" s="358"/>
      <c r="AS636" s="358"/>
      <c r="AT636" s="358"/>
      <c r="AU636" s="358"/>
      <c r="AV636" s="358"/>
      <c r="AW636" s="82"/>
      <c r="AX636" s="82"/>
      <c r="AY636" s="82"/>
      <c r="AZ636" s="82"/>
      <c r="BA636" s="82"/>
      <c r="BB636" s="82"/>
      <c r="BC636" s="82"/>
      <c r="BD636" s="82"/>
      <c r="BE636" s="82"/>
      <c r="BF636" s="82"/>
      <c r="BG636" s="112"/>
      <c r="BH636" s="112"/>
      <c r="BI636" s="112"/>
      <c r="BJ636" s="112"/>
      <c r="BK636" s="82"/>
      <c r="BL636" s="82"/>
      <c r="BN636" s="412"/>
      <c r="BO636" s="412"/>
      <c r="BP636" s="412"/>
      <c r="BQ636" s="412"/>
      <c r="BR636" s="412"/>
      <c r="BZ636" t="str">
        <f t="shared" ref="BZ636:BZ715" si="63">IF(G636&gt;1,1,"")</f>
        <v/>
      </c>
    </row>
    <row r="637" spans="1:78" ht="15.6" hidden="1" customHeight="1">
      <c r="A637" s="35" t="str">
        <f t="shared" si="59"/>
        <v/>
      </c>
      <c r="C637" s="358" t="s">
        <v>24</v>
      </c>
      <c r="D637" s="358">
        <v>633</v>
      </c>
      <c r="E637" s="119"/>
      <c r="F637" s="119"/>
      <c r="G637" s="266"/>
      <c r="H637" s="119"/>
      <c r="I637" s="358"/>
      <c r="J637" s="359" t="str">
        <f>IFERROR(VLOOKUP($A637,#REF!,3,0),"")</f>
        <v/>
      </c>
      <c r="K637" s="359">
        <f>IFERROR(VLOOKUP($A637,#REF!,4,0),AF637)</f>
        <v>0</v>
      </c>
      <c r="L637" s="359" t="str">
        <f>IFERROR(VLOOKUP($A637,#REF!,5,0),"")</f>
        <v/>
      </c>
      <c r="M637" s="359" t="str">
        <f>IFERROR(VLOOKUP($A637,#REF!,7,0),"")</f>
        <v/>
      </c>
      <c r="N637" s="359"/>
      <c r="O637" s="359" t="str">
        <f>IFERROR(VLOOKUP($A637,#REF!,6,0),"")</f>
        <v/>
      </c>
      <c r="P637" s="359" t="str">
        <f>IFERROR(VLOOKUP($A637,#REF!,9,0),"")</f>
        <v/>
      </c>
      <c r="Q637" s="359" t="str">
        <f>IFERROR(VLOOKUP($A637,#REF!,10,0),"")</f>
        <v/>
      </c>
      <c r="R637" s="359" t="str">
        <f>IFERROR(VLOOKUP($A637,#REF!,11,0),"")</f>
        <v/>
      </c>
      <c r="S637" s="359" t="str">
        <f>IFERROR(VLOOKUP($A637,#REF!,13,0),"")</f>
        <v/>
      </c>
      <c r="T637" s="359" t="str">
        <f>IFERROR(VLOOKUP($A637,#REF!,14,0),"")</f>
        <v/>
      </c>
      <c r="U637" s="359" t="str">
        <f>IFERROR(VLOOKUP($A637,#REF!,15,0),"")</f>
        <v/>
      </c>
      <c r="V637" s="359" t="str">
        <f>IFERROR(VLOOKUP($A637,#REF!,16,0),"")</f>
        <v/>
      </c>
      <c r="W637" s="359" t="str">
        <f>IFERROR(VLOOKUP($A637,#REF!,17,0),"")</f>
        <v/>
      </c>
      <c r="X637" s="359" t="str">
        <f>IFERROR(VLOOKUP($A637,#REF!,18,0),"")</f>
        <v/>
      </c>
      <c r="Y637" s="359" t="str">
        <f>IFERROR(VLOOKUP($A637,#REF!,19,0),"")</f>
        <v/>
      </c>
      <c r="Z637" s="400" t="str">
        <f>IFERROR(VLOOKUP($A637,#REF!,21,0),"")</f>
        <v/>
      </c>
      <c r="AA637" s="358"/>
      <c r="AB637" s="358"/>
      <c r="AC637" s="358"/>
      <c r="AD637" s="358"/>
      <c r="AE637" s="358"/>
      <c r="AF637" s="141"/>
      <c r="AG637" s="358"/>
      <c r="AH637" s="358"/>
      <c r="AI637" s="358"/>
      <c r="AJ637" s="380"/>
      <c r="AK637" s="380"/>
      <c r="AL637" s="380"/>
      <c r="AM637" s="380"/>
      <c r="AN637" s="120"/>
      <c r="AO637" s="120"/>
      <c r="AP637" s="120"/>
      <c r="AQ637" s="93"/>
      <c r="AR637" s="358"/>
      <c r="AS637" s="358"/>
      <c r="AT637" s="358"/>
      <c r="AU637" s="358"/>
      <c r="AV637" s="358"/>
      <c r="AW637" s="82"/>
      <c r="AX637" s="82"/>
      <c r="AY637" s="82"/>
      <c r="AZ637" s="82"/>
      <c r="BA637" s="82"/>
      <c r="BB637" s="82"/>
      <c r="BC637" s="82"/>
      <c r="BD637" s="82"/>
      <c r="BE637" s="82"/>
      <c r="BF637" s="82"/>
      <c r="BG637" s="112"/>
      <c r="BH637" s="112"/>
      <c r="BI637" s="112"/>
      <c r="BJ637" s="112"/>
      <c r="BK637" s="82"/>
      <c r="BL637" s="82"/>
      <c r="BN637" s="412"/>
      <c r="BO637" s="412"/>
      <c r="BP637" s="412"/>
      <c r="BQ637" s="412"/>
      <c r="BR637" s="412"/>
      <c r="BZ637" t="str">
        <f t="shared" si="63"/>
        <v/>
      </c>
    </row>
    <row r="638" spans="1:78" ht="15.6" hidden="1" customHeight="1">
      <c r="A638" s="35" t="str">
        <f t="shared" si="59"/>
        <v/>
      </c>
      <c r="C638" s="358" t="s">
        <v>24</v>
      </c>
      <c r="D638" s="358">
        <v>634</v>
      </c>
      <c r="E638" s="119"/>
      <c r="F638" s="119"/>
      <c r="G638" s="266"/>
      <c r="H638" s="119"/>
      <c r="I638" s="358"/>
      <c r="J638" s="359" t="str">
        <f>IFERROR(VLOOKUP($A638,#REF!,3,0),"")</f>
        <v/>
      </c>
      <c r="K638" s="359">
        <f>IFERROR(VLOOKUP($A638,#REF!,4,0),AF638)</f>
        <v>0</v>
      </c>
      <c r="L638" s="359" t="str">
        <f>IFERROR(VLOOKUP($A638,#REF!,5,0),"")</f>
        <v/>
      </c>
      <c r="M638" s="359" t="str">
        <f>IFERROR(VLOOKUP($A638,#REF!,7,0),"")</f>
        <v/>
      </c>
      <c r="N638" s="359"/>
      <c r="O638" s="359" t="str">
        <f>IFERROR(VLOOKUP($A638,#REF!,6,0),"")</f>
        <v/>
      </c>
      <c r="P638" s="359" t="str">
        <f>IFERROR(VLOOKUP($A638,#REF!,9,0),"")</f>
        <v/>
      </c>
      <c r="Q638" s="359" t="str">
        <f>IFERROR(VLOOKUP($A638,#REF!,10,0),"")</f>
        <v/>
      </c>
      <c r="R638" s="359" t="str">
        <f>IFERROR(VLOOKUP($A638,#REF!,11,0),"")</f>
        <v/>
      </c>
      <c r="S638" s="359" t="str">
        <f>IFERROR(VLOOKUP($A638,#REF!,13,0),"")</f>
        <v/>
      </c>
      <c r="T638" s="359" t="str">
        <f>IFERROR(VLOOKUP($A638,#REF!,14,0),"")</f>
        <v/>
      </c>
      <c r="U638" s="359" t="str">
        <f>IFERROR(VLOOKUP($A638,#REF!,15,0),"")</f>
        <v/>
      </c>
      <c r="V638" s="359" t="str">
        <f>IFERROR(VLOOKUP($A638,#REF!,16,0),"")</f>
        <v/>
      </c>
      <c r="W638" s="359" t="str">
        <f>IFERROR(VLOOKUP($A638,#REF!,17,0),"")</f>
        <v/>
      </c>
      <c r="X638" s="359" t="str">
        <f>IFERROR(VLOOKUP($A638,#REF!,18,0),"")</f>
        <v/>
      </c>
      <c r="Y638" s="359" t="str">
        <f>IFERROR(VLOOKUP($A638,#REF!,19,0),"")</f>
        <v/>
      </c>
      <c r="Z638" s="400" t="str">
        <f>IFERROR(VLOOKUP($A638,#REF!,21,0),"")</f>
        <v/>
      </c>
      <c r="AA638" s="358"/>
      <c r="AB638" s="358"/>
      <c r="AC638" s="358"/>
      <c r="AD638" s="358"/>
      <c r="AE638" s="358"/>
      <c r="AF638" s="141"/>
      <c r="AG638" s="358"/>
      <c r="AH638" s="358"/>
      <c r="AI638" s="358"/>
      <c r="AJ638" s="380"/>
      <c r="AK638" s="380"/>
      <c r="AL638" s="380"/>
      <c r="AM638" s="380"/>
      <c r="AN638" s="120"/>
      <c r="AO638" s="120"/>
      <c r="AP638" s="120"/>
      <c r="AQ638" s="93"/>
      <c r="AR638" s="358"/>
      <c r="AS638" s="358"/>
      <c r="AT638" s="358"/>
      <c r="AU638" s="358"/>
      <c r="AV638" s="358"/>
      <c r="AW638" s="82"/>
      <c r="AX638" s="82"/>
      <c r="AY638" s="82"/>
      <c r="AZ638" s="82"/>
      <c r="BA638" s="82"/>
      <c r="BB638" s="82"/>
      <c r="BC638" s="82"/>
      <c r="BD638" s="82"/>
      <c r="BE638" s="82"/>
      <c r="BF638" s="82"/>
      <c r="BG638" s="112"/>
      <c r="BH638" s="112"/>
      <c r="BI638" s="112"/>
      <c r="BJ638" s="112"/>
      <c r="BK638" s="82"/>
      <c r="BL638" s="82"/>
      <c r="BN638" s="412"/>
      <c r="BO638" s="412"/>
      <c r="BP638" s="412"/>
      <c r="BQ638" s="412"/>
      <c r="BR638" s="412"/>
      <c r="BZ638" t="str">
        <f t="shared" si="63"/>
        <v/>
      </c>
    </row>
    <row r="639" spans="1:78" ht="15.6" hidden="1" customHeight="1">
      <c r="A639" s="35" t="str">
        <f t="shared" si="59"/>
        <v/>
      </c>
      <c r="C639" s="358" t="s">
        <v>24</v>
      </c>
      <c r="D639" s="358">
        <v>635</v>
      </c>
      <c r="E639" s="119"/>
      <c r="F639" s="119"/>
      <c r="G639" s="266"/>
      <c r="H639" s="119"/>
      <c r="I639" s="358"/>
      <c r="J639" s="359" t="str">
        <f>IFERROR(VLOOKUP($A639,#REF!,3,0),"")</f>
        <v/>
      </c>
      <c r="K639" s="359">
        <f>IFERROR(VLOOKUP($A639,#REF!,4,0),AF639)</f>
        <v>0</v>
      </c>
      <c r="L639" s="359" t="str">
        <f>IFERROR(VLOOKUP($A639,#REF!,5,0),"")</f>
        <v/>
      </c>
      <c r="M639" s="359" t="str">
        <f>IFERROR(VLOOKUP($A639,#REF!,7,0),"")</f>
        <v/>
      </c>
      <c r="N639" s="359"/>
      <c r="O639" s="359" t="str">
        <f>IFERROR(VLOOKUP($A639,#REF!,6,0),"")</f>
        <v/>
      </c>
      <c r="P639" s="359" t="str">
        <f>IFERROR(VLOOKUP($A639,#REF!,9,0),"")</f>
        <v/>
      </c>
      <c r="Q639" s="359" t="str">
        <f>IFERROR(VLOOKUP($A639,#REF!,10,0),"")</f>
        <v/>
      </c>
      <c r="R639" s="359" t="str">
        <f>IFERROR(VLOOKUP($A639,#REF!,11,0),"")</f>
        <v/>
      </c>
      <c r="S639" s="359" t="str">
        <f>IFERROR(VLOOKUP($A639,#REF!,13,0),"")</f>
        <v/>
      </c>
      <c r="T639" s="359" t="str">
        <f>IFERROR(VLOOKUP($A639,#REF!,14,0),"")</f>
        <v/>
      </c>
      <c r="U639" s="359" t="str">
        <f>IFERROR(VLOOKUP($A639,#REF!,15,0),"")</f>
        <v/>
      </c>
      <c r="V639" s="359" t="str">
        <f>IFERROR(VLOOKUP($A639,#REF!,16,0),"")</f>
        <v/>
      </c>
      <c r="W639" s="359" t="str">
        <f>IFERROR(VLOOKUP($A639,#REF!,17,0),"")</f>
        <v/>
      </c>
      <c r="X639" s="359" t="str">
        <f>IFERROR(VLOOKUP($A639,#REF!,18,0),"")</f>
        <v/>
      </c>
      <c r="Y639" s="359" t="str">
        <f>IFERROR(VLOOKUP($A639,#REF!,19,0),"")</f>
        <v/>
      </c>
      <c r="Z639" s="400" t="str">
        <f>IFERROR(VLOOKUP($A639,#REF!,21,0),"")</f>
        <v/>
      </c>
      <c r="AA639" s="358"/>
      <c r="AB639" s="358"/>
      <c r="AC639" s="358"/>
      <c r="AD639" s="358"/>
      <c r="AE639" s="358"/>
      <c r="AF639" s="141"/>
      <c r="AG639" s="358"/>
      <c r="AH639" s="358"/>
      <c r="AI639" s="358"/>
      <c r="AJ639" s="380"/>
      <c r="AK639" s="380"/>
      <c r="AL639" s="380"/>
      <c r="AM639" s="380"/>
      <c r="AN639" s="120"/>
      <c r="AO639" s="120"/>
      <c r="AP639" s="120"/>
      <c r="AQ639" s="93"/>
      <c r="AR639" s="358"/>
      <c r="AS639" s="358"/>
      <c r="AT639" s="358"/>
      <c r="AU639" s="358"/>
      <c r="AV639" s="358"/>
      <c r="AW639" s="82"/>
      <c r="AX639" s="82"/>
      <c r="AY639" s="82"/>
      <c r="AZ639" s="82"/>
      <c r="BA639" s="82"/>
      <c r="BB639" s="82"/>
      <c r="BC639" s="82"/>
      <c r="BD639" s="82"/>
      <c r="BE639" s="82"/>
      <c r="BF639" s="82"/>
      <c r="BG639" s="112"/>
      <c r="BH639" s="112"/>
      <c r="BI639" s="112"/>
      <c r="BJ639" s="112"/>
      <c r="BK639" s="82"/>
      <c r="BL639" s="82"/>
      <c r="BN639" s="412"/>
      <c r="BO639" s="412"/>
      <c r="BP639" s="412"/>
      <c r="BQ639" s="412"/>
      <c r="BR639" s="412"/>
      <c r="BZ639" t="str">
        <f t="shared" si="63"/>
        <v/>
      </c>
    </row>
    <row r="640" spans="1:78" ht="15.6" hidden="1" customHeight="1">
      <c r="A640" s="35" t="str">
        <f t="shared" si="59"/>
        <v/>
      </c>
      <c r="C640" s="358" t="s">
        <v>24</v>
      </c>
      <c r="D640" s="358">
        <v>636</v>
      </c>
      <c r="E640" s="119"/>
      <c r="F640" s="119"/>
      <c r="G640" s="266"/>
      <c r="H640" s="119"/>
      <c r="I640" s="358"/>
      <c r="J640" s="359" t="str">
        <f>IFERROR(VLOOKUP($A640,#REF!,3,0),"")</f>
        <v/>
      </c>
      <c r="K640" s="359">
        <f>IFERROR(VLOOKUP($A640,#REF!,4,0),AF640)</f>
        <v>0</v>
      </c>
      <c r="L640" s="359" t="str">
        <f>IFERROR(VLOOKUP($A640,#REF!,5,0),"")</f>
        <v/>
      </c>
      <c r="M640" s="359" t="str">
        <f>IFERROR(VLOOKUP($A640,#REF!,7,0),"")</f>
        <v/>
      </c>
      <c r="N640" s="359"/>
      <c r="O640" s="359" t="str">
        <f>IFERROR(VLOOKUP($A640,#REF!,6,0),"")</f>
        <v/>
      </c>
      <c r="P640" s="359" t="str">
        <f>IFERROR(VLOOKUP($A640,#REF!,9,0),"")</f>
        <v/>
      </c>
      <c r="Q640" s="359" t="str">
        <f>IFERROR(VLOOKUP($A640,#REF!,10,0),"")</f>
        <v/>
      </c>
      <c r="R640" s="359" t="str">
        <f>IFERROR(VLOOKUP($A640,#REF!,11,0),"")</f>
        <v/>
      </c>
      <c r="S640" s="359" t="str">
        <f>IFERROR(VLOOKUP($A640,#REF!,13,0),"")</f>
        <v/>
      </c>
      <c r="T640" s="359" t="str">
        <f>IFERROR(VLOOKUP($A640,#REF!,14,0),"")</f>
        <v/>
      </c>
      <c r="U640" s="359" t="str">
        <f>IFERROR(VLOOKUP($A640,#REF!,15,0),"")</f>
        <v/>
      </c>
      <c r="V640" s="359" t="str">
        <f>IFERROR(VLOOKUP($A640,#REF!,16,0),"")</f>
        <v/>
      </c>
      <c r="W640" s="359" t="str">
        <f>IFERROR(VLOOKUP($A640,#REF!,17,0),"")</f>
        <v/>
      </c>
      <c r="X640" s="359" t="str">
        <f>IFERROR(VLOOKUP($A640,#REF!,18,0),"")</f>
        <v/>
      </c>
      <c r="Y640" s="359" t="str">
        <f>IFERROR(VLOOKUP($A640,#REF!,19,0),"")</f>
        <v/>
      </c>
      <c r="Z640" s="400" t="str">
        <f>IFERROR(VLOOKUP($A640,#REF!,21,0),"")</f>
        <v/>
      </c>
      <c r="AA640" s="358"/>
      <c r="AB640" s="358"/>
      <c r="AC640" s="358"/>
      <c r="AD640" s="358"/>
      <c r="AE640" s="358"/>
      <c r="AF640" s="141"/>
      <c r="AG640" s="358"/>
      <c r="AH640" s="358"/>
      <c r="AI640" s="358"/>
      <c r="AJ640" s="380"/>
      <c r="AK640" s="380"/>
      <c r="AL640" s="380"/>
      <c r="AM640" s="380"/>
      <c r="AN640" s="120"/>
      <c r="AO640" s="120"/>
      <c r="AP640" s="120"/>
      <c r="AQ640" s="93"/>
      <c r="AR640" s="358"/>
      <c r="AS640" s="358"/>
      <c r="AT640" s="358"/>
      <c r="AU640" s="358"/>
      <c r="AV640" s="358"/>
      <c r="AW640" s="82"/>
      <c r="AX640" s="82"/>
      <c r="AY640" s="82"/>
      <c r="AZ640" s="82"/>
      <c r="BA640" s="82"/>
      <c r="BB640" s="82"/>
      <c r="BC640" s="82"/>
      <c r="BD640" s="82"/>
      <c r="BE640" s="82"/>
      <c r="BF640" s="82"/>
      <c r="BG640" s="112"/>
      <c r="BH640" s="112"/>
      <c r="BI640" s="112"/>
      <c r="BJ640" s="112"/>
      <c r="BK640" s="82"/>
      <c r="BL640" s="82"/>
      <c r="BN640" s="412"/>
      <c r="BO640" s="412"/>
      <c r="BP640" s="412"/>
      <c r="BQ640" s="412"/>
      <c r="BR640" s="412"/>
      <c r="BZ640" t="str">
        <f t="shared" si="63"/>
        <v/>
      </c>
    </row>
    <row r="641" spans="1:78" ht="15.6" hidden="1" customHeight="1">
      <c r="A641" s="35" t="str">
        <f t="shared" si="59"/>
        <v/>
      </c>
      <c r="C641" s="358" t="s">
        <v>24</v>
      </c>
      <c r="D641" s="358">
        <v>637</v>
      </c>
      <c r="E641" s="119"/>
      <c r="F641" s="119"/>
      <c r="G641" s="266"/>
      <c r="H641" s="119"/>
      <c r="I641" s="358"/>
      <c r="J641" s="359" t="str">
        <f>IFERROR(VLOOKUP($A641,#REF!,3,0),"")</f>
        <v/>
      </c>
      <c r="K641" s="359">
        <f>IFERROR(VLOOKUP($A641,#REF!,4,0),AF641)</f>
        <v>0</v>
      </c>
      <c r="L641" s="359" t="str">
        <f>IFERROR(VLOOKUP($A641,#REF!,5,0),"")</f>
        <v/>
      </c>
      <c r="M641" s="359" t="str">
        <f>IFERROR(VLOOKUP($A641,#REF!,7,0),"")</f>
        <v/>
      </c>
      <c r="N641" s="359"/>
      <c r="O641" s="359" t="str">
        <f>IFERROR(VLOOKUP($A641,#REF!,6,0),"")</f>
        <v/>
      </c>
      <c r="P641" s="359" t="str">
        <f>IFERROR(VLOOKUP($A641,#REF!,9,0),"")</f>
        <v/>
      </c>
      <c r="Q641" s="359" t="str">
        <f>IFERROR(VLOOKUP($A641,#REF!,10,0),"")</f>
        <v/>
      </c>
      <c r="R641" s="359" t="str">
        <f>IFERROR(VLOOKUP($A641,#REF!,11,0),"")</f>
        <v/>
      </c>
      <c r="S641" s="359" t="str">
        <f>IFERROR(VLOOKUP($A641,#REF!,13,0),"")</f>
        <v/>
      </c>
      <c r="T641" s="359" t="str">
        <f>IFERROR(VLOOKUP($A641,#REF!,14,0),"")</f>
        <v/>
      </c>
      <c r="U641" s="359" t="str">
        <f>IFERROR(VLOOKUP($A641,#REF!,15,0),"")</f>
        <v/>
      </c>
      <c r="V641" s="359" t="str">
        <f>IFERROR(VLOOKUP($A641,#REF!,16,0),"")</f>
        <v/>
      </c>
      <c r="W641" s="359" t="str">
        <f>IFERROR(VLOOKUP($A641,#REF!,17,0),"")</f>
        <v/>
      </c>
      <c r="X641" s="359" t="str">
        <f>IFERROR(VLOOKUP($A641,#REF!,18,0),"")</f>
        <v/>
      </c>
      <c r="Y641" s="359" t="str">
        <f>IFERROR(VLOOKUP($A641,#REF!,19,0),"")</f>
        <v/>
      </c>
      <c r="Z641" s="400" t="str">
        <f>IFERROR(VLOOKUP($A641,#REF!,21,0),"")</f>
        <v/>
      </c>
      <c r="AA641" s="358"/>
      <c r="AB641" s="358"/>
      <c r="AC641" s="358"/>
      <c r="AD641" s="358"/>
      <c r="AE641" s="358"/>
      <c r="AF641" s="141"/>
      <c r="AG641" s="358"/>
      <c r="AH641" s="358"/>
      <c r="AI641" s="358"/>
      <c r="AJ641" s="380"/>
      <c r="AK641" s="380"/>
      <c r="AL641" s="380"/>
      <c r="AM641" s="380"/>
      <c r="AN641" s="120"/>
      <c r="AO641" s="120"/>
      <c r="AP641" s="120"/>
      <c r="AQ641" s="93"/>
      <c r="AR641" s="358"/>
      <c r="AS641" s="358"/>
      <c r="AT641" s="358"/>
      <c r="AU641" s="358"/>
      <c r="AV641" s="358"/>
      <c r="AW641" s="82"/>
      <c r="AX641" s="82"/>
      <c r="AY641" s="82"/>
      <c r="AZ641" s="82"/>
      <c r="BA641" s="82"/>
      <c r="BB641" s="82"/>
      <c r="BC641" s="82"/>
      <c r="BD641" s="82"/>
      <c r="BE641" s="82"/>
      <c r="BF641" s="82"/>
      <c r="BG641" s="112"/>
      <c r="BH641" s="112"/>
      <c r="BI641" s="112"/>
      <c r="BJ641" s="112"/>
      <c r="BK641" s="82"/>
      <c r="BL641" s="82"/>
      <c r="BN641" s="412"/>
      <c r="BO641" s="412"/>
      <c r="BP641" s="412"/>
      <c r="BQ641" s="412"/>
      <c r="BR641" s="412"/>
      <c r="BZ641" t="str">
        <f t="shared" si="63"/>
        <v/>
      </c>
    </row>
    <row r="642" spans="1:78" ht="15.6" hidden="1" customHeight="1">
      <c r="A642" s="35" t="str">
        <f t="shared" si="59"/>
        <v/>
      </c>
      <c r="C642" s="358" t="s">
        <v>24</v>
      </c>
      <c r="D642" s="358">
        <v>638</v>
      </c>
      <c r="E642" s="119"/>
      <c r="F642" s="119"/>
      <c r="G642" s="266"/>
      <c r="H642" s="119"/>
      <c r="I642" s="358"/>
      <c r="J642" s="359" t="str">
        <f>IFERROR(VLOOKUP($A642,#REF!,3,0),"")</f>
        <v/>
      </c>
      <c r="K642" s="359">
        <f>IFERROR(VLOOKUP($A642,#REF!,4,0),AF642)</f>
        <v>0</v>
      </c>
      <c r="L642" s="359" t="str">
        <f>IFERROR(VLOOKUP($A642,#REF!,5,0),"")</f>
        <v/>
      </c>
      <c r="M642" s="359" t="str">
        <f>IFERROR(VLOOKUP($A642,#REF!,7,0),"")</f>
        <v/>
      </c>
      <c r="N642" s="359"/>
      <c r="O642" s="359" t="str">
        <f>IFERROR(VLOOKUP($A642,#REF!,6,0),"")</f>
        <v/>
      </c>
      <c r="P642" s="359" t="str">
        <f>IFERROR(VLOOKUP($A642,#REF!,9,0),"")</f>
        <v/>
      </c>
      <c r="Q642" s="359" t="str">
        <f>IFERROR(VLOOKUP($A642,#REF!,10,0),"")</f>
        <v/>
      </c>
      <c r="R642" s="359" t="str">
        <f>IFERROR(VLOOKUP($A642,#REF!,11,0),"")</f>
        <v/>
      </c>
      <c r="S642" s="359" t="str">
        <f>IFERROR(VLOOKUP($A642,#REF!,13,0),"")</f>
        <v/>
      </c>
      <c r="T642" s="359" t="str">
        <f>IFERROR(VLOOKUP($A642,#REF!,14,0),"")</f>
        <v/>
      </c>
      <c r="U642" s="359" t="str">
        <f>IFERROR(VLOOKUP($A642,#REF!,15,0),"")</f>
        <v/>
      </c>
      <c r="V642" s="359" t="str">
        <f>IFERROR(VLOOKUP($A642,#REF!,16,0),"")</f>
        <v/>
      </c>
      <c r="W642" s="359" t="str">
        <f>IFERROR(VLOOKUP($A642,#REF!,17,0),"")</f>
        <v/>
      </c>
      <c r="X642" s="359" t="str">
        <f>IFERROR(VLOOKUP($A642,#REF!,18,0),"")</f>
        <v/>
      </c>
      <c r="Y642" s="359" t="str">
        <f>IFERROR(VLOOKUP($A642,#REF!,19,0),"")</f>
        <v/>
      </c>
      <c r="Z642" s="400" t="str">
        <f>IFERROR(VLOOKUP($A642,#REF!,21,0),"")</f>
        <v/>
      </c>
      <c r="AA642" s="358"/>
      <c r="AB642" s="358"/>
      <c r="AC642" s="358"/>
      <c r="AD642" s="358"/>
      <c r="AE642" s="358"/>
      <c r="AF642" s="141"/>
      <c r="AG642" s="358"/>
      <c r="AH642" s="358"/>
      <c r="AI642" s="358"/>
      <c r="AJ642" s="380"/>
      <c r="AK642" s="380"/>
      <c r="AL642" s="380"/>
      <c r="AM642" s="380"/>
      <c r="AN642" s="120"/>
      <c r="AO642" s="120"/>
      <c r="AP642" s="120"/>
      <c r="AQ642" s="93"/>
      <c r="AR642" s="358"/>
      <c r="AS642" s="358"/>
      <c r="AT642" s="358"/>
      <c r="AU642" s="358"/>
      <c r="AV642" s="358"/>
      <c r="AW642" s="82"/>
      <c r="AX642" s="82"/>
      <c r="AY642" s="82"/>
      <c r="AZ642" s="82"/>
      <c r="BA642" s="82"/>
      <c r="BB642" s="82"/>
      <c r="BC642" s="82"/>
      <c r="BD642" s="82"/>
      <c r="BE642" s="82"/>
      <c r="BF642" s="82"/>
      <c r="BG642" s="112"/>
      <c r="BH642" s="112"/>
      <c r="BI642" s="112"/>
      <c r="BJ642" s="112"/>
      <c r="BK642" s="82"/>
      <c r="BL642" s="82"/>
      <c r="BN642" s="412"/>
      <c r="BO642" s="412"/>
      <c r="BP642" s="412"/>
      <c r="BQ642" s="412"/>
      <c r="BR642" s="412"/>
      <c r="BZ642" t="str">
        <f t="shared" si="63"/>
        <v/>
      </c>
    </row>
    <row r="643" spans="1:78" ht="15.6" hidden="1" customHeight="1">
      <c r="A643" s="35" t="str">
        <f t="shared" si="59"/>
        <v/>
      </c>
      <c r="C643" s="358" t="s">
        <v>24</v>
      </c>
      <c r="D643" s="358">
        <v>639</v>
      </c>
      <c r="E643" s="119"/>
      <c r="F643" s="119"/>
      <c r="G643" s="266"/>
      <c r="H643" s="119"/>
      <c r="I643" s="358"/>
      <c r="J643" s="359" t="str">
        <f>IFERROR(VLOOKUP($A643,#REF!,3,0),"")</f>
        <v/>
      </c>
      <c r="K643" s="359">
        <f>IFERROR(VLOOKUP($A643,#REF!,4,0),AF643)</f>
        <v>0</v>
      </c>
      <c r="L643" s="359" t="str">
        <f>IFERROR(VLOOKUP($A643,#REF!,5,0),"")</f>
        <v/>
      </c>
      <c r="M643" s="359" t="str">
        <f>IFERROR(VLOOKUP($A643,#REF!,7,0),"")</f>
        <v/>
      </c>
      <c r="N643" s="359"/>
      <c r="O643" s="359" t="str">
        <f>IFERROR(VLOOKUP($A643,#REF!,6,0),"")</f>
        <v/>
      </c>
      <c r="P643" s="359" t="str">
        <f>IFERROR(VLOOKUP($A643,#REF!,9,0),"")</f>
        <v/>
      </c>
      <c r="Q643" s="359" t="str">
        <f>IFERROR(VLOOKUP($A643,#REF!,10,0),"")</f>
        <v/>
      </c>
      <c r="R643" s="359" t="str">
        <f>IFERROR(VLOOKUP($A643,#REF!,11,0),"")</f>
        <v/>
      </c>
      <c r="S643" s="359" t="str">
        <f>IFERROR(VLOOKUP($A643,#REF!,13,0),"")</f>
        <v/>
      </c>
      <c r="T643" s="359" t="str">
        <f>IFERROR(VLOOKUP($A643,#REF!,14,0),"")</f>
        <v/>
      </c>
      <c r="U643" s="359" t="str">
        <f>IFERROR(VLOOKUP($A643,#REF!,15,0),"")</f>
        <v/>
      </c>
      <c r="V643" s="359" t="str">
        <f>IFERROR(VLOOKUP($A643,#REF!,16,0),"")</f>
        <v/>
      </c>
      <c r="W643" s="359" t="str">
        <f>IFERROR(VLOOKUP($A643,#REF!,17,0),"")</f>
        <v/>
      </c>
      <c r="X643" s="359" t="str">
        <f>IFERROR(VLOOKUP($A643,#REF!,18,0),"")</f>
        <v/>
      </c>
      <c r="Y643" s="359" t="str">
        <f>IFERROR(VLOOKUP($A643,#REF!,19,0),"")</f>
        <v/>
      </c>
      <c r="Z643" s="400" t="str">
        <f>IFERROR(VLOOKUP($A643,#REF!,21,0),"")</f>
        <v/>
      </c>
      <c r="AA643" s="358"/>
      <c r="AB643" s="358"/>
      <c r="AC643" s="358"/>
      <c r="AD643" s="358"/>
      <c r="AE643" s="358"/>
      <c r="AF643" s="141"/>
      <c r="AG643" s="358"/>
      <c r="AH643" s="358"/>
      <c r="AI643" s="358"/>
      <c r="AJ643" s="380"/>
      <c r="AK643" s="380"/>
      <c r="AL643" s="380"/>
      <c r="AM643" s="380"/>
      <c r="AN643" s="120"/>
      <c r="AO643" s="120"/>
      <c r="AP643" s="120"/>
      <c r="AQ643" s="93"/>
      <c r="AR643" s="358"/>
      <c r="AS643" s="358"/>
      <c r="AT643" s="358"/>
      <c r="AU643" s="358"/>
      <c r="AV643" s="358"/>
      <c r="AW643" s="82"/>
      <c r="AX643" s="82"/>
      <c r="AY643" s="82"/>
      <c r="AZ643" s="82"/>
      <c r="BA643" s="82"/>
      <c r="BB643" s="82"/>
      <c r="BC643" s="82"/>
      <c r="BD643" s="82"/>
      <c r="BE643" s="82"/>
      <c r="BF643" s="82"/>
      <c r="BG643" s="112"/>
      <c r="BH643" s="112"/>
      <c r="BI643" s="112"/>
      <c r="BJ643" s="112"/>
      <c r="BK643" s="82"/>
      <c r="BL643" s="82"/>
      <c r="BN643" s="412"/>
      <c r="BO643" s="412"/>
      <c r="BP643" s="412"/>
      <c r="BQ643" s="412"/>
      <c r="BR643" s="412"/>
      <c r="BZ643" t="str">
        <f t="shared" si="63"/>
        <v/>
      </c>
    </row>
    <row r="644" spans="1:78" ht="15.6" hidden="1" customHeight="1">
      <c r="A644" s="35" t="str">
        <f t="shared" si="59"/>
        <v/>
      </c>
      <c r="C644" s="358" t="s">
        <v>24</v>
      </c>
      <c r="D644" s="358">
        <v>640</v>
      </c>
      <c r="E644" s="119"/>
      <c r="F644" s="119"/>
      <c r="G644" s="266"/>
      <c r="H644" s="119"/>
      <c r="I644" s="358"/>
      <c r="J644" s="359" t="str">
        <f>IFERROR(VLOOKUP($A644,#REF!,3,0),"")</f>
        <v/>
      </c>
      <c r="K644" s="359">
        <f>IFERROR(VLOOKUP($A644,#REF!,4,0),AF644)</f>
        <v>0</v>
      </c>
      <c r="L644" s="359" t="str">
        <f>IFERROR(VLOOKUP($A644,#REF!,5,0),"")</f>
        <v/>
      </c>
      <c r="M644" s="359" t="str">
        <f>IFERROR(VLOOKUP($A644,#REF!,7,0),"")</f>
        <v/>
      </c>
      <c r="N644" s="359"/>
      <c r="O644" s="359" t="str">
        <f>IFERROR(VLOOKUP($A644,#REF!,6,0),"")</f>
        <v/>
      </c>
      <c r="P644" s="359" t="str">
        <f>IFERROR(VLOOKUP($A644,#REF!,9,0),"")</f>
        <v/>
      </c>
      <c r="Q644" s="359" t="str">
        <f>IFERROR(VLOOKUP($A644,#REF!,10,0),"")</f>
        <v/>
      </c>
      <c r="R644" s="359" t="str">
        <f>IFERROR(VLOOKUP($A644,#REF!,11,0),"")</f>
        <v/>
      </c>
      <c r="S644" s="359" t="str">
        <f>IFERROR(VLOOKUP($A644,#REF!,13,0),"")</f>
        <v/>
      </c>
      <c r="T644" s="359" t="str">
        <f>IFERROR(VLOOKUP($A644,#REF!,14,0),"")</f>
        <v/>
      </c>
      <c r="U644" s="359" t="str">
        <f>IFERROR(VLOOKUP($A644,#REF!,15,0),"")</f>
        <v/>
      </c>
      <c r="V644" s="359" t="str">
        <f>IFERROR(VLOOKUP($A644,#REF!,16,0),"")</f>
        <v/>
      </c>
      <c r="W644" s="359" t="str">
        <f>IFERROR(VLOOKUP($A644,#REF!,17,0),"")</f>
        <v/>
      </c>
      <c r="X644" s="359" t="str">
        <f>IFERROR(VLOOKUP($A644,#REF!,18,0),"")</f>
        <v/>
      </c>
      <c r="Y644" s="359" t="str">
        <f>IFERROR(VLOOKUP($A644,#REF!,19,0),"")</f>
        <v/>
      </c>
      <c r="Z644" s="400" t="str">
        <f>IFERROR(VLOOKUP($A644,#REF!,21,0),"")</f>
        <v/>
      </c>
      <c r="AA644" s="358"/>
      <c r="AB644" s="358"/>
      <c r="AC644" s="358"/>
      <c r="AD644" s="358"/>
      <c r="AE644" s="358"/>
      <c r="AF644" s="141"/>
      <c r="AG644" s="358"/>
      <c r="AH644" s="358"/>
      <c r="AI644" s="358"/>
      <c r="AJ644" s="380"/>
      <c r="AK644" s="380"/>
      <c r="AL644" s="380"/>
      <c r="AM644" s="380"/>
      <c r="AN644" s="120"/>
      <c r="AO644" s="120"/>
      <c r="AP644" s="120"/>
      <c r="AQ644" s="93"/>
      <c r="AR644" s="358"/>
      <c r="AS644" s="358"/>
      <c r="AT644" s="358"/>
      <c r="AU644" s="358"/>
      <c r="AV644" s="358"/>
      <c r="AW644" s="82"/>
      <c r="AX644" s="82"/>
      <c r="AY644" s="82"/>
      <c r="AZ644" s="82"/>
      <c r="BA644" s="82"/>
      <c r="BB644" s="82"/>
      <c r="BC644" s="82"/>
      <c r="BD644" s="82"/>
      <c r="BE644" s="82"/>
      <c r="BF644" s="82"/>
      <c r="BG644" s="112"/>
      <c r="BH644" s="112"/>
      <c r="BI644" s="112"/>
      <c r="BJ644" s="112"/>
      <c r="BK644" s="82"/>
      <c r="BL644" s="82"/>
      <c r="BN644" s="412"/>
      <c r="BO644" s="412"/>
      <c r="BP644" s="412"/>
      <c r="BQ644" s="412"/>
      <c r="BR644" s="412"/>
      <c r="BZ644" t="str">
        <f t="shared" si="63"/>
        <v/>
      </c>
    </row>
    <row r="645" spans="1:78" ht="15.6" hidden="1" customHeight="1">
      <c r="A645" s="35" t="str">
        <f t="shared" ref="A645:A708" si="64">E645&amp;G645</f>
        <v/>
      </c>
      <c r="C645" s="358" t="s">
        <v>24</v>
      </c>
      <c r="D645" s="358">
        <v>641</v>
      </c>
      <c r="E645" s="119"/>
      <c r="F645" s="119"/>
      <c r="G645" s="266"/>
      <c r="H645" s="119"/>
      <c r="I645" s="358"/>
      <c r="J645" s="359" t="str">
        <f>IFERROR(VLOOKUP($A645,#REF!,3,0),"")</f>
        <v/>
      </c>
      <c r="K645" s="359">
        <f>IFERROR(VLOOKUP($A645,#REF!,4,0),AF645)</f>
        <v>0</v>
      </c>
      <c r="L645" s="359" t="str">
        <f>IFERROR(VLOOKUP($A645,#REF!,5,0),"")</f>
        <v/>
      </c>
      <c r="M645" s="359" t="str">
        <f>IFERROR(VLOOKUP($A645,#REF!,7,0),"")</f>
        <v/>
      </c>
      <c r="N645" s="359"/>
      <c r="O645" s="359" t="str">
        <f>IFERROR(VLOOKUP($A645,#REF!,6,0),"")</f>
        <v/>
      </c>
      <c r="P645" s="359" t="str">
        <f>IFERROR(VLOOKUP($A645,#REF!,9,0),"")</f>
        <v/>
      </c>
      <c r="Q645" s="359" t="str">
        <f>IFERROR(VLOOKUP($A645,#REF!,10,0),"")</f>
        <v/>
      </c>
      <c r="R645" s="359" t="str">
        <f>IFERROR(VLOOKUP($A645,#REF!,11,0),"")</f>
        <v/>
      </c>
      <c r="S645" s="359" t="str">
        <f>IFERROR(VLOOKUP($A645,#REF!,13,0),"")</f>
        <v/>
      </c>
      <c r="T645" s="359" t="str">
        <f>IFERROR(VLOOKUP($A645,#REF!,14,0),"")</f>
        <v/>
      </c>
      <c r="U645" s="359" t="str">
        <f>IFERROR(VLOOKUP($A645,#REF!,15,0),"")</f>
        <v/>
      </c>
      <c r="V645" s="359" t="str">
        <f>IFERROR(VLOOKUP($A645,#REF!,16,0),"")</f>
        <v/>
      </c>
      <c r="W645" s="359" t="str">
        <f>IFERROR(VLOOKUP($A645,#REF!,17,0),"")</f>
        <v/>
      </c>
      <c r="X645" s="359" t="str">
        <f>IFERROR(VLOOKUP($A645,#REF!,18,0),"")</f>
        <v/>
      </c>
      <c r="Y645" s="359" t="str">
        <f>IFERROR(VLOOKUP($A645,#REF!,19,0),"")</f>
        <v/>
      </c>
      <c r="Z645" s="400" t="str">
        <f>IFERROR(VLOOKUP($A645,#REF!,21,0),"")</f>
        <v/>
      </c>
      <c r="AA645" s="358"/>
      <c r="AB645" s="358"/>
      <c r="AC645" s="358"/>
      <c r="AD645" s="358"/>
      <c r="AE645" s="358"/>
      <c r="AF645" s="141"/>
      <c r="AG645" s="358"/>
      <c r="AH645" s="358"/>
      <c r="AI645" s="358"/>
      <c r="AJ645" s="380"/>
      <c r="AK645" s="380"/>
      <c r="AL645" s="380"/>
      <c r="AM645" s="380"/>
      <c r="AN645" s="120"/>
      <c r="AO645" s="120"/>
      <c r="AP645" s="120"/>
      <c r="AQ645" s="93"/>
      <c r="AR645" s="358"/>
      <c r="AS645" s="358"/>
      <c r="AT645" s="358"/>
      <c r="AU645" s="358"/>
      <c r="AV645" s="358"/>
      <c r="AW645" s="82"/>
      <c r="AX645" s="82"/>
      <c r="AY645" s="82"/>
      <c r="AZ645" s="82"/>
      <c r="BA645" s="82"/>
      <c r="BB645" s="82"/>
      <c r="BC645" s="82"/>
      <c r="BD645" s="82"/>
      <c r="BE645" s="82"/>
      <c r="BF645" s="82"/>
      <c r="BG645" s="112"/>
      <c r="BH645" s="112"/>
      <c r="BI645" s="112"/>
      <c r="BJ645" s="112"/>
      <c r="BK645" s="82"/>
      <c r="BL645" s="82"/>
      <c r="BN645" s="412"/>
      <c r="BO645" s="412"/>
      <c r="BP645" s="412"/>
      <c r="BQ645" s="412"/>
      <c r="BR645" s="412"/>
      <c r="BZ645" t="str">
        <f t="shared" si="63"/>
        <v/>
      </c>
    </row>
    <row r="646" spans="1:78" ht="15.6" hidden="1" customHeight="1">
      <c r="A646" s="35" t="str">
        <f t="shared" si="64"/>
        <v/>
      </c>
      <c r="C646" s="358" t="s">
        <v>24</v>
      </c>
      <c r="D646" s="358">
        <v>642</v>
      </c>
      <c r="E646" s="119"/>
      <c r="F646" s="119"/>
      <c r="G646" s="266"/>
      <c r="H646" s="119"/>
      <c r="I646" s="358"/>
      <c r="J646" s="359" t="str">
        <f>IFERROR(VLOOKUP($A646,#REF!,3,0),"")</f>
        <v/>
      </c>
      <c r="K646" s="359">
        <f>IFERROR(VLOOKUP($A646,#REF!,4,0),AF646)</f>
        <v>0</v>
      </c>
      <c r="L646" s="359" t="str">
        <f>IFERROR(VLOOKUP($A646,#REF!,5,0),"")</f>
        <v/>
      </c>
      <c r="M646" s="359" t="str">
        <f>IFERROR(VLOOKUP($A646,#REF!,7,0),"")</f>
        <v/>
      </c>
      <c r="N646" s="359"/>
      <c r="O646" s="359" t="str">
        <f>IFERROR(VLOOKUP($A646,#REF!,6,0),"")</f>
        <v/>
      </c>
      <c r="P646" s="359" t="str">
        <f>IFERROR(VLOOKUP($A646,#REF!,9,0),"")</f>
        <v/>
      </c>
      <c r="Q646" s="359" t="str">
        <f>IFERROR(VLOOKUP($A646,#REF!,10,0),"")</f>
        <v/>
      </c>
      <c r="R646" s="359" t="str">
        <f>IFERROR(VLOOKUP($A646,#REF!,11,0),"")</f>
        <v/>
      </c>
      <c r="S646" s="359" t="str">
        <f>IFERROR(VLOOKUP($A646,#REF!,13,0),"")</f>
        <v/>
      </c>
      <c r="T646" s="359" t="str">
        <f>IFERROR(VLOOKUP($A646,#REF!,14,0),"")</f>
        <v/>
      </c>
      <c r="U646" s="359" t="str">
        <f>IFERROR(VLOOKUP($A646,#REF!,15,0),"")</f>
        <v/>
      </c>
      <c r="V646" s="359" t="str">
        <f>IFERROR(VLOOKUP($A646,#REF!,16,0),"")</f>
        <v/>
      </c>
      <c r="W646" s="359" t="str">
        <f>IFERROR(VLOOKUP($A646,#REF!,17,0),"")</f>
        <v/>
      </c>
      <c r="X646" s="359" t="str">
        <f>IFERROR(VLOOKUP($A646,#REF!,18,0),"")</f>
        <v/>
      </c>
      <c r="Y646" s="359" t="str">
        <f>IFERROR(VLOOKUP($A646,#REF!,19,0),"")</f>
        <v/>
      </c>
      <c r="Z646" s="400" t="str">
        <f>IFERROR(VLOOKUP($A646,#REF!,21,0),"")</f>
        <v/>
      </c>
      <c r="AA646" s="358"/>
      <c r="AB646" s="358"/>
      <c r="AC646" s="358"/>
      <c r="AD646" s="358"/>
      <c r="AE646" s="358"/>
      <c r="AF646" s="141"/>
      <c r="AG646" s="358"/>
      <c r="AH646" s="358"/>
      <c r="AI646" s="358"/>
      <c r="AJ646" s="380"/>
      <c r="AK646" s="380"/>
      <c r="AL646" s="380"/>
      <c r="AM646" s="380"/>
      <c r="AN646" s="120"/>
      <c r="AO646" s="120"/>
      <c r="AP646" s="120"/>
      <c r="AQ646" s="93"/>
      <c r="AR646" s="358"/>
      <c r="AS646" s="358"/>
      <c r="AT646" s="358"/>
      <c r="AU646" s="358"/>
      <c r="AV646" s="358"/>
      <c r="AW646" s="82"/>
      <c r="AX646" s="82"/>
      <c r="AY646" s="82"/>
      <c r="AZ646" s="82"/>
      <c r="BA646" s="82"/>
      <c r="BB646" s="82"/>
      <c r="BC646" s="82"/>
      <c r="BD646" s="82"/>
      <c r="BE646" s="82"/>
      <c r="BF646" s="82"/>
      <c r="BG646" s="112"/>
      <c r="BH646" s="112"/>
      <c r="BI646" s="112"/>
      <c r="BJ646" s="112"/>
      <c r="BK646" s="82"/>
      <c r="BL646" s="82"/>
      <c r="BN646" s="412"/>
      <c r="BO646" s="412"/>
      <c r="BP646" s="412"/>
      <c r="BQ646" s="412"/>
      <c r="BR646" s="412"/>
      <c r="BZ646" t="str">
        <f t="shared" si="63"/>
        <v/>
      </c>
    </row>
    <row r="647" spans="1:78" ht="15.6" hidden="1" customHeight="1">
      <c r="A647" s="35" t="str">
        <f t="shared" si="64"/>
        <v/>
      </c>
      <c r="C647" s="358" t="s">
        <v>24</v>
      </c>
      <c r="D647" s="358">
        <v>643</v>
      </c>
      <c r="E647" s="119"/>
      <c r="F647" s="119"/>
      <c r="G647" s="266"/>
      <c r="H647" s="119"/>
      <c r="I647" s="358"/>
      <c r="J647" s="359" t="str">
        <f>IFERROR(VLOOKUP($A647,#REF!,3,0),"")</f>
        <v/>
      </c>
      <c r="K647" s="359">
        <f>IFERROR(VLOOKUP($A647,#REF!,4,0),AF647)</f>
        <v>0</v>
      </c>
      <c r="L647" s="359" t="str">
        <f>IFERROR(VLOOKUP($A647,#REF!,5,0),"")</f>
        <v/>
      </c>
      <c r="M647" s="359" t="str">
        <f>IFERROR(VLOOKUP($A647,#REF!,7,0),"")</f>
        <v/>
      </c>
      <c r="N647" s="359"/>
      <c r="O647" s="359" t="str">
        <f>IFERROR(VLOOKUP($A647,#REF!,6,0),"")</f>
        <v/>
      </c>
      <c r="P647" s="359" t="str">
        <f>IFERROR(VLOOKUP($A647,#REF!,9,0),"")</f>
        <v/>
      </c>
      <c r="Q647" s="359" t="str">
        <f>IFERROR(VLOOKUP($A647,#REF!,10,0),"")</f>
        <v/>
      </c>
      <c r="R647" s="359" t="str">
        <f>IFERROR(VLOOKUP($A647,#REF!,11,0),"")</f>
        <v/>
      </c>
      <c r="S647" s="359" t="str">
        <f>IFERROR(VLOOKUP($A647,#REF!,13,0),"")</f>
        <v/>
      </c>
      <c r="T647" s="359" t="str">
        <f>IFERROR(VLOOKUP($A647,#REF!,14,0),"")</f>
        <v/>
      </c>
      <c r="U647" s="359" t="str">
        <f>IFERROR(VLOOKUP($A647,#REF!,15,0),"")</f>
        <v/>
      </c>
      <c r="V647" s="359" t="str">
        <f>IFERROR(VLOOKUP($A647,#REF!,16,0),"")</f>
        <v/>
      </c>
      <c r="W647" s="359" t="str">
        <f>IFERROR(VLOOKUP($A647,#REF!,17,0),"")</f>
        <v/>
      </c>
      <c r="X647" s="359" t="str">
        <f>IFERROR(VLOOKUP($A647,#REF!,18,0),"")</f>
        <v/>
      </c>
      <c r="Y647" s="359" t="str">
        <f>IFERROR(VLOOKUP($A647,#REF!,19,0),"")</f>
        <v/>
      </c>
      <c r="Z647" s="400" t="str">
        <f>IFERROR(VLOOKUP($A647,#REF!,21,0),"")</f>
        <v/>
      </c>
      <c r="AA647" s="358"/>
      <c r="AB647" s="358"/>
      <c r="AC647" s="358"/>
      <c r="AD647" s="358"/>
      <c r="AE647" s="358"/>
      <c r="AF647" s="141"/>
      <c r="AG647" s="358"/>
      <c r="AH647" s="358"/>
      <c r="AI647" s="358"/>
      <c r="AJ647" s="380"/>
      <c r="AK647" s="380"/>
      <c r="AL647" s="380"/>
      <c r="AM647" s="380"/>
      <c r="AN647" s="120"/>
      <c r="AO647" s="120"/>
      <c r="AP647" s="120"/>
      <c r="AQ647" s="93"/>
      <c r="AR647" s="358"/>
      <c r="AS647" s="358"/>
      <c r="AT647" s="358"/>
      <c r="AU647" s="358"/>
      <c r="AV647" s="358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112"/>
      <c r="BH647" s="112"/>
      <c r="BI647" s="112"/>
      <c r="BJ647" s="112"/>
      <c r="BK647" s="82"/>
      <c r="BL647" s="82"/>
      <c r="BN647" s="412"/>
      <c r="BO647" s="412"/>
      <c r="BP647" s="412"/>
      <c r="BQ647" s="412"/>
      <c r="BR647" s="412"/>
      <c r="BZ647" t="str">
        <f t="shared" si="63"/>
        <v/>
      </c>
    </row>
    <row r="648" spans="1:78" ht="15.6" hidden="1" customHeight="1">
      <c r="A648" s="35" t="str">
        <f t="shared" si="64"/>
        <v/>
      </c>
      <c r="C648" s="358" t="s">
        <v>24</v>
      </c>
      <c r="D648" s="358">
        <v>644</v>
      </c>
      <c r="E648" s="119"/>
      <c r="F648" s="119"/>
      <c r="G648" s="266"/>
      <c r="H648" s="119"/>
      <c r="I648" s="358"/>
      <c r="J648" s="359" t="str">
        <f>IFERROR(VLOOKUP($A648,#REF!,3,0),"")</f>
        <v/>
      </c>
      <c r="K648" s="359">
        <f>IFERROR(VLOOKUP($A648,#REF!,4,0),AF648)</f>
        <v>0</v>
      </c>
      <c r="L648" s="359" t="str">
        <f>IFERROR(VLOOKUP($A648,#REF!,5,0),"")</f>
        <v/>
      </c>
      <c r="M648" s="359" t="str">
        <f>IFERROR(VLOOKUP($A648,#REF!,7,0),"")</f>
        <v/>
      </c>
      <c r="N648" s="359"/>
      <c r="O648" s="359" t="str">
        <f>IFERROR(VLOOKUP($A648,#REF!,6,0),"")</f>
        <v/>
      </c>
      <c r="P648" s="359" t="str">
        <f>IFERROR(VLOOKUP($A648,#REF!,9,0),"")</f>
        <v/>
      </c>
      <c r="Q648" s="359" t="str">
        <f>IFERROR(VLOOKUP($A648,#REF!,10,0),"")</f>
        <v/>
      </c>
      <c r="R648" s="359" t="str">
        <f>IFERROR(VLOOKUP($A648,#REF!,11,0),"")</f>
        <v/>
      </c>
      <c r="S648" s="359" t="str">
        <f>IFERROR(VLOOKUP($A648,#REF!,13,0),"")</f>
        <v/>
      </c>
      <c r="T648" s="359" t="str">
        <f>IFERROR(VLOOKUP($A648,#REF!,14,0),"")</f>
        <v/>
      </c>
      <c r="U648" s="359" t="str">
        <f>IFERROR(VLOOKUP($A648,#REF!,15,0),"")</f>
        <v/>
      </c>
      <c r="V648" s="359" t="str">
        <f>IFERROR(VLOOKUP($A648,#REF!,16,0),"")</f>
        <v/>
      </c>
      <c r="W648" s="359" t="str">
        <f>IFERROR(VLOOKUP($A648,#REF!,17,0),"")</f>
        <v/>
      </c>
      <c r="X648" s="359" t="str">
        <f>IFERROR(VLOOKUP($A648,#REF!,18,0),"")</f>
        <v/>
      </c>
      <c r="Y648" s="359" t="str">
        <f>IFERROR(VLOOKUP($A648,#REF!,19,0),"")</f>
        <v/>
      </c>
      <c r="Z648" s="400" t="str">
        <f>IFERROR(VLOOKUP($A648,#REF!,21,0),"")</f>
        <v/>
      </c>
      <c r="AA648" s="358"/>
      <c r="AB648" s="358"/>
      <c r="AC648" s="358"/>
      <c r="AD648" s="358"/>
      <c r="AE648" s="358"/>
      <c r="AF648" s="141"/>
      <c r="AG648" s="358"/>
      <c r="AH648" s="358"/>
      <c r="AI648" s="358"/>
      <c r="AJ648" s="380"/>
      <c r="AK648" s="380"/>
      <c r="AL648" s="380"/>
      <c r="AM648" s="380"/>
      <c r="AN648" s="120"/>
      <c r="AO648" s="120"/>
      <c r="AP648" s="120"/>
      <c r="AQ648" s="93"/>
      <c r="AR648" s="358"/>
      <c r="AS648" s="358"/>
      <c r="AT648" s="358"/>
      <c r="AU648" s="358"/>
      <c r="AV648" s="358"/>
      <c r="AW648" s="82"/>
      <c r="AX648" s="82"/>
      <c r="AY648" s="82"/>
      <c r="AZ648" s="82"/>
      <c r="BA648" s="82"/>
      <c r="BB648" s="82"/>
      <c r="BC648" s="82"/>
      <c r="BD648" s="82"/>
      <c r="BE648" s="82"/>
      <c r="BF648" s="82"/>
      <c r="BG648" s="112"/>
      <c r="BH648" s="112"/>
      <c r="BI648" s="112"/>
      <c r="BJ648" s="112"/>
      <c r="BK648" s="82"/>
      <c r="BL648" s="82"/>
      <c r="BN648" s="412"/>
      <c r="BO648" s="412"/>
      <c r="BP648" s="412"/>
      <c r="BQ648" s="412"/>
      <c r="BR648" s="412"/>
      <c r="BZ648" t="str">
        <f t="shared" si="63"/>
        <v/>
      </c>
    </row>
    <row r="649" spans="1:78" ht="15.6" hidden="1" customHeight="1">
      <c r="A649" s="35" t="str">
        <f t="shared" si="64"/>
        <v/>
      </c>
      <c r="C649" s="358" t="s">
        <v>24</v>
      </c>
      <c r="D649" s="358">
        <v>645</v>
      </c>
      <c r="E649" s="119"/>
      <c r="F649" s="119"/>
      <c r="G649" s="266"/>
      <c r="H649" s="119"/>
      <c r="I649" s="358"/>
      <c r="J649" s="359" t="str">
        <f>IFERROR(VLOOKUP($A649,#REF!,3,0),"")</f>
        <v/>
      </c>
      <c r="K649" s="359">
        <f>IFERROR(VLOOKUP($A649,#REF!,4,0),AF649)</f>
        <v>0</v>
      </c>
      <c r="L649" s="359" t="str">
        <f>IFERROR(VLOOKUP($A649,#REF!,5,0),"")</f>
        <v/>
      </c>
      <c r="M649" s="359" t="str">
        <f>IFERROR(VLOOKUP($A649,#REF!,7,0),"")</f>
        <v/>
      </c>
      <c r="N649" s="359"/>
      <c r="O649" s="359" t="str">
        <f>IFERROR(VLOOKUP($A649,#REF!,6,0),"")</f>
        <v/>
      </c>
      <c r="P649" s="359" t="str">
        <f>IFERROR(VLOOKUP($A649,#REF!,9,0),"")</f>
        <v/>
      </c>
      <c r="Q649" s="359" t="str">
        <f>IFERROR(VLOOKUP($A649,#REF!,10,0),"")</f>
        <v/>
      </c>
      <c r="R649" s="359" t="str">
        <f>IFERROR(VLOOKUP($A649,#REF!,11,0),"")</f>
        <v/>
      </c>
      <c r="S649" s="359" t="str">
        <f>IFERROR(VLOOKUP($A649,#REF!,13,0),"")</f>
        <v/>
      </c>
      <c r="T649" s="359" t="str">
        <f>IFERROR(VLOOKUP($A649,#REF!,14,0),"")</f>
        <v/>
      </c>
      <c r="U649" s="359" t="str">
        <f>IFERROR(VLOOKUP($A649,#REF!,15,0),"")</f>
        <v/>
      </c>
      <c r="V649" s="359" t="str">
        <f>IFERROR(VLOOKUP($A649,#REF!,16,0),"")</f>
        <v/>
      </c>
      <c r="W649" s="359" t="str">
        <f>IFERROR(VLOOKUP($A649,#REF!,17,0),"")</f>
        <v/>
      </c>
      <c r="X649" s="359" t="str">
        <f>IFERROR(VLOOKUP($A649,#REF!,18,0),"")</f>
        <v/>
      </c>
      <c r="Y649" s="359" t="str">
        <f>IFERROR(VLOOKUP($A649,#REF!,19,0),"")</f>
        <v/>
      </c>
      <c r="Z649" s="400" t="str">
        <f>IFERROR(VLOOKUP($A649,#REF!,21,0),"")</f>
        <v/>
      </c>
      <c r="AA649" s="358"/>
      <c r="AB649" s="358"/>
      <c r="AC649" s="358"/>
      <c r="AD649" s="358"/>
      <c r="AE649" s="358"/>
      <c r="AF649" s="141"/>
      <c r="AG649" s="358"/>
      <c r="AH649" s="358"/>
      <c r="AI649" s="358"/>
      <c r="AJ649" s="380"/>
      <c r="AK649" s="380"/>
      <c r="AL649" s="380"/>
      <c r="AM649" s="380"/>
      <c r="AN649" s="120"/>
      <c r="AO649" s="120"/>
      <c r="AP649" s="120"/>
      <c r="AQ649" s="93"/>
      <c r="AR649" s="358"/>
      <c r="AS649" s="358"/>
      <c r="AT649" s="358"/>
      <c r="AU649" s="358"/>
      <c r="AV649" s="358"/>
      <c r="AW649" s="82"/>
      <c r="AX649" s="82"/>
      <c r="AY649" s="82"/>
      <c r="AZ649" s="82"/>
      <c r="BA649" s="82"/>
      <c r="BB649" s="82"/>
      <c r="BC649" s="82"/>
      <c r="BD649" s="82"/>
      <c r="BE649" s="82"/>
      <c r="BF649" s="82"/>
      <c r="BG649" s="112"/>
      <c r="BH649" s="112"/>
      <c r="BI649" s="112"/>
      <c r="BJ649" s="112"/>
      <c r="BK649" s="82"/>
      <c r="BL649" s="82"/>
      <c r="BN649" s="412"/>
      <c r="BO649" s="412"/>
      <c r="BP649" s="412"/>
      <c r="BQ649" s="412"/>
      <c r="BR649" s="412"/>
      <c r="BZ649" t="str">
        <f t="shared" si="63"/>
        <v/>
      </c>
    </row>
    <row r="650" spans="1:78" ht="15.6" hidden="1" customHeight="1">
      <c r="A650" s="35" t="str">
        <f t="shared" si="64"/>
        <v/>
      </c>
      <c r="C650" s="358" t="s">
        <v>24</v>
      </c>
      <c r="D650" s="358">
        <v>646</v>
      </c>
      <c r="E650" s="119"/>
      <c r="F650" s="119"/>
      <c r="G650" s="266"/>
      <c r="H650" s="119"/>
      <c r="I650" s="358"/>
      <c r="J650" s="359" t="str">
        <f>IFERROR(VLOOKUP($A650,#REF!,3,0),"")</f>
        <v/>
      </c>
      <c r="K650" s="359">
        <f>IFERROR(VLOOKUP($A650,#REF!,4,0),AF650)</f>
        <v>0</v>
      </c>
      <c r="L650" s="359" t="str">
        <f>IFERROR(VLOOKUP($A650,#REF!,5,0),"")</f>
        <v/>
      </c>
      <c r="M650" s="359" t="str">
        <f>IFERROR(VLOOKUP($A650,#REF!,7,0),"")</f>
        <v/>
      </c>
      <c r="N650" s="359"/>
      <c r="O650" s="359" t="str">
        <f>IFERROR(VLOOKUP($A650,#REF!,6,0),"")</f>
        <v/>
      </c>
      <c r="P650" s="359" t="str">
        <f>IFERROR(VLOOKUP($A650,#REF!,9,0),"")</f>
        <v/>
      </c>
      <c r="Q650" s="359" t="str">
        <f>IFERROR(VLOOKUP($A650,#REF!,10,0),"")</f>
        <v/>
      </c>
      <c r="R650" s="359" t="str">
        <f>IFERROR(VLOOKUP($A650,#REF!,11,0),"")</f>
        <v/>
      </c>
      <c r="S650" s="359" t="str">
        <f>IFERROR(VLOOKUP($A650,#REF!,13,0),"")</f>
        <v/>
      </c>
      <c r="T650" s="359" t="str">
        <f>IFERROR(VLOOKUP($A650,#REF!,14,0),"")</f>
        <v/>
      </c>
      <c r="U650" s="359" t="str">
        <f>IFERROR(VLOOKUP($A650,#REF!,15,0),"")</f>
        <v/>
      </c>
      <c r="V650" s="359" t="str">
        <f>IFERROR(VLOOKUP($A650,#REF!,16,0),"")</f>
        <v/>
      </c>
      <c r="W650" s="359" t="str">
        <f>IFERROR(VLOOKUP($A650,#REF!,17,0),"")</f>
        <v/>
      </c>
      <c r="X650" s="359" t="str">
        <f>IFERROR(VLOOKUP($A650,#REF!,18,0),"")</f>
        <v/>
      </c>
      <c r="Y650" s="359" t="str">
        <f>IFERROR(VLOOKUP($A650,#REF!,19,0),"")</f>
        <v/>
      </c>
      <c r="Z650" s="400" t="str">
        <f>IFERROR(VLOOKUP($A650,#REF!,21,0),"")</f>
        <v/>
      </c>
      <c r="AA650" s="358"/>
      <c r="AB650" s="358"/>
      <c r="AC650" s="358"/>
      <c r="AD650" s="358"/>
      <c r="AE650" s="358"/>
      <c r="AF650" s="141"/>
      <c r="AG650" s="358"/>
      <c r="AH650" s="358"/>
      <c r="AI650" s="358"/>
      <c r="AJ650" s="380"/>
      <c r="AK650" s="380"/>
      <c r="AL650" s="380"/>
      <c r="AM650" s="380"/>
      <c r="AN650" s="120"/>
      <c r="AO650" s="120"/>
      <c r="AP650" s="120"/>
      <c r="AQ650" s="93"/>
      <c r="AR650" s="358"/>
      <c r="AS650" s="358"/>
      <c r="AT650" s="358"/>
      <c r="AU650" s="358"/>
      <c r="AV650" s="358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112"/>
      <c r="BH650" s="112"/>
      <c r="BI650" s="112"/>
      <c r="BJ650" s="112"/>
      <c r="BK650" s="82"/>
      <c r="BL650" s="82"/>
      <c r="BN650" s="412"/>
      <c r="BO650" s="412"/>
      <c r="BP650" s="412"/>
      <c r="BQ650" s="412"/>
      <c r="BR650" s="412"/>
      <c r="BZ650" t="str">
        <f t="shared" si="63"/>
        <v/>
      </c>
    </row>
    <row r="651" spans="1:78" ht="15.6" hidden="1" customHeight="1">
      <c r="A651" s="35" t="str">
        <f t="shared" si="64"/>
        <v/>
      </c>
      <c r="C651" s="358" t="s">
        <v>24</v>
      </c>
      <c r="D651" s="358">
        <v>647</v>
      </c>
      <c r="E651" s="119"/>
      <c r="F651" s="119"/>
      <c r="G651" s="266"/>
      <c r="H651" s="119"/>
      <c r="I651" s="358"/>
      <c r="J651" s="359" t="str">
        <f>IFERROR(VLOOKUP($A651,#REF!,3,0),"")</f>
        <v/>
      </c>
      <c r="K651" s="359">
        <f>IFERROR(VLOOKUP($A651,#REF!,4,0),AF651)</f>
        <v>0</v>
      </c>
      <c r="L651" s="359" t="str">
        <f>IFERROR(VLOOKUP($A651,#REF!,5,0),"")</f>
        <v/>
      </c>
      <c r="M651" s="359" t="str">
        <f>IFERROR(VLOOKUP($A651,#REF!,7,0),"")</f>
        <v/>
      </c>
      <c r="N651" s="359"/>
      <c r="O651" s="359" t="str">
        <f>IFERROR(VLOOKUP($A651,#REF!,6,0),"")</f>
        <v/>
      </c>
      <c r="P651" s="359" t="str">
        <f>IFERROR(VLOOKUP($A651,#REF!,9,0),"")</f>
        <v/>
      </c>
      <c r="Q651" s="359" t="str">
        <f>IFERROR(VLOOKUP($A651,#REF!,10,0),"")</f>
        <v/>
      </c>
      <c r="R651" s="359" t="str">
        <f>IFERROR(VLOOKUP($A651,#REF!,11,0),"")</f>
        <v/>
      </c>
      <c r="S651" s="359" t="str">
        <f>IFERROR(VLOOKUP($A651,#REF!,13,0),"")</f>
        <v/>
      </c>
      <c r="T651" s="359" t="str">
        <f>IFERROR(VLOOKUP($A651,#REF!,14,0),"")</f>
        <v/>
      </c>
      <c r="U651" s="359" t="str">
        <f>IFERROR(VLOOKUP($A651,#REF!,15,0),"")</f>
        <v/>
      </c>
      <c r="V651" s="359" t="str">
        <f>IFERROR(VLOOKUP($A651,#REF!,16,0),"")</f>
        <v/>
      </c>
      <c r="W651" s="359" t="str">
        <f>IFERROR(VLOOKUP($A651,#REF!,17,0),"")</f>
        <v/>
      </c>
      <c r="X651" s="359" t="str">
        <f>IFERROR(VLOOKUP($A651,#REF!,18,0),"")</f>
        <v/>
      </c>
      <c r="Y651" s="359" t="str">
        <f>IFERROR(VLOOKUP($A651,#REF!,19,0),"")</f>
        <v/>
      </c>
      <c r="Z651" s="400" t="str">
        <f>IFERROR(VLOOKUP($A651,#REF!,21,0),"")</f>
        <v/>
      </c>
      <c r="AA651" s="358"/>
      <c r="AB651" s="358"/>
      <c r="AC651" s="358"/>
      <c r="AD651" s="358"/>
      <c r="AE651" s="358"/>
      <c r="AF651" s="141"/>
      <c r="AG651" s="358"/>
      <c r="AH651" s="358"/>
      <c r="AI651" s="358"/>
      <c r="AJ651" s="380"/>
      <c r="AK651" s="380"/>
      <c r="AL651" s="380"/>
      <c r="AM651" s="380"/>
      <c r="AN651" s="120"/>
      <c r="AO651" s="120"/>
      <c r="AP651" s="120"/>
      <c r="AQ651" s="93"/>
      <c r="AR651" s="358"/>
      <c r="AS651" s="358"/>
      <c r="AT651" s="358"/>
      <c r="AU651" s="358"/>
      <c r="AV651" s="358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112"/>
      <c r="BH651" s="112"/>
      <c r="BI651" s="112"/>
      <c r="BJ651" s="112"/>
      <c r="BK651" s="82"/>
      <c r="BL651" s="82"/>
      <c r="BN651" s="412"/>
      <c r="BO651" s="412"/>
      <c r="BP651" s="412"/>
      <c r="BQ651" s="412"/>
      <c r="BR651" s="412"/>
      <c r="BZ651" t="str">
        <f t="shared" si="63"/>
        <v/>
      </c>
    </row>
    <row r="652" spans="1:78" ht="15.6" hidden="1" customHeight="1">
      <c r="A652" s="35" t="str">
        <f t="shared" si="64"/>
        <v/>
      </c>
      <c r="C652" s="358" t="s">
        <v>24</v>
      </c>
      <c r="D652" s="358">
        <v>648</v>
      </c>
      <c r="E652" s="119"/>
      <c r="F652" s="119"/>
      <c r="G652" s="266"/>
      <c r="H652" s="119"/>
      <c r="I652" s="358"/>
      <c r="J652" s="359" t="str">
        <f>IFERROR(VLOOKUP($A652,#REF!,3,0),"")</f>
        <v/>
      </c>
      <c r="K652" s="359">
        <f>IFERROR(VLOOKUP($A652,#REF!,4,0),AF652)</f>
        <v>0</v>
      </c>
      <c r="L652" s="359" t="str">
        <f>IFERROR(VLOOKUP($A652,#REF!,5,0),"")</f>
        <v/>
      </c>
      <c r="M652" s="359" t="str">
        <f>IFERROR(VLOOKUP($A652,#REF!,7,0),"")</f>
        <v/>
      </c>
      <c r="N652" s="359"/>
      <c r="O652" s="359" t="str">
        <f>IFERROR(VLOOKUP($A652,#REF!,6,0),"")</f>
        <v/>
      </c>
      <c r="P652" s="359" t="str">
        <f>IFERROR(VLOOKUP($A652,#REF!,9,0),"")</f>
        <v/>
      </c>
      <c r="Q652" s="359" t="str">
        <f>IFERROR(VLOOKUP($A652,#REF!,10,0),"")</f>
        <v/>
      </c>
      <c r="R652" s="359" t="str">
        <f>IFERROR(VLOOKUP($A652,#REF!,11,0),"")</f>
        <v/>
      </c>
      <c r="S652" s="359" t="str">
        <f>IFERROR(VLOOKUP($A652,#REF!,13,0),"")</f>
        <v/>
      </c>
      <c r="T652" s="359" t="str">
        <f>IFERROR(VLOOKUP($A652,#REF!,14,0),"")</f>
        <v/>
      </c>
      <c r="U652" s="359" t="str">
        <f>IFERROR(VLOOKUP($A652,#REF!,15,0),"")</f>
        <v/>
      </c>
      <c r="V652" s="359" t="str">
        <f>IFERROR(VLOOKUP($A652,#REF!,16,0),"")</f>
        <v/>
      </c>
      <c r="W652" s="359" t="str">
        <f>IFERROR(VLOOKUP($A652,#REF!,17,0),"")</f>
        <v/>
      </c>
      <c r="X652" s="359" t="str">
        <f>IFERROR(VLOOKUP($A652,#REF!,18,0),"")</f>
        <v/>
      </c>
      <c r="Y652" s="359" t="str">
        <f>IFERROR(VLOOKUP($A652,#REF!,19,0),"")</f>
        <v/>
      </c>
      <c r="Z652" s="400" t="str">
        <f>IFERROR(VLOOKUP($A652,#REF!,21,0),"")</f>
        <v/>
      </c>
      <c r="AA652" s="358"/>
      <c r="AB652" s="358"/>
      <c r="AC652" s="358"/>
      <c r="AD652" s="358"/>
      <c r="AE652" s="358"/>
      <c r="AF652" s="141"/>
      <c r="AG652" s="358"/>
      <c r="AH652" s="358"/>
      <c r="AI652" s="358"/>
      <c r="AJ652" s="380"/>
      <c r="AK652" s="380"/>
      <c r="AL652" s="380"/>
      <c r="AM652" s="380"/>
      <c r="AN652" s="120"/>
      <c r="AO652" s="120"/>
      <c r="AP652" s="120"/>
      <c r="AQ652" s="93"/>
      <c r="AR652" s="358"/>
      <c r="AS652" s="358"/>
      <c r="AT652" s="358"/>
      <c r="AU652" s="358"/>
      <c r="AV652" s="358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112"/>
      <c r="BH652" s="112"/>
      <c r="BI652" s="112"/>
      <c r="BJ652" s="112"/>
      <c r="BK652" s="82"/>
      <c r="BL652" s="82"/>
      <c r="BN652" s="412"/>
      <c r="BO652" s="412"/>
      <c r="BP652" s="412"/>
      <c r="BQ652" s="412"/>
      <c r="BR652" s="412"/>
      <c r="BZ652" t="str">
        <f t="shared" si="63"/>
        <v/>
      </c>
    </row>
    <row r="653" spans="1:78" ht="15.6" hidden="1" customHeight="1">
      <c r="A653" s="35" t="str">
        <f t="shared" si="64"/>
        <v/>
      </c>
      <c r="C653" s="358" t="s">
        <v>24</v>
      </c>
      <c r="D653" s="358">
        <v>649</v>
      </c>
      <c r="E653" s="119"/>
      <c r="F653" s="119"/>
      <c r="G653" s="266"/>
      <c r="H653" s="119"/>
      <c r="I653" s="358"/>
      <c r="J653" s="359" t="str">
        <f>IFERROR(VLOOKUP($A653,#REF!,3,0),"")</f>
        <v/>
      </c>
      <c r="K653" s="359">
        <f>IFERROR(VLOOKUP($A653,#REF!,4,0),AF653)</f>
        <v>0</v>
      </c>
      <c r="L653" s="359" t="str">
        <f>IFERROR(VLOOKUP($A653,#REF!,5,0),"")</f>
        <v/>
      </c>
      <c r="M653" s="359" t="str">
        <f>IFERROR(VLOOKUP($A653,#REF!,7,0),"")</f>
        <v/>
      </c>
      <c r="N653" s="359"/>
      <c r="O653" s="359" t="str">
        <f>IFERROR(VLOOKUP($A653,#REF!,6,0),"")</f>
        <v/>
      </c>
      <c r="P653" s="359" t="str">
        <f>IFERROR(VLOOKUP($A653,#REF!,9,0),"")</f>
        <v/>
      </c>
      <c r="Q653" s="359" t="str">
        <f>IFERROR(VLOOKUP($A653,#REF!,10,0),"")</f>
        <v/>
      </c>
      <c r="R653" s="359" t="str">
        <f>IFERROR(VLOOKUP($A653,#REF!,11,0),"")</f>
        <v/>
      </c>
      <c r="S653" s="359" t="str">
        <f>IFERROR(VLOOKUP($A653,#REF!,13,0),"")</f>
        <v/>
      </c>
      <c r="T653" s="359" t="str">
        <f>IFERROR(VLOOKUP($A653,#REF!,14,0),"")</f>
        <v/>
      </c>
      <c r="U653" s="359" t="str">
        <f>IFERROR(VLOOKUP($A653,#REF!,15,0),"")</f>
        <v/>
      </c>
      <c r="V653" s="359" t="str">
        <f>IFERROR(VLOOKUP($A653,#REF!,16,0),"")</f>
        <v/>
      </c>
      <c r="W653" s="359" t="str">
        <f>IFERROR(VLOOKUP($A653,#REF!,17,0),"")</f>
        <v/>
      </c>
      <c r="X653" s="359" t="str">
        <f>IFERROR(VLOOKUP($A653,#REF!,18,0),"")</f>
        <v/>
      </c>
      <c r="Y653" s="359" t="str">
        <f>IFERROR(VLOOKUP($A653,#REF!,19,0),"")</f>
        <v/>
      </c>
      <c r="Z653" s="400" t="str">
        <f>IFERROR(VLOOKUP($A653,#REF!,21,0),"")</f>
        <v/>
      </c>
      <c r="AA653" s="358"/>
      <c r="AB653" s="358"/>
      <c r="AC653" s="358"/>
      <c r="AD653" s="358"/>
      <c r="AE653" s="358"/>
      <c r="AF653" s="141"/>
      <c r="AG653" s="358"/>
      <c r="AH653" s="358"/>
      <c r="AI653" s="358"/>
      <c r="AJ653" s="380"/>
      <c r="AK653" s="380"/>
      <c r="AL653" s="380"/>
      <c r="AM653" s="380"/>
      <c r="AN653" s="120"/>
      <c r="AO653" s="120"/>
      <c r="AP653" s="120"/>
      <c r="AQ653" s="93"/>
      <c r="AR653" s="358"/>
      <c r="AS653" s="358"/>
      <c r="AT653" s="358"/>
      <c r="AU653" s="358"/>
      <c r="AV653" s="358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112"/>
      <c r="BH653" s="112"/>
      <c r="BI653" s="112"/>
      <c r="BJ653" s="112"/>
      <c r="BK653" s="82"/>
      <c r="BL653" s="82"/>
      <c r="BN653" s="412"/>
      <c r="BO653" s="412"/>
      <c r="BP653" s="412"/>
      <c r="BQ653" s="412"/>
      <c r="BR653" s="412"/>
      <c r="BZ653" t="str">
        <f t="shared" si="63"/>
        <v/>
      </c>
    </row>
    <row r="654" spans="1:78" ht="15.6" hidden="1" customHeight="1">
      <c r="A654" s="35" t="str">
        <f t="shared" si="64"/>
        <v/>
      </c>
      <c r="C654" s="358" t="s">
        <v>24</v>
      </c>
      <c r="D654" s="358">
        <v>650</v>
      </c>
      <c r="E654" s="119"/>
      <c r="F654" s="119"/>
      <c r="G654" s="266"/>
      <c r="H654" s="119"/>
      <c r="I654" s="358"/>
      <c r="J654" s="359" t="str">
        <f>IFERROR(VLOOKUP($A654,#REF!,3,0),"")</f>
        <v/>
      </c>
      <c r="K654" s="359">
        <f>IFERROR(VLOOKUP($A654,#REF!,4,0),AF654)</f>
        <v>0</v>
      </c>
      <c r="L654" s="359" t="str">
        <f>IFERROR(VLOOKUP($A654,#REF!,5,0),"")</f>
        <v/>
      </c>
      <c r="M654" s="359" t="str">
        <f>IFERROR(VLOOKUP($A654,#REF!,7,0),"")</f>
        <v/>
      </c>
      <c r="N654" s="359"/>
      <c r="O654" s="359" t="str">
        <f>IFERROR(VLOOKUP($A654,#REF!,6,0),"")</f>
        <v/>
      </c>
      <c r="P654" s="359" t="str">
        <f>IFERROR(VLOOKUP($A654,#REF!,9,0),"")</f>
        <v/>
      </c>
      <c r="Q654" s="359" t="str">
        <f>IFERROR(VLOOKUP($A654,#REF!,10,0),"")</f>
        <v/>
      </c>
      <c r="R654" s="359" t="str">
        <f>IFERROR(VLOOKUP($A654,#REF!,11,0),"")</f>
        <v/>
      </c>
      <c r="S654" s="359" t="str">
        <f>IFERROR(VLOOKUP($A654,#REF!,13,0),"")</f>
        <v/>
      </c>
      <c r="T654" s="359" t="str">
        <f>IFERROR(VLOOKUP($A654,#REF!,14,0),"")</f>
        <v/>
      </c>
      <c r="U654" s="359" t="str">
        <f>IFERROR(VLOOKUP($A654,#REF!,15,0),"")</f>
        <v/>
      </c>
      <c r="V654" s="359" t="str">
        <f>IFERROR(VLOOKUP($A654,#REF!,16,0),"")</f>
        <v/>
      </c>
      <c r="W654" s="359" t="str">
        <f>IFERROR(VLOOKUP($A654,#REF!,17,0),"")</f>
        <v/>
      </c>
      <c r="X654" s="359" t="str">
        <f>IFERROR(VLOOKUP($A654,#REF!,18,0),"")</f>
        <v/>
      </c>
      <c r="Y654" s="359" t="str">
        <f>IFERROR(VLOOKUP($A654,#REF!,19,0),"")</f>
        <v/>
      </c>
      <c r="Z654" s="400" t="str">
        <f>IFERROR(VLOOKUP($A654,#REF!,21,0),"")</f>
        <v/>
      </c>
      <c r="AA654" s="358"/>
      <c r="AB654" s="358"/>
      <c r="AC654" s="358"/>
      <c r="AD654" s="358"/>
      <c r="AE654" s="358"/>
      <c r="AF654" s="141"/>
      <c r="AG654" s="358"/>
      <c r="AH654" s="358"/>
      <c r="AI654" s="358"/>
      <c r="AJ654" s="380"/>
      <c r="AK654" s="380"/>
      <c r="AL654" s="380"/>
      <c r="AM654" s="380"/>
      <c r="AN654" s="120"/>
      <c r="AO654" s="120"/>
      <c r="AP654" s="120"/>
      <c r="AQ654" s="93"/>
      <c r="AR654" s="358"/>
      <c r="AS654" s="358"/>
      <c r="AT654" s="358"/>
      <c r="AU654" s="358"/>
      <c r="AV654" s="358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112"/>
      <c r="BH654" s="112"/>
      <c r="BI654" s="112"/>
      <c r="BJ654" s="112"/>
      <c r="BK654" s="82"/>
      <c r="BL654" s="82"/>
      <c r="BN654" s="412"/>
      <c r="BO654" s="412"/>
      <c r="BP654" s="412"/>
      <c r="BQ654" s="412"/>
      <c r="BR654" s="412"/>
      <c r="BZ654" t="str">
        <f t="shared" si="63"/>
        <v/>
      </c>
    </row>
    <row r="655" spans="1:78" ht="15.6" hidden="1" customHeight="1">
      <c r="A655" s="35" t="str">
        <f t="shared" si="64"/>
        <v/>
      </c>
      <c r="C655" s="358" t="s">
        <v>24</v>
      </c>
      <c r="D655" s="358">
        <v>651</v>
      </c>
      <c r="E655" s="119"/>
      <c r="F655" s="119"/>
      <c r="G655" s="266"/>
      <c r="H655" s="119"/>
      <c r="I655" s="358"/>
      <c r="J655" s="359" t="str">
        <f>IFERROR(VLOOKUP($A655,#REF!,3,0),"")</f>
        <v/>
      </c>
      <c r="K655" s="359">
        <f>IFERROR(VLOOKUP($A655,#REF!,4,0),AF655)</f>
        <v>0</v>
      </c>
      <c r="L655" s="359" t="str">
        <f>IFERROR(VLOOKUP($A655,#REF!,5,0),"")</f>
        <v/>
      </c>
      <c r="M655" s="359" t="str">
        <f>IFERROR(VLOOKUP($A655,#REF!,7,0),"")</f>
        <v/>
      </c>
      <c r="N655" s="359"/>
      <c r="O655" s="359" t="str">
        <f>IFERROR(VLOOKUP($A655,#REF!,6,0),"")</f>
        <v/>
      </c>
      <c r="P655" s="359" t="str">
        <f>IFERROR(VLOOKUP($A655,#REF!,9,0),"")</f>
        <v/>
      </c>
      <c r="Q655" s="359" t="str">
        <f>IFERROR(VLOOKUP($A655,#REF!,10,0),"")</f>
        <v/>
      </c>
      <c r="R655" s="359" t="str">
        <f>IFERROR(VLOOKUP($A655,#REF!,11,0),"")</f>
        <v/>
      </c>
      <c r="S655" s="359" t="str">
        <f>IFERROR(VLOOKUP($A655,#REF!,13,0),"")</f>
        <v/>
      </c>
      <c r="T655" s="359" t="str">
        <f>IFERROR(VLOOKUP($A655,#REF!,14,0),"")</f>
        <v/>
      </c>
      <c r="U655" s="359" t="str">
        <f>IFERROR(VLOOKUP($A655,#REF!,15,0),"")</f>
        <v/>
      </c>
      <c r="V655" s="359" t="str">
        <f>IFERROR(VLOOKUP($A655,#REF!,16,0),"")</f>
        <v/>
      </c>
      <c r="W655" s="359" t="str">
        <f>IFERROR(VLOOKUP($A655,#REF!,17,0),"")</f>
        <v/>
      </c>
      <c r="X655" s="359" t="str">
        <f>IFERROR(VLOOKUP($A655,#REF!,18,0),"")</f>
        <v/>
      </c>
      <c r="Y655" s="359" t="str">
        <f>IFERROR(VLOOKUP($A655,#REF!,19,0),"")</f>
        <v/>
      </c>
      <c r="Z655" s="400" t="str">
        <f>IFERROR(VLOOKUP($A655,#REF!,21,0),"")</f>
        <v/>
      </c>
      <c r="AA655" s="358"/>
      <c r="AB655" s="358"/>
      <c r="AC655" s="358"/>
      <c r="AD655" s="358"/>
      <c r="AE655" s="358"/>
      <c r="AF655" s="141"/>
      <c r="AG655" s="358"/>
      <c r="AH655" s="358"/>
      <c r="AI655" s="358"/>
      <c r="AJ655" s="380"/>
      <c r="AK655" s="380"/>
      <c r="AL655" s="380"/>
      <c r="AM655" s="380"/>
      <c r="AN655" s="120"/>
      <c r="AO655" s="120"/>
      <c r="AP655" s="120"/>
      <c r="AQ655" s="93"/>
      <c r="AR655" s="358"/>
      <c r="AS655" s="358"/>
      <c r="AT655" s="358"/>
      <c r="AU655" s="358"/>
      <c r="AV655" s="358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112"/>
      <c r="BH655" s="112"/>
      <c r="BI655" s="112"/>
      <c r="BJ655" s="112"/>
      <c r="BK655" s="82"/>
      <c r="BL655" s="82"/>
      <c r="BN655" s="412"/>
      <c r="BO655" s="412"/>
      <c r="BP655" s="412"/>
      <c r="BQ655" s="412"/>
      <c r="BR655" s="412"/>
      <c r="BZ655" t="str">
        <f t="shared" si="63"/>
        <v/>
      </c>
    </row>
    <row r="656" spans="1:78" ht="15.6" hidden="1" customHeight="1">
      <c r="A656" s="35" t="str">
        <f t="shared" si="64"/>
        <v/>
      </c>
      <c r="C656" s="358" t="s">
        <v>24</v>
      </c>
      <c r="D656" s="358">
        <v>652</v>
      </c>
      <c r="E656" s="119"/>
      <c r="F656" s="119"/>
      <c r="G656" s="266"/>
      <c r="H656" s="119"/>
      <c r="I656" s="358"/>
      <c r="J656" s="359" t="str">
        <f>IFERROR(VLOOKUP($A656,#REF!,3,0),"")</f>
        <v/>
      </c>
      <c r="K656" s="359">
        <f>IFERROR(VLOOKUP($A656,#REF!,4,0),AF656)</f>
        <v>0</v>
      </c>
      <c r="L656" s="359" t="str">
        <f>IFERROR(VLOOKUP($A656,#REF!,5,0),"")</f>
        <v/>
      </c>
      <c r="M656" s="359" t="str">
        <f>IFERROR(VLOOKUP($A656,#REF!,7,0),"")</f>
        <v/>
      </c>
      <c r="N656" s="359"/>
      <c r="O656" s="359" t="str">
        <f>IFERROR(VLOOKUP($A656,#REF!,6,0),"")</f>
        <v/>
      </c>
      <c r="P656" s="359" t="str">
        <f>IFERROR(VLOOKUP($A656,#REF!,9,0),"")</f>
        <v/>
      </c>
      <c r="Q656" s="359" t="str">
        <f>IFERROR(VLOOKUP($A656,#REF!,10,0),"")</f>
        <v/>
      </c>
      <c r="R656" s="359" t="str">
        <f>IFERROR(VLOOKUP($A656,#REF!,11,0),"")</f>
        <v/>
      </c>
      <c r="S656" s="359" t="str">
        <f>IFERROR(VLOOKUP($A656,#REF!,13,0),"")</f>
        <v/>
      </c>
      <c r="T656" s="359" t="str">
        <f>IFERROR(VLOOKUP($A656,#REF!,14,0),"")</f>
        <v/>
      </c>
      <c r="U656" s="359" t="str">
        <f>IFERROR(VLOOKUP($A656,#REF!,15,0),"")</f>
        <v/>
      </c>
      <c r="V656" s="359" t="str">
        <f>IFERROR(VLOOKUP($A656,#REF!,16,0),"")</f>
        <v/>
      </c>
      <c r="W656" s="359" t="str">
        <f>IFERROR(VLOOKUP($A656,#REF!,17,0),"")</f>
        <v/>
      </c>
      <c r="X656" s="359" t="str">
        <f>IFERROR(VLOOKUP($A656,#REF!,18,0),"")</f>
        <v/>
      </c>
      <c r="Y656" s="359" t="str">
        <f>IFERROR(VLOOKUP($A656,#REF!,19,0),"")</f>
        <v/>
      </c>
      <c r="Z656" s="400" t="str">
        <f>IFERROR(VLOOKUP($A656,#REF!,21,0),"")</f>
        <v/>
      </c>
      <c r="AA656" s="358"/>
      <c r="AB656" s="358"/>
      <c r="AC656" s="358"/>
      <c r="AD656" s="358"/>
      <c r="AE656" s="358"/>
      <c r="AF656" s="141"/>
      <c r="AG656" s="358"/>
      <c r="AH656" s="358"/>
      <c r="AI656" s="358"/>
      <c r="AJ656" s="380"/>
      <c r="AK656" s="380"/>
      <c r="AL656" s="380"/>
      <c r="AM656" s="380"/>
      <c r="AN656" s="120"/>
      <c r="AO656" s="120"/>
      <c r="AP656" s="120"/>
      <c r="AQ656" s="93"/>
      <c r="AR656" s="358"/>
      <c r="AS656" s="358"/>
      <c r="AT656" s="358"/>
      <c r="AU656" s="358"/>
      <c r="AV656" s="358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112"/>
      <c r="BH656" s="112"/>
      <c r="BI656" s="112"/>
      <c r="BJ656" s="112"/>
      <c r="BK656" s="82"/>
      <c r="BL656" s="82"/>
      <c r="BN656" s="412"/>
      <c r="BO656" s="412"/>
      <c r="BP656" s="412"/>
      <c r="BQ656" s="412"/>
      <c r="BR656" s="412"/>
      <c r="BZ656" t="str">
        <f t="shared" si="63"/>
        <v/>
      </c>
    </row>
    <row r="657" spans="1:78" ht="15.6" hidden="1" customHeight="1">
      <c r="A657" s="35" t="str">
        <f t="shared" si="64"/>
        <v/>
      </c>
      <c r="C657" s="358" t="s">
        <v>24</v>
      </c>
      <c r="D657" s="358">
        <v>653</v>
      </c>
      <c r="E657" s="119"/>
      <c r="F657" s="119"/>
      <c r="G657" s="266"/>
      <c r="H657" s="119"/>
      <c r="I657" s="358"/>
      <c r="J657" s="359" t="str">
        <f>IFERROR(VLOOKUP($A657,#REF!,3,0),"")</f>
        <v/>
      </c>
      <c r="K657" s="359">
        <f>IFERROR(VLOOKUP($A657,#REF!,4,0),AF657)</f>
        <v>0</v>
      </c>
      <c r="L657" s="359" t="str">
        <f>IFERROR(VLOOKUP($A657,#REF!,5,0),"")</f>
        <v/>
      </c>
      <c r="M657" s="359" t="str">
        <f>IFERROR(VLOOKUP($A657,#REF!,7,0),"")</f>
        <v/>
      </c>
      <c r="N657" s="359"/>
      <c r="O657" s="359" t="str">
        <f>IFERROR(VLOOKUP($A657,#REF!,6,0),"")</f>
        <v/>
      </c>
      <c r="P657" s="359" t="str">
        <f>IFERROR(VLOOKUP($A657,#REF!,9,0),"")</f>
        <v/>
      </c>
      <c r="Q657" s="359" t="str">
        <f>IFERROR(VLOOKUP($A657,#REF!,10,0),"")</f>
        <v/>
      </c>
      <c r="R657" s="359" t="str">
        <f>IFERROR(VLOOKUP($A657,#REF!,11,0),"")</f>
        <v/>
      </c>
      <c r="S657" s="359" t="str">
        <f>IFERROR(VLOOKUP($A657,#REF!,13,0),"")</f>
        <v/>
      </c>
      <c r="T657" s="359" t="str">
        <f>IFERROR(VLOOKUP($A657,#REF!,14,0),"")</f>
        <v/>
      </c>
      <c r="U657" s="359" t="str">
        <f>IFERROR(VLOOKUP($A657,#REF!,15,0),"")</f>
        <v/>
      </c>
      <c r="V657" s="359" t="str">
        <f>IFERROR(VLOOKUP($A657,#REF!,16,0),"")</f>
        <v/>
      </c>
      <c r="W657" s="359" t="str">
        <f>IFERROR(VLOOKUP($A657,#REF!,17,0),"")</f>
        <v/>
      </c>
      <c r="X657" s="359" t="str">
        <f>IFERROR(VLOOKUP($A657,#REF!,18,0),"")</f>
        <v/>
      </c>
      <c r="Y657" s="359" t="str">
        <f>IFERROR(VLOOKUP($A657,#REF!,19,0),"")</f>
        <v/>
      </c>
      <c r="Z657" s="400" t="str">
        <f>IFERROR(VLOOKUP($A657,#REF!,21,0),"")</f>
        <v/>
      </c>
      <c r="AA657" s="358"/>
      <c r="AB657" s="358"/>
      <c r="AC657" s="358"/>
      <c r="AD657" s="358"/>
      <c r="AE657" s="358"/>
      <c r="AF657" s="141"/>
      <c r="AG657" s="358"/>
      <c r="AH657" s="358"/>
      <c r="AI657" s="358"/>
      <c r="AJ657" s="380"/>
      <c r="AK657" s="380"/>
      <c r="AL657" s="380"/>
      <c r="AM657" s="380"/>
      <c r="AN657" s="120"/>
      <c r="AO657" s="120"/>
      <c r="AP657" s="120"/>
      <c r="AQ657" s="93"/>
      <c r="AR657" s="358"/>
      <c r="AS657" s="358"/>
      <c r="AT657" s="358"/>
      <c r="AU657" s="358"/>
      <c r="AV657" s="358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112"/>
      <c r="BH657" s="112"/>
      <c r="BI657" s="112"/>
      <c r="BJ657" s="112"/>
      <c r="BK657" s="82"/>
      <c r="BL657" s="82"/>
      <c r="BN657" s="412"/>
      <c r="BO657" s="412"/>
      <c r="BP657" s="412"/>
      <c r="BQ657" s="412"/>
      <c r="BR657" s="412"/>
      <c r="BZ657" t="str">
        <f t="shared" si="63"/>
        <v/>
      </c>
    </row>
    <row r="658" spans="1:78" ht="15.6" hidden="1" customHeight="1">
      <c r="A658" s="35" t="str">
        <f t="shared" si="64"/>
        <v/>
      </c>
      <c r="C658" s="358" t="s">
        <v>24</v>
      </c>
      <c r="D658" s="358">
        <v>654</v>
      </c>
      <c r="E658" s="119"/>
      <c r="F658" s="119"/>
      <c r="G658" s="266"/>
      <c r="H658" s="119"/>
      <c r="I658" s="358"/>
      <c r="J658" s="359" t="str">
        <f>IFERROR(VLOOKUP($A658,#REF!,3,0),"")</f>
        <v/>
      </c>
      <c r="K658" s="359">
        <f>IFERROR(VLOOKUP($A658,#REF!,4,0),AF658)</f>
        <v>0</v>
      </c>
      <c r="L658" s="359" t="str">
        <f>IFERROR(VLOOKUP($A658,#REF!,5,0),"")</f>
        <v/>
      </c>
      <c r="M658" s="359" t="str">
        <f>IFERROR(VLOOKUP($A658,#REF!,7,0),"")</f>
        <v/>
      </c>
      <c r="N658" s="359"/>
      <c r="O658" s="359" t="str">
        <f>IFERROR(VLOOKUP($A658,#REF!,6,0),"")</f>
        <v/>
      </c>
      <c r="P658" s="359" t="str">
        <f>IFERROR(VLOOKUP($A658,#REF!,9,0),"")</f>
        <v/>
      </c>
      <c r="Q658" s="359" t="str">
        <f>IFERROR(VLOOKUP($A658,#REF!,10,0),"")</f>
        <v/>
      </c>
      <c r="R658" s="359" t="str">
        <f>IFERROR(VLOOKUP($A658,#REF!,11,0),"")</f>
        <v/>
      </c>
      <c r="S658" s="359" t="str">
        <f>IFERROR(VLOOKUP($A658,#REF!,13,0),"")</f>
        <v/>
      </c>
      <c r="T658" s="359" t="str">
        <f>IFERROR(VLOOKUP($A658,#REF!,14,0),"")</f>
        <v/>
      </c>
      <c r="U658" s="359" t="str">
        <f>IFERROR(VLOOKUP($A658,#REF!,15,0),"")</f>
        <v/>
      </c>
      <c r="V658" s="359" t="str">
        <f>IFERROR(VLOOKUP($A658,#REF!,16,0),"")</f>
        <v/>
      </c>
      <c r="W658" s="359" t="str">
        <f>IFERROR(VLOOKUP($A658,#REF!,17,0),"")</f>
        <v/>
      </c>
      <c r="X658" s="359" t="str">
        <f>IFERROR(VLOOKUP($A658,#REF!,18,0),"")</f>
        <v/>
      </c>
      <c r="Y658" s="359" t="str">
        <f>IFERROR(VLOOKUP($A658,#REF!,19,0),"")</f>
        <v/>
      </c>
      <c r="Z658" s="400" t="str">
        <f>IFERROR(VLOOKUP($A658,#REF!,21,0),"")</f>
        <v/>
      </c>
      <c r="AA658" s="358"/>
      <c r="AB658" s="358"/>
      <c r="AC658" s="358"/>
      <c r="AD658" s="358"/>
      <c r="AE658" s="358"/>
      <c r="AF658" s="141"/>
      <c r="AG658" s="358"/>
      <c r="AH658" s="358"/>
      <c r="AI658" s="358"/>
      <c r="AJ658" s="380"/>
      <c r="AK658" s="380"/>
      <c r="AL658" s="380"/>
      <c r="AM658" s="380"/>
      <c r="AN658" s="120"/>
      <c r="AO658" s="120"/>
      <c r="AP658" s="120"/>
      <c r="AQ658" s="93"/>
      <c r="AR658" s="358"/>
      <c r="AS658" s="358"/>
      <c r="AT658" s="358"/>
      <c r="AU658" s="358"/>
      <c r="AV658" s="358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112"/>
      <c r="BH658" s="112"/>
      <c r="BI658" s="112"/>
      <c r="BJ658" s="112"/>
      <c r="BK658" s="82"/>
      <c r="BL658" s="82"/>
      <c r="BN658" s="412"/>
      <c r="BO658" s="412"/>
      <c r="BP658" s="412"/>
      <c r="BQ658" s="412"/>
      <c r="BR658" s="412"/>
      <c r="BZ658" t="str">
        <f t="shared" si="63"/>
        <v/>
      </c>
    </row>
    <row r="659" spans="1:78" ht="15.6" hidden="1" customHeight="1">
      <c r="A659" s="35" t="str">
        <f t="shared" si="64"/>
        <v>M207/2646126</v>
      </c>
      <c r="C659" s="358" t="s">
        <v>24</v>
      </c>
      <c r="D659" s="358">
        <v>655</v>
      </c>
      <c r="E659" s="257" t="s">
        <v>4030</v>
      </c>
      <c r="F659" s="102" t="s">
        <v>50</v>
      </c>
      <c r="G659" s="249">
        <v>46126</v>
      </c>
      <c r="H659" s="102" t="s">
        <v>439</v>
      </c>
      <c r="I659" s="102">
        <v>42</v>
      </c>
      <c r="J659" s="359" t="str">
        <f>IFERROR(VLOOKUP($A659,#REF!,3,0),"")</f>
        <v/>
      </c>
      <c r="K659" s="359" t="str">
        <f>IFERROR(VLOOKUP($A659,#REF!,4,0),AF659)</f>
        <v>EXT</v>
      </c>
      <c r="L659" s="359" t="str">
        <f>IFERROR(VLOOKUP($A659,#REF!,5,0),"")</f>
        <v/>
      </c>
      <c r="M659" s="359" t="str">
        <f>IFERROR(VLOOKUP($A659,#REF!,7,0),"")</f>
        <v/>
      </c>
      <c r="N659" s="359"/>
      <c r="O659" s="359" t="str">
        <f>IFERROR(VLOOKUP($A659,#REF!,6,0),"")</f>
        <v/>
      </c>
      <c r="P659" s="359" t="str">
        <f>IFERROR(VLOOKUP($A659,#REF!,9,0),"")</f>
        <v/>
      </c>
      <c r="Q659" s="359" t="str">
        <f>IFERROR(VLOOKUP($A659,#REF!,10,0),"")</f>
        <v/>
      </c>
      <c r="R659" s="359" t="str">
        <f>IFERROR(VLOOKUP($A659,#REF!,11,0),"")</f>
        <v/>
      </c>
      <c r="S659" s="359" t="str">
        <f>IFERROR(VLOOKUP($A659,#REF!,13,0),"")</f>
        <v/>
      </c>
      <c r="T659" s="359" t="str">
        <f>IFERROR(VLOOKUP($A659,#REF!,14,0),"")</f>
        <v/>
      </c>
      <c r="U659" s="359" t="str">
        <f>IFERROR(VLOOKUP($A659,#REF!,15,0),"")</f>
        <v/>
      </c>
      <c r="V659" s="359" t="str">
        <f>IFERROR(VLOOKUP($A659,#REF!,16,0),"")</f>
        <v/>
      </c>
      <c r="W659" s="359" t="str">
        <f>IFERROR(VLOOKUP($A659,#REF!,17,0),"")</f>
        <v/>
      </c>
      <c r="X659" s="359" t="str">
        <f>IFERROR(VLOOKUP($A659,#REF!,18,0),"")</f>
        <v/>
      </c>
      <c r="Y659" s="359" t="str">
        <f>IFERROR(VLOOKUP($A659,#REF!,19,0),"")</f>
        <v/>
      </c>
      <c r="Z659" s="400" t="str">
        <f>IFERROR(VLOOKUP($A659,#REF!,21,0),"")</f>
        <v/>
      </c>
      <c r="AA659" s="102"/>
      <c r="AB659" s="102"/>
      <c r="AC659" s="102" t="s">
        <v>3075</v>
      </c>
      <c r="AD659" s="102" t="s">
        <v>47</v>
      </c>
      <c r="AE659" s="221" t="s">
        <v>4031</v>
      </c>
      <c r="AF659" s="102" t="s">
        <v>3082</v>
      </c>
      <c r="AG659" s="102"/>
      <c r="AH659" s="358"/>
      <c r="AI659" s="358"/>
      <c r="AJ659" s="380"/>
      <c r="AK659" s="380"/>
      <c r="AL659" s="380"/>
      <c r="AM659" s="380"/>
      <c r="AN659" s="120"/>
      <c r="AO659" s="120"/>
      <c r="AP659" s="120"/>
      <c r="AQ659" s="93"/>
      <c r="AR659" s="358"/>
      <c r="AS659" s="358"/>
      <c r="AT659" s="358"/>
      <c r="AU659" s="358"/>
      <c r="AV659" s="358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112"/>
      <c r="BH659" s="112"/>
      <c r="BI659" s="112"/>
      <c r="BJ659" s="112"/>
      <c r="BK659" s="82"/>
      <c r="BL659" s="82"/>
      <c r="BN659" s="412"/>
      <c r="BO659" s="412"/>
      <c r="BP659" s="412"/>
      <c r="BQ659" s="412"/>
      <c r="BR659" s="412"/>
      <c r="BZ659">
        <f t="shared" si="63"/>
        <v>1</v>
      </c>
    </row>
    <row r="660" spans="1:78" ht="15.6" hidden="1" customHeight="1">
      <c r="A660" s="35" t="str">
        <f t="shared" si="64"/>
        <v>M105/2646125</v>
      </c>
      <c r="C660" s="358" t="s">
        <v>24</v>
      </c>
      <c r="D660" s="358">
        <v>656</v>
      </c>
      <c r="E660" s="358" t="s">
        <v>4032</v>
      </c>
      <c r="F660" s="358" t="s">
        <v>2638</v>
      </c>
      <c r="G660" s="384">
        <v>46125</v>
      </c>
      <c r="H660" s="358" t="s">
        <v>3350</v>
      </c>
      <c r="I660" s="358">
        <v>12</v>
      </c>
      <c r="J660" s="359" t="str">
        <f>IFERROR(VLOOKUP($A660,#REF!,3,0),"")</f>
        <v/>
      </c>
      <c r="K660" s="359" t="str">
        <f>IFERROR(VLOOKUP($A660,#REF!,4,0),AF660)</f>
        <v>EXT</v>
      </c>
      <c r="L660" s="359" t="str">
        <f>IFERROR(VLOOKUP($A660,#REF!,5,0),"")</f>
        <v/>
      </c>
      <c r="M660" s="359" t="str">
        <f>IFERROR(VLOOKUP($A660,#REF!,7,0),"")</f>
        <v/>
      </c>
      <c r="N660" s="359"/>
      <c r="O660" s="359" t="str">
        <f>IFERROR(VLOOKUP($A660,#REF!,6,0),"")</f>
        <v/>
      </c>
      <c r="P660" s="359" t="str">
        <f>IFERROR(VLOOKUP($A660,#REF!,9,0),"")</f>
        <v/>
      </c>
      <c r="Q660" s="359" t="str">
        <f>IFERROR(VLOOKUP($A660,#REF!,10,0),"")</f>
        <v/>
      </c>
      <c r="R660" s="359" t="str">
        <f>IFERROR(VLOOKUP($A660,#REF!,11,0),"")</f>
        <v/>
      </c>
      <c r="S660" s="359" t="str">
        <f>IFERROR(VLOOKUP($A660,#REF!,13,0),"")</f>
        <v/>
      </c>
      <c r="T660" s="359" t="str">
        <f>IFERROR(VLOOKUP($A660,#REF!,14,0),"")</f>
        <v/>
      </c>
      <c r="U660" s="359" t="str">
        <f>IFERROR(VLOOKUP($A660,#REF!,15,0),"")</f>
        <v/>
      </c>
      <c r="V660" s="359" t="str">
        <f>IFERROR(VLOOKUP($A660,#REF!,16,0),"")</f>
        <v/>
      </c>
      <c r="W660" s="359" t="str">
        <f>IFERROR(VLOOKUP($A660,#REF!,17,0),"")</f>
        <v/>
      </c>
      <c r="X660" s="359" t="str">
        <f>IFERROR(VLOOKUP($A660,#REF!,18,0),"")</f>
        <v/>
      </c>
      <c r="Y660" s="359" t="str">
        <f>IFERROR(VLOOKUP($A660,#REF!,19,0),"")</f>
        <v/>
      </c>
      <c r="Z660" s="400" t="str">
        <f>IFERROR(VLOOKUP($A660,#REF!,21,0),"")</f>
        <v/>
      </c>
      <c r="AA660" s="358"/>
      <c r="AB660" s="358"/>
      <c r="AC660" s="358" t="s">
        <v>1077</v>
      </c>
      <c r="AD660" s="358" t="s">
        <v>1138</v>
      </c>
      <c r="AE660" s="141" t="s">
        <v>4033</v>
      </c>
      <c r="AF660" s="141" t="s">
        <v>3082</v>
      </c>
      <c r="AG660" s="141" t="s">
        <v>2640</v>
      </c>
      <c r="AH660" s="358"/>
      <c r="AI660" s="380"/>
      <c r="AJ660" s="380"/>
      <c r="AK660" s="380"/>
      <c r="AL660" s="380"/>
      <c r="AM660" s="380"/>
      <c r="AN660" s="120"/>
      <c r="AO660" s="120"/>
      <c r="AP660" s="93"/>
      <c r="AQ660" s="358"/>
      <c r="AR660" s="358"/>
      <c r="AS660" s="358"/>
      <c r="AT660" s="358"/>
      <c r="AU660"/>
      <c r="AV660" s="358"/>
      <c r="AW660" s="82"/>
      <c r="AX660" s="82"/>
      <c r="AY660" s="82"/>
      <c r="AZ660" s="82"/>
      <c r="BA660" s="82"/>
      <c r="BB660" s="82"/>
      <c r="BC660" s="82"/>
      <c r="BD660" s="82"/>
      <c r="BE660" s="82"/>
      <c r="BF660" s="82"/>
      <c r="BG660" s="112"/>
      <c r="BH660" s="112"/>
      <c r="BI660" s="112"/>
      <c r="BJ660" s="112"/>
      <c r="BK660" s="82"/>
      <c r="BL660" s="82"/>
      <c r="BN660" s="412"/>
      <c r="BO660" s="412"/>
      <c r="BP660" s="412"/>
      <c r="BQ660" s="412"/>
      <c r="BR660" s="412"/>
      <c r="BZ660">
        <f>IF(F660&gt;1,1,"")</f>
        <v>1</v>
      </c>
    </row>
    <row r="661" spans="1:78" ht="15.6" hidden="1" customHeight="1">
      <c r="A661" s="35" t="str">
        <f t="shared" si="64"/>
        <v>M234/2646146</v>
      </c>
      <c r="C661" s="358" t="s">
        <v>24</v>
      </c>
      <c r="D661" s="358">
        <v>657</v>
      </c>
      <c r="E661" s="119" t="s">
        <v>4034</v>
      </c>
      <c r="F661" s="119" t="s">
        <v>374</v>
      </c>
      <c r="G661" s="266">
        <v>46146</v>
      </c>
      <c r="H661" s="119" t="s">
        <v>4035</v>
      </c>
      <c r="I661" s="358">
        <v>10</v>
      </c>
      <c r="J661" s="359" t="str">
        <f>IFERROR(VLOOKUP($A661,#REF!,3,0),"")</f>
        <v/>
      </c>
      <c r="K661" s="359">
        <f>IFERROR(VLOOKUP($A661,#REF!,4,0),AF661)</f>
        <v>0</v>
      </c>
      <c r="L661" s="359" t="str">
        <f>IFERROR(VLOOKUP($A661,#REF!,5,0),"")</f>
        <v/>
      </c>
      <c r="M661" s="359" t="str">
        <f>IFERROR(VLOOKUP($A661,#REF!,7,0),"")</f>
        <v/>
      </c>
      <c r="N661" s="359"/>
      <c r="O661" s="359" t="str">
        <f>IFERROR(VLOOKUP($A661,#REF!,6,0),"")</f>
        <v/>
      </c>
      <c r="P661" s="359" t="str">
        <f>IFERROR(VLOOKUP($A661,#REF!,9,0),"")</f>
        <v/>
      </c>
      <c r="Q661" s="359" t="str">
        <f>IFERROR(VLOOKUP($A661,#REF!,10,0),"")</f>
        <v/>
      </c>
      <c r="R661" s="359" t="str">
        <f>IFERROR(VLOOKUP($A661,#REF!,11,0),"")</f>
        <v/>
      </c>
      <c r="S661" s="359" t="str">
        <f>IFERROR(VLOOKUP($A661,#REF!,13,0),"")</f>
        <v/>
      </c>
      <c r="T661" s="359" t="str">
        <f>IFERROR(VLOOKUP($A661,#REF!,14,0),"")</f>
        <v/>
      </c>
      <c r="U661" s="359" t="str">
        <f>IFERROR(VLOOKUP($A661,#REF!,15,0),"")</f>
        <v/>
      </c>
      <c r="V661" s="359" t="str">
        <f>IFERROR(VLOOKUP($A661,#REF!,16,0),"")</f>
        <v/>
      </c>
      <c r="W661" s="359" t="str">
        <f>IFERROR(VLOOKUP($A661,#REF!,17,0),"")</f>
        <v/>
      </c>
      <c r="X661" s="359" t="str">
        <f>IFERROR(VLOOKUP($A661,#REF!,18,0),"")</f>
        <v/>
      </c>
      <c r="Y661" s="359" t="str">
        <f>IFERROR(VLOOKUP($A661,#REF!,19,0),"")</f>
        <v/>
      </c>
      <c r="Z661" s="400" t="str">
        <f>IFERROR(VLOOKUP($A661,#REF!,21,0),"")</f>
        <v/>
      </c>
      <c r="AA661" s="358"/>
      <c r="AB661" s="358"/>
      <c r="AC661" s="119" t="s">
        <v>1076</v>
      </c>
      <c r="AD661" s="119" t="s">
        <v>3357</v>
      </c>
      <c r="AE661" s="119" t="s">
        <v>4036</v>
      </c>
      <c r="AF661" s="277"/>
      <c r="AG661" s="119"/>
      <c r="AH661" s="119"/>
      <c r="AI661" s="119"/>
      <c r="AJ661" s="120" t="s">
        <v>4037</v>
      </c>
      <c r="AK661" s="120"/>
      <c r="AL661" s="120"/>
      <c r="AM661" s="120"/>
      <c r="AN661" s="120"/>
      <c r="AO661" s="120"/>
      <c r="AP661" s="120"/>
      <c r="AQ661" s="313"/>
      <c r="AR661" s="119"/>
      <c r="AS661" s="22"/>
      <c r="AT661" s="22"/>
      <c r="AU661" s="22"/>
      <c r="AV661" s="22"/>
      <c r="AW661" s="82"/>
      <c r="AX661" s="82"/>
      <c r="AY661" s="82"/>
      <c r="AZ661" s="82"/>
      <c r="BA661" s="82"/>
      <c r="BB661" s="82"/>
      <c r="BC661" s="82"/>
      <c r="BD661" s="82"/>
      <c r="BE661" s="82"/>
      <c r="BF661" s="82"/>
      <c r="BG661" s="112"/>
      <c r="BH661" s="112"/>
      <c r="BI661" s="112"/>
      <c r="BJ661" s="112"/>
      <c r="BK661" s="82"/>
      <c r="BL661" s="82"/>
      <c r="BN661" s="412"/>
      <c r="BO661" s="412"/>
      <c r="BP661" s="412"/>
      <c r="BQ661" s="412"/>
      <c r="BR661" s="412"/>
      <c r="BZ661">
        <f t="shared" si="63"/>
        <v>1</v>
      </c>
    </row>
    <row r="662" spans="1:78" ht="15.6" hidden="1" customHeight="1">
      <c r="A662" s="35" t="str">
        <f t="shared" si="64"/>
        <v>M233/2646146</v>
      </c>
      <c r="C662" s="358" t="s">
        <v>24</v>
      </c>
      <c r="D662" s="358">
        <v>658</v>
      </c>
      <c r="E662" s="119" t="s">
        <v>4038</v>
      </c>
      <c r="F662" s="119" t="s">
        <v>384</v>
      </c>
      <c r="G662" s="266">
        <v>46146</v>
      </c>
      <c r="H662" s="119" t="s">
        <v>4035</v>
      </c>
      <c r="I662" s="358">
        <v>10</v>
      </c>
      <c r="J662" s="359" t="str">
        <f>IFERROR(VLOOKUP($A662,#REF!,3,0),"")</f>
        <v/>
      </c>
      <c r="K662" s="359">
        <f>IFERROR(VLOOKUP($A662,#REF!,4,0),AF662)</f>
        <v>0</v>
      </c>
      <c r="L662" s="359" t="str">
        <f>IFERROR(VLOOKUP($A662,#REF!,5,0),"")</f>
        <v/>
      </c>
      <c r="M662" s="359" t="str">
        <f>IFERROR(VLOOKUP($A662,#REF!,7,0),"")</f>
        <v/>
      </c>
      <c r="N662" s="359"/>
      <c r="O662" s="359" t="str">
        <f>IFERROR(VLOOKUP($A662,#REF!,6,0),"")</f>
        <v/>
      </c>
      <c r="P662" s="359" t="str">
        <f>IFERROR(VLOOKUP($A662,#REF!,9,0),"")</f>
        <v/>
      </c>
      <c r="Q662" s="359" t="str">
        <f>IFERROR(VLOOKUP($A662,#REF!,10,0),"")</f>
        <v/>
      </c>
      <c r="R662" s="359" t="str">
        <f>IFERROR(VLOOKUP($A662,#REF!,11,0),"")</f>
        <v/>
      </c>
      <c r="S662" s="359" t="str">
        <f>IFERROR(VLOOKUP($A662,#REF!,13,0),"")</f>
        <v/>
      </c>
      <c r="T662" s="359" t="str">
        <f>IFERROR(VLOOKUP($A662,#REF!,14,0),"")</f>
        <v/>
      </c>
      <c r="U662" s="359" t="str">
        <f>IFERROR(VLOOKUP($A662,#REF!,15,0),"")</f>
        <v/>
      </c>
      <c r="V662" s="359" t="str">
        <f>IFERROR(VLOOKUP($A662,#REF!,16,0),"")</f>
        <v/>
      </c>
      <c r="W662" s="359" t="str">
        <f>IFERROR(VLOOKUP($A662,#REF!,17,0),"")</f>
        <v/>
      </c>
      <c r="X662" s="359" t="str">
        <f>IFERROR(VLOOKUP($A662,#REF!,18,0),"")</f>
        <v/>
      </c>
      <c r="Y662" s="359" t="str">
        <f>IFERROR(VLOOKUP($A662,#REF!,19,0),"")</f>
        <v/>
      </c>
      <c r="Z662" s="400" t="str">
        <f>IFERROR(VLOOKUP($A662,#REF!,21,0),"")</f>
        <v/>
      </c>
      <c r="AA662" s="358"/>
      <c r="AB662" s="358"/>
      <c r="AC662" s="119" t="s">
        <v>1076</v>
      </c>
      <c r="AD662" s="119" t="s">
        <v>3357</v>
      </c>
      <c r="AE662" s="119" t="s">
        <v>4036</v>
      </c>
      <c r="AF662" s="277"/>
      <c r="AG662" s="119"/>
      <c r="AH662" s="119"/>
      <c r="AI662" s="119"/>
      <c r="AJ662" s="120" t="s">
        <v>4037</v>
      </c>
      <c r="AK662" s="120"/>
      <c r="AL662" s="120"/>
      <c r="AM662" s="120"/>
      <c r="AN662" s="120"/>
      <c r="AO662" s="120"/>
      <c r="AP662" s="120"/>
      <c r="AQ662" s="313"/>
      <c r="AR662" s="119"/>
      <c r="AS662" s="22"/>
      <c r="AT662" s="22"/>
      <c r="AU662" s="22"/>
      <c r="AV662" s="22"/>
      <c r="AW662" s="82"/>
      <c r="AX662" s="82"/>
      <c r="AY662" s="82"/>
      <c r="AZ662" s="82"/>
      <c r="BA662" s="82"/>
      <c r="BB662" s="82"/>
      <c r="BC662" s="82"/>
      <c r="BD662" s="82"/>
      <c r="BE662" s="82"/>
      <c r="BF662" s="82"/>
      <c r="BG662" s="112"/>
      <c r="BH662" s="112"/>
      <c r="BI662" s="112"/>
      <c r="BJ662" s="112"/>
      <c r="BK662" s="82"/>
      <c r="BL662" s="82"/>
      <c r="BN662" s="412"/>
      <c r="BO662" s="412"/>
      <c r="BP662" s="412"/>
      <c r="BQ662" s="412"/>
      <c r="BR662" s="412"/>
      <c r="BZ662">
        <f t="shared" si="63"/>
        <v>1</v>
      </c>
    </row>
    <row r="663" spans="1:78" ht="15.6" hidden="1" customHeight="1">
      <c r="A663" s="35" t="str">
        <f t="shared" si="64"/>
        <v>M179/2646148</v>
      </c>
      <c r="C663" s="358" t="s">
        <v>24</v>
      </c>
      <c r="D663" s="358">
        <v>659</v>
      </c>
      <c r="E663" s="119" t="s">
        <v>4039</v>
      </c>
      <c r="F663" s="119" t="s">
        <v>4040</v>
      </c>
      <c r="G663" s="266">
        <v>46148</v>
      </c>
      <c r="H663" s="119" t="s">
        <v>126</v>
      </c>
      <c r="I663" s="358">
        <v>18</v>
      </c>
      <c r="J663" s="359" t="str">
        <f>IFERROR(VLOOKUP($A663,#REF!,3,0),"")</f>
        <v/>
      </c>
      <c r="K663" s="359">
        <f>IFERROR(VLOOKUP($A663,#REF!,4,0),AF663)</f>
        <v>0</v>
      </c>
      <c r="L663" s="359" t="str">
        <f>IFERROR(VLOOKUP($A663,#REF!,5,0),"")</f>
        <v/>
      </c>
      <c r="M663" s="359" t="str">
        <f>IFERROR(VLOOKUP($A663,#REF!,7,0),"")</f>
        <v/>
      </c>
      <c r="N663" s="359"/>
      <c r="O663" s="359" t="str">
        <f>IFERROR(VLOOKUP($A663,#REF!,6,0),"")</f>
        <v/>
      </c>
      <c r="P663" s="359" t="str">
        <f>IFERROR(VLOOKUP($A663,#REF!,9,0),"")</f>
        <v/>
      </c>
      <c r="Q663" s="359" t="str">
        <f>IFERROR(VLOOKUP($A663,#REF!,10,0),"")</f>
        <v/>
      </c>
      <c r="R663" s="359" t="str">
        <f>IFERROR(VLOOKUP($A663,#REF!,11,0),"")</f>
        <v/>
      </c>
      <c r="S663" s="359" t="str">
        <f>IFERROR(VLOOKUP($A663,#REF!,13,0),"")</f>
        <v/>
      </c>
      <c r="T663" s="359" t="str">
        <f>IFERROR(VLOOKUP($A663,#REF!,14,0),"")</f>
        <v/>
      </c>
      <c r="U663" s="359" t="str">
        <f>IFERROR(VLOOKUP($A663,#REF!,15,0),"")</f>
        <v/>
      </c>
      <c r="V663" s="359" t="str">
        <f>IFERROR(VLOOKUP($A663,#REF!,16,0),"")</f>
        <v/>
      </c>
      <c r="W663" s="359" t="str">
        <f>IFERROR(VLOOKUP($A663,#REF!,17,0),"")</f>
        <v/>
      </c>
      <c r="X663" s="359" t="str">
        <f>IFERROR(VLOOKUP($A663,#REF!,18,0),"")</f>
        <v/>
      </c>
      <c r="Y663" s="359" t="str">
        <f>IFERROR(VLOOKUP($A663,#REF!,19,0),"")</f>
        <v/>
      </c>
      <c r="Z663" s="400" t="str">
        <f>IFERROR(VLOOKUP($A663,#REF!,21,0),"")</f>
        <v/>
      </c>
      <c r="AA663" s="358"/>
      <c r="AB663" s="358"/>
      <c r="AC663" s="119" t="s">
        <v>127</v>
      </c>
      <c r="AD663" s="119" t="s">
        <v>28</v>
      </c>
      <c r="AE663" s="119"/>
      <c r="AF663" s="277"/>
      <c r="AG663" s="119"/>
      <c r="AH663" s="119"/>
      <c r="AI663" s="119"/>
      <c r="AJ663" s="141" t="s">
        <v>3972</v>
      </c>
      <c r="AK663" s="141"/>
      <c r="AL663" s="141"/>
      <c r="AM663" s="141"/>
      <c r="AN663" s="120"/>
      <c r="AO663" s="120"/>
      <c r="AP663" s="120"/>
      <c r="AQ663" s="313"/>
      <c r="AR663" s="119"/>
      <c r="AS663" s="22"/>
      <c r="AT663" s="22"/>
      <c r="AU663" s="22"/>
      <c r="AV663" s="22"/>
      <c r="AW663" s="82"/>
      <c r="AX663" s="82"/>
      <c r="AY663" s="82"/>
      <c r="AZ663" s="82"/>
      <c r="BA663" s="82"/>
      <c r="BB663" s="82"/>
      <c r="BC663" s="82"/>
      <c r="BD663" s="82"/>
      <c r="BE663" s="82"/>
      <c r="BF663" s="82"/>
      <c r="BG663" s="112"/>
      <c r="BH663" s="112"/>
      <c r="BI663" s="112"/>
      <c r="BJ663" s="112"/>
      <c r="BK663" s="82"/>
      <c r="BL663" s="82"/>
      <c r="BN663" s="412"/>
      <c r="BO663" s="412"/>
      <c r="BP663" s="412"/>
      <c r="BQ663" s="412"/>
      <c r="BR663" s="412"/>
      <c r="BZ663">
        <f t="shared" si="63"/>
        <v>1</v>
      </c>
    </row>
    <row r="664" spans="1:78" ht="15.6" hidden="1" customHeight="1">
      <c r="A664" s="35" t="str">
        <f t="shared" si="64"/>
        <v>M232/2646148</v>
      </c>
      <c r="C664" s="141" t="s">
        <v>24</v>
      </c>
      <c r="D664" s="358">
        <v>660</v>
      </c>
      <c r="E664" s="119" t="s">
        <v>4041</v>
      </c>
      <c r="F664" s="119" t="s">
        <v>1641</v>
      </c>
      <c r="G664" s="266">
        <v>46148</v>
      </c>
      <c r="H664" s="119" t="s">
        <v>2295</v>
      </c>
      <c r="I664" s="358">
        <v>13</v>
      </c>
      <c r="J664" s="359" t="str">
        <f>IFERROR(VLOOKUP($A664,#REF!,3,0),"")</f>
        <v/>
      </c>
      <c r="K664" s="359">
        <f>IFERROR(VLOOKUP($A664,#REF!,4,0),AF664)</f>
        <v>0</v>
      </c>
      <c r="L664" s="359" t="str">
        <f>IFERROR(VLOOKUP($A664,#REF!,5,0),"")</f>
        <v/>
      </c>
      <c r="M664" s="359" t="str">
        <f>IFERROR(VLOOKUP($A664,#REF!,7,0),"")</f>
        <v/>
      </c>
      <c r="N664" s="359"/>
      <c r="O664" s="359" t="str">
        <f>IFERROR(VLOOKUP($A664,#REF!,6,0),"")</f>
        <v/>
      </c>
      <c r="P664" s="359" t="str">
        <f>IFERROR(VLOOKUP($A664,#REF!,9,0),"")</f>
        <v/>
      </c>
      <c r="Q664" s="359" t="str">
        <f>IFERROR(VLOOKUP($A664,#REF!,10,0),"")</f>
        <v/>
      </c>
      <c r="R664" s="359" t="str">
        <f>IFERROR(VLOOKUP($A664,#REF!,11,0),"")</f>
        <v/>
      </c>
      <c r="S664" s="359" t="str">
        <f>IFERROR(VLOOKUP($A664,#REF!,13,0),"")</f>
        <v/>
      </c>
      <c r="T664" s="359" t="str">
        <f>IFERROR(VLOOKUP($A664,#REF!,14,0),"")</f>
        <v/>
      </c>
      <c r="U664" s="359" t="str">
        <f>IFERROR(VLOOKUP($A664,#REF!,15,0),"")</f>
        <v/>
      </c>
      <c r="V664" s="359" t="str">
        <f>IFERROR(VLOOKUP($A664,#REF!,16,0),"")</f>
        <v/>
      </c>
      <c r="W664" s="359" t="str">
        <f>IFERROR(VLOOKUP($A664,#REF!,17,0),"")</f>
        <v/>
      </c>
      <c r="X664" s="359" t="str">
        <f>IFERROR(VLOOKUP($A664,#REF!,18,0),"")</f>
        <v/>
      </c>
      <c r="Y664" s="359" t="str">
        <f>IFERROR(VLOOKUP($A664,#REF!,19,0),"")</f>
        <v/>
      </c>
      <c r="Z664" s="400" t="str">
        <f>IFERROR(VLOOKUP($A664,#REF!,21,0),"")</f>
        <v/>
      </c>
      <c r="AA664" s="358"/>
      <c r="AB664" s="358"/>
      <c r="AC664" s="119" t="s">
        <v>1077</v>
      </c>
      <c r="AD664" s="119" t="s">
        <v>1138</v>
      </c>
      <c r="AE664" s="119"/>
      <c r="AF664" s="277"/>
      <c r="AG664" s="119"/>
      <c r="AH664" s="119"/>
      <c r="AI664" s="119"/>
      <c r="AJ664" s="120" t="s">
        <v>4042</v>
      </c>
      <c r="AK664" s="120"/>
      <c r="AL664" s="120"/>
      <c r="AM664" s="120"/>
      <c r="AN664" s="120"/>
      <c r="AO664" s="120"/>
      <c r="AP664" s="120"/>
      <c r="AQ664" s="313"/>
      <c r="AR664" s="119"/>
      <c r="AS664" s="22"/>
      <c r="AT664" s="22"/>
      <c r="AU664" s="22"/>
      <c r="AV664" s="22"/>
      <c r="AW664" s="82"/>
      <c r="AX664" s="82"/>
      <c r="AY664" s="82"/>
      <c r="AZ664" s="82"/>
      <c r="BA664" s="82"/>
      <c r="BB664" s="82"/>
      <c r="BC664" s="82"/>
      <c r="BD664" s="82"/>
      <c r="BE664" s="82"/>
      <c r="BF664" s="82"/>
      <c r="BG664" s="112"/>
      <c r="BH664" s="112"/>
      <c r="BI664" s="112"/>
      <c r="BJ664" s="112"/>
      <c r="BK664" s="82"/>
      <c r="BL664" s="82"/>
      <c r="BN664" s="412"/>
      <c r="BO664" s="412"/>
      <c r="BP664" s="412"/>
      <c r="BQ664" s="412"/>
      <c r="BR664" s="412"/>
    </row>
    <row r="665" spans="1:78" ht="15.6" hidden="1" customHeight="1">
      <c r="A665" s="35" t="str">
        <f t="shared" si="64"/>
        <v>M169/2646151</v>
      </c>
      <c r="C665" s="358" t="s">
        <v>24</v>
      </c>
      <c r="D665" s="358">
        <v>661</v>
      </c>
      <c r="E665" s="119" t="s">
        <v>4043</v>
      </c>
      <c r="F665" s="119" t="s">
        <v>34</v>
      </c>
      <c r="G665" s="266">
        <v>46151</v>
      </c>
      <c r="H665" s="119" t="s">
        <v>4022</v>
      </c>
      <c r="I665" s="358">
        <v>24</v>
      </c>
      <c r="J665" s="359" t="str">
        <f>IFERROR(VLOOKUP($A665,#REF!,3,0),"")</f>
        <v/>
      </c>
      <c r="K665" s="359" t="str">
        <f>IFERROR(VLOOKUP($A665,#REF!,4,0),AF665)</f>
        <v>EXT</v>
      </c>
      <c r="L665" s="359" t="str">
        <f>IFERROR(VLOOKUP($A665,#REF!,5,0),"")</f>
        <v/>
      </c>
      <c r="M665" s="359" t="str">
        <f>IFERROR(VLOOKUP($A665,#REF!,7,0),"")</f>
        <v/>
      </c>
      <c r="N665" s="359"/>
      <c r="O665" s="359" t="str">
        <f>IFERROR(VLOOKUP($A665,#REF!,6,0),"")</f>
        <v/>
      </c>
      <c r="P665" s="359" t="str">
        <f>IFERROR(VLOOKUP($A665,#REF!,9,0),"")</f>
        <v/>
      </c>
      <c r="Q665" s="359" t="str">
        <f>IFERROR(VLOOKUP($A665,#REF!,10,0),"")</f>
        <v/>
      </c>
      <c r="R665" s="359" t="str">
        <f>IFERROR(VLOOKUP($A665,#REF!,11,0),"")</f>
        <v/>
      </c>
      <c r="S665" s="359" t="str">
        <f>IFERROR(VLOOKUP($A665,#REF!,13,0),"")</f>
        <v/>
      </c>
      <c r="T665" s="359" t="str">
        <f>IFERROR(VLOOKUP($A665,#REF!,14,0),"")</f>
        <v/>
      </c>
      <c r="U665" s="359" t="str">
        <f>IFERROR(VLOOKUP($A665,#REF!,15,0),"")</f>
        <v/>
      </c>
      <c r="V665" s="359" t="str">
        <f>IFERROR(VLOOKUP($A665,#REF!,16,0),"")</f>
        <v/>
      </c>
      <c r="W665" s="359" t="str">
        <f>IFERROR(VLOOKUP($A665,#REF!,17,0),"")</f>
        <v/>
      </c>
      <c r="X665" s="359" t="str">
        <f>IFERROR(VLOOKUP($A665,#REF!,18,0),"")</f>
        <v/>
      </c>
      <c r="Y665" s="359" t="str">
        <f>IFERROR(VLOOKUP($A665,#REF!,19,0),"")</f>
        <v/>
      </c>
      <c r="Z665" s="400" t="str">
        <f>IFERROR(VLOOKUP($A665,#REF!,21,0),"")</f>
        <v/>
      </c>
      <c r="AA665" s="358"/>
      <c r="AB665" s="358"/>
      <c r="AC665" s="119" t="s">
        <v>1077</v>
      </c>
      <c r="AD665" s="119" t="s">
        <v>1138</v>
      </c>
      <c r="AE665" s="119"/>
      <c r="AF665" s="141" t="s">
        <v>3082</v>
      </c>
      <c r="AG665" s="119" t="s">
        <v>2319</v>
      </c>
      <c r="AH665" s="119"/>
      <c r="AI665" s="119"/>
      <c r="AJ665" s="102" t="s">
        <v>3951</v>
      </c>
      <c r="AK665" s="102"/>
      <c r="AL665" s="102"/>
      <c r="AM665" s="102"/>
      <c r="AN665" s="120"/>
      <c r="AO665" s="120"/>
      <c r="AP665" s="120"/>
      <c r="AQ665" s="313"/>
      <c r="AR665" s="119"/>
      <c r="AS665" s="22"/>
      <c r="AT665" s="22"/>
      <c r="AU665" s="22"/>
      <c r="AV665" s="22"/>
      <c r="AW665" s="82"/>
      <c r="AX665" s="82"/>
      <c r="AY665" s="82"/>
      <c r="AZ665" s="82"/>
      <c r="BA665" s="82"/>
      <c r="BB665" s="82"/>
      <c r="BC665" s="82"/>
      <c r="BD665" s="82"/>
      <c r="BE665" s="82"/>
      <c r="BF665" s="82"/>
      <c r="BG665" s="112"/>
      <c r="BH665" s="112"/>
      <c r="BI665" s="112"/>
      <c r="BJ665" s="112"/>
      <c r="BK665" s="82"/>
      <c r="BL665" s="82"/>
      <c r="BN665" s="412"/>
      <c r="BO665" s="412"/>
      <c r="BP665" s="412"/>
      <c r="BQ665" s="412"/>
      <c r="BR665" s="412"/>
      <c r="BZ665">
        <f t="shared" si="63"/>
        <v>1</v>
      </c>
    </row>
    <row r="666" spans="1:78" ht="15.6" hidden="1" customHeight="1">
      <c r="A666" s="35" t="str">
        <f t="shared" si="64"/>
        <v>M244/2646151</v>
      </c>
      <c r="C666" s="358" t="s">
        <v>24</v>
      </c>
      <c r="D666" s="358">
        <v>662</v>
      </c>
      <c r="E666" s="119" t="s">
        <v>4044</v>
      </c>
      <c r="F666" s="119" t="s">
        <v>83</v>
      </c>
      <c r="G666" s="266">
        <v>46151</v>
      </c>
      <c r="H666" s="119" t="s">
        <v>718</v>
      </c>
      <c r="I666" s="358">
        <v>17</v>
      </c>
      <c r="J666" s="359" t="str">
        <f>IFERROR(VLOOKUP($A666,#REF!,3,0),"")</f>
        <v/>
      </c>
      <c r="K666" s="359">
        <f>IFERROR(VLOOKUP($A666,#REF!,4,0),AF666)</f>
        <v>0</v>
      </c>
      <c r="L666" s="359" t="str">
        <f>IFERROR(VLOOKUP($A666,#REF!,5,0),"")</f>
        <v/>
      </c>
      <c r="M666" s="359" t="str">
        <f>IFERROR(VLOOKUP($A666,#REF!,7,0),"")</f>
        <v/>
      </c>
      <c r="N666" s="359"/>
      <c r="O666" s="359" t="str">
        <f>IFERROR(VLOOKUP($A666,#REF!,6,0),"")</f>
        <v/>
      </c>
      <c r="P666" s="359" t="str">
        <f>IFERROR(VLOOKUP($A666,#REF!,9,0),"")</f>
        <v/>
      </c>
      <c r="Q666" s="359" t="str">
        <f>IFERROR(VLOOKUP($A666,#REF!,10,0),"")</f>
        <v/>
      </c>
      <c r="R666" s="359" t="str">
        <f>IFERROR(VLOOKUP($A666,#REF!,11,0),"")</f>
        <v/>
      </c>
      <c r="S666" s="359" t="str">
        <f>IFERROR(VLOOKUP($A666,#REF!,13,0),"")</f>
        <v/>
      </c>
      <c r="T666" s="359" t="str">
        <f>IFERROR(VLOOKUP($A666,#REF!,14,0),"")</f>
        <v/>
      </c>
      <c r="U666" s="359" t="str">
        <f>IFERROR(VLOOKUP($A666,#REF!,15,0),"")</f>
        <v/>
      </c>
      <c r="V666" s="359" t="str">
        <f>IFERROR(VLOOKUP($A666,#REF!,16,0),"")</f>
        <v/>
      </c>
      <c r="W666" s="359" t="str">
        <f>IFERROR(VLOOKUP($A666,#REF!,17,0),"")</f>
        <v/>
      </c>
      <c r="X666" s="359" t="str">
        <f>IFERROR(VLOOKUP($A666,#REF!,18,0),"")</f>
        <v/>
      </c>
      <c r="Y666" s="359" t="str">
        <f>IFERROR(VLOOKUP($A666,#REF!,19,0),"")</f>
        <v/>
      </c>
      <c r="Z666" s="400" t="str">
        <f>IFERROR(VLOOKUP($A666,#REF!,21,0),"")</f>
        <v/>
      </c>
      <c r="AA666" s="358"/>
      <c r="AB666" s="358"/>
      <c r="AC666" s="119" t="s">
        <v>1076</v>
      </c>
      <c r="AD666" s="119" t="s">
        <v>3357</v>
      </c>
      <c r="AE666" s="102" t="s">
        <v>3957</v>
      </c>
      <c r="AF666" s="141"/>
      <c r="AG666" s="274" t="s">
        <v>4006</v>
      </c>
      <c r="AH666" s="119"/>
      <c r="AI666" s="119"/>
      <c r="AJ666" s="120" t="s">
        <v>4042</v>
      </c>
      <c r="AK666" s="120"/>
      <c r="AL666" s="120"/>
      <c r="AM666" s="120"/>
      <c r="AN666" s="120"/>
      <c r="AO666" s="120"/>
      <c r="AP666" s="120"/>
      <c r="AQ666" s="313"/>
      <c r="AR666" s="119"/>
      <c r="AS666" s="22"/>
      <c r="AT666" s="22"/>
      <c r="AU666" s="22"/>
      <c r="AV666" s="22"/>
      <c r="AW666" s="82"/>
      <c r="AX666" s="82"/>
      <c r="AY666" s="82"/>
      <c r="AZ666" s="82"/>
      <c r="BA666" s="82"/>
      <c r="BB666" s="82"/>
      <c r="BC666" s="82"/>
      <c r="BD666" s="82"/>
      <c r="BE666" s="82"/>
      <c r="BF666" s="82"/>
      <c r="BG666" s="112"/>
      <c r="BH666" s="112"/>
      <c r="BI666" s="112"/>
      <c r="BJ666" s="112"/>
      <c r="BK666" s="82"/>
      <c r="BL666" s="82"/>
      <c r="BN666" s="412"/>
      <c r="BO666" s="412"/>
      <c r="BP666" s="412"/>
      <c r="BQ666" s="412"/>
      <c r="BR666" s="412"/>
      <c r="BZ666">
        <f t="shared" si="63"/>
        <v>1</v>
      </c>
    </row>
    <row r="667" spans="1:78" ht="15.6" hidden="1" customHeight="1">
      <c r="A667" s="35" t="str">
        <f t="shared" si="64"/>
        <v>M249/2646151</v>
      </c>
      <c r="C667" s="141" t="s">
        <v>24</v>
      </c>
      <c r="D667" s="358">
        <v>663</v>
      </c>
      <c r="E667" s="119" t="s">
        <v>4045</v>
      </c>
      <c r="F667" s="119" t="s">
        <v>606</v>
      </c>
      <c r="G667" s="266">
        <v>46151</v>
      </c>
      <c r="H667" s="119" t="s">
        <v>1342</v>
      </c>
      <c r="I667" s="358">
        <v>12</v>
      </c>
      <c r="J667" s="359" t="str">
        <f>IFERROR(VLOOKUP($A667,#REF!,3,0),"")</f>
        <v/>
      </c>
      <c r="K667" s="359">
        <f>IFERROR(VLOOKUP($A667,#REF!,4,0),AF667)</f>
        <v>0</v>
      </c>
      <c r="L667" s="359" t="str">
        <f>IFERROR(VLOOKUP($A667,#REF!,5,0),"")</f>
        <v/>
      </c>
      <c r="M667" s="359" t="str">
        <f>IFERROR(VLOOKUP($A667,#REF!,7,0),"")</f>
        <v/>
      </c>
      <c r="N667" s="359"/>
      <c r="O667" s="359" t="str">
        <f>IFERROR(VLOOKUP($A667,#REF!,6,0),"")</f>
        <v/>
      </c>
      <c r="P667" s="359" t="str">
        <f>IFERROR(VLOOKUP($A667,#REF!,9,0),"")</f>
        <v/>
      </c>
      <c r="Q667" s="359" t="str">
        <f>IFERROR(VLOOKUP($A667,#REF!,10,0),"")</f>
        <v/>
      </c>
      <c r="R667" s="359" t="str">
        <f>IFERROR(VLOOKUP($A667,#REF!,11,0),"")</f>
        <v/>
      </c>
      <c r="S667" s="359" t="str">
        <f>IFERROR(VLOOKUP($A667,#REF!,13,0),"")</f>
        <v/>
      </c>
      <c r="T667" s="359" t="str">
        <f>IFERROR(VLOOKUP($A667,#REF!,14,0),"")</f>
        <v/>
      </c>
      <c r="U667" s="359" t="str">
        <f>IFERROR(VLOOKUP($A667,#REF!,15,0),"")</f>
        <v/>
      </c>
      <c r="V667" s="359" t="str">
        <f>IFERROR(VLOOKUP($A667,#REF!,16,0),"")</f>
        <v/>
      </c>
      <c r="W667" s="359" t="str">
        <f>IFERROR(VLOOKUP($A667,#REF!,17,0),"")</f>
        <v/>
      </c>
      <c r="X667" s="359" t="str">
        <f>IFERROR(VLOOKUP($A667,#REF!,18,0),"")</f>
        <v/>
      </c>
      <c r="Y667" s="359" t="str">
        <f>IFERROR(VLOOKUP($A667,#REF!,19,0),"")</f>
        <v/>
      </c>
      <c r="Z667" s="400" t="str">
        <f>IFERROR(VLOOKUP($A667,#REF!,21,0),"")</f>
        <v/>
      </c>
      <c r="AA667" s="358"/>
      <c r="AB667" s="358"/>
      <c r="AC667" s="119" t="s">
        <v>1077</v>
      </c>
      <c r="AD667" s="119" t="s">
        <v>1138</v>
      </c>
      <c r="AE667" s="102"/>
      <c r="AF667" s="141"/>
      <c r="AG667" s="274"/>
      <c r="AH667" s="119"/>
      <c r="AI667" s="119"/>
      <c r="AJ667" s="120" t="s">
        <v>3765</v>
      </c>
      <c r="AK667" s="120"/>
      <c r="AL667" s="120"/>
      <c r="AM667" s="120"/>
      <c r="AN667" s="120"/>
      <c r="AO667" s="120"/>
      <c r="AP667" s="120"/>
      <c r="AQ667" s="313"/>
      <c r="AR667" s="119"/>
      <c r="AS667" s="22"/>
      <c r="AT667" s="22"/>
      <c r="AU667" s="22"/>
      <c r="AV667" s="22"/>
      <c r="AW667" s="82"/>
      <c r="AX667" s="82"/>
      <c r="AY667" s="82"/>
      <c r="AZ667" s="82"/>
      <c r="BA667" s="82"/>
      <c r="BB667" s="82"/>
      <c r="BC667" s="82"/>
      <c r="BD667" s="82"/>
      <c r="BE667" s="82"/>
      <c r="BF667" s="82"/>
      <c r="BG667" s="112"/>
      <c r="BH667" s="112"/>
      <c r="BI667" s="112"/>
      <c r="BJ667" s="112"/>
      <c r="BK667" s="82"/>
      <c r="BL667" s="82"/>
      <c r="BN667" s="412"/>
      <c r="BO667" s="412"/>
      <c r="BP667" s="412"/>
      <c r="BQ667" s="412"/>
      <c r="BR667" s="412"/>
      <c r="BZ667">
        <f t="shared" si="63"/>
        <v>1</v>
      </c>
    </row>
    <row r="668" spans="1:78" ht="15.6" hidden="1" customHeight="1">
      <c r="A668" s="35" t="str">
        <f t="shared" si="64"/>
        <v>M213/2646153</v>
      </c>
      <c r="C668" s="358" t="s">
        <v>24</v>
      </c>
      <c r="D668" s="358">
        <v>664</v>
      </c>
      <c r="E668" s="119" t="s">
        <v>4046</v>
      </c>
      <c r="F668" s="119" t="s">
        <v>882</v>
      </c>
      <c r="G668" s="266">
        <v>46153</v>
      </c>
      <c r="H668" s="119" t="s">
        <v>202</v>
      </c>
      <c r="I668" s="358">
        <v>25</v>
      </c>
      <c r="J668" s="359" t="str">
        <f>IFERROR(VLOOKUP($A668,#REF!,3,0),"")</f>
        <v/>
      </c>
      <c r="K668" s="359">
        <f>IFERROR(VLOOKUP($A668,#REF!,4,0),AF668)</f>
        <v>0</v>
      </c>
      <c r="L668" s="359" t="str">
        <f>IFERROR(VLOOKUP($A668,#REF!,5,0),"")</f>
        <v/>
      </c>
      <c r="M668" s="359" t="str">
        <f>IFERROR(VLOOKUP($A668,#REF!,7,0),"")</f>
        <v/>
      </c>
      <c r="N668" s="359"/>
      <c r="O668" s="359" t="str">
        <f>IFERROR(VLOOKUP($A668,#REF!,6,0),"")</f>
        <v/>
      </c>
      <c r="P668" s="359" t="str">
        <f>IFERROR(VLOOKUP($A668,#REF!,9,0),"")</f>
        <v/>
      </c>
      <c r="Q668" s="359" t="str">
        <f>IFERROR(VLOOKUP($A668,#REF!,10,0),"")</f>
        <v/>
      </c>
      <c r="R668" s="359" t="str">
        <f>IFERROR(VLOOKUP($A668,#REF!,11,0),"")</f>
        <v/>
      </c>
      <c r="S668" s="359" t="str">
        <f>IFERROR(VLOOKUP($A668,#REF!,13,0),"")</f>
        <v/>
      </c>
      <c r="T668" s="359" t="str">
        <f>IFERROR(VLOOKUP($A668,#REF!,14,0),"")</f>
        <v/>
      </c>
      <c r="U668" s="359" t="str">
        <f>IFERROR(VLOOKUP($A668,#REF!,15,0),"")</f>
        <v/>
      </c>
      <c r="V668" s="359" t="str">
        <f>IFERROR(VLOOKUP($A668,#REF!,16,0),"")</f>
        <v/>
      </c>
      <c r="W668" s="359" t="str">
        <f>IFERROR(VLOOKUP($A668,#REF!,17,0),"")</f>
        <v/>
      </c>
      <c r="X668" s="359" t="str">
        <f>IFERROR(VLOOKUP($A668,#REF!,18,0),"")</f>
        <v/>
      </c>
      <c r="Y668" s="359" t="str">
        <f>IFERROR(VLOOKUP($A668,#REF!,19,0),"")</f>
        <v/>
      </c>
      <c r="Z668" s="400" t="str">
        <f>IFERROR(VLOOKUP($A668,#REF!,21,0),"")</f>
        <v/>
      </c>
      <c r="AA668" s="358"/>
      <c r="AB668" s="358"/>
      <c r="AC668" s="119" t="s">
        <v>3075</v>
      </c>
      <c r="AD668" s="119" t="s">
        <v>47</v>
      </c>
      <c r="AE668" s="119"/>
      <c r="AF668" s="141"/>
      <c r="AG668" s="119"/>
      <c r="AH668" s="119"/>
      <c r="AI668" s="119"/>
      <c r="AJ668" s="120" t="s">
        <v>2579</v>
      </c>
      <c r="AK668" s="120"/>
      <c r="AL668" s="120"/>
      <c r="AM668" s="120"/>
      <c r="AN668" s="120"/>
      <c r="AO668" s="120"/>
      <c r="AP668" s="120"/>
      <c r="AQ668" s="313"/>
      <c r="AR668" s="119"/>
      <c r="AS668" s="22"/>
      <c r="AT668" s="22"/>
      <c r="AU668" s="22"/>
      <c r="AV668" s="22"/>
      <c r="AW668" s="82"/>
      <c r="AX668" s="82"/>
      <c r="AY668" s="82"/>
      <c r="AZ668" s="82"/>
      <c r="BA668" s="82"/>
      <c r="BB668" s="82"/>
      <c r="BC668" s="82"/>
      <c r="BD668" s="82"/>
      <c r="BE668" s="82"/>
      <c r="BF668" s="82"/>
      <c r="BG668" s="112"/>
      <c r="BH668" s="112"/>
      <c r="BI668" s="112"/>
      <c r="BJ668" s="112"/>
      <c r="BK668" s="82"/>
      <c r="BL668" s="82"/>
      <c r="BN668" s="412"/>
      <c r="BO668" s="412"/>
      <c r="BP668" s="412"/>
      <c r="BQ668" s="412"/>
      <c r="BR668" s="412"/>
      <c r="BZ668">
        <f t="shared" si="63"/>
        <v>1</v>
      </c>
    </row>
    <row r="669" spans="1:78" ht="15.6" hidden="1" customHeight="1">
      <c r="A669" s="35" t="str">
        <f t="shared" si="64"/>
        <v>46153</v>
      </c>
      <c r="C669" s="358" t="s">
        <v>24</v>
      </c>
      <c r="D669" s="358">
        <v>665</v>
      </c>
      <c r="E669" s="292"/>
      <c r="F669" s="292" t="s">
        <v>4047</v>
      </c>
      <c r="G669" s="293">
        <v>46153</v>
      </c>
      <c r="H669" s="292" t="s">
        <v>3756</v>
      </c>
      <c r="I669" s="401" t="s">
        <v>4048</v>
      </c>
      <c r="J669" s="359" t="str">
        <f>IFERROR(VLOOKUP($A669,#REF!,3,0),"")</f>
        <v/>
      </c>
      <c r="K669" s="359">
        <f>IFERROR(VLOOKUP($A669,#REF!,4,0),AF669)</f>
        <v>0</v>
      </c>
      <c r="L669" s="359" t="str">
        <f>IFERROR(VLOOKUP($A669,#REF!,5,0),"")</f>
        <v/>
      </c>
      <c r="M669" s="359" t="str">
        <f>IFERROR(VLOOKUP($A669,#REF!,7,0),"")</f>
        <v/>
      </c>
      <c r="N669" s="359"/>
      <c r="O669" s="359" t="str">
        <f>IFERROR(VLOOKUP($A669,#REF!,6,0),"")</f>
        <v/>
      </c>
      <c r="P669" s="359" t="str">
        <f>IFERROR(VLOOKUP($A669,#REF!,9,0),"")</f>
        <v/>
      </c>
      <c r="Q669" s="359" t="str">
        <f>IFERROR(VLOOKUP($A669,#REF!,10,0),"")</f>
        <v/>
      </c>
      <c r="R669" s="359" t="str">
        <f>IFERROR(VLOOKUP($A669,#REF!,11,0),"")</f>
        <v/>
      </c>
      <c r="S669" s="359" t="str">
        <f>IFERROR(VLOOKUP($A669,#REF!,13,0),"")</f>
        <v/>
      </c>
      <c r="T669" s="359" t="str">
        <f>IFERROR(VLOOKUP($A669,#REF!,14,0),"")</f>
        <v/>
      </c>
      <c r="U669" s="359" t="str">
        <f>IFERROR(VLOOKUP($A669,#REF!,15,0),"")</f>
        <v/>
      </c>
      <c r="V669" s="359" t="str">
        <f>IFERROR(VLOOKUP($A669,#REF!,16,0),"")</f>
        <v/>
      </c>
      <c r="W669" s="359" t="str">
        <f>IFERROR(VLOOKUP($A669,#REF!,17,0),"")</f>
        <v/>
      </c>
      <c r="X669" s="359" t="str">
        <f>IFERROR(VLOOKUP($A669,#REF!,18,0),"")</f>
        <v/>
      </c>
      <c r="Y669" s="359" t="str">
        <f>IFERROR(VLOOKUP($A669,#REF!,19,0),"")</f>
        <v/>
      </c>
      <c r="Z669" s="400" t="str">
        <f>IFERROR(VLOOKUP($A669,#REF!,21,0),"")</f>
        <v/>
      </c>
      <c r="AA669" s="401"/>
      <c r="AB669" s="401"/>
      <c r="AC669" s="292" t="s">
        <v>1077</v>
      </c>
      <c r="AD669" s="292" t="s">
        <v>1138</v>
      </c>
      <c r="AE669" s="292" t="s">
        <v>3981</v>
      </c>
      <c r="AF669" s="287"/>
      <c r="AG669" s="292"/>
      <c r="AH669" s="292"/>
      <c r="AI669" s="292"/>
      <c r="AJ669" s="294"/>
      <c r="AK669" s="294"/>
      <c r="AL669" s="294"/>
      <c r="AM669" s="294"/>
      <c r="AN669" s="120"/>
      <c r="AO669" s="120"/>
      <c r="AP669" s="120"/>
      <c r="AQ669" s="313"/>
      <c r="AR669" s="119"/>
      <c r="AS669" s="22"/>
      <c r="AT669" s="22"/>
      <c r="AU669" s="22"/>
      <c r="AV669" s="22"/>
      <c r="AW669" s="82"/>
      <c r="AX669" s="82"/>
      <c r="AY669" s="82"/>
      <c r="AZ669" s="82"/>
      <c r="BA669" s="82"/>
      <c r="BB669" s="82"/>
      <c r="BC669" s="82"/>
      <c r="BD669" s="82"/>
      <c r="BE669" s="82"/>
      <c r="BF669" s="82"/>
      <c r="BG669" s="112"/>
      <c r="BH669" s="112"/>
      <c r="BI669" s="112"/>
      <c r="BJ669" s="112"/>
      <c r="BK669" s="82"/>
      <c r="BL669" s="82"/>
      <c r="BN669" s="412"/>
      <c r="BO669" s="412"/>
      <c r="BP669" s="412"/>
      <c r="BQ669" s="412"/>
      <c r="BR669" s="412"/>
      <c r="BZ669">
        <f t="shared" si="63"/>
        <v>1</v>
      </c>
    </row>
    <row r="670" spans="1:78" ht="15.6" hidden="1" customHeight="1">
      <c r="A670" s="35" t="str">
        <f t="shared" si="64"/>
        <v>M240/2646125</v>
      </c>
      <c r="C670" s="141" t="s">
        <v>24</v>
      </c>
      <c r="D670" s="358">
        <v>666</v>
      </c>
      <c r="E670" s="358" t="s">
        <v>4049</v>
      </c>
      <c r="F670" s="358" t="s">
        <v>43</v>
      </c>
      <c r="G670" s="384">
        <v>46125</v>
      </c>
      <c r="H670" s="358" t="s">
        <v>1626</v>
      </c>
      <c r="I670" s="358">
        <v>14</v>
      </c>
      <c r="J670" s="359" t="str">
        <f>IFERROR(VLOOKUP($A670,#REF!,3,0),"")</f>
        <v/>
      </c>
      <c r="K670" s="359">
        <f>IFERROR(VLOOKUP($A670,#REF!,4,0),AF670)</f>
        <v>0</v>
      </c>
      <c r="L670" s="359" t="str">
        <f>IFERROR(VLOOKUP($A670,#REF!,5,0),"")</f>
        <v/>
      </c>
      <c r="M670" s="359" t="str">
        <f>IFERROR(VLOOKUP($A670,#REF!,7,0),"")</f>
        <v/>
      </c>
      <c r="N670" s="359"/>
      <c r="O670" s="359" t="str">
        <f>IFERROR(VLOOKUP($A670,#REF!,6,0),"")</f>
        <v/>
      </c>
      <c r="P670" s="359" t="str">
        <f>IFERROR(VLOOKUP($A670,#REF!,9,0),"")</f>
        <v/>
      </c>
      <c r="Q670" s="359" t="str">
        <f>IFERROR(VLOOKUP($A670,#REF!,10,0),"")</f>
        <v/>
      </c>
      <c r="R670" s="359" t="str">
        <f>IFERROR(VLOOKUP($A670,#REF!,11,0),"")</f>
        <v/>
      </c>
      <c r="S670" s="359" t="str">
        <f>IFERROR(VLOOKUP($A670,#REF!,13,0),"")</f>
        <v/>
      </c>
      <c r="T670" s="359" t="str">
        <f>IFERROR(VLOOKUP($A670,#REF!,14,0),"")</f>
        <v/>
      </c>
      <c r="U670" s="359" t="str">
        <f>IFERROR(VLOOKUP($A670,#REF!,15,0),"")</f>
        <v/>
      </c>
      <c r="V670" s="359" t="str">
        <f>IFERROR(VLOOKUP($A670,#REF!,16,0),"")</f>
        <v/>
      </c>
      <c r="W670" s="359" t="str">
        <f>IFERROR(VLOOKUP($A670,#REF!,17,0),"")</f>
        <v/>
      </c>
      <c r="X670" s="359" t="str">
        <f>IFERROR(VLOOKUP($A670,#REF!,18,0),"")</f>
        <v/>
      </c>
      <c r="Y670" s="359" t="str">
        <f>IFERROR(VLOOKUP($A670,#REF!,19,0),"")</f>
        <v/>
      </c>
      <c r="Z670" s="400" t="str">
        <f>IFERROR(VLOOKUP($A670,#REF!,21,0),"")</f>
        <v/>
      </c>
      <c r="AA670" s="358"/>
      <c r="AB670" s="358"/>
      <c r="AC670" s="358" t="s">
        <v>1077</v>
      </c>
      <c r="AD670" s="358" t="s">
        <v>1138</v>
      </c>
      <c r="AE670" s="358" t="s">
        <v>4050</v>
      </c>
      <c r="AF670" s="141"/>
      <c r="AG670" s="358"/>
      <c r="AH670" s="358"/>
      <c r="AI670" s="358"/>
      <c r="AJ670" s="380" t="s">
        <v>3765</v>
      </c>
      <c r="AK670" s="380"/>
      <c r="AL670" s="380"/>
      <c r="AM670" s="380"/>
      <c r="AN670" s="120"/>
      <c r="AO670" s="120"/>
      <c r="AP670" s="120"/>
      <c r="AQ670" s="313"/>
      <c r="AR670" s="119"/>
      <c r="AS670" s="22"/>
      <c r="AT670" s="22"/>
      <c r="AU670" s="22"/>
      <c r="AV670" s="22"/>
      <c r="AW670" s="82"/>
      <c r="AX670" s="82"/>
      <c r="AY670" s="82"/>
      <c r="AZ670" s="82"/>
      <c r="BA670" s="82"/>
      <c r="BB670" s="82"/>
      <c r="BC670" s="82"/>
      <c r="BD670" s="82"/>
      <c r="BE670" s="82"/>
      <c r="BF670" s="82"/>
      <c r="BG670" s="112"/>
      <c r="BH670" s="112"/>
      <c r="BI670" s="112"/>
      <c r="BJ670" s="112"/>
      <c r="BK670" s="82"/>
      <c r="BL670" s="82"/>
      <c r="BN670" s="412"/>
      <c r="BO670" s="412"/>
      <c r="BP670" s="412"/>
      <c r="BQ670" s="412"/>
      <c r="BR670" s="412"/>
      <c r="BZ670">
        <f t="shared" si="63"/>
        <v>1</v>
      </c>
    </row>
    <row r="671" spans="1:78" ht="15.6" hidden="1" customHeight="1">
      <c r="A671" s="35" t="str">
        <f t="shared" si="64"/>
        <v>071/2646156</v>
      </c>
      <c r="C671" s="141" t="s">
        <v>24</v>
      </c>
      <c r="D671" s="358">
        <v>667</v>
      </c>
      <c r="E671" s="119" t="s">
        <v>4051</v>
      </c>
      <c r="F671" s="119" t="s">
        <v>374</v>
      </c>
      <c r="G671" s="266">
        <v>46156</v>
      </c>
      <c r="H671" s="119" t="s">
        <v>4052</v>
      </c>
      <c r="I671" s="358">
        <v>10</v>
      </c>
      <c r="J671" s="359" t="str">
        <f>IFERROR(VLOOKUP($A671,#REF!,3,0),"")</f>
        <v/>
      </c>
      <c r="K671" s="359">
        <f>IFERROR(VLOOKUP($A671,#REF!,4,0),AF671)</f>
        <v>0</v>
      </c>
      <c r="L671" s="359" t="str">
        <f>IFERROR(VLOOKUP($A671,#REF!,5,0),"")</f>
        <v/>
      </c>
      <c r="M671" s="359" t="str">
        <f>IFERROR(VLOOKUP($A671,#REF!,7,0),"")</f>
        <v/>
      </c>
      <c r="N671" s="359"/>
      <c r="O671" s="359" t="str">
        <f>IFERROR(VLOOKUP($A671,#REF!,6,0),"")</f>
        <v/>
      </c>
      <c r="P671" s="359" t="str">
        <f>IFERROR(VLOOKUP($A671,#REF!,9,0),"")</f>
        <v/>
      </c>
      <c r="Q671" s="359" t="str">
        <f>IFERROR(VLOOKUP($A671,#REF!,10,0),"")</f>
        <v/>
      </c>
      <c r="R671" s="359" t="str">
        <f>IFERROR(VLOOKUP($A671,#REF!,11,0),"")</f>
        <v/>
      </c>
      <c r="S671" s="359" t="str">
        <f>IFERROR(VLOOKUP($A671,#REF!,13,0),"")</f>
        <v/>
      </c>
      <c r="T671" s="359" t="str">
        <f>IFERROR(VLOOKUP($A671,#REF!,14,0),"")</f>
        <v/>
      </c>
      <c r="U671" s="359" t="str">
        <f>IFERROR(VLOOKUP($A671,#REF!,15,0),"")</f>
        <v/>
      </c>
      <c r="V671" s="359" t="str">
        <f>IFERROR(VLOOKUP($A671,#REF!,16,0),"")</f>
        <v/>
      </c>
      <c r="W671" s="359" t="str">
        <f>IFERROR(VLOOKUP($A671,#REF!,17,0),"")</f>
        <v/>
      </c>
      <c r="X671" s="359" t="str">
        <f>IFERROR(VLOOKUP($A671,#REF!,18,0),"")</f>
        <v/>
      </c>
      <c r="Y671" s="359" t="str">
        <f>IFERROR(VLOOKUP($A671,#REF!,19,0),"")</f>
        <v/>
      </c>
      <c r="Z671" s="400" t="str">
        <f>IFERROR(VLOOKUP($A671,#REF!,21,0),"")</f>
        <v/>
      </c>
      <c r="AA671" s="358"/>
      <c r="AB671" s="358"/>
      <c r="AC671" s="119" t="s">
        <v>1721</v>
      </c>
      <c r="AD671" s="119" t="s">
        <v>1638</v>
      </c>
      <c r="AE671" s="119"/>
      <c r="AF671" s="277"/>
      <c r="AG671" s="119"/>
      <c r="AH671" s="119"/>
      <c r="AI671" s="119"/>
      <c r="AJ671" s="120" t="s">
        <v>3765</v>
      </c>
      <c r="AK671" s="120"/>
      <c r="AL671" s="120"/>
      <c r="AM671" s="120"/>
      <c r="AN671" s="120"/>
      <c r="AO671" s="120"/>
      <c r="AP671" s="120"/>
      <c r="AQ671" s="313"/>
      <c r="AR671" s="119"/>
      <c r="AS671" s="22"/>
      <c r="AT671" s="22"/>
      <c r="AU671" s="22"/>
      <c r="AV671" s="22"/>
      <c r="AW671" s="82"/>
      <c r="AX671" s="82"/>
      <c r="AY671" s="82"/>
      <c r="AZ671" s="82"/>
      <c r="BA671" s="82"/>
      <c r="BB671" s="82"/>
      <c r="BC671" s="82"/>
      <c r="BD671" s="82"/>
      <c r="BE671" s="82"/>
      <c r="BF671" s="82"/>
      <c r="BG671" s="112"/>
      <c r="BH671" s="112"/>
      <c r="BI671" s="112"/>
      <c r="BJ671" s="112"/>
      <c r="BK671" s="82"/>
      <c r="BL671" s="82"/>
      <c r="BN671" s="412"/>
      <c r="BO671" s="412"/>
      <c r="BP671" s="412"/>
      <c r="BQ671" s="412"/>
      <c r="BR671" s="412"/>
      <c r="BZ671">
        <f t="shared" si="63"/>
        <v>1</v>
      </c>
    </row>
    <row r="672" spans="1:78" ht="15.6" hidden="1" customHeight="1">
      <c r="A672" s="35" t="str">
        <f t="shared" si="64"/>
        <v>M229/2646157</v>
      </c>
      <c r="C672" s="141" t="s">
        <v>24</v>
      </c>
      <c r="D672" s="358">
        <v>668</v>
      </c>
      <c r="E672" s="119" t="s">
        <v>4053</v>
      </c>
      <c r="F672" s="119" t="s">
        <v>657</v>
      </c>
      <c r="G672" s="266">
        <v>46157</v>
      </c>
      <c r="H672" s="119" t="s">
        <v>1342</v>
      </c>
      <c r="I672" s="358">
        <v>12</v>
      </c>
      <c r="J672" s="359" t="str">
        <f>IFERROR(VLOOKUP($A672,#REF!,3,0),"")</f>
        <v/>
      </c>
      <c r="K672" s="359">
        <f>IFERROR(VLOOKUP($A672,#REF!,4,0),AF672)</f>
        <v>0</v>
      </c>
      <c r="L672" s="359" t="str">
        <f>IFERROR(VLOOKUP($A672,#REF!,5,0),"")</f>
        <v/>
      </c>
      <c r="M672" s="359" t="str">
        <f>IFERROR(VLOOKUP($A672,#REF!,7,0),"")</f>
        <v/>
      </c>
      <c r="N672" s="359"/>
      <c r="O672" s="359" t="str">
        <f>IFERROR(VLOOKUP($A672,#REF!,6,0),"")</f>
        <v/>
      </c>
      <c r="P672" s="359" t="str">
        <f>IFERROR(VLOOKUP($A672,#REF!,9,0),"")</f>
        <v/>
      </c>
      <c r="Q672" s="359" t="str">
        <f>IFERROR(VLOOKUP($A672,#REF!,10,0),"")</f>
        <v/>
      </c>
      <c r="R672" s="359" t="str">
        <f>IFERROR(VLOOKUP($A672,#REF!,11,0),"")</f>
        <v/>
      </c>
      <c r="S672" s="359" t="str">
        <f>IFERROR(VLOOKUP($A672,#REF!,13,0),"")</f>
        <v/>
      </c>
      <c r="T672" s="359" t="str">
        <f>IFERROR(VLOOKUP($A672,#REF!,14,0),"")</f>
        <v/>
      </c>
      <c r="U672" s="359" t="str">
        <f>IFERROR(VLOOKUP($A672,#REF!,15,0),"")</f>
        <v/>
      </c>
      <c r="V672" s="359" t="str">
        <f>IFERROR(VLOOKUP($A672,#REF!,16,0),"")</f>
        <v/>
      </c>
      <c r="W672" s="359" t="str">
        <f>IFERROR(VLOOKUP($A672,#REF!,17,0),"")</f>
        <v/>
      </c>
      <c r="X672" s="359" t="str">
        <f>IFERROR(VLOOKUP($A672,#REF!,18,0),"")</f>
        <v/>
      </c>
      <c r="Y672" s="359" t="str">
        <f>IFERROR(VLOOKUP($A672,#REF!,19,0),"")</f>
        <v/>
      </c>
      <c r="Z672" s="400" t="str">
        <f>IFERROR(VLOOKUP($A672,#REF!,21,0),"")</f>
        <v/>
      </c>
      <c r="AA672" s="358"/>
      <c r="AB672" s="358"/>
      <c r="AC672" s="119" t="s">
        <v>1077</v>
      </c>
      <c r="AD672" s="119" t="s">
        <v>1138</v>
      </c>
      <c r="AE672" s="119"/>
      <c r="AF672" s="277"/>
      <c r="AG672" s="119"/>
      <c r="AH672" s="119"/>
      <c r="AI672" s="119"/>
      <c r="AJ672" s="120" t="s">
        <v>3765</v>
      </c>
      <c r="AK672" s="120"/>
      <c r="AL672" s="120"/>
      <c r="AM672" s="120"/>
      <c r="AN672" s="120"/>
      <c r="AO672" s="120"/>
      <c r="AP672" s="120"/>
      <c r="AQ672" s="313"/>
      <c r="AR672" s="119"/>
      <c r="AS672" s="22"/>
      <c r="AT672" s="22"/>
      <c r="AU672" s="22"/>
      <c r="AV672" s="22"/>
      <c r="AW672" s="82"/>
      <c r="AX672" s="82"/>
      <c r="AY672" s="82"/>
      <c r="AZ672" s="82"/>
      <c r="BA672" s="82"/>
      <c r="BB672" s="82"/>
      <c r="BC672" s="82"/>
      <c r="BD672" s="82"/>
      <c r="BE672" s="82"/>
      <c r="BF672" s="82"/>
      <c r="BG672" s="112"/>
      <c r="BH672" s="112"/>
      <c r="BI672" s="112"/>
      <c r="BJ672" s="112"/>
      <c r="BK672" s="82"/>
      <c r="BL672" s="82"/>
      <c r="BN672" s="412"/>
      <c r="BO672" s="412"/>
      <c r="BP672" s="412"/>
      <c r="BQ672" s="412"/>
      <c r="BR672" s="412"/>
      <c r="BZ672">
        <f t="shared" si="63"/>
        <v>1</v>
      </c>
    </row>
    <row r="673" spans="1:78" s="278" customFormat="1" ht="15.6" hidden="1" customHeight="1">
      <c r="A673" s="35" t="str">
        <f t="shared" si="64"/>
        <v>M080/2646158</v>
      </c>
      <c r="B673" s="362"/>
      <c r="C673" s="141" t="s">
        <v>24</v>
      </c>
      <c r="D673" s="358">
        <v>669</v>
      </c>
      <c r="E673" s="141" t="s">
        <v>4054</v>
      </c>
      <c r="F673" s="141" t="s">
        <v>50</v>
      </c>
      <c r="G673" s="128">
        <v>46158</v>
      </c>
      <c r="H673" s="141" t="s">
        <v>927</v>
      </c>
      <c r="I673" s="141">
        <v>26</v>
      </c>
      <c r="J673" s="359" t="str">
        <f>IFERROR(VLOOKUP($A673,#REF!,3,0),"")</f>
        <v/>
      </c>
      <c r="K673" s="359">
        <f>IFERROR(VLOOKUP($A673,#REF!,4,0),AF673)</f>
        <v>0</v>
      </c>
      <c r="L673" s="359" t="str">
        <f>IFERROR(VLOOKUP($A673,#REF!,5,0),"")</f>
        <v/>
      </c>
      <c r="M673" s="359" t="str">
        <f>IFERROR(VLOOKUP($A673,#REF!,7,0),"")</f>
        <v/>
      </c>
      <c r="N673" s="359"/>
      <c r="O673" s="359" t="str">
        <f>IFERROR(VLOOKUP($A673,#REF!,6,0),"")</f>
        <v/>
      </c>
      <c r="P673" s="359" t="str">
        <f>IFERROR(VLOOKUP($A673,#REF!,9,0),"")</f>
        <v/>
      </c>
      <c r="Q673" s="359" t="str">
        <f>IFERROR(VLOOKUP($A673,#REF!,10,0),"")</f>
        <v/>
      </c>
      <c r="R673" s="359" t="str">
        <f>IFERROR(VLOOKUP($A673,#REF!,11,0),"")</f>
        <v/>
      </c>
      <c r="S673" s="359" t="str">
        <f>IFERROR(VLOOKUP($A673,#REF!,13,0),"")</f>
        <v/>
      </c>
      <c r="T673" s="359" t="str">
        <f>IFERROR(VLOOKUP($A673,#REF!,14,0),"")</f>
        <v/>
      </c>
      <c r="U673" s="359" t="str">
        <f>IFERROR(VLOOKUP($A673,#REF!,15,0),"")</f>
        <v/>
      </c>
      <c r="V673" s="359" t="str">
        <f>IFERROR(VLOOKUP($A673,#REF!,16,0),"")</f>
        <v/>
      </c>
      <c r="W673" s="359" t="str">
        <f>IFERROR(VLOOKUP($A673,#REF!,17,0),"")</f>
        <v/>
      </c>
      <c r="X673" s="359" t="str">
        <f>IFERROR(VLOOKUP($A673,#REF!,18,0),"")</f>
        <v/>
      </c>
      <c r="Y673" s="359" t="str">
        <f>IFERROR(VLOOKUP($A673,#REF!,19,0),"")</f>
        <v/>
      </c>
      <c r="Z673" s="400" t="str">
        <f>IFERROR(VLOOKUP($A673,#REF!,21,0),"")</f>
        <v/>
      </c>
      <c r="AA673" s="141"/>
      <c r="AB673" s="141"/>
      <c r="AC673" s="141" t="s">
        <v>1077</v>
      </c>
      <c r="AD673" s="141" t="s">
        <v>1138</v>
      </c>
      <c r="AE673" s="141"/>
      <c r="AF673" s="141"/>
      <c r="AG673" s="141" t="s">
        <v>2108</v>
      </c>
      <c r="AH673" s="141"/>
      <c r="AI673" s="141" t="s">
        <v>3800</v>
      </c>
      <c r="AJ673" s="322" t="s">
        <v>4055</v>
      </c>
      <c r="AK673" s="322"/>
      <c r="AL673" s="322"/>
      <c r="AM673" s="322"/>
      <c r="AN673" s="276"/>
      <c r="AO673" s="276"/>
      <c r="AP673" s="276"/>
      <c r="AQ673" s="320"/>
      <c r="AR673" s="277"/>
      <c r="AS673" s="250"/>
      <c r="AT673" s="250"/>
      <c r="AU673" s="250"/>
      <c r="AV673" s="250"/>
      <c r="AW673" s="100"/>
      <c r="AX673" s="100"/>
      <c r="AY673" s="100"/>
      <c r="AZ673" s="100"/>
      <c r="BA673" s="100"/>
      <c r="BB673" s="100"/>
      <c r="BC673" s="100"/>
      <c r="BD673" s="100"/>
      <c r="BE673" s="100"/>
      <c r="BF673" s="100"/>
      <c r="BG673" s="111"/>
      <c r="BH673" s="111"/>
      <c r="BI673" s="111"/>
      <c r="BJ673" s="111"/>
      <c r="BK673" s="100"/>
      <c r="BL673" s="100"/>
      <c r="BM673"/>
      <c r="BN673" s="412"/>
      <c r="BO673" s="412"/>
      <c r="BP673" s="412"/>
      <c r="BQ673" s="412"/>
      <c r="BR673" s="412"/>
      <c r="BS673" s="96"/>
      <c r="BT673" s="96"/>
      <c r="BU673" s="96"/>
      <c r="BV673" s="96"/>
      <c r="BW673"/>
      <c r="BZ673" s="278">
        <f t="shared" si="63"/>
        <v>1</v>
      </c>
    </row>
    <row r="674" spans="1:78" s="278" customFormat="1" ht="15.6" hidden="1" customHeight="1">
      <c r="A674" s="35" t="str">
        <f t="shared" si="64"/>
        <v>M245/2646158</v>
      </c>
      <c r="B674" s="362"/>
      <c r="C674" s="358" t="s">
        <v>24</v>
      </c>
      <c r="D674" s="358">
        <v>670</v>
      </c>
      <c r="E674" s="141" t="s">
        <v>4056</v>
      </c>
      <c r="F674" s="141" t="s">
        <v>83</v>
      </c>
      <c r="G674" s="128">
        <v>46158</v>
      </c>
      <c r="H674" s="141" t="s">
        <v>718</v>
      </c>
      <c r="I674" s="141">
        <v>17</v>
      </c>
      <c r="J674" s="359" t="str">
        <f>IFERROR(VLOOKUP($A674,#REF!,3,0),"")</f>
        <v/>
      </c>
      <c r="K674" s="359">
        <f>IFERROR(VLOOKUP($A674,#REF!,4,0),AF674)</f>
        <v>0</v>
      </c>
      <c r="L674" s="359" t="str">
        <f>IFERROR(VLOOKUP($A674,#REF!,5,0),"")</f>
        <v/>
      </c>
      <c r="M674" s="359" t="str">
        <f>IFERROR(VLOOKUP($A674,#REF!,7,0),"")</f>
        <v/>
      </c>
      <c r="N674" s="359"/>
      <c r="O674" s="359" t="str">
        <f>IFERROR(VLOOKUP($A674,#REF!,6,0),"")</f>
        <v/>
      </c>
      <c r="P674" s="359" t="str">
        <f>IFERROR(VLOOKUP($A674,#REF!,9,0),"")</f>
        <v/>
      </c>
      <c r="Q674" s="359" t="str">
        <f>IFERROR(VLOOKUP($A674,#REF!,10,0),"")</f>
        <v/>
      </c>
      <c r="R674" s="359" t="str">
        <f>IFERROR(VLOOKUP($A674,#REF!,11,0),"")</f>
        <v/>
      </c>
      <c r="S674" s="359" t="str">
        <f>IFERROR(VLOOKUP($A674,#REF!,13,0),"")</f>
        <v/>
      </c>
      <c r="T674" s="359" t="str">
        <f>IFERROR(VLOOKUP($A674,#REF!,14,0),"")</f>
        <v/>
      </c>
      <c r="U674" s="359" t="str">
        <f>IFERROR(VLOOKUP($A674,#REF!,15,0),"")</f>
        <v/>
      </c>
      <c r="V674" s="359" t="str">
        <f>IFERROR(VLOOKUP($A674,#REF!,16,0),"")</f>
        <v/>
      </c>
      <c r="W674" s="359" t="str">
        <f>IFERROR(VLOOKUP($A674,#REF!,17,0),"")</f>
        <v/>
      </c>
      <c r="X674" s="359" t="str">
        <f>IFERROR(VLOOKUP($A674,#REF!,18,0),"")</f>
        <v/>
      </c>
      <c r="Y674" s="359" t="str">
        <f>IFERROR(VLOOKUP($A674,#REF!,19,0),"")</f>
        <v/>
      </c>
      <c r="Z674" s="400" t="str">
        <f>IFERROR(VLOOKUP($A674,#REF!,21,0),"")</f>
        <v/>
      </c>
      <c r="AA674" s="141"/>
      <c r="AB674" s="141"/>
      <c r="AC674" s="141" t="s">
        <v>1076</v>
      </c>
      <c r="AD674" s="141" t="s">
        <v>3357</v>
      </c>
      <c r="AE674" s="102" t="s">
        <v>3957</v>
      </c>
      <c r="AF674" s="141"/>
      <c r="AG674" s="274" t="s">
        <v>4006</v>
      </c>
      <c r="AH674" s="141"/>
      <c r="AI674" s="141"/>
      <c r="AJ674" s="322"/>
      <c r="AK674" s="322"/>
      <c r="AL674" s="322"/>
      <c r="AM674" s="322"/>
      <c r="AN674" s="276"/>
      <c r="AO674" s="276"/>
      <c r="AP674" s="276"/>
      <c r="AQ674" s="320"/>
      <c r="AR674" s="277"/>
      <c r="AS674" s="250"/>
      <c r="AT674" s="250"/>
      <c r="AU674" s="250"/>
      <c r="AV674" s="250"/>
      <c r="AW674" s="100"/>
      <c r="AX674" s="100"/>
      <c r="AY674" s="100"/>
      <c r="AZ674" s="100"/>
      <c r="BA674" s="100"/>
      <c r="BB674" s="100"/>
      <c r="BC674" s="100"/>
      <c r="BD674" s="100"/>
      <c r="BE674" s="100"/>
      <c r="BF674" s="100"/>
      <c r="BG674" s="111"/>
      <c r="BH674" s="111"/>
      <c r="BI674" s="111"/>
      <c r="BJ674" s="111"/>
      <c r="BK674" s="100"/>
      <c r="BL674" s="100"/>
      <c r="BM674"/>
      <c r="BN674" s="412"/>
      <c r="BO674" s="412"/>
      <c r="BP674" s="412"/>
      <c r="BQ674" s="412"/>
      <c r="BR674" s="412"/>
      <c r="BS674" s="96"/>
      <c r="BT674" s="96"/>
      <c r="BU674" s="96"/>
      <c r="BV674" s="96"/>
      <c r="BW674"/>
      <c r="BZ674" s="278">
        <f t="shared" si="63"/>
        <v>1</v>
      </c>
    </row>
    <row r="675" spans="1:78" ht="15.6" hidden="1" customHeight="1">
      <c r="A675" s="35" t="str">
        <f t="shared" si="64"/>
        <v>46160</v>
      </c>
      <c r="C675" s="358" t="s">
        <v>24</v>
      </c>
      <c r="D675" s="358">
        <v>671</v>
      </c>
      <c r="E675" s="119"/>
      <c r="F675" s="274" t="s">
        <v>406</v>
      </c>
      <c r="G675" s="249">
        <v>46160</v>
      </c>
      <c r="H675" s="274" t="s">
        <v>4057</v>
      </c>
      <c r="I675" s="102">
        <v>12</v>
      </c>
      <c r="J675" s="359" t="str">
        <f>IFERROR(VLOOKUP($A675,#REF!,3,0),"")</f>
        <v/>
      </c>
      <c r="K675" s="359">
        <f>IFERROR(VLOOKUP($A675,#REF!,4,0),AF675)</f>
        <v>0</v>
      </c>
      <c r="L675" s="359" t="str">
        <f>IFERROR(VLOOKUP($A675,#REF!,5,0),"")</f>
        <v/>
      </c>
      <c r="M675" s="359" t="str">
        <f>IFERROR(VLOOKUP($A675,#REF!,7,0),"")</f>
        <v/>
      </c>
      <c r="N675" s="359"/>
      <c r="O675" s="359" t="str">
        <f>IFERROR(VLOOKUP($A675,#REF!,6,0),"")</f>
        <v/>
      </c>
      <c r="P675" s="359" t="str">
        <f>IFERROR(VLOOKUP($A675,#REF!,9,0),"")</f>
        <v/>
      </c>
      <c r="Q675" s="359" t="str">
        <f>IFERROR(VLOOKUP($A675,#REF!,10,0),"")</f>
        <v/>
      </c>
      <c r="R675" s="359" t="str">
        <f>IFERROR(VLOOKUP($A675,#REF!,11,0),"")</f>
        <v/>
      </c>
      <c r="S675" s="359" t="str">
        <f>IFERROR(VLOOKUP($A675,#REF!,13,0),"")</f>
        <v/>
      </c>
      <c r="T675" s="359" t="str">
        <f>IFERROR(VLOOKUP($A675,#REF!,14,0),"")</f>
        <v/>
      </c>
      <c r="U675" s="359" t="str">
        <f>IFERROR(VLOOKUP($A675,#REF!,15,0),"")</f>
        <v/>
      </c>
      <c r="V675" s="359" t="str">
        <f>IFERROR(VLOOKUP($A675,#REF!,16,0),"")</f>
        <v/>
      </c>
      <c r="W675" s="359" t="str">
        <f>IFERROR(VLOOKUP($A675,#REF!,17,0),"")</f>
        <v/>
      </c>
      <c r="X675" s="359" t="str">
        <f>IFERROR(VLOOKUP($A675,#REF!,18,0),"")</f>
        <v/>
      </c>
      <c r="Y675" s="359" t="str">
        <f>IFERROR(VLOOKUP($A675,#REF!,19,0),"")</f>
        <v/>
      </c>
      <c r="Z675" s="400" t="str">
        <f>IFERROR(VLOOKUP($A675,#REF!,21,0),"")</f>
        <v/>
      </c>
      <c r="AA675" s="102"/>
      <c r="AB675" s="102"/>
      <c r="AC675" s="274" t="s">
        <v>1077</v>
      </c>
      <c r="AD675" s="274" t="s">
        <v>1138</v>
      </c>
      <c r="AE675" s="102" t="s">
        <v>3964</v>
      </c>
      <c r="AF675" s="277"/>
      <c r="AG675" s="119"/>
      <c r="AH675" s="119"/>
      <c r="AI675" s="119"/>
      <c r="AJ675" s="120"/>
      <c r="AK675" s="120"/>
      <c r="AL675" s="120"/>
      <c r="AM675" s="120"/>
      <c r="AN675" s="120"/>
      <c r="AO675" s="120"/>
      <c r="AP675" s="120"/>
      <c r="AQ675" s="313"/>
      <c r="AR675" s="119"/>
      <c r="AS675" s="22"/>
      <c r="AT675" s="22"/>
      <c r="AU675" s="22"/>
      <c r="AV675" s="22"/>
      <c r="AW675" s="82"/>
      <c r="AX675" s="82"/>
      <c r="AY675" s="82"/>
      <c r="AZ675" s="82"/>
      <c r="BA675" s="82"/>
      <c r="BB675" s="82"/>
      <c r="BC675" s="82"/>
      <c r="BD675" s="82"/>
      <c r="BE675" s="82"/>
      <c r="BF675" s="82"/>
      <c r="BG675" s="112"/>
      <c r="BH675" s="112"/>
      <c r="BI675" s="112"/>
      <c r="BJ675" s="112"/>
      <c r="BK675" s="82"/>
      <c r="BL675" s="82"/>
      <c r="BN675" s="412"/>
      <c r="BO675" s="412"/>
      <c r="BP675" s="412"/>
      <c r="BQ675" s="412"/>
      <c r="BR675" s="412"/>
      <c r="BZ675">
        <f t="shared" si="63"/>
        <v>1</v>
      </c>
    </row>
    <row r="676" spans="1:78" ht="15.6" hidden="1" customHeight="1">
      <c r="A676" s="35" t="str">
        <f t="shared" si="64"/>
        <v>M241/2646132</v>
      </c>
      <c r="C676" s="141" t="s">
        <v>24</v>
      </c>
      <c r="D676" s="358">
        <v>672</v>
      </c>
      <c r="E676" s="358" t="s">
        <v>4058</v>
      </c>
      <c r="F676" s="358" t="s">
        <v>43</v>
      </c>
      <c r="G676" s="384">
        <v>46132</v>
      </c>
      <c r="H676" s="358" t="s">
        <v>1626</v>
      </c>
      <c r="I676" s="358">
        <v>13</v>
      </c>
      <c r="J676" s="359" t="str">
        <f>IFERROR(VLOOKUP($A676,#REF!,3,0),"")</f>
        <v/>
      </c>
      <c r="K676" s="359">
        <f>IFERROR(VLOOKUP($A676,#REF!,4,0),AF676)</f>
        <v>0</v>
      </c>
      <c r="L676" s="359" t="str">
        <f>IFERROR(VLOOKUP($A676,#REF!,5,0),"")</f>
        <v/>
      </c>
      <c r="M676" s="359" t="str">
        <f>IFERROR(VLOOKUP($A676,#REF!,7,0),"")</f>
        <v/>
      </c>
      <c r="N676" s="359"/>
      <c r="O676" s="359" t="str">
        <f>IFERROR(VLOOKUP($A676,#REF!,6,0),"")</f>
        <v/>
      </c>
      <c r="P676" s="359" t="str">
        <f>IFERROR(VLOOKUP($A676,#REF!,9,0),"")</f>
        <v/>
      </c>
      <c r="Q676" s="359" t="str">
        <f>IFERROR(VLOOKUP($A676,#REF!,10,0),"")</f>
        <v/>
      </c>
      <c r="R676" s="359" t="str">
        <f>IFERROR(VLOOKUP($A676,#REF!,11,0),"")</f>
        <v/>
      </c>
      <c r="S676" s="359" t="str">
        <f>IFERROR(VLOOKUP($A676,#REF!,13,0),"")</f>
        <v/>
      </c>
      <c r="T676" s="359" t="str">
        <f>IFERROR(VLOOKUP($A676,#REF!,14,0),"")</f>
        <v/>
      </c>
      <c r="U676" s="359" t="str">
        <f>IFERROR(VLOOKUP($A676,#REF!,15,0),"")</f>
        <v/>
      </c>
      <c r="V676" s="359" t="str">
        <f>IFERROR(VLOOKUP($A676,#REF!,16,0),"")</f>
        <v/>
      </c>
      <c r="W676" s="359" t="str">
        <f>IFERROR(VLOOKUP($A676,#REF!,17,0),"")</f>
        <v/>
      </c>
      <c r="X676" s="359" t="str">
        <f>IFERROR(VLOOKUP($A676,#REF!,18,0),"")</f>
        <v/>
      </c>
      <c r="Y676" s="359" t="str">
        <f>IFERROR(VLOOKUP($A676,#REF!,19,0),"")</f>
        <v/>
      </c>
      <c r="Z676" s="400" t="str">
        <f>IFERROR(VLOOKUP($A676,#REF!,21,0),"")</f>
        <v/>
      </c>
      <c r="AA676" s="358"/>
      <c r="AB676" s="358"/>
      <c r="AC676" s="358" t="s">
        <v>1077</v>
      </c>
      <c r="AD676" s="358" t="s">
        <v>1138</v>
      </c>
      <c r="AE676" s="358" t="s">
        <v>4050</v>
      </c>
      <c r="AF676" s="141"/>
      <c r="AG676" s="358"/>
      <c r="AH676" s="358"/>
      <c r="AI676" s="358"/>
      <c r="AJ676" s="380" t="s">
        <v>3765</v>
      </c>
      <c r="AK676" s="380"/>
      <c r="AL676" s="380"/>
      <c r="AM676" s="380"/>
      <c r="AN676" s="120"/>
      <c r="AO676" s="120"/>
      <c r="AP676" s="120"/>
      <c r="AQ676" s="313"/>
      <c r="AR676" s="119"/>
      <c r="AS676" s="22"/>
      <c r="AT676" s="22"/>
      <c r="AU676" s="22"/>
      <c r="AV676" s="22"/>
      <c r="AW676" s="82"/>
      <c r="AX676" s="82"/>
      <c r="AY676" s="82"/>
      <c r="AZ676" s="82"/>
      <c r="BA676" s="82"/>
      <c r="BB676" s="82"/>
      <c r="BC676" s="82"/>
      <c r="BD676" s="82"/>
      <c r="BE676" s="82"/>
      <c r="BF676" s="82"/>
      <c r="BG676" s="112"/>
      <c r="BH676" s="112"/>
      <c r="BI676" s="112"/>
      <c r="BJ676" s="112"/>
      <c r="BK676" s="82"/>
      <c r="BL676" s="82"/>
      <c r="BN676" s="412"/>
      <c r="BO676" s="412"/>
      <c r="BP676" s="412"/>
      <c r="BQ676" s="412"/>
      <c r="BR676" s="412"/>
      <c r="BZ676">
        <f t="shared" si="63"/>
        <v>1</v>
      </c>
    </row>
    <row r="677" spans="1:78" ht="15.6" hidden="1" customHeight="1">
      <c r="A677" s="35" t="str">
        <f t="shared" si="64"/>
        <v>072/2646163</v>
      </c>
      <c r="C677" s="141" t="s">
        <v>24</v>
      </c>
      <c r="D677" s="358">
        <v>673</v>
      </c>
      <c r="E677" s="119" t="s">
        <v>4059</v>
      </c>
      <c r="F677" s="119" t="s">
        <v>374</v>
      </c>
      <c r="G677" s="266">
        <v>46163</v>
      </c>
      <c r="H677" s="119" t="s">
        <v>4052</v>
      </c>
      <c r="I677" s="358">
        <v>10</v>
      </c>
      <c r="J677" s="359" t="str">
        <f>IFERROR(VLOOKUP($A677,#REF!,3,0),"")</f>
        <v/>
      </c>
      <c r="K677" s="359">
        <f>IFERROR(VLOOKUP($A677,#REF!,4,0),AF677)</f>
        <v>0</v>
      </c>
      <c r="L677" s="359" t="str">
        <f>IFERROR(VLOOKUP($A677,#REF!,5,0),"")</f>
        <v/>
      </c>
      <c r="M677" s="359" t="str">
        <f>IFERROR(VLOOKUP($A677,#REF!,7,0),"")</f>
        <v/>
      </c>
      <c r="N677" s="359"/>
      <c r="O677" s="359" t="str">
        <f>IFERROR(VLOOKUP($A677,#REF!,6,0),"")</f>
        <v/>
      </c>
      <c r="P677" s="359" t="str">
        <f>IFERROR(VLOOKUP($A677,#REF!,9,0),"")</f>
        <v/>
      </c>
      <c r="Q677" s="359" t="str">
        <f>IFERROR(VLOOKUP($A677,#REF!,10,0),"")</f>
        <v/>
      </c>
      <c r="R677" s="359" t="str">
        <f>IFERROR(VLOOKUP($A677,#REF!,11,0),"")</f>
        <v/>
      </c>
      <c r="S677" s="359" t="str">
        <f>IFERROR(VLOOKUP($A677,#REF!,13,0),"")</f>
        <v/>
      </c>
      <c r="T677" s="359" t="str">
        <f>IFERROR(VLOOKUP($A677,#REF!,14,0),"")</f>
        <v/>
      </c>
      <c r="U677" s="359" t="str">
        <f>IFERROR(VLOOKUP($A677,#REF!,15,0),"")</f>
        <v/>
      </c>
      <c r="V677" s="359" t="str">
        <f>IFERROR(VLOOKUP($A677,#REF!,16,0),"")</f>
        <v/>
      </c>
      <c r="W677" s="359" t="str">
        <f>IFERROR(VLOOKUP($A677,#REF!,17,0),"")</f>
        <v/>
      </c>
      <c r="X677" s="359" t="str">
        <f>IFERROR(VLOOKUP($A677,#REF!,18,0),"")</f>
        <v/>
      </c>
      <c r="Y677" s="359" t="str">
        <f>IFERROR(VLOOKUP($A677,#REF!,19,0),"")</f>
        <v/>
      </c>
      <c r="Z677" s="400" t="str">
        <f>IFERROR(VLOOKUP($A677,#REF!,21,0),"")</f>
        <v/>
      </c>
      <c r="AA677" s="358"/>
      <c r="AB677" s="358"/>
      <c r="AC677" s="119" t="s">
        <v>1721</v>
      </c>
      <c r="AD677" s="119" t="s">
        <v>1638</v>
      </c>
      <c r="AE677" s="119"/>
      <c r="AF677" s="277"/>
      <c r="AG677" s="119"/>
      <c r="AH677" s="119"/>
      <c r="AI677" s="119"/>
      <c r="AJ677" s="120" t="s">
        <v>3765</v>
      </c>
      <c r="AK677" s="120"/>
      <c r="AL677" s="120"/>
      <c r="AM677" s="120"/>
      <c r="AN677" s="120"/>
      <c r="AO677" s="120"/>
      <c r="AP677" s="120"/>
      <c r="AQ677" s="313"/>
      <c r="AR677" s="119"/>
      <c r="AS677" s="22"/>
      <c r="AT677" s="22"/>
      <c r="AU677" s="22"/>
      <c r="AV677" s="22"/>
      <c r="AW677" s="82"/>
      <c r="AX677" s="82"/>
      <c r="AY677" s="82"/>
      <c r="AZ677" s="82"/>
      <c r="BA677" s="82"/>
      <c r="BB677" s="82"/>
      <c r="BC677" s="82"/>
      <c r="BD677" s="82"/>
      <c r="BE677" s="82"/>
      <c r="BF677" s="82"/>
      <c r="BG677" s="112"/>
      <c r="BH677" s="112"/>
      <c r="BI677" s="112"/>
      <c r="BJ677" s="112"/>
      <c r="BK677" s="82"/>
      <c r="BL677" s="82"/>
      <c r="BN677" s="412"/>
      <c r="BO677" s="412"/>
      <c r="BP677" s="412"/>
      <c r="BQ677" s="412"/>
      <c r="BR677" s="412"/>
      <c r="BZ677">
        <f t="shared" si="63"/>
        <v>1</v>
      </c>
    </row>
    <row r="678" spans="1:78" ht="15.6" hidden="1" customHeight="1">
      <c r="A678" s="35" t="str">
        <f t="shared" si="64"/>
        <v>M154/2646163</v>
      </c>
      <c r="C678" s="141" t="s">
        <v>24</v>
      </c>
      <c r="D678" s="358">
        <v>674</v>
      </c>
      <c r="E678" s="119" t="s">
        <v>4060</v>
      </c>
      <c r="F678" s="119" t="s">
        <v>4061</v>
      </c>
      <c r="G678" s="266">
        <v>46163</v>
      </c>
      <c r="H678" s="119" t="s">
        <v>181</v>
      </c>
      <c r="I678" s="358">
        <v>10</v>
      </c>
      <c r="J678" s="359" t="str">
        <f>IFERROR(VLOOKUP($A678,#REF!,3,0),"")</f>
        <v/>
      </c>
      <c r="K678" s="359">
        <f>IFERROR(VLOOKUP($A678,#REF!,4,0),AF678)</f>
        <v>0</v>
      </c>
      <c r="L678" s="359" t="str">
        <f>IFERROR(VLOOKUP($A678,#REF!,5,0),"")</f>
        <v/>
      </c>
      <c r="M678" s="359" t="str">
        <f>IFERROR(VLOOKUP($A678,#REF!,7,0),"")</f>
        <v/>
      </c>
      <c r="N678" s="359"/>
      <c r="O678" s="359" t="str">
        <f>IFERROR(VLOOKUP($A678,#REF!,6,0),"")</f>
        <v/>
      </c>
      <c r="P678" s="359" t="str">
        <f>IFERROR(VLOOKUP($A678,#REF!,9,0),"")</f>
        <v/>
      </c>
      <c r="Q678" s="359" t="str">
        <f>IFERROR(VLOOKUP($A678,#REF!,10,0),"")</f>
        <v/>
      </c>
      <c r="R678" s="359" t="str">
        <f>IFERROR(VLOOKUP($A678,#REF!,11,0),"")</f>
        <v/>
      </c>
      <c r="S678" s="359" t="str">
        <f>IFERROR(VLOOKUP($A678,#REF!,13,0),"")</f>
        <v/>
      </c>
      <c r="T678" s="359" t="str">
        <f>IFERROR(VLOOKUP($A678,#REF!,14,0),"")</f>
        <v/>
      </c>
      <c r="U678" s="359" t="str">
        <f>IFERROR(VLOOKUP($A678,#REF!,15,0),"")</f>
        <v/>
      </c>
      <c r="V678" s="359" t="str">
        <f>IFERROR(VLOOKUP($A678,#REF!,16,0),"")</f>
        <v/>
      </c>
      <c r="W678" s="359" t="str">
        <f>IFERROR(VLOOKUP($A678,#REF!,17,0),"")</f>
        <v/>
      </c>
      <c r="X678" s="359" t="str">
        <f>IFERROR(VLOOKUP($A678,#REF!,18,0),"")</f>
        <v/>
      </c>
      <c r="Y678" s="359" t="str">
        <f>IFERROR(VLOOKUP($A678,#REF!,19,0),"")</f>
        <v/>
      </c>
      <c r="Z678" s="400" t="str">
        <f>IFERROR(VLOOKUP($A678,#REF!,21,0),"")</f>
        <v/>
      </c>
      <c r="AA678" s="358"/>
      <c r="AB678" s="358"/>
      <c r="AC678" s="119" t="s">
        <v>1077</v>
      </c>
      <c r="AD678" s="119" t="s">
        <v>1138</v>
      </c>
      <c r="AE678" s="119"/>
      <c r="AF678" s="277"/>
      <c r="AG678" s="119"/>
      <c r="AH678" s="119"/>
      <c r="AI678" s="119"/>
      <c r="AJ678" s="141" t="s">
        <v>2083</v>
      </c>
      <c r="AK678" s="141"/>
      <c r="AL678" s="141"/>
      <c r="AM678" s="141"/>
      <c r="AN678" s="120"/>
      <c r="AO678" s="120"/>
      <c r="AP678" s="120"/>
      <c r="AQ678" s="313"/>
      <c r="AR678" s="119"/>
      <c r="AS678" s="22"/>
      <c r="AT678" s="22"/>
      <c r="AU678" s="22"/>
      <c r="AV678" s="22"/>
      <c r="AW678" s="82"/>
      <c r="AX678" s="82"/>
      <c r="AY678" s="82"/>
      <c r="AZ678" s="82"/>
      <c r="BA678" s="82"/>
      <c r="BB678" s="82"/>
      <c r="BC678" s="82"/>
      <c r="BD678" s="82"/>
      <c r="BE678" s="82"/>
      <c r="BF678" s="82"/>
      <c r="BG678" s="112"/>
      <c r="BH678" s="112"/>
      <c r="BI678" s="112"/>
      <c r="BJ678" s="112"/>
      <c r="BK678" s="82"/>
      <c r="BL678" s="82"/>
      <c r="BN678" s="412"/>
      <c r="BO678" s="412"/>
      <c r="BP678" s="412"/>
      <c r="BQ678" s="412"/>
      <c r="BR678" s="412"/>
      <c r="BZ678">
        <f t="shared" si="63"/>
        <v>1</v>
      </c>
    </row>
    <row r="679" spans="1:78" ht="15.6" hidden="1" customHeight="1">
      <c r="A679" s="35" t="str">
        <f t="shared" si="64"/>
        <v>M237/2646164</v>
      </c>
      <c r="C679" s="141" t="s">
        <v>24</v>
      </c>
      <c r="D679" s="358">
        <v>675</v>
      </c>
      <c r="E679" s="119" t="s">
        <v>4062</v>
      </c>
      <c r="F679" s="119" t="s">
        <v>64</v>
      </c>
      <c r="G679" s="266">
        <v>46164</v>
      </c>
      <c r="H679" s="119" t="s">
        <v>202</v>
      </c>
      <c r="I679" s="358">
        <v>17</v>
      </c>
      <c r="J679" s="359" t="str">
        <f>IFERROR(VLOOKUP($A679,#REF!,3,0),"")</f>
        <v/>
      </c>
      <c r="K679" s="359">
        <f>IFERROR(VLOOKUP($A679,#REF!,4,0),AF679)</f>
        <v>0</v>
      </c>
      <c r="L679" s="359" t="str">
        <f>IFERROR(VLOOKUP($A679,#REF!,5,0),"")</f>
        <v/>
      </c>
      <c r="M679" s="359" t="str">
        <f>IFERROR(VLOOKUP($A679,#REF!,7,0),"")</f>
        <v/>
      </c>
      <c r="N679" s="359"/>
      <c r="O679" s="359" t="str">
        <f>IFERROR(VLOOKUP($A679,#REF!,6,0),"")</f>
        <v/>
      </c>
      <c r="P679" s="359" t="str">
        <f>IFERROR(VLOOKUP($A679,#REF!,9,0),"")</f>
        <v/>
      </c>
      <c r="Q679" s="359" t="str">
        <f>IFERROR(VLOOKUP($A679,#REF!,10,0),"")</f>
        <v/>
      </c>
      <c r="R679" s="359" t="str">
        <f>IFERROR(VLOOKUP($A679,#REF!,11,0),"")</f>
        <v/>
      </c>
      <c r="S679" s="359" t="str">
        <f>IFERROR(VLOOKUP($A679,#REF!,13,0),"")</f>
        <v/>
      </c>
      <c r="T679" s="359" t="str">
        <f>IFERROR(VLOOKUP($A679,#REF!,14,0),"")</f>
        <v/>
      </c>
      <c r="U679" s="359" t="str">
        <f>IFERROR(VLOOKUP($A679,#REF!,15,0),"")</f>
        <v/>
      </c>
      <c r="V679" s="359" t="str">
        <f>IFERROR(VLOOKUP($A679,#REF!,16,0),"")</f>
        <v/>
      </c>
      <c r="W679" s="359" t="str">
        <f>IFERROR(VLOOKUP($A679,#REF!,17,0),"")</f>
        <v/>
      </c>
      <c r="X679" s="359" t="str">
        <f>IFERROR(VLOOKUP($A679,#REF!,18,0),"")</f>
        <v/>
      </c>
      <c r="Y679" s="359" t="str">
        <f>IFERROR(VLOOKUP($A679,#REF!,19,0),"")</f>
        <v/>
      </c>
      <c r="Z679" s="400" t="str">
        <f>IFERROR(VLOOKUP($A679,#REF!,21,0),"")</f>
        <v/>
      </c>
      <c r="AA679" s="358"/>
      <c r="AB679" s="358"/>
      <c r="AC679" s="119" t="s">
        <v>3075</v>
      </c>
      <c r="AD679" s="119" t="s">
        <v>47</v>
      </c>
      <c r="AE679" s="119"/>
      <c r="AF679" s="277"/>
      <c r="AG679" s="119"/>
      <c r="AH679" s="119"/>
      <c r="AI679" s="119"/>
      <c r="AJ679" s="141" t="s">
        <v>3963</v>
      </c>
      <c r="AK679" s="141"/>
      <c r="AL679" s="141"/>
      <c r="AM679" s="141"/>
      <c r="AN679" s="120"/>
      <c r="AO679" s="120"/>
      <c r="AP679" s="120"/>
      <c r="AQ679" s="313"/>
      <c r="AR679" s="119"/>
      <c r="AS679" s="22"/>
      <c r="AT679" s="22"/>
      <c r="AU679" s="22"/>
      <c r="AV679" s="22"/>
      <c r="AW679" s="82"/>
      <c r="AX679" s="82"/>
      <c r="AY679" s="82"/>
      <c r="AZ679" s="82"/>
      <c r="BA679" s="82"/>
      <c r="BB679" s="82"/>
      <c r="BC679" s="82"/>
      <c r="BD679" s="82"/>
      <c r="BE679" s="82"/>
      <c r="BF679" s="82"/>
      <c r="BG679" s="112"/>
      <c r="BH679" s="112"/>
      <c r="BI679" s="112"/>
      <c r="BJ679" s="112"/>
      <c r="BK679" s="82"/>
      <c r="BL679" s="82"/>
      <c r="BN679" s="412"/>
      <c r="BO679" s="412"/>
      <c r="BP679" s="412"/>
      <c r="BQ679" s="412"/>
      <c r="BR679" s="412"/>
      <c r="BZ679">
        <f t="shared" si="63"/>
        <v>1</v>
      </c>
    </row>
    <row r="680" spans="1:78" ht="15.6" hidden="1" customHeight="1">
      <c r="A680" s="35" t="str">
        <f t="shared" si="64"/>
        <v>087/2646165</v>
      </c>
      <c r="C680" s="141" t="s">
        <v>24</v>
      </c>
      <c r="D680" s="358">
        <v>676</v>
      </c>
      <c r="E680" s="119" t="s">
        <v>4063</v>
      </c>
      <c r="F680" s="119" t="s">
        <v>34</v>
      </c>
      <c r="G680" s="266">
        <v>46165</v>
      </c>
      <c r="H680" s="119" t="s">
        <v>272</v>
      </c>
      <c r="I680" s="358">
        <v>12</v>
      </c>
      <c r="J680" s="359" t="str">
        <f>IFERROR(VLOOKUP($A680,#REF!,3,0),"")</f>
        <v/>
      </c>
      <c r="K680" s="359">
        <f>IFERROR(VLOOKUP($A680,#REF!,4,0),AF680)</f>
        <v>0</v>
      </c>
      <c r="L680" s="359" t="str">
        <f>IFERROR(VLOOKUP($A680,#REF!,5,0),"")</f>
        <v/>
      </c>
      <c r="M680" s="359" t="str">
        <f>IFERROR(VLOOKUP($A680,#REF!,7,0),"")</f>
        <v/>
      </c>
      <c r="N680" s="359"/>
      <c r="O680" s="359" t="str">
        <f>IFERROR(VLOOKUP($A680,#REF!,6,0),"")</f>
        <v/>
      </c>
      <c r="P680" s="359" t="str">
        <f>IFERROR(VLOOKUP($A680,#REF!,9,0),"")</f>
        <v/>
      </c>
      <c r="Q680" s="359" t="str">
        <f>IFERROR(VLOOKUP($A680,#REF!,10,0),"")</f>
        <v/>
      </c>
      <c r="R680" s="359" t="str">
        <f>IFERROR(VLOOKUP($A680,#REF!,11,0),"")</f>
        <v/>
      </c>
      <c r="S680" s="359" t="str">
        <f>IFERROR(VLOOKUP($A680,#REF!,13,0),"")</f>
        <v/>
      </c>
      <c r="T680" s="359" t="str">
        <f>IFERROR(VLOOKUP($A680,#REF!,14,0),"")</f>
        <v/>
      </c>
      <c r="U680" s="359" t="str">
        <f>IFERROR(VLOOKUP($A680,#REF!,15,0),"")</f>
        <v/>
      </c>
      <c r="V680" s="359" t="str">
        <f>IFERROR(VLOOKUP($A680,#REF!,16,0),"")</f>
        <v/>
      </c>
      <c r="W680" s="359" t="str">
        <f>IFERROR(VLOOKUP($A680,#REF!,17,0),"")</f>
        <v/>
      </c>
      <c r="X680" s="359" t="str">
        <f>IFERROR(VLOOKUP($A680,#REF!,18,0),"")</f>
        <v/>
      </c>
      <c r="Y680" s="359" t="str">
        <f>IFERROR(VLOOKUP($A680,#REF!,19,0),"")</f>
        <v/>
      </c>
      <c r="Z680" s="400" t="str">
        <f>IFERROR(VLOOKUP($A680,#REF!,21,0),"")</f>
        <v/>
      </c>
      <c r="AA680" s="358"/>
      <c r="AB680" s="358"/>
      <c r="AC680" s="119" t="s">
        <v>1721</v>
      </c>
      <c r="AD680" s="119" t="s">
        <v>1638</v>
      </c>
      <c r="AE680" s="119"/>
      <c r="AF680" s="277"/>
      <c r="AG680" s="119"/>
      <c r="AH680" s="119"/>
      <c r="AI680" s="119"/>
      <c r="AJ680" s="102" t="s">
        <v>3951</v>
      </c>
      <c r="AK680" s="102"/>
      <c r="AL680" s="102"/>
      <c r="AM680" s="102"/>
      <c r="AN680" s="120"/>
      <c r="AO680" s="120"/>
      <c r="AP680" s="120"/>
      <c r="AQ680" s="313"/>
      <c r="AR680" s="119"/>
      <c r="AS680" s="22"/>
      <c r="AT680" s="22"/>
      <c r="AU680" s="22"/>
      <c r="AV680" s="22"/>
      <c r="AW680" s="82"/>
      <c r="AX680" s="82"/>
      <c r="AY680" s="82"/>
      <c r="AZ680" s="82"/>
      <c r="BA680" s="82"/>
      <c r="BB680" s="82"/>
      <c r="BC680" s="82"/>
      <c r="BD680" s="82"/>
      <c r="BE680" s="82"/>
      <c r="BF680" s="82"/>
      <c r="BG680" s="112"/>
      <c r="BH680" s="112"/>
      <c r="BI680" s="112"/>
      <c r="BJ680" s="112"/>
      <c r="BK680" s="82"/>
      <c r="BL680" s="82"/>
      <c r="BN680" s="412"/>
      <c r="BO680" s="412"/>
      <c r="BP680" s="412"/>
      <c r="BQ680" s="412"/>
      <c r="BR680" s="412"/>
      <c r="BZ680">
        <f t="shared" si="63"/>
        <v>1</v>
      </c>
    </row>
    <row r="681" spans="1:78" ht="15.6" hidden="1" customHeight="1">
      <c r="A681" s="35" t="str">
        <f t="shared" si="64"/>
        <v>M250/2646165</v>
      </c>
      <c r="C681" s="141" t="s">
        <v>24</v>
      </c>
      <c r="D681" s="358">
        <v>677</v>
      </c>
      <c r="E681" s="358" t="s">
        <v>4064</v>
      </c>
      <c r="F681" s="358" t="s">
        <v>1131</v>
      </c>
      <c r="G681" s="384">
        <v>46165</v>
      </c>
      <c r="H681" s="358" t="s">
        <v>1342</v>
      </c>
      <c r="I681" s="358">
        <v>10</v>
      </c>
      <c r="J681" s="359" t="str">
        <f>IFERROR(VLOOKUP($A681,#REF!,3,0),"")</f>
        <v/>
      </c>
      <c r="K681" s="359">
        <f>IFERROR(VLOOKUP($A681,#REF!,4,0),AF681)</f>
        <v>0</v>
      </c>
      <c r="L681" s="359" t="str">
        <f>IFERROR(VLOOKUP($A681,#REF!,5,0),"")</f>
        <v/>
      </c>
      <c r="M681" s="359" t="str">
        <f>IFERROR(VLOOKUP($A681,#REF!,7,0),"")</f>
        <v/>
      </c>
      <c r="N681" s="359"/>
      <c r="O681" s="359" t="str">
        <f>IFERROR(VLOOKUP($A681,#REF!,6,0),"")</f>
        <v/>
      </c>
      <c r="P681" s="359" t="str">
        <f>IFERROR(VLOOKUP($A681,#REF!,9,0),"")</f>
        <v/>
      </c>
      <c r="Q681" s="359" t="str">
        <f>IFERROR(VLOOKUP($A681,#REF!,10,0),"")</f>
        <v/>
      </c>
      <c r="R681" s="359" t="str">
        <f>IFERROR(VLOOKUP($A681,#REF!,11,0),"")</f>
        <v/>
      </c>
      <c r="S681" s="359" t="str">
        <f>IFERROR(VLOOKUP($A681,#REF!,13,0),"")</f>
        <v/>
      </c>
      <c r="T681" s="359" t="str">
        <f>IFERROR(VLOOKUP($A681,#REF!,14,0),"")</f>
        <v/>
      </c>
      <c r="U681" s="359" t="str">
        <f>IFERROR(VLOOKUP($A681,#REF!,15,0),"")</f>
        <v/>
      </c>
      <c r="V681" s="359" t="str">
        <f>IFERROR(VLOOKUP($A681,#REF!,16,0),"")</f>
        <v/>
      </c>
      <c r="W681" s="359" t="str">
        <f>IFERROR(VLOOKUP($A681,#REF!,17,0),"")</f>
        <v/>
      </c>
      <c r="X681" s="359" t="str">
        <f>IFERROR(VLOOKUP($A681,#REF!,18,0),"")</f>
        <v/>
      </c>
      <c r="Y681" s="359" t="str">
        <f>IFERROR(VLOOKUP($A681,#REF!,19,0),"")</f>
        <v/>
      </c>
      <c r="Z681" s="400" t="str">
        <f>IFERROR(VLOOKUP($A681,#REF!,21,0),"")</f>
        <v/>
      </c>
      <c r="AA681" s="358"/>
      <c r="AB681" s="358"/>
      <c r="AC681" s="358" t="s">
        <v>1077</v>
      </c>
      <c r="AD681" s="358" t="s">
        <v>1138</v>
      </c>
      <c r="AE681" s="141"/>
      <c r="AF681" s="141"/>
      <c r="AG681" s="141"/>
      <c r="AH681" s="141"/>
      <c r="AI681" s="141"/>
      <c r="AJ681" s="141" t="s">
        <v>4004</v>
      </c>
      <c r="AK681" s="141"/>
      <c r="AL681" s="141"/>
      <c r="AM681" s="141"/>
      <c r="AN681" s="120"/>
      <c r="AO681" s="120"/>
      <c r="AP681" s="120"/>
      <c r="AQ681" s="313"/>
      <c r="AR681" s="119"/>
      <c r="AS681" s="22"/>
      <c r="AT681" s="22"/>
      <c r="AU681" s="22"/>
      <c r="AV681" s="22"/>
      <c r="AW681" s="82"/>
      <c r="AX681" s="82"/>
      <c r="AY681" s="82"/>
      <c r="AZ681" s="82"/>
      <c r="BA681" s="82"/>
      <c r="BB681" s="82"/>
      <c r="BC681" s="82"/>
      <c r="BD681" s="82"/>
      <c r="BE681" s="82"/>
      <c r="BF681" s="82"/>
      <c r="BG681" s="112"/>
      <c r="BH681" s="112"/>
      <c r="BI681" s="112"/>
      <c r="BJ681" s="112"/>
      <c r="BK681" s="82"/>
      <c r="BL681" s="82"/>
      <c r="BN681" s="412"/>
      <c r="BO681" s="412"/>
      <c r="BP681" s="412"/>
      <c r="BQ681" s="412"/>
      <c r="BR681" s="412"/>
      <c r="BZ681">
        <f t="shared" si="63"/>
        <v>1</v>
      </c>
    </row>
    <row r="682" spans="1:78" ht="15.6" hidden="1" customHeight="1">
      <c r="A682" s="35" t="str">
        <f t="shared" si="64"/>
        <v>M240/2646139</v>
      </c>
      <c r="C682" s="141" t="s">
        <v>24</v>
      </c>
      <c r="D682" s="358">
        <v>678</v>
      </c>
      <c r="E682" s="358" t="s">
        <v>4049</v>
      </c>
      <c r="F682" s="358" t="s">
        <v>43</v>
      </c>
      <c r="G682" s="384">
        <v>46139</v>
      </c>
      <c r="H682" s="358" t="s">
        <v>1626</v>
      </c>
      <c r="I682" s="358">
        <v>14</v>
      </c>
      <c r="J682" s="359" t="str">
        <f>IFERROR(VLOOKUP($A682,#REF!,3,0),"")</f>
        <v/>
      </c>
      <c r="K682" s="359">
        <f>IFERROR(VLOOKUP($A682,#REF!,4,0),AF682)</f>
        <v>0</v>
      </c>
      <c r="L682" s="359" t="str">
        <f>IFERROR(VLOOKUP($A682,#REF!,5,0),"")</f>
        <v/>
      </c>
      <c r="M682" s="359" t="str">
        <f>IFERROR(VLOOKUP($A682,#REF!,7,0),"")</f>
        <v/>
      </c>
      <c r="N682" s="359"/>
      <c r="O682" s="359" t="str">
        <f>IFERROR(VLOOKUP($A682,#REF!,6,0),"")</f>
        <v/>
      </c>
      <c r="P682" s="359" t="str">
        <f>IFERROR(VLOOKUP($A682,#REF!,9,0),"")</f>
        <v/>
      </c>
      <c r="Q682" s="359" t="str">
        <f>IFERROR(VLOOKUP($A682,#REF!,10,0),"")</f>
        <v/>
      </c>
      <c r="R682" s="359" t="str">
        <f>IFERROR(VLOOKUP($A682,#REF!,11,0),"")</f>
        <v/>
      </c>
      <c r="S682" s="359" t="str">
        <f>IFERROR(VLOOKUP($A682,#REF!,13,0),"")</f>
        <v/>
      </c>
      <c r="T682" s="359" t="str">
        <f>IFERROR(VLOOKUP($A682,#REF!,14,0),"")</f>
        <v/>
      </c>
      <c r="U682" s="359" t="str">
        <f>IFERROR(VLOOKUP($A682,#REF!,15,0),"")</f>
        <v/>
      </c>
      <c r="V682" s="359" t="str">
        <f>IFERROR(VLOOKUP($A682,#REF!,16,0),"")</f>
        <v/>
      </c>
      <c r="W682" s="359" t="str">
        <f>IFERROR(VLOOKUP($A682,#REF!,17,0),"")</f>
        <v/>
      </c>
      <c r="X682" s="359" t="str">
        <f>IFERROR(VLOOKUP($A682,#REF!,18,0),"")</f>
        <v/>
      </c>
      <c r="Y682" s="359" t="str">
        <f>IFERROR(VLOOKUP($A682,#REF!,19,0),"")</f>
        <v/>
      </c>
      <c r="Z682" s="400" t="str">
        <f>IFERROR(VLOOKUP($A682,#REF!,21,0),"")</f>
        <v/>
      </c>
      <c r="AA682" s="358"/>
      <c r="AB682" s="358"/>
      <c r="AC682" s="358" t="s">
        <v>1077</v>
      </c>
      <c r="AD682" s="358" t="s">
        <v>1138</v>
      </c>
      <c r="AE682" s="358" t="s">
        <v>4050</v>
      </c>
      <c r="AF682" s="141"/>
      <c r="AG682" s="358"/>
      <c r="AH682" s="358"/>
      <c r="AI682" s="358"/>
      <c r="AJ682" s="380" t="s">
        <v>3765</v>
      </c>
      <c r="AK682" s="380"/>
      <c r="AL682" s="380"/>
      <c r="AM682" s="380"/>
      <c r="AN682" s="120"/>
      <c r="AO682" s="120"/>
      <c r="AP682" s="120"/>
      <c r="AQ682" s="313"/>
      <c r="AR682" s="119"/>
      <c r="AS682" s="22"/>
      <c r="AT682" s="22"/>
      <c r="AU682" s="22"/>
      <c r="AV682" s="22"/>
      <c r="AW682" s="82"/>
      <c r="AX682" s="82"/>
      <c r="AY682" s="82"/>
      <c r="AZ682" s="82"/>
      <c r="BA682" s="82"/>
      <c r="BB682" s="82"/>
      <c r="BC682" s="82"/>
      <c r="BD682" s="82"/>
      <c r="BE682" s="82"/>
      <c r="BF682" s="82"/>
      <c r="BG682" s="112"/>
      <c r="BH682" s="112"/>
      <c r="BI682" s="112"/>
      <c r="BJ682" s="112"/>
      <c r="BK682" s="82"/>
      <c r="BL682" s="82"/>
      <c r="BN682" s="412"/>
      <c r="BO682" s="412"/>
      <c r="BP682" s="412"/>
      <c r="BQ682" s="412"/>
      <c r="BR682" s="412"/>
      <c r="BZ682">
        <f t="shared" ref="BZ682" si="65">IF(G682&gt;1,1,"")</f>
        <v>1</v>
      </c>
    </row>
    <row r="683" spans="1:78" ht="15.6" hidden="1" customHeight="1">
      <c r="A683" s="35" t="str">
        <f t="shared" si="64"/>
        <v>077/2646172</v>
      </c>
      <c r="C683" s="141" t="s">
        <v>24</v>
      </c>
      <c r="D683" s="358">
        <v>679</v>
      </c>
      <c r="E683" s="119" t="s">
        <v>4065</v>
      </c>
      <c r="F683" s="119" t="s">
        <v>34</v>
      </c>
      <c r="G683" s="266">
        <v>46172</v>
      </c>
      <c r="H683" s="119" t="s">
        <v>2684</v>
      </c>
      <c r="I683" s="358">
        <v>22</v>
      </c>
      <c r="J683" s="359" t="str">
        <f>IFERROR(VLOOKUP($A683,#REF!,3,0),"")</f>
        <v/>
      </c>
      <c r="K683" s="359">
        <f>IFERROR(VLOOKUP($A683,#REF!,4,0),AF683)</f>
        <v>0</v>
      </c>
      <c r="L683" s="359" t="str">
        <f>IFERROR(VLOOKUP($A683,#REF!,5,0),"")</f>
        <v/>
      </c>
      <c r="M683" s="359" t="str">
        <f>IFERROR(VLOOKUP($A683,#REF!,7,0),"")</f>
        <v/>
      </c>
      <c r="N683" s="359"/>
      <c r="O683" s="359" t="str">
        <f>IFERROR(VLOOKUP($A683,#REF!,6,0),"")</f>
        <v/>
      </c>
      <c r="P683" s="359" t="str">
        <f>IFERROR(VLOOKUP($A683,#REF!,9,0),"")</f>
        <v/>
      </c>
      <c r="Q683" s="359" t="str">
        <f>IFERROR(VLOOKUP($A683,#REF!,10,0),"")</f>
        <v/>
      </c>
      <c r="R683" s="359" t="str">
        <f>IFERROR(VLOOKUP($A683,#REF!,11,0),"")</f>
        <v/>
      </c>
      <c r="S683" s="359" t="str">
        <f>IFERROR(VLOOKUP($A683,#REF!,13,0),"")</f>
        <v/>
      </c>
      <c r="T683" s="359" t="str">
        <f>IFERROR(VLOOKUP($A683,#REF!,14,0),"")</f>
        <v/>
      </c>
      <c r="U683" s="359" t="str">
        <f>IFERROR(VLOOKUP($A683,#REF!,15,0),"")</f>
        <v/>
      </c>
      <c r="V683" s="359" t="str">
        <f>IFERROR(VLOOKUP($A683,#REF!,16,0),"")</f>
        <v/>
      </c>
      <c r="W683" s="359" t="str">
        <f>IFERROR(VLOOKUP($A683,#REF!,17,0),"")</f>
        <v/>
      </c>
      <c r="X683" s="359" t="str">
        <f>IFERROR(VLOOKUP($A683,#REF!,18,0),"")</f>
        <v/>
      </c>
      <c r="Y683" s="359" t="str">
        <f>IFERROR(VLOOKUP($A683,#REF!,19,0),"")</f>
        <v/>
      </c>
      <c r="Z683" s="400" t="str">
        <f>IFERROR(VLOOKUP($A683,#REF!,21,0),"")</f>
        <v/>
      </c>
      <c r="AA683" s="358"/>
      <c r="AB683" s="358"/>
      <c r="AC683" s="119" t="s">
        <v>1721</v>
      </c>
      <c r="AD683" s="119" t="s">
        <v>1638</v>
      </c>
      <c r="AE683" s="119"/>
      <c r="AF683" s="277"/>
      <c r="AG683" s="119"/>
      <c r="AH683" s="119"/>
      <c r="AI683" s="119"/>
      <c r="AJ683" s="141" t="s">
        <v>2083</v>
      </c>
      <c r="AK683" s="141"/>
      <c r="AL683" s="141"/>
      <c r="AM683" s="141"/>
      <c r="AN683" s="120"/>
      <c r="AO683" s="120"/>
      <c r="AP683" s="120"/>
      <c r="AQ683" s="313"/>
      <c r="AR683" s="119"/>
      <c r="AS683" s="22"/>
      <c r="AT683" s="22"/>
      <c r="AU683" s="22"/>
      <c r="AV683" s="22"/>
      <c r="AW683" s="82"/>
      <c r="AX683" s="82"/>
      <c r="AY683" s="82"/>
      <c r="AZ683" s="82"/>
      <c r="BA683" s="82"/>
      <c r="BB683" s="82"/>
      <c r="BC683" s="82"/>
      <c r="BD683" s="82"/>
      <c r="BE683" s="82"/>
      <c r="BF683" s="82"/>
      <c r="BG683" s="112"/>
      <c r="BH683" s="112"/>
      <c r="BI683" s="112"/>
      <c r="BJ683" s="112"/>
      <c r="BK683" s="82"/>
      <c r="BL683" s="82"/>
      <c r="BN683" s="412"/>
      <c r="BO683" s="412"/>
      <c r="BP683" s="412"/>
      <c r="BQ683" s="412"/>
      <c r="BR683" s="412"/>
      <c r="BZ683">
        <f t="shared" si="63"/>
        <v>1</v>
      </c>
    </row>
    <row r="684" spans="1:78" ht="15.6" hidden="1" customHeight="1">
      <c r="A684" s="35" t="str">
        <f t="shared" si="64"/>
        <v>M241/2646146</v>
      </c>
      <c r="C684" s="141" t="s">
        <v>24</v>
      </c>
      <c r="D684" s="358">
        <v>680</v>
      </c>
      <c r="E684" s="119" t="s">
        <v>4058</v>
      </c>
      <c r="F684" s="119" t="s">
        <v>43</v>
      </c>
      <c r="G684" s="266">
        <v>46146</v>
      </c>
      <c r="H684" s="119" t="s">
        <v>1626</v>
      </c>
      <c r="I684" s="358">
        <v>13</v>
      </c>
      <c r="J684" s="359" t="str">
        <f>IFERROR(VLOOKUP($A684,#REF!,3,0),"")</f>
        <v/>
      </c>
      <c r="K684" s="359">
        <f>IFERROR(VLOOKUP($A684,#REF!,4,0),AF684)</f>
        <v>0</v>
      </c>
      <c r="L684" s="359" t="str">
        <f>IFERROR(VLOOKUP($A684,#REF!,5,0),"")</f>
        <v/>
      </c>
      <c r="M684" s="359" t="str">
        <f>IFERROR(VLOOKUP($A684,#REF!,7,0),"")</f>
        <v/>
      </c>
      <c r="N684" s="359"/>
      <c r="O684" s="359" t="str">
        <f>IFERROR(VLOOKUP($A684,#REF!,6,0),"")</f>
        <v/>
      </c>
      <c r="P684" s="359" t="str">
        <f>IFERROR(VLOOKUP($A684,#REF!,9,0),"")</f>
        <v/>
      </c>
      <c r="Q684" s="359" t="str">
        <f>IFERROR(VLOOKUP($A684,#REF!,10,0),"")</f>
        <v/>
      </c>
      <c r="R684" s="359" t="str">
        <f>IFERROR(VLOOKUP($A684,#REF!,11,0),"")</f>
        <v/>
      </c>
      <c r="S684" s="359" t="str">
        <f>IFERROR(VLOOKUP($A684,#REF!,13,0),"")</f>
        <v/>
      </c>
      <c r="T684" s="359" t="str">
        <f>IFERROR(VLOOKUP($A684,#REF!,14,0),"")</f>
        <v/>
      </c>
      <c r="U684" s="359" t="str">
        <f>IFERROR(VLOOKUP($A684,#REF!,15,0),"")</f>
        <v/>
      </c>
      <c r="V684" s="359" t="str">
        <f>IFERROR(VLOOKUP($A684,#REF!,16,0),"")</f>
        <v/>
      </c>
      <c r="W684" s="359" t="str">
        <f>IFERROR(VLOOKUP($A684,#REF!,17,0),"")</f>
        <v/>
      </c>
      <c r="X684" s="359" t="str">
        <f>IFERROR(VLOOKUP($A684,#REF!,18,0),"")</f>
        <v/>
      </c>
      <c r="Y684" s="359" t="str">
        <f>IFERROR(VLOOKUP($A684,#REF!,19,0),"")</f>
        <v/>
      </c>
      <c r="Z684" s="400" t="str">
        <f>IFERROR(VLOOKUP($A684,#REF!,21,0),"")</f>
        <v/>
      </c>
      <c r="AA684" s="358"/>
      <c r="AB684" s="358"/>
      <c r="AC684" s="119" t="s">
        <v>1077</v>
      </c>
      <c r="AD684" s="119" t="s">
        <v>1138</v>
      </c>
      <c r="AE684" s="119" t="s">
        <v>4050</v>
      </c>
      <c r="AF684" s="141"/>
      <c r="AG684" s="119"/>
      <c r="AH684" s="119"/>
      <c r="AI684" s="119"/>
      <c r="AJ684" s="120" t="s">
        <v>3765</v>
      </c>
      <c r="AK684" s="120"/>
      <c r="AL684" s="120"/>
      <c r="AM684" s="120"/>
      <c r="AN684" s="120"/>
      <c r="AO684" s="120"/>
      <c r="AP684" s="120"/>
      <c r="AQ684" s="313"/>
      <c r="AR684" s="119"/>
      <c r="AS684" s="22"/>
      <c r="AT684" s="22"/>
      <c r="AU684" s="22"/>
      <c r="AV684" s="22"/>
      <c r="AW684" s="82"/>
      <c r="AX684" s="82"/>
      <c r="AY684" s="82"/>
      <c r="AZ684" s="82"/>
      <c r="BA684" s="82"/>
      <c r="BB684" s="82"/>
      <c r="BC684" s="82"/>
      <c r="BD684" s="82"/>
      <c r="BE684" s="82"/>
      <c r="BF684" s="82"/>
      <c r="BG684" s="112"/>
      <c r="BH684" s="112"/>
      <c r="BI684" s="112"/>
      <c r="BJ684" s="112"/>
      <c r="BK684" s="82"/>
      <c r="BL684" s="82"/>
      <c r="BN684" s="412"/>
      <c r="BO684" s="412"/>
      <c r="BP684" s="412"/>
      <c r="BQ684" s="412"/>
      <c r="BR684" s="412"/>
      <c r="BZ684">
        <f t="shared" ref="BZ684" si="66">IF(G684&gt;1,1,"")</f>
        <v>1</v>
      </c>
    </row>
    <row r="685" spans="1:78" ht="15.6" hidden="1" customHeight="1">
      <c r="A685" s="35" t="str">
        <f t="shared" si="64"/>
        <v>M242/2646153</v>
      </c>
      <c r="C685" s="141" t="s">
        <v>24</v>
      </c>
      <c r="D685" s="358">
        <v>681</v>
      </c>
      <c r="E685" s="119" t="s">
        <v>4066</v>
      </c>
      <c r="F685" s="119" t="s">
        <v>43</v>
      </c>
      <c r="G685" s="266">
        <v>46153</v>
      </c>
      <c r="H685" s="119" t="s">
        <v>1626</v>
      </c>
      <c r="I685" s="358">
        <v>15</v>
      </c>
      <c r="J685" s="359" t="str">
        <f>IFERROR(VLOOKUP($A685,#REF!,3,0),"")</f>
        <v/>
      </c>
      <c r="K685" s="359">
        <f>IFERROR(VLOOKUP($A685,#REF!,4,0),AF685)</f>
        <v>0</v>
      </c>
      <c r="L685" s="359" t="str">
        <f>IFERROR(VLOOKUP($A685,#REF!,5,0),"")</f>
        <v/>
      </c>
      <c r="M685" s="359" t="str">
        <f>IFERROR(VLOOKUP($A685,#REF!,7,0),"")</f>
        <v/>
      </c>
      <c r="N685" s="359"/>
      <c r="O685" s="359" t="str">
        <f>IFERROR(VLOOKUP($A685,#REF!,6,0),"")</f>
        <v/>
      </c>
      <c r="P685" s="359" t="str">
        <f>IFERROR(VLOOKUP($A685,#REF!,9,0),"")</f>
        <v/>
      </c>
      <c r="Q685" s="359" t="str">
        <f>IFERROR(VLOOKUP($A685,#REF!,10,0),"")</f>
        <v/>
      </c>
      <c r="R685" s="359" t="str">
        <f>IFERROR(VLOOKUP($A685,#REF!,11,0),"")</f>
        <v/>
      </c>
      <c r="S685" s="359" t="str">
        <f>IFERROR(VLOOKUP($A685,#REF!,13,0),"")</f>
        <v/>
      </c>
      <c r="T685" s="359" t="str">
        <f>IFERROR(VLOOKUP($A685,#REF!,14,0),"")</f>
        <v/>
      </c>
      <c r="U685" s="359" t="str">
        <f>IFERROR(VLOOKUP($A685,#REF!,15,0),"")</f>
        <v/>
      </c>
      <c r="V685" s="359" t="str">
        <f>IFERROR(VLOOKUP($A685,#REF!,16,0),"")</f>
        <v/>
      </c>
      <c r="W685" s="359" t="str">
        <f>IFERROR(VLOOKUP($A685,#REF!,17,0),"")</f>
        <v/>
      </c>
      <c r="X685" s="359" t="str">
        <f>IFERROR(VLOOKUP($A685,#REF!,18,0),"")</f>
        <v/>
      </c>
      <c r="Y685" s="359" t="str">
        <f>IFERROR(VLOOKUP($A685,#REF!,19,0),"")</f>
        <v/>
      </c>
      <c r="Z685" s="400" t="str">
        <f>IFERROR(VLOOKUP($A685,#REF!,21,0),"")</f>
        <v/>
      </c>
      <c r="AA685" s="358"/>
      <c r="AB685" s="358"/>
      <c r="AC685" s="119" t="s">
        <v>1077</v>
      </c>
      <c r="AD685" s="119" t="s">
        <v>1138</v>
      </c>
      <c r="AE685" s="119" t="s">
        <v>4050</v>
      </c>
      <c r="AF685" s="141"/>
      <c r="AG685" s="119"/>
      <c r="AH685" s="119"/>
      <c r="AI685" s="119"/>
      <c r="AJ685" s="120" t="s">
        <v>3765</v>
      </c>
      <c r="AK685" s="120"/>
      <c r="AL685" s="120"/>
      <c r="AM685" s="120"/>
      <c r="AN685" s="120"/>
      <c r="AO685" s="120"/>
      <c r="AP685" s="120"/>
      <c r="AQ685" s="313"/>
      <c r="AR685" s="119"/>
      <c r="AS685" s="22"/>
      <c r="AT685" s="22"/>
      <c r="AU685" s="22"/>
      <c r="AV685" s="22"/>
      <c r="AW685" s="82"/>
      <c r="AX685" s="82"/>
      <c r="AY685" s="82"/>
      <c r="AZ685" s="82"/>
      <c r="BA685" s="82"/>
      <c r="BB685" s="82"/>
      <c r="BC685" s="82"/>
      <c r="BD685" s="82"/>
      <c r="BE685" s="82"/>
      <c r="BF685" s="82"/>
      <c r="BG685" s="112"/>
      <c r="BH685" s="112"/>
      <c r="BI685" s="112"/>
      <c r="BJ685" s="112"/>
      <c r="BK685" s="82"/>
      <c r="BL685" s="82"/>
      <c r="BN685" s="412"/>
      <c r="BO685" s="412"/>
      <c r="BP685" s="412"/>
      <c r="BQ685" s="412"/>
      <c r="BR685" s="412"/>
      <c r="BZ685">
        <f t="shared" ref="BZ685" si="67">IF(G685&gt;1,1,"")</f>
        <v>1</v>
      </c>
    </row>
    <row r="686" spans="1:78" ht="15.6" hidden="1" customHeight="1">
      <c r="A686" s="35" t="str">
        <f t="shared" si="64"/>
        <v>M242/2646167</v>
      </c>
      <c r="C686" s="141" t="s">
        <v>24</v>
      </c>
      <c r="D686" s="358">
        <v>682</v>
      </c>
      <c r="E686" s="119" t="s">
        <v>4066</v>
      </c>
      <c r="F686" s="119" t="s">
        <v>43</v>
      </c>
      <c r="G686" s="266">
        <v>46167</v>
      </c>
      <c r="H686" s="119" t="s">
        <v>1626</v>
      </c>
      <c r="I686" s="358">
        <v>15</v>
      </c>
      <c r="J686" s="359" t="str">
        <f>IFERROR(VLOOKUP($A686,#REF!,3,0),"")</f>
        <v/>
      </c>
      <c r="K686" s="359">
        <f>IFERROR(VLOOKUP($A686,#REF!,4,0),AF686)</f>
        <v>0</v>
      </c>
      <c r="L686" s="359" t="str">
        <f>IFERROR(VLOOKUP($A686,#REF!,5,0),"")</f>
        <v/>
      </c>
      <c r="M686" s="359" t="str">
        <f>IFERROR(VLOOKUP($A686,#REF!,7,0),"")</f>
        <v/>
      </c>
      <c r="N686" s="359"/>
      <c r="O686" s="359" t="str">
        <f>IFERROR(VLOOKUP($A686,#REF!,6,0),"")</f>
        <v/>
      </c>
      <c r="P686" s="359" t="str">
        <f>IFERROR(VLOOKUP($A686,#REF!,9,0),"")</f>
        <v/>
      </c>
      <c r="Q686" s="359" t="str">
        <f>IFERROR(VLOOKUP($A686,#REF!,10,0),"")</f>
        <v/>
      </c>
      <c r="R686" s="359" t="str">
        <f>IFERROR(VLOOKUP($A686,#REF!,11,0),"")</f>
        <v/>
      </c>
      <c r="S686" s="359" t="str">
        <f>IFERROR(VLOOKUP($A686,#REF!,13,0),"")</f>
        <v/>
      </c>
      <c r="T686" s="359" t="str">
        <f>IFERROR(VLOOKUP($A686,#REF!,14,0),"")</f>
        <v/>
      </c>
      <c r="U686" s="359" t="str">
        <f>IFERROR(VLOOKUP($A686,#REF!,15,0),"")</f>
        <v/>
      </c>
      <c r="V686" s="359" t="str">
        <f>IFERROR(VLOOKUP($A686,#REF!,16,0),"")</f>
        <v/>
      </c>
      <c r="W686" s="359" t="str">
        <f>IFERROR(VLOOKUP($A686,#REF!,17,0),"")</f>
        <v/>
      </c>
      <c r="X686" s="359" t="str">
        <f>IFERROR(VLOOKUP($A686,#REF!,18,0),"")</f>
        <v/>
      </c>
      <c r="Y686" s="359" t="str">
        <f>IFERROR(VLOOKUP($A686,#REF!,19,0),"")</f>
        <v/>
      </c>
      <c r="Z686" s="400" t="str">
        <f>IFERROR(VLOOKUP($A686,#REF!,21,0),"")</f>
        <v/>
      </c>
      <c r="AA686" s="358"/>
      <c r="AB686" s="358"/>
      <c r="AC686" s="119" t="s">
        <v>1077</v>
      </c>
      <c r="AD686" s="119" t="s">
        <v>1138</v>
      </c>
      <c r="AE686" s="119" t="s">
        <v>4050</v>
      </c>
      <c r="AF686" s="141"/>
      <c r="AG686" s="119"/>
      <c r="AH686" s="119"/>
      <c r="AI686" s="119"/>
      <c r="AJ686" s="120" t="s">
        <v>3765</v>
      </c>
      <c r="AK686" s="120"/>
      <c r="AL686" s="120"/>
      <c r="AM686" s="120"/>
      <c r="AN686" s="120"/>
      <c r="AO686" s="120"/>
      <c r="AP686" s="120"/>
      <c r="AQ686" s="313"/>
      <c r="AR686" s="119"/>
      <c r="AS686" s="22"/>
      <c r="AT686" s="22"/>
      <c r="AU686" s="22"/>
      <c r="AV686" s="22"/>
      <c r="AW686" s="82"/>
      <c r="AX686" s="82"/>
      <c r="AY686" s="82"/>
      <c r="AZ686" s="82"/>
      <c r="BA686" s="82"/>
      <c r="BB686" s="82"/>
      <c r="BC686" s="82"/>
      <c r="BD686" s="82"/>
      <c r="BE686" s="82"/>
      <c r="BF686" s="82"/>
      <c r="BG686" s="112"/>
      <c r="BH686" s="112"/>
      <c r="BI686" s="112"/>
      <c r="BJ686" s="112"/>
      <c r="BK686" s="82"/>
      <c r="BL686" s="82"/>
      <c r="BN686" s="412"/>
      <c r="BO686" s="412"/>
      <c r="BP686" s="412"/>
      <c r="BQ686" s="412"/>
      <c r="BR686" s="412"/>
      <c r="BZ686">
        <f t="shared" ref="BZ686" si="68">IF(G686&gt;1,1,"")</f>
        <v>1</v>
      </c>
    </row>
    <row r="687" spans="1:78" ht="15.6" hidden="1" customHeight="1">
      <c r="A687" s="35" t="str">
        <f t="shared" si="64"/>
        <v/>
      </c>
      <c r="C687" s="358" t="s">
        <v>24</v>
      </c>
      <c r="D687" s="358">
        <v>683</v>
      </c>
      <c r="E687" s="119"/>
      <c r="F687" s="119"/>
      <c r="G687" s="266"/>
      <c r="H687" s="119"/>
      <c r="I687" s="358"/>
      <c r="J687" s="359" t="str">
        <f>IFERROR(VLOOKUP($A687,#REF!,3,0),"")</f>
        <v/>
      </c>
      <c r="K687" s="359">
        <f>IFERROR(VLOOKUP($A687,#REF!,4,0),AF687)</f>
        <v>0</v>
      </c>
      <c r="L687" s="359" t="str">
        <f>IFERROR(VLOOKUP($A687,#REF!,5,0),"")</f>
        <v/>
      </c>
      <c r="M687" s="359" t="str">
        <f>IFERROR(VLOOKUP($A687,#REF!,7,0),"")</f>
        <v/>
      </c>
      <c r="N687" s="359"/>
      <c r="O687" s="359" t="str">
        <f>IFERROR(VLOOKUP($A687,#REF!,6,0),"")</f>
        <v/>
      </c>
      <c r="P687" s="359" t="str">
        <f>IFERROR(VLOOKUP($A687,#REF!,9,0),"")</f>
        <v/>
      </c>
      <c r="Q687" s="359" t="str">
        <f>IFERROR(VLOOKUP($A687,#REF!,10,0),"")</f>
        <v/>
      </c>
      <c r="R687" s="359" t="str">
        <f>IFERROR(VLOOKUP($A687,#REF!,11,0),"")</f>
        <v/>
      </c>
      <c r="S687" s="359" t="str">
        <f>IFERROR(VLOOKUP($A687,#REF!,13,0),"")</f>
        <v/>
      </c>
      <c r="T687" s="359" t="str">
        <f>IFERROR(VLOOKUP($A687,#REF!,14,0),"")</f>
        <v/>
      </c>
      <c r="U687" s="359" t="str">
        <f>IFERROR(VLOOKUP($A687,#REF!,15,0),"")</f>
        <v/>
      </c>
      <c r="V687" s="359" t="str">
        <f>IFERROR(VLOOKUP($A687,#REF!,16,0),"")</f>
        <v/>
      </c>
      <c r="W687" s="359" t="str">
        <f>IFERROR(VLOOKUP($A687,#REF!,17,0),"")</f>
        <v/>
      </c>
      <c r="X687" s="359" t="str">
        <f>IFERROR(VLOOKUP($A687,#REF!,18,0),"")</f>
        <v/>
      </c>
      <c r="Y687" s="359" t="str">
        <f>IFERROR(VLOOKUP($A687,#REF!,19,0),"")</f>
        <v/>
      </c>
      <c r="Z687" s="400" t="str">
        <f>IFERROR(VLOOKUP($A687,#REF!,21,0),"")</f>
        <v/>
      </c>
      <c r="AA687" s="358"/>
      <c r="AB687" s="358"/>
      <c r="AC687" s="358"/>
      <c r="AD687" s="358"/>
      <c r="AE687" s="358"/>
      <c r="AF687" s="141"/>
      <c r="AG687" s="358"/>
      <c r="AH687" s="358"/>
      <c r="AI687" s="358"/>
      <c r="AJ687" s="380"/>
      <c r="AK687" s="380"/>
      <c r="AL687" s="380"/>
      <c r="AM687" s="380"/>
      <c r="AN687" s="120"/>
      <c r="AO687" s="120"/>
      <c r="AP687" s="120"/>
      <c r="AQ687" s="93"/>
      <c r="AR687" s="358"/>
      <c r="AS687" s="358"/>
      <c r="AT687" s="358"/>
      <c r="AU687" s="358"/>
      <c r="AV687" s="358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112"/>
      <c r="BH687" s="112"/>
      <c r="BI687" s="112"/>
      <c r="BJ687" s="112"/>
      <c r="BK687" s="82"/>
      <c r="BL687" s="82"/>
      <c r="BN687" s="412"/>
      <c r="BO687" s="412"/>
      <c r="BP687" s="412"/>
      <c r="BQ687" s="412"/>
      <c r="BR687" s="412"/>
      <c r="BZ687" t="str">
        <f t="shared" si="63"/>
        <v/>
      </c>
    </row>
    <row r="688" spans="1:78" ht="15.6" hidden="1" customHeight="1">
      <c r="A688" s="35" t="str">
        <f t="shared" si="64"/>
        <v/>
      </c>
      <c r="C688" s="358" t="s">
        <v>24</v>
      </c>
      <c r="D688" s="358">
        <v>684</v>
      </c>
      <c r="E688" s="119"/>
      <c r="F688" s="119"/>
      <c r="G688" s="266"/>
      <c r="H688" s="119"/>
      <c r="I688" s="358"/>
      <c r="J688" s="359" t="str">
        <f>IFERROR(VLOOKUP($A688,#REF!,3,0),"")</f>
        <v/>
      </c>
      <c r="K688" s="359">
        <f>IFERROR(VLOOKUP($A688,#REF!,4,0),AF688)</f>
        <v>0</v>
      </c>
      <c r="L688" s="359" t="str">
        <f>IFERROR(VLOOKUP($A688,#REF!,5,0),"")</f>
        <v/>
      </c>
      <c r="M688" s="359" t="str">
        <f>IFERROR(VLOOKUP($A688,#REF!,7,0),"")</f>
        <v/>
      </c>
      <c r="N688" s="359"/>
      <c r="O688" s="359" t="str">
        <f>IFERROR(VLOOKUP($A688,#REF!,6,0),"")</f>
        <v/>
      </c>
      <c r="P688" s="359" t="str">
        <f>IFERROR(VLOOKUP($A688,#REF!,9,0),"")</f>
        <v/>
      </c>
      <c r="Q688" s="359" t="str">
        <f>IFERROR(VLOOKUP($A688,#REF!,10,0),"")</f>
        <v/>
      </c>
      <c r="R688" s="359" t="str">
        <f>IFERROR(VLOOKUP($A688,#REF!,11,0),"")</f>
        <v/>
      </c>
      <c r="S688" s="359" t="str">
        <f>IFERROR(VLOOKUP($A688,#REF!,13,0),"")</f>
        <v/>
      </c>
      <c r="T688" s="359" t="str">
        <f>IFERROR(VLOOKUP($A688,#REF!,14,0),"")</f>
        <v/>
      </c>
      <c r="U688" s="359" t="str">
        <f>IFERROR(VLOOKUP($A688,#REF!,15,0),"")</f>
        <v/>
      </c>
      <c r="V688" s="359" t="str">
        <f>IFERROR(VLOOKUP($A688,#REF!,16,0),"")</f>
        <v/>
      </c>
      <c r="W688" s="359" t="str">
        <f>IFERROR(VLOOKUP($A688,#REF!,17,0),"")</f>
        <v/>
      </c>
      <c r="X688" s="359" t="str">
        <f>IFERROR(VLOOKUP($A688,#REF!,18,0),"")</f>
        <v/>
      </c>
      <c r="Y688" s="359" t="str">
        <f>IFERROR(VLOOKUP($A688,#REF!,19,0),"")</f>
        <v/>
      </c>
      <c r="Z688" s="400" t="str">
        <f>IFERROR(VLOOKUP($A688,#REF!,21,0),"")</f>
        <v/>
      </c>
      <c r="AA688" s="358"/>
      <c r="AB688" s="358"/>
      <c r="AC688" s="358"/>
      <c r="AD688" s="358"/>
      <c r="AE688" s="358"/>
      <c r="AF688" s="141"/>
      <c r="AG688" s="358"/>
      <c r="AH688" s="358"/>
      <c r="AI688" s="358"/>
      <c r="AJ688" s="380"/>
      <c r="AK688" s="380"/>
      <c r="AL688" s="380"/>
      <c r="AM688" s="380"/>
      <c r="AN688" s="120"/>
      <c r="AO688" s="120"/>
      <c r="AP688" s="120"/>
      <c r="AQ688" s="93"/>
      <c r="AR688" s="358"/>
      <c r="AS688" s="358"/>
      <c r="AT688" s="358"/>
      <c r="AU688" s="358"/>
      <c r="AV688" s="358"/>
      <c r="AW688" s="82"/>
      <c r="AX688" s="82"/>
      <c r="AY688" s="82"/>
      <c r="AZ688" s="82"/>
      <c r="BA688" s="82"/>
      <c r="BB688" s="82"/>
      <c r="BC688" s="82"/>
      <c r="BD688" s="82"/>
      <c r="BE688" s="82"/>
      <c r="BF688" s="82"/>
      <c r="BG688" s="112"/>
      <c r="BH688" s="112"/>
      <c r="BI688" s="112"/>
      <c r="BJ688" s="112"/>
      <c r="BK688" s="82"/>
      <c r="BL688" s="82"/>
      <c r="BN688" s="412"/>
      <c r="BO688" s="412"/>
      <c r="BP688" s="412"/>
      <c r="BQ688" s="412"/>
      <c r="BR688" s="412"/>
      <c r="BZ688" t="str">
        <f t="shared" si="63"/>
        <v/>
      </c>
    </row>
    <row r="689" spans="1:78" ht="15.6" hidden="1" customHeight="1">
      <c r="A689" s="35" t="str">
        <f t="shared" si="64"/>
        <v/>
      </c>
      <c r="C689" s="358" t="s">
        <v>24</v>
      </c>
      <c r="D689" s="358">
        <v>685</v>
      </c>
      <c r="E689" s="119"/>
      <c r="F689" s="119"/>
      <c r="G689" s="266"/>
      <c r="H689" s="119"/>
      <c r="I689" s="358"/>
      <c r="J689" s="359" t="str">
        <f>IFERROR(VLOOKUP($A689,#REF!,3,0),"")</f>
        <v/>
      </c>
      <c r="K689" s="359">
        <f>IFERROR(VLOOKUP($A689,#REF!,4,0),AF689)</f>
        <v>0</v>
      </c>
      <c r="L689" s="359" t="str">
        <f>IFERROR(VLOOKUP($A689,#REF!,5,0),"")</f>
        <v/>
      </c>
      <c r="M689" s="359" t="str">
        <f>IFERROR(VLOOKUP($A689,#REF!,7,0),"")</f>
        <v/>
      </c>
      <c r="N689" s="359"/>
      <c r="O689" s="359" t="str">
        <f>IFERROR(VLOOKUP($A689,#REF!,6,0),"")</f>
        <v/>
      </c>
      <c r="P689" s="359" t="str">
        <f>IFERROR(VLOOKUP($A689,#REF!,9,0),"")</f>
        <v/>
      </c>
      <c r="Q689" s="359" t="str">
        <f>IFERROR(VLOOKUP($A689,#REF!,10,0),"")</f>
        <v/>
      </c>
      <c r="R689" s="359" t="str">
        <f>IFERROR(VLOOKUP($A689,#REF!,11,0),"")</f>
        <v/>
      </c>
      <c r="S689" s="359" t="str">
        <f>IFERROR(VLOOKUP($A689,#REF!,13,0),"")</f>
        <v/>
      </c>
      <c r="T689" s="359" t="str">
        <f>IFERROR(VLOOKUP($A689,#REF!,14,0),"")</f>
        <v/>
      </c>
      <c r="U689" s="359" t="str">
        <f>IFERROR(VLOOKUP($A689,#REF!,15,0),"")</f>
        <v/>
      </c>
      <c r="V689" s="359" t="str">
        <f>IFERROR(VLOOKUP($A689,#REF!,16,0),"")</f>
        <v/>
      </c>
      <c r="W689" s="359" t="str">
        <f>IFERROR(VLOOKUP($A689,#REF!,17,0),"")</f>
        <v/>
      </c>
      <c r="X689" s="359" t="str">
        <f>IFERROR(VLOOKUP($A689,#REF!,18,0),"")</f>
        <v/>
      </c>
      <c r="Y689" s="359" t="str">
        <f>IFERROR(VLOOKUP($A689,#REF!,19,0),"")</f>
        <v/>
      </c>
      <c r="Z689" s="400" t="str">
        <f>IFERROR(VLOOKUP($A689,#REF!,21,0),"")</f>
        <v/>
      </c>
      <c r="AA689" s="358"/>
      <c r="AB689" s="358"/>
      <c r="AC689" s="358"/>
      <c r="AD689" s="358"/>
      <c r="AE689" s="358"/>
      <c r="AF689" s="141"/>
      <c r="AG689" s="358"/>
      <c r="AH689" s="358"/>
      <c r="AI689" s="358"/>
      <c r="AJ689" s="380"/>
      <c r="AK689" s="380"/>
      <c r="AL689" s="380"/>
      <c r="AM689" s="380"/>
      <c r="AN689" s="120"/>
      <c r="AO689" s="120"/>
      <c r="AP689" s="120"/>
      <c r="AQ689" s="93"/>
      <c r="AR689" s="358"/>
      <c r="AS689" s="358"/>
      <c r="AT689" s="358"/>
      <c r="AU689" s="358"/>
      <c r="AV689" s="358"/>
      <c r="AW689" s="82"/>
      <c r="AX689" s="82"/>
      <c r="AY689" s="82"/>
      <c r="AZ689" s="82"/>
      <c r="BA689" s="82"/>
      <c r="BB689" s="82"/>
      <c r="BC689" s="82"/>
      <c r="BD689" s="82"/>
      <c r="BE689" s="82"/>
      <c r="BF689" s="82"/>
      <c r="BG689" s="112"/>
      <c r="BH689" s="112"/>
      <c r="BI689" s="112"/>
      <c r="BJ689" s="112"/>
      <c r="BK689" s="82"/>
      <c r="BL689" s="82"/>
      <c r="BN689" s="412"/>
      <c r="BO689" s="412"/>
      <c r="BP689" s="412"/>
      <c r="BQ689" s="412"/>
      <c r="BR689" s="412"/>
      <c r="BZ689" t="str">
        <f t="shared" si="63"/>
        <v/>
      </c>
    </row>
    <row r="690" spans="1:78" ht="15.6" hidden="1" customHeight="1">
      <c r="A690" s="35" t="str">
        <f t="shared" si="64"/>
        <v/>
      </c>
      <c r="C690" s="358" t="s">
        <v>24</v>
      </c>
      <c r="D690" s="358">
        <v>686</v>
      </c>
      <c r="E690" s="119"/>
      <c r="F690" s="119"/>
      <c r="G690" s="266"/>
      <c r="H690" s="119"/>
      <c r="I690" s="358"/>
      <c r="J690" s="359" t="str">
        <f>IFERROR(VLOOKUP($A690,#REF!,3,0),"")</f>
        <v/>
      </c>
      <c r="K690" s="359">
        <f>IFERROR(VLOOKUP($A690,#REF!,4,0),AF690)</f>
        <v>0</v>
      </c>
      <c r="L690" s="359" t="str">
        <f>IFERROR(VLOOKUP($A690,#REF!,5,0),"")</f>
        <v/>
      </c>
      <c r="M690" s="359" t="str">
        <f>IFERROR(VLOOKUP($A690,#REF!,7,0),"")</f>
        <v/>
      </c>
      <c r="N690" s="359"/>
      <c r="O690" s="359" t="str">
        <f>IFERROR(VLOOKUP($A690,#REF!,6,0),"")</f>
        <v/>
      </c>
      <c r="P690" s="359" t="str">
        <f>IFERROR(VLOOKUP($A690,#REF!,9,0),"")</f>
        <v/>
      </c>
      <c r="Q690" s="359" t="str">
        <f>IFERROR(VLOOKUP($A690,#REF!,10,0),"")</f>
        <v/>
      </c>
      <c r="R690" s="359" t="str">
        <f>IFERROR(VLOOKUP($A690,#REF!,11,0),"")</f>
        <v/>
      </c>
      <c r="S690" s="359" t="str">
        <f>IFERROR(VLOOKUP($A690,#REF!,13,0),"")</f>
        <v/>
      </c>
      <c r="T690" s="359" t="str">
        <f>IFERROR(VLOOKUP($A690,#REF!,14,0),"")</f>
        <v/>
      </c>
      <c r="U690" s="359" t="str">
        <f>IFERROR(VLOOKUP($A690,#REF!,15,0),"")</f>
        <v/>
      </c>
      <c r="V690" s="359" t="str">
        <f>IFERROR(VLOOKUP($A690,#REF!,16,0),"")</f>
        <v/>
      </c>
      <c r="W690" s="359" t="str">
        <f>IFERROR(VLOOKUP($A690,#REF!,17,0),"")</f>
        <v/>
      </c>
      <c r="X690" s="359" t="str">
        <f>IFERROR(VLOOKUP($A690,#REF!,18,0),"")</f>
        <v/>
      </c>
      <c r="Y690" s="359" t="str">
        <f>IFERROR(VLOOKUP($A690,#REF!,19,0),"")</f>
        <v/>
      </c>
      <c r="Z690" s="400" t="str">
        <f>IFERROR(VLOOKUP($A690,#REF!,21,0),"")</f>
        <v/>
      </c>
      <c r="AA690" s="358"/>
      <c r="AB690" s="358"/>
      <c r="AC690" s="358"/>
      <c r="AD690" s="358"/>
      <c r="AE690" s="358"/>
      <c r="AF690" s="141"/>
      <c r="AG690" s="358"/>
      <c r="AH690" s="358"/>
      <c r="AI690" s="358"/>
      <c r="AJ690" s="380"/>
      <c r="AK690" s="380"/>
      <c r="AL690" s="380"/>
      <c r="AM690" s="380"/>
      <c r="AN690" s="120"/>
      <c r="AO690" s="120"/>
      <c r="AP690" s="120"/>
      <c r="AQ690" s="93"/>
      <c r="AR690" s="358"/>
      <c r="AS690" s="358"/>
      <c r="AT690" s="358"/>
      <c r="AU690" s="358"/>
      <c r="AV690" s="358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112"/>
      <c r="BH690" s="112"/>
      <c r="BI690" s="112"/>
      <c r="BJ690" s="112"/>
      <c r="BK690" s="82"/>
      <c r="BL690" s="82"/>
      <c r="BN690" s="412"/>
      <c r="BO690" s="412"/>
      <c r="BP690" s="412"/>
      <c r="BQ690" s="412"/>
      <c r="BR690" s="412"/>
      <c r="BZ690" t="str">
        <f t="shared" si="63"/>
        <v/>
      </c>
    </row>
    <row r="691" spans="1:78" ht="15.6" hidden="1" customHeight="1">
      <c r="A691" s="35" t="str">
        <f t="shared" si="64"/>
        <v/>
      </c>
      <c r="C691" s="358" t="s">
        <v>24</v>
      </c>
      <c r="D691" s="358">
        <v>687</v>
      </c>
      <c r="E691" s="119"/>
      <c r="F691" s="119"/>
      <c r="G691" s="266"/>
      <c r="H691" s="119"/>
      <c r="I691" s="358"/>
      <c r="J691" s="359" t="str">
        <f>IFERROR(VLOOKUP($A691,#REF!,3,0),"")</f>
        <v/>
      </c>
      <c r="K691" s="359">
        <f>IFERROR(VLOOKUP($A691,#REF!,4,0),AF691)</f>
        <v>0</v>
      </c>
      <c r="L691" s="359" t="str">
        <f>IFERROR(VLOOKUP($A691,#REF!,5,0),"")</f>
        <v/>
      </c>
      <c r="M691" s="359" t="str">
        <f>IFERROR(VLOOKUP($A691,#REF!,7,0),"")</f>
        <v/>
      </c>
      <c r="N691" s="359"/>
      <c r="O691" s="359" t="str">
        <f>IFERROR(VLOOKUP($A691,#REF!,6,0),"")</f>
        <v/>
      </c>
      <c r="P691" s="359" t="str">
        <f>IFERROR(VLOOKUP($A691,#REF!,9,0),"")</f>
        <v/>
      </c>
      <c r="Q691" s="359" t="str">
        <f>IFERROR(VLOOKUP($A691,#REF!,10,0),"")</f>
        <v/>
      </c>
      <c r="R691" s="359" t="str">
        <f>IFERROR(VLOOKUP($A691,#REF!,11,0),"")</f>
        <v/>
      </c>
      <c r="S691" s="359" t="str">
        <f>IFERROR(VLOOKUP($A691,#REF!,13,0),"")</f>
        <v/>
      </c>
      <c r="T691" s="359" t="str">
        <f>IFERROR(VLOOKUP($A691,#REF!,14,0),"")</f>
        <v/>
      </c>
      <c r="U691" s="359" t="str">
        <f>IFERROR(VLOOKUP($A691,#REF!,15,0),"")</f>
        <v/>
      </c>
      <c r="V691" s="359" t="str">
        <f>IFERROR(VLOOKUP($A691,#REF!,16,0),"")</f>
        <v/>
      </c>
      <c r="W691" s="359" t="str">
        <f>IFERROR(VLOOKUP($A691,#REF!,17,0),"")</f>
        <v/>
      </c>
      <c r="X691" s="359" t="str">
        <f>IFERROR(VLOOKUP($A691,#REF!,18,0),"")</f>
        <v/>
      </c>
      <c r="Y691" s="359" t="str">
        <f>IFERROR(VLOOKUP($A691,#REF!,19,0),"")</f>
        <v/>
      </c>
      <c r="Z691" s="400" t="str">
        <f>IFERROR(VLOOKUP($A691,#REF!,21,0),"")</f>
        <v/>
      </c>
      <c r="AA691" s="358"/>
      <c r="AB691" s="358"/>
      <c r="AC691" s="358"/>
      <c r="AD691" s="358"/>
      <c r="AE691" s="358"/>
      <c r="AF691" s="141"/>
      <c r="AG691" s="358"/>
      <c r="AH691" s="358"/>
      <c r="AI691" s="358"/>
      <c r="AJ691" s="380"/>
      <c r="AK691" s="380"/>
      <c r="AL691" s="380"/>
      <c r="AM691" s="380"/>
      <c r="AN691" s="120"/>
      <c r="AO691" s="120"/>
      <c r="AP691" s="120"/>
      <c r="AQ691" s="93"/>
      <c r="AR691" s="358"/>
      <c r="AS691" s="358"/>
      <c r="AT691" s="358"/>
      <c r="AU691" s="358"/>
      <c r="AV691" s="358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112"/>
      <c r="BH691" s="112"/>
      <c r="BI691" s="112"/>
      <c r="BJ691" s="112"/>
      <c r="BK691" s="82"/>
      <c r="BL691" s="82"/>
      <c r="BN691" s="412"/>
      <c r="BO691" s="412"/>
      <c r="BP691" s="412"/>
      <c r="BQ691" s="412"/>
      <c r="BR691" s="412"/>
      <c r="BZ691" t="str">
        <f t="shared" si="63"/>
        <v/>
      </c>
    </row>
    <row r="692" spans="1:78" ht="15.6" hidden="1" customHeight="1">
      <c r="A692" s="35" t="str">
        <f t="shared" si="64"/>
        <v/>
      </c>
      <c r="C692" s="358" t="s">
        <v>24</v>
      </c>
      <c r="D692" s="358">
        <v>688</v>
      </c>
      <c r="E692" s="119"/>
      <c r="F692" s="119"/>
      <c r="G692" s="266"/>
      <c r="H692" s="119"/>
      <c r="I692" s="358"/>
      <c r="J692" s="359" t="str">
        <f>IFERROR(VLOOKUP($A692,#REF!,3,0),"")</f>
        <v/>
      </c>
      <c r="K692" s="359">
        <f>IFERROR(VLOOKUP($A692,#REF!,4,0),AF692)</f>
        <v>0</v>
      </c>
      <c r="L692" s="359" t="str">
        <f>IFERROR(VLOOKUP($A692,#REF!,5,0),"")</f>
        <v/>
      </c>
      <c r="M692" s="359" t="str">
        <f>IFERROR(VLOOKUP($A692,#REF!,7,0),"")</f>
        <v/>
      </c>
      <c r="N692" s="359"/>
      <c r="O692" s="359" t="str">
        <f>IFERROR(VLOOKUP($A692,#REF!,6,0),"")</f>
        <v/>
      </c>
      <c r="P692" s="359" t="str">
        <f>IFERROR(VLOOKUP($A692,#REF!,9,0),"")</f>
        <v/>
      </c>
      <c r="Q692" s="359" t="str">
        <f>IFERROR(VLOOKUP($A692,#REF!,10,0),"")</f>
        <v/>
      </c>
      <c r="R692" s="359" t="str">
        <f>IFERROR(VLOOKUP($A692,#REF!,11,0),"")</f>
        <v/>
      </c>
      <c r="S692" s="359" t="str">
        <f>IFERROR(VLOOKUP($A692,#REF!,13,0),"")</f>
        <v/>
      </c>
      <c r="T692" s="359" t="str">
        <f>IFERROR(VLOOKUP($A692,#REF!,14,0),"")</f>
        <v/>
      </c>
      <c r="U692" s="359" t="str">
        <f>IFERROR(VLOOKUP($A692,#REF!,15,0),"")</f>
        <v/>
      </c>
      <c r="V692" s="359" t="str">
        <f>IFERROR(VLOOKUP($A692,#REF!,16,0),"")</f>
        <v/>
      </c>
      <c r="W692" s="359" t="str">
        <f>IFERROR(VLOOKUP($A692,#REF!,17,0),"")</f>
        <v/>
      </c>
      <c r="X692" s="359" t="str">
        <f>IFERROR(VLOOKUP($A692,#REF!,18,0),"")</f>
        <v/>
      </c>
      <c r="Y692" s="359" t="str">
        <f>IFERROR(VLOOKUP($A692,#REF!,19,0),"")</f>
        <v/>
      </c>
      <c r="Z692" s="400" t="str">
        <f>IFERROR(VLOOKUP($A692,#REF!,21,0),"")</f>
        <v/>
      </c>
      <c r="AA692" s="358"/>
      <c r="AB692" s="358"/>
      <c r="AC692" s="358"/>
      <c r="AD692" s="358"/>
      <c r="AE692" s="358"/>
      <c r="AF692" s="141"/>
      <c r="AG692" s="358"/>
      <c r="AH692" s="358"/>
      <c r="AI692" s="358"/>
      <c r="AJ692" s="380"/>
      <c r="AK692" s="380"/>
      <c r="AL692" s="380"/>
      <c r="AM692" s="380"/>
      <c r="AN692" s="120"/>
      <c r="AO692" s="120"/>
      <c r="AP692" s="120"/>
      <c r="AQ692" s="93"/>
      <c r="AR692" s="358"/>
      <c r="AS692" s="358"/>
      <c r="AT692" s="358"/>
      <c r="AU692" s="358"/>
      <c r="AV692" s="358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112"/>
      <c r="BH692" s="112"/>
      <c r="BI692" s="112"/>
      <c r="BJ692" s="112"/>
      <c r="BK692" s="82"/>
      <c r="BL692" s="82"/>
      <c r="BN692" s="412"/>
      <c r="BO692" s="412"/>
      <c r="BP692" s="412"/>
      <c r="BQ692" s="412"/>
      <c r="BR692" s="412"/>
      <c r="BZ692" t="str">
        <f t="shared" si="63"/>
        <v/>
      </c>
    </row>
    <row r="693" spans="1:78" ht="15.6" hidden="1" customHeight="1">
      <c r="A693" s="35" t="str">
        <f t="shared" si="64"/>
        <v/>
      </c>
      <c r="C693" s="358" t="s">
        <v>24</v>
      </c>
      <c r="D693" s="358">
        <v>689</v>
      </c>
      <c r="E693" s="119"/>
      <c r="F693" s="119"/>
      <c r="G693" s="266"/>
      <c r="H693" s="119"/>
      <c r="I693" s="358"/>
      <c r="J693" s="359" t="str">
        <f>IFERROR(VLOOKUP($A693,#REF!,3,0),"")</f>
        <v/>
      </c>
      <c r="K693" s="359">
        <f>IFERROR(VLOOKUP($A693,#REF!,4,0),AF693)</f>
        <v>0</v>
      </c>
      <c r="L693" s="359" t="str">
        <f>IFERROR(VLOOKUP($A693,#REF!,5,0),"")</f>
        <v/>
      </c>
      <c r="M693" s="359" t="str">
        <f>IFERROR(VLOOKUP($A693,#REF!,7,0),"")</f>
        <v/>
      </c>
      <c r="N693" s="359"/>
      <c r="O693" s="359" t="str">
        <f>IFERROR(VLOOKUP($A693,#REF!,6,0),"")</f>
        <v/>
      </c>
      <c r="P693" s="359" t="str">
        <f>IFERROR(VLOOKUP($A693,#REF!,9,0),"")</f>
        <v/>
      </c>
      <c r="Q693" s="359" t="str">
        <f>IFERROR(VLOOKUP($A693,#REF!,10,0),"")</f>
        <v/>
      </c>
      <c r="R693" s="359" t="str">
        <f>IFERROR(VLOOKUP($A693,#REF!,11,0),"")</f>
        <v/>
      </c>
      <c r="S693" s="359" t="str">
        <f>IFERROR(VLOOKUP($A693,#REF!,13,0),"")</f>
        <v/>
      </c>
      <c r="T693" s="359" t="str">
        <f>IFERROR(VLOOKUP($A693,#REF!,14,0),"")</f>
        <v/>
      </c>
      <c r="U693" s="359" t="str">
        <f>IFERROR(VLOOKUP($A693,#REF!,15,0),"")</f>
        <v/>
      </c>
      <c r="V693" s="359" t="str">
        <f>IFERROR(VLOOKUP($A693,#REF!,16,0),"")</f>
        <v/>
      </c>
      <c r="W693" s="359" t="str">
        <f>IFERROR(VLOOKUP($A693,#REF!,17,0),"")</f>
        <v/>
      </c>
      <c r="X693" s="359" t="str">
        <f>IFERROR(VLOOKUP($A693,#REF!,18,0),"")</f>
        <v/>
      </c>
      <c r="Y693" s="359" t="str">
        <f>IFERROR(VLOOKUP($A693,#REF!,19,0),"")</f>
        <v/>
      </c>
      <c r="Z693" s="400" t="str">
        <f>IFERROR(VLOOKUP($A693,#REF!,21,0),"")</f>
        <v/>
      </c>
      <c r="AA693" s="358"/>
      <c r="AB693" s="358"/>
      <c r="AC693" s="358"/>
      <c r="AD693" s="358"/>
      <c r="AE693" s="358"/>
      <c r="AF693" s="141"/>
      <c r="AG693" s="358"/>
      <c r="AH693" s="358"/>
      <c r="AI693" s="358"/>
      <c r="AJ693" s="380"/>
      <c r="AK693" s="380"/>
      <c r="AL693" s="380"/>
      <c r="AM693" s="380"/>
      <c r="AN693" s="120"/>
      <c r="AO693" s="120"/>
      <c r="AP693" s="120"/>
      <c r="AQ693" s="93"/>
      <c r="AR693" s="358"/>
      <c r="AS693" s="358"/>
      <c r="AT693" s="358"/>
      <c r="AU693" s="358"/>
      <c r="AV693" s="358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112"/>
      <c r="BH693" s="112"/>
      <c r="BI693" s="112"/>
      <c r="BJ693" s="112"/>
      <c r="BK693" s="82"/>
      <c r="BL693" s="82"/>
      <c r="BN693" s="412"/>
      <c r="BO693" s="412"/>
      <c r="BP693" s="412"/>
      <c r="BQ693" s="412"/>
      <c r="BR693" s="412"/>
      <c r="BZ693" t="str">
        <f t="shared" si="63"/>
        <v/>
      </c>
    </row>
    <row r="694" spans="1:78" ht="15.6" hidden="1" customHeight="1">
      <c r="A694" s="35" t="str">
        <f t="shared" si="64"/>
        <v/>
      </c>
      <c r="C694" s="358" t="s">
        <v>24</v>
      </c>
      <c r="D694" s="358">
        <v>690</v>
      </c>
      <c r="E694" s="119"/>
      <c r="F694" s="119"/>
      <c r="G694" s="266"/>
      <c r="H694" s="119"/>
      <c r="I694" s="358"/>
      <c r="J694" s="359" t="str">
        <f>IFERROR(VLOOKUP($A694,#REF!,3,0),"")</f>
        <v/>
      </c>
      <c r="K694" s="359">
        <f>IFERROR(VLOOKUP($A694,#REF!,4,0),AF694)</f>
        <v>0</v>
      </c>
      <c r="L694" s="359" t="str">
        <f>IFERROR(VLOOKUP($A694,#REF!,5,0),"")</f>
        <v/>
      </c>
      <c r="M694" s="359" t="str">
        <f>IFERROR(VLOOKUP($A694,#REF!,7,0),"")</f>
        <v/>
      </c>
      <c r="N694" s="359"/>
      <c r="O694" s="359" t="str">
        <f>IFERROR(VLOOKUP($A694,#REF!,6,0),"")</f>
        <v/>
      </c>
      <c r="P694" s="359" t="str">
        <f>IFERROR(VLOOKUP($A694,#REF!,9,0),"")</f>
        <v/>
      </c>
      <c r="Q694" s="359" t="str">
        <f>IFERROR(VLOOKUP($A694,#REF!,10,0),"")</f>
        <v/>
      </c>
      <c r="R694" s="359" t="str">
        <f>IFERROR(VLOOKUP($A694,#REF!,11,0),"")</f>
        <v/>
      </c>
      <c r="S694" s="359" t="str">
        <f>IFERROR(VLOOKUP($A694,#REF!,13,0),"")</f>
        <v/>
      </c>
      <c r="T694" s="359" t="str">
        <f>IFERROR(VLOOKUP($A694,#REF!,14,0),"")</f>
        <v/>
      </c>
      <c r="U694" s="359" t="str">
        <f>IFERROR(VLOOKUP($A694,#REF!,15,0),"")</f>
        <v/>
      </c>
      <c r="V694" s="359" t="str">
        <f>IFERROR(VLOOKUP($A694,#REF!,16,0),"")</f>
        <v/>
      </c>
      <c r="W694" s="359" t="str">
        <f>IFERROR(VLOOKUP($A694,#REF!,17,0),"")</f>
        <v/>
      </c>
      <c r="X694" s="359" t="str">
        <f>IFERROR(VLOOKUP($A694,#REF!,18,0),"")</f>
        <v/>
      </c>
      <c r="Y694" s="359" t="str">
        <f>IFERROR(VLOOKUP($A694,#REF!,19,0),"")</f>
        <v/>
      </c>
      <c r="Z694" s="400" t="str">
        <f>IFERROR(VLOOKUP($A694,#REF!,21,0),"")</f>
        <v/>
      </c>
      <c r="AA694" s="358"/>
      <c r="AB694" s="358"/>
      <c r="AC694" s="358"/>
      <c r="AD694" s="358"/>
      <c r="AE694" s="358"/>
      <c r="AF694" s="141"/>
      <c r="AG694" s="358"/>
      <c r="AH694" s="358"/>
      <c r="AI694" s="358"/>
      <c r="AJ694" s="380"/>
      <c r="AK694" s="380"/>
      <c r="AL694" s="380"/>
      <c r="AM694" s="380"/>
      <c r="AN694" s="120"/>
      <c r="AO694" s="120"/>
      <c r="AP694" s="120"/>
      <c r="AQ694" s="93"/>
      <c r="AR694" s="358"/>
      <c r="AS694" s="358"/>
      <c r="AT694" s="358"/>
      <c r="AU694" s="358"/>
      <c r="AV694" s="358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112"/>
      <c r="BH694" s="112"/>
      <c r="BI694" s="112"/>
      <c r="BJ694" s="112"/>
      <c r="BK694" s="82"/>
      <c r="BL694" s="82"/>
      <c r="BN694" s="412"/>
      <c r="BO694" s="412"/>
      <c r="BP694" s="412"/>
      <c r="BQ694" s="412"/>
      <c r="BR694" s="412"/>
      <c r="BZ694" t="str">
        <f t="shared" si="63"/>
        <v/>
      </c>
    </row>
    <row r="695" spans="1:78" ht="15.6" hidden="1" customHeight="1">
      <c r="A695" s="35" t="str">
        <f t="shared" si="64"/>
        <v/>
      </c>
      <c r="C695" s="358" t="s">
        <v>24</v>
      </c>
      <c r="D695" s="358">
        <v>691</v>
      </c>
      <c r="E695" s="119"/>
      <c r="F695" s="119"/>
      <c r="G695" s="266"/>
      <c r="H695" s="119"/>
      <c r="I695" s="358"/>
      <c r="J695" s="359" t="str">
        <f>IFERROR(VLOOKUP($A695,#REF!,3,0),"")</f>
        <v/>
      </c>
      <c r="K695" s="359">
        <f>IFERROR(VLOOKUP($A695,#REF!,4,0),AF695)</f>
        <v>0</v>
      </c>
      <c r="L695" s="359" t="str">
        <f>IFERROR(VLOOKUP($A695,#REF!,5,0),"")</f>
        <v/>
      </c>
      <c r="M695" s="359" t="str">
        <f>IFERROR(VLOOKUP($A695,#REF!,7,0),"")</f>
        <v/>
      </c>
      <c r="N695" s="359"/>
      <c r="O695" s="359" t="str">
        <f>IFERROR(VLOOKUP($A695,#REF!,6,0),"")</f>
        <v/>
      </c>
      <c r="P695" s="359" t="str">
        <f>IFERROR(VLOOKUP($A695,#REF!,9,0),"")</f>
        <v/>
      </c>
      <c r="Q695" s="359" t="str">
        <f>IFERROR(VLOOKUP($A695,#REF!,10,0),"")</f>
        <v/>
      </c>
      <c r="R695" s="359" t="str">
        <f>IFERROR(VLOOKUP($A695,#REF!,11,0),"")</f>
        <v/>
      </c>
      <c r="S695" s="359" t="str">
        <f>IFERROR(VLOOKUP($A695,#REF!,13,0),"")</f>
        <v/>
      </c>
      <c r="T695" s="359" t="str">
        <f>IFERROR(VLOOKUP($A695,#REF!,14,0),"")</f>
        <v/>
      </c>
      <c r="U695" s="359" t="str">
        <f>IFERROR(VLOOKUP($A695,#REF!,15,0),"")</f>
        <v/>
      </c>
      <c r="V695" s="359" t="str">
        <f>IFERROR(VLOOKUP($A695,#REF!,16,0),"")</f>
        <v/>
      </c>
      <c r="W695" s="359" t="str">
        <f>IFERROR(VLOOKUP($A695,#REF!,17,0),"")</f>
        <v/>
      </c>
      <c r="X695" s="359" t="str">
        <f>IFERROR(VLOOKUP($A695,#REF!,18,0),"")</f>
        <v/>
      </c>
      <c r="Y695" s="359" t="str">
        <f>IFERROR(VLOOKUP($A695,#REF!,19,0),"")</f>
        <v/>
      </c>
      <c r="Z695" s="400" t="str">
        <f>IFERROR(VLOOKUP($A695,#REF!,21,0),"")</f>
        <v/>
      </c>
      <c r="AA695" s="358"/>
      <c r="AB695" s="358"/>
      <c r="AC695" s="119"/>
      <c r="AD695" s="119"/>
      <c r="AE695" s="119"/>
      <c r="AF695" s="277"/>
      <c r="AG695" s="119"/>
      <c r="AH695" s="358"/>
      <c r="AI695" s="358"/>
      <c r="AJ695" s="380"/>
      <c r="AK695" s="380"/>
      <c r="AL695" s="380"/>
      <c r="AM695" s="380"/>
      <c r="AN695" s="120"/>
      <c r="AO695" s="120"/>
      <c r="AP695" s="120"/>
      <c r="AQ695" s="313"/>
      <c r="AR695" s="119"/>
      <c r="AS695" s="22"/>
      <c r="AT695" s="22"/>
      <c r="AU695" s="22"/>
      <c r="AV695" s="2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112"/>
      <c r="BH695" s="112"/>
      <c r="BI695" s="112"/>
      <c r="BJ695" s="112"/>
      <c r="BK695" s="82"/>
      <c r="BL695" s="82"/>
      <c r="BN695" s="412"/>
      <c r="BO695" s="412"/>
      <c r="BP695" s="412"/>
      <c r="BQ695" s="412"/>
      <c r="BR695" s="412"/>
      <c r="BZ695" t="str">
        <f t="shared" si="63"/>
        <v/>
      </c>
    </row>
    <row r="696" spans="1:78" ht="15.6" hidden="1" customHeight="1">
      <c r="A696" s="35" t="str">
        <f t="shared" si="64"/>
        <v/>
      </c>
      <c r="C696" s="358" t="s">
        <v>24</v>
      </c>
      <c r="D696" s="358">
        <v>692</v>
      </c>
      <c r="E696" s="119"/>
      <c r="F696" s="119"/>
      <c r="G696" s="266"/>
      <c r="H696" s="119"/>
      <c r="I696" s="358"/>
      <c r="J696" s="359" t="str">
        <f>IFERROR(VLOOKUP($A696,#REF!,3,0),"")</f>
        <v/>
      </c>
      <c r="K696" s="359">
        <f>IFERROR(VLOOKUP($A696,#REF!,4,0),AF696)</f>
        <v>0</v>
      </c>
      <c r="L696" s="359" t="str">
        <f>IFERROR(VLOOKUP($A696,#REF!,5,0),"")</f>
        <v/>
      </c>
      <c r="M696" s="359" t="str">
        <f>IFERROR(VLOOKUP($A696,#REF!,7,0),"")</f>
        <v/>
      </c>
      <c r="N696" s="359"/>
      <c r="O696" s="359" t="str">
        <f>IFERROR(VLOOKUP($A696,#REF!,6,0),"")</f>
        <v/>
      </c>
      <c r="P696" s="359" t="str">
        <f>IFERROR(VLOOKUP($A696,#REF!,9,0),"")</f>
        <v/>
      </c>
      <c r="Q696" s="359" t="str">
        <f>IFERROR(VLOOKUP($A696,#REF!,10,0),"")</f>
        <v/>
      </c>
      <c r="R696" s="359" t="str">
        <f>IFERROR(VLOOKUP($A696,#REF!,11,0),"")</f>
        <v/>
      </c>
      <c r="S696" s="359" t="str">
        <f>IFERROR(VLOOKUP($A696,#REF!,13,0),"")</f>
        <v/>
      </c>
      <c r="T696" s="359" t="str">
        <f>IFERROR(VLOOKUP($A696,#REF!,14,0),"")</f>
        <v/>
      </c>
      <c r="U696" s="359" t="str">
        <f>IFERROR(VLOOKUP($A696,#REF!,15,0),"")</f>
        <v/>
      </c>
      <c r="V696" s="359" t="str">
        <f>IFERROR(VLOOKUP($A696,#REF!,16,0),"")</f>
        <v/>
      </c>
      <c r="W696" s="359" t="str">
        <f>IFERROR(VLOOKUP($A696,#REF!,17,0),"")</f>
        <v/>
      </c>
      <c r="X696" s="359" t="str">
        <f>IFERROR(VLOOKUP($A696,#REF!,18,0),"")</f>
        <v/>
      </c>
      <c r="Y696" s="359" t="str">
        <f>IFERROR(VLOOKUP($A696,#REF!,19,0),"")</f>
        <v/>
      </c>
      <c r="Z696" s="400" t="str">
        <f>IFERROR(VLOOKUP($A696,#REF!,21,0),"")</f>
        <v/>
      </c>
      <c r="AA696" s="358"/>
      <c r="AB696" s="358"/>
      <c r="AC696" s="119"/>
      <c r="AD696" s="119"/>
      <c r="AE696" s="119"/>
      <c r="AF696" s="277"/>
      <c r="AG696" s="119"/>
      <c r="AH696" s="358"/>
      <c r="AI696" s="358"/>
      <c r="AJ696" s="380"/>
      <c r="AK696" s="380"/>
      <c r="AL696" s="380"/>
      <c r="AM696" s="380"/>
      <c r="AN696" s="120"/>
      <c r="AO696" s="120"/>
      <c r="AP696" s="120"/>
      <c r="AQ696" s="313"/>
      <c r="AR696" s="119"/>
      <c r="AS696" s="22"/>
      <c r="AT696" s="22"/>
      <c r="AU696" s="22"/>
      <c r="AV696" s="2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112"/>
      <c r="BH696" s="112"/>
      <c r="BI696" s="112"/>
      <c r="BJ696" s="112"/>
      <c r="BK696" s="82"/>
      <c r="BL696" s="82"/>
      <c r="BN696" s="412"/>
      <c r="BO696" s="412"/>
      <c r="BP696" s="412"/>
      <c r="BQ696" s="412"/>
      <c r="BR696" s="412"/>
      <c r="BZ696" t="str">
        <f t="shared" si="63"/>
        <v/>
      </c>
    </row>
    <row r="697" spans="1:78" ht="15.6" hidden="1" customHeight="1">
      <c r="A697" s="35" t="str">
        <f t="shared" si="64"/>
        <v/>
      </c>
      <c r="C697" s="358" t="s">
        <v>24</v>
      </c>
      <c r="D697" s="358">
        <v>693</v>
      </c>
      <c r="E697" s="119"/>
      <c r="F697" s="119"/>
      <c r="G697" s="266"/>
      <c r="H697" s="119"/>
      <c r="I697" s="358"/>
      <c r="J697" s="359" t="str">
        <f>IFERROR(VLOOKUP($A697,#REF!,3,0),"")</f>
        <v/>
      </c>
      <c r="K697" s="359">
        <f>IFERROR(VLOOKUP($A697,#REF!,4,0),AF697)</f>
        <v>0</v>
      </c>
      <c r="L697" s="359" t="str">
        <f>IFERROR(VLOOKUP($A697,#REF!,5,0),"")</f>
        <v/>
      </c>
      <c r="M697" s="359" t="str">
        <f>IFERROR(VLOOKUP($A697,#REF!,7,0),"")</f>
        <v/>
      </c>
      <c r="N697" s="359"/>
      <c r="O697" s="359" t="str">
        <f>IFERROR(VLOOKUP($A697,#REF!,6,0),"")</f>
        <v/>
      </c>
      <c r="P697" s="359" t="str">
        <f>IFERROR(VLOOKUP($A697,#REF!,9,0),"")</f>
        <v/>
      </c>
      <c r="Q697" s="359" t="str">
        <f>IFERROR(VLOOKUP($A697,#REF!,10,0),"")</f>
        <v/>
      </c>
      <c r="R697" s="359" t="str">
        <f>IFERROR(VLOOKUP($A697,#REF!,11,0),"")</f>
        <v/>
      </c>
      <c r="S697" s="359" t="str">
        <f>IFERROR(VLOOKUP($A697,#REF!,13,0),"")</f>
        <v/>
      </c>
      <c r="T697" s="359" t="str">
        <f>IFERROR(VLOOKUP($A697,#REF!,14,0),"")</f>
        <v/>
      </c>
      <c r="U697" s="359" t="str">
        <f>IFERROR(VLOOKUP($A697,#REF!,15,0),"")</f>
        <v/>
      </c>
      <c r="V697" s="359" t="str">
        <f>IFERROR(VLOOKUP($A697,#REF!,16,0),"")</f>
        <v/>
      </c>
      <c r="W697" s="359" t="str">
        <f>IFERROR(VLOOKUP($A697,#REF!,17,0),"")</f>
        <v/>
      </c>
      <c r="X697" s="359" t="str">
        <f>IFERROR(VLOOKUP($A697,#REF!,18,0),"")</f>
        <v/>
      </c>
      <c r="Y697" s="359" t="str">
        <f>IFERROR(VLOOKUP($A697,#REF!,19,0),"")</f>
        <v/>
      </c>
      <c r="Z697" s="400" t="str">
        <f>IFERROR(VLOOKUP($A697,#REF!,21,0),"")</f>
        <v/>
      </c>
      <c r="AA697" s="358"/>
      <c r="AB697" s="358"/>
      <c r="AC697" s="119"/>
      <c r="AD697" s="119"/>
      <c r="AE697" s="119"/>
      <c r="AF697" s="277"/>
      <c r="AG697" s="119"/>
      <c r="AH697" s="358"/>
      <c r="AI697" s="358"/>
      <c r="AJ697" s="380"/>
      <c r="AK697" s="380"/>
      <c r="AL697" s="380"/>
      <c r="AM697" s="380"/>
      <c r="AN697" s="120"/>
      <c r="AO697" s="120"/>
      <c r="AP697" s="120"/>
      <c r="AQ697" s="313"/>
      <c r="AR697" s="119"/>
      <c r="AS697" s="22"/>
      <c r="AT697" s="22"/>
      <c r="AU697" s="22"/>
      <c r="AV697" s="2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112"/>
      <c r="BH697" s="112"/>
      <c r="BI697" s="112"/>
      <c r="BJ697" s="112"/>
      <c r="BK697" s="82"/>
      <c r="BL697" s="82"/>
      <c r="BN697" s="412"/>
      <c r="BO697" s="412"/>
      <c r="BP697" s="412"/>
      <c r="BQ697" s="412"/>
      <c r="BR697" s="412"/>
      <c r="BZ697" t="str">
        <f t="shared" si="63"/>
        <v/>
      </c>
    </row>
    <row r="698" spans="1:78" ht="15.6" hidden="1" customHeight="1">
      <c r="A698" s="35" t="str">
        <f t="shared" si="64"/>
        <v/>
      </c>
      <c r="C698" s="358" t="s">
        <v>24</v>
      </c>
      <c r="D698" s="358">
        <v>694</v>
      </c>
      <c r="E698" s="119"/>
      <c r="F698" s="119"/>
      <c r="G698" s="266"/>
      <c r="H698" s="119"/>
      <c r="I698" s="358"/>
      <c r="J698" s="359" t="str">
        <f>IFERROR(VLOOKUP($A698,#REF!,3,0),"")</f>
        <v/>
      </c>
      <c r="K698" s="359">
        <f>IFERROR(VLOOKUP($A698,#REF!,4,0),AF698)</f>
        <v>0</v>
      </c>
      <c r="L698" s="359" t="str">
        <f>IFERROR(VLOOKUP($A698,#REF!,5,0),"")</f>
        <v/>
      </c>
      <c r="M698" s="359" t="str">
        <f>IFERROR(VLOOKUP($A698,#REF!,7,0),"")</f>
        <v/>
      </c>
      <c r="N698" s="359"/>
      <c r="O698" s="359" t="str">
        <f>IFERROR(VLOOKUP($A698,#REF!,6,0),"")</f>
        <v/>
      </c>
      <c r="P698" s="359" t="str">
        <f>IFERROR(VLOOKUP($A698,#REF!,9,0),"")</f>
        <v/>
      </c>
      <c r="Q698" s="359" t="str">
        <f>IFERROR(VLOOKUP($A698,#REF!,10,0),"")</f>
        <v/>
      </c>
      <c r="R698" s="359" t="str">
        <f>IFERROR(VLOOKUP($A698,#REF!,11,0),"")</f>
        <v/>
      </c>
      <c r="S698" s="359" t="str">
        <f>IFERROR(VLOOKUP($A698,#REF!,13,0),"")</f>
        <v/>
      </c>
      <c r="T698" s="359" t="str">
        <f>IFERROR(VLOOKUP($A698,#REF!,14,0),"")</f>
        <v/>
      </c>
      <c r="U698" s="359" t="str">
        <f>IFERROR(VLOOKUP($A698,#REF!,15,0),"")</f>
        <v/>
      </c>
      <c r="V698" s="359" t="str">
        <f>IFERROR(VLOOKUP($A698,#REF!,16,0),"")</f>
        <v/>
      </c>
      <c r="W698" s="359" t="str">
        <f>IFERROR(VLOOKUP($A698,#REF!,17,0),"")</f>
        <v/>
      </c>
      <c r="X698" s="359" t="str">
        <f>IFERROR(VLOOKUP($A698,#REF!,18,0),"")</f>
        <v/>
      </c>
      <c r="Y698" s="359" t="str">
        <f>IFERROR(VLOOKUP($A698,#REF!,19,0),"")</f>
        <v/>
      </c>
      <c r="Z698" s="400" t="str">
        <f>IFERROR(VLOOKUP($A698,#REF!,21,0),"")</f>
        <v/>
      </c>
      <c r="AA698" s="358"/>
      <c r="AB698" s="358"/>
      <c r="AC698" s="119"/>
      <c r="AD698" s="119"/>
      <c r="AE698" s="119"/>
      <c r="AF698" s="277"/>
      <c r="AG698" s="119"/>
      <c r="AH698" s="358"/>
      <c r="AI698" s="358"/>
      <c r="AJ698" s="380"/>
      <c r="AK698" s="380"/>
      <c r="AL698" s="380"/>
      <c r="AM698" s="380"/>
      <c r="AN698" s="120"/>
      <c r="AO698" s="120"/>
      <c r="AP698" s="120"/>
      <c r="AQ698" s="313"/>
      <c r="AR698" s="119"/>
      <c r="AS698" s="22"/>
      <c r="AT698" s="22"/>
      <c r="AU698" s="22"/>
      <c r="AV698" s="2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112"/>
      <c r="BH698" s="112"/>
      <c r="BI698" s="112"/>
      <c r="BJ698" s="112"/>
      <c r="BK698" s="82"/>
      <c r="BL698" s="82"/>
      <c r="BN698" s="412"/>
      <c r="BO698" s="412"/>
      <c r="BP698" s="412"/>
      <c r="BQ698" s="412"/>
      <c r="BR698" s="412"/>
      <c r="BZ698" t="str">
        <f t="shared" si="63"/>
        <v/>
      </c>
    </row>
    <row r="699" spans="1:78" ht="15.6" hidden="1" customHeight="1">
      <c r="A699" s="35" t="str">
        <f t="shared" si="64"/>
        <v/>
      </c>
      <c r="C699" s="358" t="s">
        <v>24</v>
      </c>
      <c r="D699" s="358">
        <v>695</v>
      </c>
      <c r="E699" s="119"/>
      <c r="F699" s="119"/>
      <c r="G699" s="266"/>
      <c r="H699" s="119"/>
      <c r="I699" s="358"/>
      <c r="J699" s="359" t="str">
        <f>IFERROR(VLOOKUP($A699,#REF!,3,0),"")</f>
        <v/>
      </c>
      <c r="K699" s="359">
        <f>IFERROR(VLOOKUP($A699,#REF!,4,0),AF699)</f>
        <v>0</v>
      </c>
      <c r="L699" s="359" t="str">
        <f>IFERROR(VLOOKUP($A699,#REF!,5,0),"")</f>
        <v/>
      </c>
      <c r="M699" s="359" t="str">
        <f>IFERROR(VLOOKUP($A699,#REF!,7,0),"")</f>
        <v/>
      </c>
      <c r="N699" s="359"/>
      <c r="O699" s="359" t="str">
        <f>IFERROR(VLOOKUP($A699,#REF!,6,0),"")</f>
        <v/>
      </c>
      <c r="P699" s="359" t="str">
        <f>IFERROR(VLOOKUP($A699,#REF!,9,0),"")</f>
        <v/>
      </c>
      <c r="Q699" s="359" t="str">
        <f>IFERROR(VLOOKUP($A699,#REF!,10,0),"")</f>
        <v/>
      </c>
      <c r="R699" s="359" t="str">
        <f>IFERROR(VLOOKUP($A699,#REF!,11,0),"")</f>
        <v/>
      </c>
      <c r="S699" s="359" t="str">
        <f>IFERROR(VLOOKUP($A699,#REF!,13,0),"")</f>
        <v/>
      </c>
      <c r="T699" s="359" t="str">
        <f>IFERROR(VLOOKUP($A699,#REF!,14,0),"")</f>
        <v/>
      </c>
      <c r="U699" s="359" t="str">
        <f>IFERROR(VLOOKUP($A699,#REF!,15,0),"")</f>
        <v/>
      </c>
      <c r="V699" s="359" t="str">
        <f>IFERROR(VLOOKUP($A699,#REF!,16,0),"")</f>
        <v/>
      </c>
      <c r="W699" s="359" t="str">
        <f>IFERROR(VLOOKUP($A699,#REF!,17,0),"")</f>
        <v/>
      </c>
      <c r="X699" s="359" t="str">
        <f>IFERROR(VLOOKUP($A699,#REF!,18,0),"")</f>
        <v/>
      </c>
      <c r="Y699" s="359" t="str">
        <f>IFERROR(VLOOKUP($A699,#REF!,19,0),"")</f>
        <v/>
      </c>
      <c r="Z699" s="400" t="str">
        <f>IFERROR(VLOOKUP($A699,#REF!,21,0),"")</f>
        <v/>
      </c>
      <c r="AA699" s="358"/>
      <c r="AB699" s="358"/>
      <c r="AC699" s="119"/>
      <c r="AD699" s="119"/>
      <c r="AE699" s="119"/>
      <c r="AF699" s="277"/>
      <c r="AG699" s="119"/>
      <c r="AH699" s="358"/>
      <c r="AI699" s="358"/>
      <c r="AJ699" s="380"/>
      <c r="AK699" s="380"/>
      <c r="AL699" s="380"/>
      <c r="AM699" s="380"/>
      <c r="AN699" s="120"/>
      <c r="AO699" s="120"/>
      <c r="AP699" s="120"/>
      <c r="AQ699" s="313"/>
      <c r="AR699" s="119"/>
      <c r="AS699" s="22"/>
      <c r="AT699" s="22"/>
      <c r="AU699" s="22"/>
      <c r="AV699" s="2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112"/>
      <c r="BH699" s="112"/>
      <c r="BI699" s="112"/>
      <c r="BJ699" s="112"/>
      <c r="BK699" s="82"/>
      <c r="BL699" s="82"/>
      <c r="BN699" s="412"/>
      <c r="BO699" s="412"/>
      <c r="BP699" s="412"/>
      <c r="BQ699" s="412"/>
      <c r="BR699" s="412"/>
      <c r="BZ699" t="str">
        <f t="shared" si="63"/>
        <v/>
      </c>
    </row>
    <row r="700" spans="1:78" ht="15.6" hidden="1" customHeight="1">
      <c r="A700" s="35" t="str">
        <f t="shared" si="64"/>
        <v/>
      </c>
      <c r="C700" s="358" t="s">
        <v>24</v>
      </c>
      <c r="D700" s="358">
        <v>696</v>
      </c>
      <c r="E700" s="119"/>
      <c r="F700" s="119"/>
      <c r="G700" s="266"/>
      <c r="H700" s="119"/>
      <c r="I700" s="358"/>
      <c r="J700" s="359" t="str">
        <f>IFERROR(VLOOKUP($A700,#REF!,3,0),"")</f>
        <v/>
      </c>
      <c r="K700" s="359">
        <f>IFERROR(VLOOKUP($A700,#REF!,4,0),AF700)</f>
        <v>0</v>
      </c>
      <c r="L700" s="359" t="str">
        <f>IFERROR(VLOOKUP($A700,#REF!,5,0),"")</f>
        <v/>
      </c>
      <c r="M700" s="359" t="str">
        <f>IFERROR(VLOOKUP($A700,#REF!,7,0),"")</f>
        <v/>
      </c>
      <c r="N700" s="359"/>
      <c r="O700" s="359" t="str">
        <f>IFERROR(VLOOKUP($A700,#REF!,6,0),"")</f>
        <v/>
      </c>
      <c r="P700" s="359" t="str">
        <f>IFERROR(VLOOKUP($A700,#REF!,9,0),"")</f>
        <v/>
      </c>
      <c r="Q700" s="359" t="str">
        <f>IFERROR(VLOOKUP($A700,#REF!,10,0),"")</f>
        <v/>
      </c>
      <c r="R700" s="359" t="str">
        <f>IFERROR(VLOOKUP($A700,#REF!,11,0),"")</f>
        <v/>
      </c>
      <c r="S700" s="359" t="str">
        <f>IFERROR(VLOOKUP($A700,#REF!,13,0),"")</f>
        <v/>
      </c>
      <c r="T700" s="359" t="str">
        <f>IFERROR(VLOOKUP($A700,#REF!,14,0),"")</f>
        <v/>
      </c>
      <c r="U700" s="359" t="str">
        <f>IFERROR(VLOOKUP($A700,#REF!,15,0),"")</f>
        <v/>
      </c>
      <c r="V700" s="359" t="str">
        <f>IFERROR(VLOOKUP($A700,#REF!,16,0),"")</f>
        <v/>
      </c>
      <c r="W700" s="359" t="str">
        <f>IFERROR(VLOOKUP($A700,#REF!,17,0),"")</f>
        <v/>
      </c>
      <c r="X700" s="359" t="str">
        <f>IFERROR(VLOOKUP($A700,#REF!,18,0),"")</f>
        <v/>
      </c>
      <c r="Y700" s="359" t="str">
        <f>IFERROR(VLOOKUP($A700,#REF!,19,0),"")</f>
        <v/>
      </c>
      <c r="Z700" s="400" t="str">
        <f>IFERROR(VLOOKUP($A700,#REF!,21,0),"")</f>
        <v/>
      </c>
      <c r="AA700" s="358"/>
      <c r="AB700" s="358"/>
      <c r="AC700" s="119"/>
      <c r="AD700" s="119"/>
      <c r="AE700" s="119"/>
      <c r="AF700" s="277"/>
      <c r="AG700" s="119"/>
      <c r="AH700" s="358"/>
      <c r="AI700" s="358"/>
      <c r="AJ700" s="380"/>
      <c r="AK700" s="380"/>
      <c r="AL700" s="380"/>
      <c r="AM700" s="380"/>
      <c r="AN700" s="120"/>
      <c r="AO700" s="120"/>
      <c r="AP700" s="120"/>
      <c r="AQ700" s="313"/>
      <c r="AR700" s="119"/>
      <c r="AS700" s="22"/>
      <c r="AT700" s="22"/>
      <c r="AU700" s="22"/>
      <c r="AV700" s="22"/>
      <c r="AW700" s="82"/>
      <c r="AX700" s="82"/>
      <c r="AY700" s="82"/>
      <c r="AZ700" s="82"/>
      <c r="BA700" s="82"/>
      <c r="BB700" s="82"/>
      <c r="BC700" s="82"/>
      <c r="BD700" s="82"/>
      <c r="BE700" s="82"/>
      <c r="BF700" s="82"/>
      <c r="BG700" s="112"/>
      <c r="BH700" s="112"/>
      <c r="BI700" s="112"/>
      <c r="BJ700" s="112"/>
      <c r="BK700" s="82"/>
      <c r="BL700" s="82"/>
      <c r="BN700" s="412"/>
      <c r="BO700" s="412"/>
      <c r="BP700" s="412"/>
      <c r="BQ700" s="412"/>
      <c r="BR700" s="412"/>
      <c r="BZ700" t="str">
        <f t="shared" si="63"/>
        <v/>
      </c>
    </row>
    <row r="701" spans="1:78" ht="15.6" hidden="1" customHeight="1">
      <c r="A701" s="35" t="str">
        <f t="shared" si="64"/>
        <v/>
      </c>
      <c r="C701" s="358" t="s">
        <v>24</v>
      </c>
      <c r="D701" s="358">
        <v>697</v>
      </c>
      <c r="E701" s="119"/>
      <c r="F701" s="119"/>
      <c r="G701" s="266"/>
      <c r="H701" s="119"/>
      <c r="I701" s="358"/>
      <c r="J701" s="359" t="str">
        <f>IFERROR(VLOOKUP($A701,#REF!,3,0),"")</f>
        <v/>
      </c>
      <c r="K701" s="359">
        <f>IFERROR(VLOOKUP($A701,#REF!,4,0),AF701)</f>
        <v>0</v>
      </c>
      <c r="L701" s="359" t="str">
        <f>IFERROR(VLOOKUP($A701,#REF!,5,0),"")</f>
        <v/>
      </c>
      <c r="M701" s="359" t="str">
        <f>IFERROR(VLOOKUP($A701,#REF!,7,0),"")</f>
        <v/>
      </c>
      <c r="N701" s="359"/>
      <c r="O701" s="359" t="str">
        <f>IFERROR(VLOOKUP($A701,#REF!,6,0),"")</f>
        <v/>
      </c>
      <c r="P701" s="359" t="str">
        <f>IFERROR(VLOOKUP($A701,#REF!,9,0),"")</f>
        <v/>
      </c>
      <c r="Q701" s="359" t="str">
        <f>IFERROR(VLOOKUP($A701,#REF!,10,0),"")</f>
        <v/>
      </c>
      <c r="R701" s="359" t="str">
        <f>IFERROR(VLOOKUP($A701,#REF!,11,0),"")</f>
        <v/>
      </c>
      <c r="S701" s="359" t="str">
        <f>IFERROR(VLOOKUP($A701,#REF!,13,0),"")</f>
        <v/>
      </c>
      <c r="T701" s="359" t="str">
        <f>IFERROR(VLOOKUP($A701,#REF!,14,0),"")</f>
        <v/>
      </c>
      <c r="U701" s="359" t="str">
        <f>IFERROR(VLOOKUP($A701,#REF!,15,0),"")</f>
        <v/>
      </c>
      <c r="V701" s="359" t="str">
        <f>IFERROR(VLOOKUP($A701,#REF!,16,0),"")</f>
        <v/>
      </c>
      <c r="W701" s="359" t="str">
        <f>IFERROR(VLOOKUP($A701,#REF!,17,0),"")</f>
        <v/>
      </c>
      <c r="X701" s="359" t="str">
        <f>IFERROR(VLOOKUP($A701,#REF!,18,0),"")</f>
        <v/>
      </c>
      <c r="Y701" s="359" t="str">
        <f>IFERROR(VLOOKUP($A701,#REF!,19,0),"")</f>
        <v/>
      </c>
      <c r="Z701" s="400" t="str">
        <f>IFERROR(VLOOKUP($A701,#REF!,21,0),"")</f>
        <v/>
      </c>
      <c r="AA701" s="358"/>
      <c r="AB701" s="358"/>
      <c r="AC701" s="119"/>
      <c r="AD701" s="119"/>
      <c r="AE701" s="119"/>
      <c r="AF701" s="277"/>
      <c r="AG701" s="119"/>
      <c r="AH701" s="358"/>
      <c r="AI701" s="358"/>
      <c r="AJ701" s="380"/>
      <c r="AK701" s="380"/>
      <c r="AL701" s="380"/>
      <c r="AM701" s="380"/>
      <c r="AN701" s="120"/>
      <c r="AO701" s="120"/>
      <c r="AP701" s="120"/>
      <c r="AQ701" s="313"/>
      <c r="AR701" s="119"/>
      <c r="AS701" s="22"/>
      <c r="AT701" s="22"/>
      <c r="AU701" s="22"/>
      <c r="AV701" s="22"/>
      <c r="AW701" s="82"/>
      <c r="AX701" s="82"/>
      <c r="AY701" s="82"/>
      <c r="AZ701" s="82"/>
      <c r="BA701" s="82"/>
      <c r="BB701" s="82"/>
      <c r="BC701" s="82"/>
      <c r="BD701" s="82"/>
      <c r="BE701" s="82"/>
      <c r="BF701" s="82"/>
      <c r="BG701" s="112"/>
      <c r="BH701" s="112"/>
      <c r="BI701" s="112"/>
      <c r="BJ701" s="112"/>
      <c r="BK701" s="82"/>
      <c r="BL701" s="82"/>
      <c r="BN701" s="412"/>
      <c r="BO701" s="412"/>
      <c r="BP701" s="412"/>
      <c r="BQ701" s="412"/>
      <c r="BR701" s="412"/>
      <c r="BZ701" t="str">
        <f t="shared" si="63"/>
        <v/>
      </c>
    </row>
    <row r="702" spans="1:78" ht="15.6" hidden="1" customHeight="1">
      <c r="A702" s="35" t="str">
        <f t="shared" si="64"/>
        <v/>
      </c>
      <c r="C702" s="358" t="s">
        <v>24</v>
      </c>
      <c r="D702" s="358">
        <v>698</v>
      </c>
      <c r="E702" s="119"/>
      <c r="F702" s="119"/>
      <c r="G702" s="266"/>
      <c r="H702" s="119"/>
      <c r="I702" s="358"/>
      <c r="J702" s="359" t="str">
        <f>IFERROR(VLOOKUP($A702,#REF!,3,0),"")</f>
        <v/>
      </c>
      <c r="K702" s="359">
        <f>IFERROR(VLOOKUP($A702,#REF!,4,0),AF702)</f>
        <v>0</v>
      </c>
      <c r="L702" s="359" t="str">
        <f>IFERROR(VLOOKUP($A702,#REF!,5,0),"")</f>
        <v/>
      </c>
      <c r="M702" s="359" t="str">
        <f>IFERROR(VLOOKUP($A702,#REF!,7,0),"")</f>
        <v/>
      </c>
      <c r="N702" s="359"/>
      <c r="O702" s="359" t="str">
        <f>IFERROR(VLOOKUP($A702,#REF!,6,0),"")</f>
        <v/>
      </c>
      <c r="P702" s="359" t="str">
        <f>IFERROR(VLOOKUP($A702,#REF!,9,0),"")</f>
        <v/>
      </c>
      <c r="Q702" s="359" t="str">
        <f>IFERROR(VLOOKUP($A702,#REF!,10,0),"")</f>
        <v/>
      </c>
      <c r="R702" s="359" t="str">
        <f>IFERROR(VLOOKUP($A702,#REF!,11,0),"")</f>
        <v/>
      </c>
      <c r="S702" s="359" t="str">
        <f>IFERROR(VLOOKUP($A702,#REF!,13,0),"")</f>
        <v/>
      </c>
      <c r="T702" s="359" t="str">
        <f>IFERROR(VLOOKUP($A702,#REF!,14,0),"")</f>
        <v/>
      </c>
      <c r="U702" s="359" t="str">
        <f>IFERROR(VLOOKUP($A702,#REF!,15,0),"")</f>
        <v/>
      </c>
      <c r="V702" s="359" t="str">
        <f>IFERROR(VLOOKUP($A702,#REF!,16,0),"")</f>
        <v/>
      </c>
      <c r="W702" s="359" t="str">
        <f>IFERROR(VLOOKUP($A702,#REF!,17,0),"")</f>
        <v/>
      </c>
      <c r="X702" s="359" t="str">
        <f>IFERROR(VLOOKUP($A702,#REF!,18,0),"")</f>
        <v/>
      </c>
      <c r="Y702" s="359" t="str">
        <f>IFERROR(VLOOKUP($A702,#REF!,19,0),"")</f>
        <v/>
      </c>
      <c r="Z702" s="400" t="str">
        <f>IFERROR(VLOOKUP($A702,#REF!,21,0),"")</f>
        <v/>
      </c>
      <c r="AA702" s="358"/>
      <c r="AB702" s="358"/>
      <c r="AC702" s="119"/>
      <c r="AD702" s="119"/>
      <c r="AE702" s="119"/>
      <c r="AF702" s="277"/>
      <c r="AG702" s="119"/>
      <c r="AH702" s="358"/>
      <c r="AI702" s="358"/>
      <c r="AJ702" s="380"/>
      <c r="AK702" s="380"/>
      <c r="AL702" s="380"/>
      <c r="AM702" s="380"/>
      <c r="AN702" s="120"/>
      <c r="AO702" s="120"/>
      <c r="AP702" s="120"/>
      <c r="AQ702" s="313"/>
      <c r="AR702" s="119"/>
      <c r="AS702" s="22"/>
      <c r="AT702" s="22"/>
      <c r="AU702" s="22"/>
      <c r="AV702" s="22"/>
      <c r="AW702" s="82"/>
      <c r="AX702" s="82"/>
      <c r="AY702" s="82"/>
      <c r="AZ702" s="82"/>
      <c r="BA702" s="82"/>
      <c r="BB702" s="82"/>
      <c r="BC702" s="82"/>
      <c r="BD702" s="82"/>
      <c r="BE702" s="82"/>
      <c r="BF702" s="82"/>
      <c r="BG702" s="112"/>
      <c r="BH702" s="112"/>
      <c r="BI702" s="112"/>
      <c r="BJ702" s="112"/>
      <c r="BK702" s="82"/>
      <c r="BL702" s="82"/>
      <c r="BN702" s="412"/>
      <c r="BO702" s="412"/>
      <c r="BP702" s="412"/>
      <c r="BQ702" s="412"/>
      <c r="BR702" s="412"/>
      <c r="BZ702" t="str">
        <f t="shared" si="63"/>
        <v/>
      </c>
    </row>
    <row r="703" spans="1:78" ht="15.6" hidden="1" customHeight="1">
      <c r="A703" s="35" t="str">
        <f t="shared" si="64"/>
        <v/>
      </c>
      <c r="C703" s="358" t="s">
        <v>24</v>
      </c>
      <c r="D703" s="358">
        <v>699</v>
      </c>
      <c r="E703" s="119"/>
      <c r="F703" s="119"/>
      <c r="G703" s="266"/>
      <c r="H703" s="119"/>
      <c r="I703" s="358"/>
      <c r="J703" s="359" t="str">
        <f>IFERROR(VLOOKUP($A703,#REF!,3,0),"")</f>
        <v/>
      </c>
      <c r="K703" s="359">
        <f>IFERROR(VLOOKUP($A703,#REF!,4,0),AF703)</f>
        <v>0</v>
      </c>
      <c r="L703" s="359" t="str">
        <f>IFERROR(VLOOKUP($A703,#REF!,5,0),"")</f>
        <v/>
      </c>
      <c r="M703" s="359" t="str">
        <f>IFERROR(VLOOKUP($A703,#REF!,7,0),"")</f>
        <v/>
      </c>
      <c r="N703" s="359"/>
      <c r="O703" s="359" t="str">
        <f>IFERROR(VLOOKUP($A703,#REF!,6,0),"")</f>
        <v/>
      </c>
      <c r="P703" s="359" t="str">
        <f>IFERROR(VLOOKUP($A703,#REF!,9,0),"")</f>
        <v/>
      </c>
      <c r="Q703" s="359" t="str">
        <f>IFERROR(VLOOKUP($A703,#REF!,10,0),"")</f>
        <v/>
      </c>
      <c r="R703" s="359" t="str">
        <f>IFERROR(VLOOKUP($A703,#REF!,11,0),"")</f>
        <v/>
      </c>
      <c r="S703" s="359" t="str">
        <f>IFERROR(VLOOKUP($A703,#REF!,13,0),"")</f>
        <v/>
      </c>
      <c r="T703" s="359" t="str">
        <f>IFERROR(VLOOKUP($A703,#REF!,14,0),"")</f>
        <v/>
      </c>
      <c r="U703" s="359" t="str">
        <f>IFERROR(VLOOKUP($A703,#REF!,15,0),"")</f>
        <v/>
      </c>
      <c r="V703" s="359" t="str">
        <f>IFERROR(VLOOKUP($A703,#REF!,16,0),"")</f>
        <v/>
      </c>
      <c r="W703" s="359" t="str">
        <f>IFERROR(VLOOKUP($A703,#REF!,17,0),"")</f>
        <v/>
      </c>
      <c r="X703" s="359" t="str">
        <f>IFERROR(VLOOKUP($A703,#REF!,18,0),"")</f>
        <v/>
      </c>
      <c r="Y703" s="359" t="str">
        <f>IFERROR(VLOOKUP($A703,#REF!,19,0),"")</f>
        <v/>
      </c>
      <c r="Z703" s="400" t="str">
        <f>IFERROR(VLOOKUP($A703,#REF!,21,0),"")</f>
        <v/>
      </c>
      <c r="AA703" s="358"/>
      <c r="AB703" s="358"/>
      <c r="AC703" s="119"/>
      <c r="AD703" s="119"/>
      <c r="AE703" s="119"/>
      <c r="AF703" s="277"/>
      <c r="AG703" s="119"/>
      <c r="AH703" s="358"/>
      <c r="AI703" s="358"/>
      <c r="AJ703" s="380"/>
      <c r="AK703" s="380"/>
      <c r="AL703" s="380"/>
      <c r="AM703" s="380"/>
      <c r="AN703" s="120"/>
      <c r="AO703" s="120"/>
      <c r="AP703" s="120"/>
      <c r="AQ703" s="313"/>
      <c r="AR703" s="119"/>
      <c r="AS703" s="22"/>
      <c r="AT703" s="22"/>
      <c r="AU703" s="22"/>
      <c r="AV703" s="22"/>
      <c r="AW703" s="82"/>
      <c r="AX703" s="82"/>
      <c r="AY703" s="82"/>
      <c r="AZ703" s="82"/>
      <c r="BA703" s="82"/>
      <c r="BB703" s="82"/>
      <c r="BC703" s="82"/>
      <c r="BD703" s="82"/>
      <c r="BE703" s="82"/>
      <c r="BF703" s="82"/>
      <c r="BG703" s="112"/>
      <c r="BH703" s="112"/>
      <c r="BI703" s="112"/>
      <c r="BJ703" s="112"/>
      <c r="BK703" s="82"/>
      <c r="BL703" s="82"/>
      <c r="BN703" s="412"/>
      <c r="BO703" s="412"/>
      <c r="BP703" s="412"/>
      <c r="BQ703" s="412"/>
      <c r="BR703" s="412"/>
      <c r="BZ703" t="str">
        <f t="shared" si="63"/>
        <v/>
      </c>
    </row>
    <row r="704" spans="1:78" ht="15.6" hidden="1" customHeight="1">
      <c r="A704" s="35" t="str">
        <f t="shared" si="64"/>
        <v/>
      </c>
      <c r="C704" s="358" t="s">
        <v>24</v>
      </c>
      <c r="D704" s="358">
        <v>700</v>
      </c>
      <c r="E704" s="119"/>
      <c r="F704" s="119"/>
      <c r="G704" s="266"/>
      <c r="H704" s="119"/>
      <c r="I704" s="358"/>
      <c r="J704" s="359" t="str">
        <f>IFERROR(VLOOKUP($A704,#REF!,3,0),"")</f>
        <v/>
      </c>
      <c r="K704" s="359">
        <f>IFERROR(VLOOKUP($A704,#REF!,4,0),AF704)</f>
        <v>0</v>
      </c>
      <c r="L704" s="359" t="str">
        <f>IFERROR(VLOOKUP($A704,#REF!,5,0),"")</f>
        <v/>
      </c>
      <c r="M704" s="359" t="str">
        <f>IFERROR(VLOOKUP($A704,#REF!,7,0),"")</f>
        <v/>
      </c>
      <c r="N704" s="359"/>
      <c r="O704" s="359" t="str">
        <f>IFERROR(VLOOKUP($A704,#REF!,6,0),"")</f>
        <v/>
      </c>
      <c r="P704" s="359" t="str">
        <f>IFERROR(VLOOKUP($A704,#REF!,9,0),"")</f>
        <v/>
      </c>
      <c r="Q704" s="359" t="str">
        <f>IFERROR(VLOOKUP($A704,#REF!,10,0),"")</f>
        <v/>
      </c>
      <c r="R704" s="359" t="str">
        <f>IFERROR(VLOOKUP($A704,#REF!,11,0),"")</f>
        <v/>
      </c>
      <c r="S704" s="359" t="str">
        <f>IFERROR(VLOOKUP($A704,#REF!,13,0),"")</f>
        <v/>
      </c>
      <c r="T704" s="359" t="str">
        <f>IFERROR(VLOOKUP($A704,#REF!,14,0),"")</f>
        <v/>
      </c>
      <c r="U704" s="359" t="str">
        <f>IFERROR(VLOOKUP($A704,#REF!,15,0),"")</f>
        <v/>
      </c>
      <c r="V704" s="359" t="str">
        <f>IFERROR(VLOOKUP($A704,#REF!,16,0),"")</f>
        <v/>
      </c>
      <c r="W704" s="359" t="str">
        <f>IFERROR(VLOOKUP($A704,#REF!,17,0),"")</f>
        <v/>
      </c>
      <c r="X704" s="359" t="str">
        <f>IFERROR(VLOOKUP($A704,#REF!,18,0),"")</f>
        <v/>
      </c>
      <c r="Y704" s="359" t="str">
        <f>IFERROR(VLOOKUP($A704,#REF!,19,0),"")</f>
        <v/>
      </c>
      <c r="Z704" s="400" t="str">
        <f>IFERROR(VLOOKUP($A704,#REF!,21,0),"")</f>
        <v/>
      </c>
      <c r="AA704" s="358"/>
      <c r="AB704" s="358"/>
      <c r="AC704" s="119"/>
      <c r="AD704" s="119"/>
      <c r="AE704" s="119"/>
      <c r="AF704" s="277"/>
      <c r="AG704" s="119"/>
      <c r="AH704" s="358"/>
      <c r="AI704" s="358"/>
      <c r="AJ704" s="380"/>
      <c r="AK704" s="380"/>
      <c r="AL704" s="380"/>
      <c r="AM704" s="380"/>
      <c r="AN704" s="120"/>
      <c r="AO704" s="120"/>
      <c r="AP704" s="120"/>
      <c r="AQ704" s="313"/>
      <c r="AR704" s="119"/>
      <c r="AS704" s="22"/>
      <c r="AT704" s="22"/>
      <c r="AU704" s="22"/>
      <c r="AV704" s="22"/>
      <c r="AW704" s="82"/>
      <c r="AX704" s="82"/>
      <c r="AY704" s="82"/>
      <c r="AZ704" s="82"/>
      <c r="BA704" s="82"/>
      <c r="BB704" s="82"/>
      <c r="BC704" s="82"/>
      <c r="BD704" s="82"/>
      <c r="BE704" s="82"/>
      <c r="BF704" s="82"/>
      <c r="BG704" s="112"/>
      <c r="BH704" s="112"/>
      <c r="BI704" s="112"/>
      <c r="BJ704" s="112"/>
      <c r="BK704" s="82"/>
      <c r="BL704" s="82"/>
      <c r="BN704" s="412"/>
      <c r="BO704" s="412"/>
      <c r="BP704" s="412"/>
      <c r="BQ704" s="412"/>
      <c r="BR704" s="412"/>
      <c r="BZ704" t="str">
        <f t="shared" si="63"/>
        <v/>
      </c>
    </row>
    <row r="705" spans="1:78" ht="15.6" hidden="1" customHeight="1">
      <c r="A705" s="35" t="str">
        <f t="shared" si="64"/>
        <v/>
      </c>
      <c r="C705" s="358" t="s">
        <v>24</v>
      </c>
      <c r="D705" s="358">
        <v>701</v>
      </c>
      <c r="E705" s="119"/>
      <c r="F705" s="119"/>
      <c r="G705" s="266"/>
      <c r="H705" s="119"/>
      <c r="I705" s="358"/>
      <c r="J705" s="359" t="str">
        <f>IFERROR(VLOOKUP($A705,#REF!,3,0),"")</f>
        <v/>
      </c>
      <c r="K705" s="359">
        <f>IFERROR(VLOOKUP($A705,#REF!,4,0),AF705)</f>
        <v>0</v>
      </c>
      <c r="L705" s="359" t="str">
        <f>IFERROR(VLOOKUP($A705,#REF!,5,0),"")</f>
        <v/>
      </c>
      <c r="M705" s="359" t="str">
        <f>IFERROR(VLOOKUP($A705,#REF!,7,0),"")</f>
        <v/>
      </c>
      <c r="N705" s="359"/>
      <c r="O705" s="359" t="str">
        <f>IFERROR(VLOOKUP($A705,#REF!,6,0),"")</f>
        <v/>
      </c>
      <c r="P705" s="359" t="str">
        <f>IFERROR(VLOOKUP($A705,#REF!,9,0),"")</f>
        <v/>
      </c>
      <c r="Q705" s="359" t="str">
        <f>IFERROR(VLOOKUP($A705,#REF!,10,0),"")</f>
        <v/>
      </c>
      <c r="R705" s="359" t="str">
        <f>IFERROR(VLOOKUP($A705,#REF!,11,0),"")</f>
        <v/>
      </c>
      <c r="S705" s="359" t="str">
        <f>IFERROR(VLOOKUP($A705,#REF!,13,0),"")</f>
        <v/>
      </c>
      <c r="T705" s="359" t="str">
        <f>IFERROR(VLOOKUP($A705,#REF!,14,0),"")</f>
        <v/>
      </c>
      <c r="U705" s="359" t="str">
        <f>IFERROR(VLOOKUP($A705,#REF!,15,0),"")</f>
        <v/>
      </c>
      <c r="V705" s="359" t="str">
        <f>IFERROR(VLOOKUP($A705,#REF!,16,0),"")</f>
        <v/>
      </c>
      <c r="W705" s="359" t="str">
        <f>IFERROR(VLOOKUP($A705,#REF!,17,0),"")</f>
        <v/>
      </c>
      <c r="X705" s="359" t="str">
        <f>IFERROR(VLOOKUP($A705,#REF!,18,0),"")</f>
        <v/>
      </c>
      <c r="Y705" s="359" t="str">
        <f>IFERROR(VLOOKUP($A705,#REF!,19,0),"")</f>
        <v/>
      </c>
      <c r="Z705" s="400" t="str">
        <f>IFERROR(VLOOKUP($A705,#REF!,21,0),"")</f>
        <v/>
      </c>
      <c r="AA705" s="358"/>
      <c r="AB705" s="358"/>
      <c r="AC705" s="119"/>
      <c r="AD705" s="119"/>
      <c r="AE705" s="119"/>
      <c r="AF705" s="277"/>
      <c r="AG705" s="119"/>
      <c r="AH705" s="358"/>
      <c r="AI705" s="358"/>
      <c r="AJ705" s="380"/>
      <c r="AK705" s="380"/>
      <c r="AL705" s="380"/>
      <c r="AM705" s="380"/>
      <c r="AN705" s="120"/>
      <c r="AO705" s="120"/>
      <c r="AP705" s="120"/>
      <c r="AQ705" s="313"/>
      <c r="AR705" s="119"/>
      <c r="AS705" s="22"/>
      <c r="AT705" s="22"/>
      <c r="AU705" s="22"/>
      <c r="AV705" s="22"/>
      <c r="AW705" s="82"/>
      <c r="AX705" s="82"/>
      <c r="AY705" s="82"/>
      <c r="AZ705" s="82"/>
      <c r="BA705" s="82"/>
      <c r="BB705" s="82"/>
      <c r="BC705" s="82"/>
      <c r="BD705" s="82"/>
      <c r="BE705" s="82"/>
      <c r="BF705" s="82"/>
      <c r="BG705" s="112"/>
      <c r="BH705" s="112"/>
      <c r="BI705" s="112"/>
      <c r="BJ705" s="112"/>
      <c r="BK705" s="82"/>
      <c r="BL705" s="82"/>
      <c r="BN705" s="412"/>
      <c r="BO705" s="412"/>
      <c r="BP705" s="412"/>
      <c r="BQ705" s="412"/>
      <c r="BR705" s="412"/>
      <c r="BZ705" t="str">
        <f t="shared" si="63"/>
        <v/>
      </c>
    </row>
    <row r="706" spans="1:78" ht="15.6" hidden="1" customHeight="1">
      <c r="A706" s="35" t="str">
        <f t="shared" si="64"/>
        <v/>
      </c>
      <c r="C706" s="358" t="s">
        <v>24</v>
      </c>
      <c r="D706" s="358">
        <v>702</v>
      </c>
      <c r="E706" s="119"/>
      <c r="F706" s="119"/>
      <c r="G706" s="266"/>
      <c r="H706" s="119"/>
      <c r="I706" s="358"/>
      <c r="J706" s="359" t="str">
        <f>IFERROR(VLOOKUP($A706,#REF!,3,0),"")</f>
        <v/>
      </c>
      <c r="K706" s="359">
        <f>IFERROR(VLOOKUP($A706,#REF!,4,0),AF706)</f>
        <v>0</v>
      </c>
      <c r="L706" s="359" t="str">
        <f>IFERROR(VLOOKUP($A706,#REF!,5,0),"")</f>
        <v/>
      </c>
      <c r="M706" s="359" t="str">
        <f>IFERROR(VLOOKUP($A706,#REF!,7,0),"")</f>
        <v/>
      </c>
      <c r="N706" s="359"/>
      <c r="O706" s="359" t="str">
        <f>IFERROR(VLOOKUP($A706,#REF!,6,0),"")</f>
        <v/>
      </c>
      <c r="P706" s="359" t="str">
        <f>IFERROR(VLOOKUP($A706,#REF!,9,0),"")</f>
        <v/>
      </c>
      <c r="Q706" s="359" t="str">
        <f>IFERROR(VLOOKUP($A706,#REF!,10,0),"")</f>
        <v/>
      </c>
      <c r="R706" s="359" t="str">
        <f>IFERROR(VLOOKUP($A706,#REF!,11,0),"")</f>
        <v/>
      </c>
      <c r="S706" s="359" t="str">
        <f>IFERROR(VLOOKUP($A706,#REF!,13,0),"")</f>
        <v/>
      </c>
      <c r="T706" s="359" t="str">
        <f>IFERROR(VLOOKUP($A706,#REF!,14,0),"")</f>
        <v/>
      </c>
      <c r="U706" s="359" t="str">
        <f>IFERROR(VLOOKUP($A706,#REF!,15,0),"")</f>
        <v/>
      </c>
      <c r="V706" s="359" t="str">
        <f>IFERROR(VLOOKUP($A706,#REF!,16,0),"")</f>
        <v/>
      </c>
      <c r="W706" s="359" t="str">
        <f>IFERROR(VLOOKUP($A706,#REF!,17,0),"")</f>
        <v/>
      </c>
      <c r="X706" s="359" t="str">
        <f>IFERROR(VLOOKUP($A706,#REF!,18,0),"")</f>
        <v/>
      </c>
      <c r="Y706" s="359" t="str">
        <f>IFERROR(VLOOKUP($A706,#REF!,19,0),"")</f>
        <v/>
      </c>
      <c r="Z706" s="400" t="str">
        <f>IFERROR(VLOOKUP($A706,#REF!,21,0),"")</f>
        <v/>
      </c>
      <c r="AA706" s="358"/>
      <c r="AB706" s="358"/>
      <c r="AC706" s="119"/>
      <c r="AD706" s="119"/>
      <c r="AE706" s="119"/>
      <c r="AF706" s="277"/>
      <c r="AG706" s="119"/>
      <c r="AH706" s="358"/>
      <c r="AI706" s="358"/>
      <c r="AJ706" s="380"/>
      <c r="AK706" s="380"/>
      <c r="AL706" s="380"/>
      <c r="AM706" s="380"/>
      <c r="AN706" s="120"/>
      <c r="AO706" s="120"/>
      <c r="AP706" s="120"/>
      <c r="AQ706" s="313"/>
      <c r="AR706" s="119"/>
      <c r="AS706" s="22"/>
      <c r="AT706" s="22"/>
      <c r="AU706" s="22"/>
      <c r="AV706" s="22"/>
      <c r="AW706" s="82"/>
      <c r="AX706" s="82"/>
      <c r="AY706" s="82"/>
      <c r="AZ706" s="82"/>
      <c r="BA706" s="82"/>
      <c r="BB706" s="82"/>
      <c r="BC706" s="82"/>
      <c r="BD706" s="82"/>
      <c r="BE706" s="82"/>
      <c r="BF706" s="82"/>
      <c r="BG706" s="112"/>
      <c r="BH706" s="112"/>
      <c r="BI706" s="112"/>
      <c r="BJ706" s="112"/>
      <c r="BK706" s="82"/>
      <c r="BL706" s="82"/>
      <c r="BN706" s="412"/>
      <c r="BO706" s="412"/>
      <c r="BP706" s="412"/>
      <c r="BQ706" s="412"/>
      <c r="BR706" s="412"/>
      <c r="BZ706" t="str">
        <f t="shared" si="63"/>
        <v/>
      </c>
    </row>
    <row r="707" spans="1:78" ht="15.6" hidden="1" customHeight="1">
      <c r="A707" s="35" t="str">
        <f t="shared" si="64"/>
        <v/>
      </c>
      <c r="C707" s="358" t="s">
        <v>24</v>
      </c>
      <c r="D707" s="358">
        <v>703</v>
      </c>
      <c r="E707" s="119"/>
      <c r="F707" s="119"/>
      <c r="G707" s="266"/>
      <c r="H707" s="119"/>
      <c r="I707" s="358"/>
      <c r="J707" s="359" t="str">
        <f>IFERROR(VLOOKUP($A707,#REF!,3,0),"")</f>
        <v/>
      </c>
      <c r="K707" s="359">
        <f>IFERROR(VLOOKUP($A707,#REF!,4,0),AF707)</f>
        <v>0</v>
      </c>
      <c r="L707" s="359" t="str">
        <f>IFERROR(VLOOKUP($A707,#REF!,5,0),"")</f>
        <v/>
      </c>
      <c r="M707" s="359" t="str">
        <f>IFERROR(VLOOKUP($A707,#REF!,7,0),"")</f>
        <v/>
      </c>
      <c r="N707" s="359"/>
      <c r="O707" s="359" t="str">
        <f>IFERROR(VLOOKUP($A707,#REF!,6,0),"")</f>
        <v/>
      </c>
      <c r="P707" s="359" t="str">
        <f>IFERROR(VLOOKUP($A707,#REF!,9,0),"")</f>
        <v/>
      </c>
      <c r="Q707" s="359" t="str">
        <f>IFERROR(VLOOKUP($A707,#REF!,10,0),"")</f>
        <v/>
      </c>
      <c r="R707" s="359" t="str">
        <f>IFERROR(VLOOKUP($A707,#REF!,11,0),"")</f>
        <v/>
      </c>
      <c r="S707" s="359" t="str">
        <f>IFERROR(VLOOKUP($A707,#REF!,13,0),"")</f>
        <v/>
      </c>
      <c r="T707" s="359" t="str">
        <f>IFERROR(VLOOKUP($A707,#REF!,14,0),"")</f>
        <v/>
      </c>
      <c r="U707" s="359" t="str">
        <f>IFERROR(VLOOKUP($A707,#REF!,15,0),"")</f>
        <v/>
      </c>
      <c r="V707" s="359" t="str">
        <f>IFERROR(VLOOKUP($A707,#REF!,16,0),"")</f>
        <v/>
      </c>
      <c r="W707" s="359" t="str">
        <f>IFERROR(VLOOKUP($A707,#REF!,17,0),"")</f>
        <v/>
      </c>
      <c r="X707" s="359" t="str">
        <f>IFERROR(VLOOKUP($A707,#REF!,18,0),"")</f>
        <v/>
      </c>
      <c r="Y707" s="359" t="str">
        <f>IFERROR(VLOOKUP($A707,#REF!,19,0),"")</f>
        <v/>
      </c>
      <c r="Z707" s="400" t="str">
        <f>IFERROR(VLOOKUP($A707,#REF!,21,0),"")</f>
        <v/>
      </c>
      <c r="AA707" s="358"/>
      <c r="AB707" s="358"/>
      <c r="AC707" s="119"/>
      <c r="AD707" s="119"/>
      <c r="AE707" s="119"/>
      <c r="AF707" s="277"/>
      <c r="AG707" s="119"/>
      <c r="AH707" s="358"/>
      <c r="AI707" s="358"/>
      <c r="AJ707" s="380"/>
      <c r="AK707" s="380"/>
      <c r="AL707" s="380"/>
      <c r="AM707" s="380"/>
      <c r="AN707" s="120"/>
      <c r="AO707" s="120"/>
      <c r="AP707" s="120"/>
      <c r="AQ707" s="313"/>
      <c r="AR707" s="119"/>
      <c r="AS707" s="22"/>
      <c r="AT707" s="22"/>
      <c r="AU707" s="22"/>
      <c r="AV707" s="22"/>
      <c r="AW707" s="82"/>
      <c r="AX707" s="82"/>
      <c r="AY707" s="82"/>
      <c r="AZ707" s="82"/>
      <c r="BA707" s="82"/>
      <c r="BB707" s="82"/>
      <c r="BC707" s="82"/>
      <c r="BD707" s="82"/>
      <c r="BE707" s="82"/>
      <c r="BF707" s="82"/>
      <c r="BG707" s="112"/>
      <c r="BH707" s="112"/>
      <c r="BI707" s="112"/>
      <c r="BJ707" s="112"/>
      <c r="BK707" s="82"/>
      <c r="BL707" s="82"/>
      <c r="BN707" s="412"/>
      <c r="BO707" s="412"/>
      <c r="BP707" s="412"/>
      <c r="BQ707" s="412"/>
      <c r="BR707" s="412"/>
      <c r="BZ707" t="str">
        <f t="shared" si="63"/>
        <v/>
      </c>
    </row>
    <row r="708" spans="1:78" ht="15.6" hidden="1" customHeight="1">
      <c r="A708" s="35" t="str">
        <f t="shared" si="64"/>
        <v/>
      </c>
      <c r="C708" s="358" t="s">
        <v>24</v>
      </c>
      <c r="D708" s="358">
        <v>704</v>
      </c>
      <c r="E708" s="119"/>
      <c r="F708" s="119"/>
      <c r="G708" s="266"/>
      <c r="H708" s="119"/>
      <c r="I708" s="358"/>
      <c r="J708" s="359" t="str">
        <f>IFERROR(VLOOKUP($A708,#REF!,3,0),"")</f>
        <v/>
      </c>
      <c r="K708" s="359">
        <f>IFERROR(VLOOKUP($A708,#REF!,4,0),AF708)</f>
        <v>0</v>
      </c>
      <c r="L708" s="359" t="str">
        <f>IFERROR(VLOOKUP($A708,#REF!,5,0),"")</f>
        <v/>
      </c>
      <c r="M708" s="359" t="str">
        <f>IFERROR(VLOOKUP($A708,#REF!,7,0),"")</f>
        <v/>
      </c>
      <c r="N708" s="359"/>
      <c r="O708" s="359" t="str">
        <f>IFERROR(VLOOKUP($A708,#REF!,6,0),"")</f>
        <v/>
      </c>
      <c r="P708" s="359" t="str">
        <f>IFERROR(VLOOKUP($A708,#REF!,9,0),"")</f>
        <v/>
      </c>
      <c r="Q708" s="359" t="str">
        <f>IFERROR(VLOOKUP($A708,#REF!,10,0),"")</f>
        <v/>
      </c>
      <c r="R708" s="359" t="str">
        <f>IFERROR(VLOOKUP($A708,#REF!,11,0),"")</f>
        <v/>
      </c>
      <c r="S708" s="359" t="str">
        <f>IFERROR(VLOOKUP($A708,#REF!,13,0),"")</f>
        <v/>
      </c>
      <c r="T708" s="359" t="str">
        <f>IFERROR(VLOOKUP($A708,#REF!,14,0),"")</f>
        <v/>
      </c>
      <c r="U708" s="359" t="str">
        <f>IFERROR(VLOOKUP($A708,#REF!,15,0),"")</f>
        <v/>
      </c>
      <c r="V708" s="359" t="str">
        <f>IFERROR(VLOOKUP($A708,#REF!,16,0),"")</f>
        <v/>
      </c>
      <c r="W708" s="359" t="str">
        <f>IFERROR(VLOOKUP($A708,#REF!,17,0),"")</f>
        <v/>
      </c>
      <c r="X708" s="359" t="str">
        <f>IFERROR(VLOOKUP($A708,#REF!,18,0),"")</f>
        <v/>
      </c>
      <c r="Y708" s="359" t="str">
        <f>IFERROR(VLOOKUP($A708,#REF!,19,0),"")</f>
        <v/>
      </c>
      <c r="Z708" s="400" t="str">
        <f>IFERROR(VLOOKUP($A708,#REF!,21,0),"")</f>
        <v/>
      </c>
      <c r="AA708" s="358"/>
      <c r="AB708" s="358"/>
      <c r="AC708" s="119"/>
      <c r="AD708" s="119"/>
      <c r="AE708" s="119"/>
      <c r="AF708" s="277"/>
      <c r="AG708" s="119"/>
      <c r="AH708" s="358"/>
      <c r="AI708" s="358"/>
      <c r="AJ708" s="380"/>
      <c r="AK708" s="380"/>
      <c r="AL708" s="380"/>
      <c r="AM708" s="380"/>
      <c r="AN708" s="120"/>
      <c r="AO708" s="120"/>
      <c r="AP708" s="120"/>
      <c r="AQ708" s="313"/>
      <c r="AR708" s="119"/>
      <c r="AS708" s="22"/>
      <c r="AT708" s="22"/>
      <c r="AU708" s="22"/>
      <c r="AV708" s="22"/>
      <c r="AW708" s="82"/>
      <c r="AX708" s="82"/>
      <c r="AY708" s="82"/>
      <c r="AZ708" s="82"/>
      <c r="BA708" s="82"/>
      <c r="BB708" s="82"/>
      <c r="BC708" s="82"/>
      <c r="BD708" s="82"/>
      <c r="BE708" s="82"/>
      <c r="BF708" s="82"/>
      <c r="BG708" s="112"/>
      <c r="BH708" s="112"/>
      <c r="BI708" s="112"/>
      <c r="BJ708" s="112"/>
      <c r="BK708" s="82"/>
      <c r="BL708" s="82"/>
      <c r="BN708" s="412"/>
      <c r="BO708" s="412"/>
      <c r="BP708" s="412"/>
      <c r="BQ708" s="412"/>
      <c r="BR708" s="412"/>
      <c r="BZ708" t="str">
        <f t="shared" si="63"/>
        <v/>
      </c>
    </row>
    <row r="709" spans="1:78" ht="15.6" hidden="1" customHeight="1">
      <c r="A709" s="35" t="str">
        <f t="shared" ref="A709:A772" si="69">E709&amp;G709</f>
        <v/>
      </c>
      <c r="C709" s="358" t="s">
        <v>24</v>
      </c>
      <c r="D709" s="358">
        <v>705</v>
      </c>
      <c r="E709" s="119"/>
      <c r="F709" s="119"/>
      <c r="G709" s="266"/>
      <c r="H709" s="119"/>
      <c r="I709" s="358"/>
      <c r="J709" s="359" t="str">
        <f>IFERROR(VLOOKUP($A709,#REF!,3,0),"")</f>
        <v/>
      </c>
      <c r="K709" s="359">
        <f>IFERROR(VLOOKUP($A709,#REF!,4,0),AF709)</f>
        <v>0</v>
      </c>
      <c r="L709" s="359" t="str">
        <f>IFERROR(VLOOKUP($A709,#REF!,5,0),"")</f>
        <v/>
      </c>
      <c r="M709" s="359" t="str">
        <f>IFERROR(VLOOKUP($A709,#REF!,7,0),"")</f>
        <v/>
      </c>
      <c r="N709" s="359"/>
      <c r="O709" s="359" t="str">
        <f>IFERROR(VLOOKUP($A709,#REF!,6,0),"")</f>
        <v/>
      </c>
      <c r="P709" s="359" t="str">
        <f>IFERROR(VLOOKUP($A709,#REF!,9,0),"")</f>
        <v/>
      </c>
      <c r="Q709" s="359" t="str">
        <f>IFERROR(VLOOKUP($A709,#REF!,10,0),"")</f>
        <v/>
      </c>
      <c r="R709" s="359" t="str">
        <f>IFERROR(VLOOKUP($A709,#REF!,11,0),"")</f>
        <v/>
      </c>
      <c r="S709" s="359" t="str">
        <f>IFERROR(VLOOKUP($A709,#REF!,13,0),"")</f>
        <v/>
      </c>
      <c r="T709" s="359" t="str">
        <f>IFERROR(VLOOKUP($A709,#REF!,14,0),"")</f>
        <v/>
      </c>
      <c r="U709" s="359" t="str">
        <f>IFERROR(VLOOKUP($A709,#REF!,15,0),"")</f>
        <v/>
      </c>
      <c r="V709" s="359" t="str">
        <f>IFERROR(VLOOKUP($A709,#REF!,16,0),"")</f>
        <v/>
      </c>
      <c r="W709" s="359" t="str">
        <f>IFERROR(VLOOKUP($A709,#REF!,17,0),"")</f>
        <v/>
      </c>
      <c r="X709" s="359" t="str">
        <f>IFERROR(VLOOKUP($A709,#REF!,18,0),"")</f>
        <v/>
      </c>
      <c r="Y709" s="359" t="str">
        <f>IFERROR(VLOOKUP($A709,#REF!,19,0),"")</f>
        <v/>
      </c>
      <c r="Z709" s="400" t="str">
        <f>IFERROR(VLOOKUP($A709,#REF!,21,0),"")</f>
        <v/>
      </c>
      <c r="AA709" s="358"/>
      <c r="AB709" s="358"/>
      <c r="AC709" s="119"/>
      <c r="AD709" s="119"/>
      <c r="AE709" s="119"/>
      <c r="AF709" s="277"/>
      <c r="AG709" s="119"/>
      <c r="AH709" s="358"/>
      <c r="AI709" s="358"/>
      <c r="AJ709" s="380"/>
      <c r="AK709" s="380"/>
      <c r="AL709" s="380"/>
      <c r="AM709" s="380"/>
      <c r="AN709" s="120"/>
      <c r="AO709" s="120"/>
      <c r="AP709" s="120"/>
      <c r="AQ709" s="313"/>
      <c r="AR709" s="119"/>
      <c r="AS709" s="22"/>
      <c r="AT709" s="22"/>
      <c r="AU709" s="22"/>
      <c r="AV709" s="22"/>
      <c r="AW709" s="82"/>
      <c r="AX709" s="82"/>
      <c r="AY709" s="82"/>
      <c r="AZ709" s="82"/>
      <c r="BA709" s="82"/>
      <c r="BB709" s="82"/>
      <c r="BC709" s="82"/>
      <c r="BD709" s="82"/>
      <c r="BE709" s="82"/>
      <c r="BF709" s="82"/>
      <c r="BG709" s="112"/>
      <c r="BH709" s="112"/>
      <c r="BI709" s="112"/>
      <c r="BJ709" s="112"/>
      <c r="BK709" s="82"/>
      <c r="BL709" s="82"/>
      <c r="BN709" s="412"/>
      <c r="BO709" s="412"/>
      <c r="BP709" s="412"/>
      <c r="BQ709" s="412"/>
      <c r="BR709" s="412"/>
      <c r="BZ709" t="str">
        <f t="shared" si="63"/>
        <v/>
      </c>
    </row>
    <row r="710" spans="1:78" ht="15.6" hidden="1" customHeight="1">
      <c r="A710" s="35" t="str">
        <f t="shared" si="69"/>
        <v/>
      </c>
      <c r="C710" s="358" t="s">
        <v>24</v>
      </c>
      <c r="D710" s="358">
        <v>706</v>
      </c>
      <c r="E710" s="119"/>
      <c r="F710" s="119"/>
      <c r="G710" s="266"/>
      <c r="H710" s="119"/>
      <c r="I710" s="358"/>
      <c r="J710" s="359" t="str">
        <f>IFERROR(VLOOKUP($A710,#REF!,3,0),"")</f>
        <v/>
      </c>
      <c r="K710" s="359">
        <f>IFERROR(VLOOKUP($A710,#REF!,4,0),AF710)</f>
        <v>0</v>
      </c>
      <c r="L710" s="359" t="str">
        <f>IFERROR(VLOOKUP($A710,#REF!,5,0),"")</f>
        <v/>
      </c>
      <c r="M710" s="359" t="str">
        <f>IFERROR(VLOOKUP($A710,#REF!,7,0),"")</f>
        <v/>
      </c>
      <c r="N710" s="359"/>
      <c r="O710" s="359" t="str">
        <f>IFERROR(VLOOKUP($A710,#REF!,6,0),"")</f>
        <v/>
      </c>
      <c r="P710" s="359" t="str">
        <f>IFERROR(VLOOKUP($A710,#REF!,9,0),"")</f>
        <v/>
      </c>
      <c r="Q710" s="359" t="str">
        <f>IFERROR(VLOOKUP($A710,#REF!,10,0),"")</f>
        <v/>
      </c>
      <c r="R710" s="359" t="str">
        <f>IFERROR(VLOOKUP($A710,#REF!,11,0),"")</f>
        <v/>
      </c>
      <c r="S710" s="359" t="str">
        <f>IFERROR(VLOOKUP($A710,#REF!,13,0),"")</f>
        <v/>
      </c>
      <c r="T710" s="359" t="str">
        <f>IFERROR(VLOOKUP($A710,#REF!,14,0),"")</f>
        <v/>
      </c>
      <c r="U710" s="359" t="str">
        <f>IFERROR(VLOOKUP($A710,#REF!,15,0),"")</f>
        <v/>
      </c>
      <c r="V710" s="359" t="str">
        <f>IFERROR(VLOOKUP($A710,#REF!,16,0),"")</f>
        <v/>
      </c>
      <c r="W710" s="359" t="str">
        <f>IFERROR(VLOOKUP($A710,#REF!,17,0),"")</f>
        <v/>
      </c>
      <c r="X710" s="359" t="str">
        <f>IFERROR(VLOOKUP($A710,#REF!,18,0),"")</f>
        <v/>
      </c>
      <c r="Y710" s="359" t="str">
        <f>IFERROR(VLOOKUP($A710,#REF!,19,0),"")</f>
        <v/>
      </c>
      <c r="Z710" s="400" t="str">
        <f>IFERROR(VLOOKUP($A710,#REF!,21,0),"")</f>
        <v/>
      </c>
      <c r="AA710" s="358"/>
      <c r="AB710" s="358"/>
      <c r="AC710" s="119"/>
      <c r="AD710" s="119"/>
      <c r="AE710" s="119"/>
      <c r="AF710" s="277"/>
      <c r="AG710" s="119"/>
      <c r="AH710" s="358"/>
      <c r="AI710" s="358"/>
      <c r="AJ710" s="380"/>
      <c r="AK710" s="380"/>
      <c r="AL710" s="380"/>
      <c r="AM710" s="380"/>
      <c r="AN710" s="120"/>
      <c r="AO710" s="120"/>
      <c r="AP710" s="120"/>
      <c r="AQ710" s="313"/>
      <c r="AR710" s="119"/>
      <c r="AS710" s="22"/>
      <c r="AT710" s="22"/>
      <c r="AU710" s="22"/>
      <c r="AV710" s="22"/>
      <c r="AW710" s="82"/>
      <c r="AX710" s="82"/>
      <c r="AY710" s="82"/>
      <c r="AZ710" s="82"/>
      <c r="BA710" s="82"/>
      <c r="BB710" s="82"/>
      <c r="BC710" s="82"/>
      <c r="BD710" s="82"/>
      <c r="BE710" s="82"/>
      <c r="BF710" s="82"/>
      <c r="BG710" s="112"/>
      <c r="BH710" s="112"/>
      <c r="BI710" s="112"/>
      <c r="BJ710" s="112"/>
      <c r="BK710" s="82"/>
      <c r="BL710" s="82"/>
      <c r="BN710" s="412"/>
      <c r="BO710" s="412"/>
      <c r="BP710" s="412"/>
      <c r="BQ710" s="412"/>
      <c r="BR710" s="412"/>
      <c r="BZ710" t="str">
        <f t="shared" si="63"/>
        <v/>
      </c>
    </row>
    <row r="711" spans="1:78" ht="15.6" hidden="1" customHeight="1">
      <c r="A711" s="35" t="str">
        <f t="shared" si="69"/>
        <v/>
      </c>
      <c r="C711" s="358" t="s">
        <v>24</v>
      </c>
      <c r="D711" s="358">
        <v>707</v>
      </c>
      <c r="E711" s="119"/>
      <c r="F711" s="119"/>
      <c r="G711" s="266"/>
      <c r="H711" s="119"/>
      <c r="I711" s="358"/>
      <c r="J711" s="359" t="str">
        <f>IFERROR(VLOOKUP($A711,#REF!,3,0),"")</f>
        <v/>
      </c>
      <c r="K711" s="359">
        <f>IFERROR(VLOOKUP($A711,#REF!,4,0),AF711)</f>
        <v>0</v>
      </c>
      <c r="L711" s="359" t="str">
        <f>IFERROR(VLOOKUP($A711,#REF!,5,0),"")</f>
        <v/>
      </c>
      <c r="M711" s="359" t="str">
        <f>IFERROR(VLOOKUP($A711,#REF!,7,0),"")</f>
        <v/>
      </c>
      <c r="N711" s="359"/>
      <c r="O711" s="359" t="str">
        <f>IFERROR(VLOOKUP($A711,#REF!,6,0),"")</f>
        <v/>
      </c>
      <c r="P711" s="359" t="str">
        <f>IFERROR(VLOOKUP($A711,#REF!,9,0),"")</f>
        <v/>
      </c>
      <c r="Q711" s="359" t="str">
        <f>IFERROR(VLOOKUP($A711,#REF!,10,0),"")</f>
        <v/>
      </c>
      <c r="R711" s="359" t="str">
        <f>IFERROR(VLOOKUP($A711,#REF!,11,0),"")</f>
        <v/>
      </c>
      <c r="S711" s="359" t="str">
        <f>IFERROR(VLOOKUP($A711,#REF!,13,0),"")</f>
        <v/>
      </c>
      <c r="T711" s="359" t="str">
        <f>IFERROR(VLOOKUP($A711,#REF!,14,0),"")</f>
        <v/>
      </c>
      <c r="U711" s="359" t="str">
        <f>IFERROR(VLOOKUP($A711,#REF!,15,0),"")</f>
        <v/>
      </c>
      <c r="V711" s="359" t="str">
        <f>IFERROR(VLOOKUP($A711,#REF!,16,0),"")</f>
        <v/>
      </c>
      <c r="W711" s="359" t="str">
        <f>IFERROR(VLOOKUP($A711,#REF!,17,0),"")</f>
        <v/>
      </c>
      <c r="X711" s="359" t="str">
        <f>IFERROR(VLOOKUP($A711,#REF!,18,0),"")</f>
        <v/>
      </c>
      <c r="Y711" s="359" t="str">
        <f>IFERROR(VLOOKUP($A711,#REF!,19,0),"")</f>
        <v/>
      </c>
      <c r="Z711" s="400" t="str">
        <f>IFERROR(VLOOKUP($A711,#REF!,21,0),"")</f>
        <v/>
      </c>
      <c r="AA711" s="358"/>
      <c r="AB711" s="358"/>
      <c r="AC711" s="119"/>
      <c r="AD711" s="119"/>
      <c r="AE711" s="119"/>
      <c r="AF711" s="277"/>
      <c r="AG711" s="119"/>
      <c r="AH711" s="358"/>
      <c r="AI711" s="358"/>
      <c r="AJ711" s="380"/>
      <c r="AK711" s="380"/>
      <c r="AL711" s="380"/>
      <c r="AM711" s="380"/>
      <c r="AN711" s="120"/>
      <c r="AO711" s="120"/>
      <c r="AP711" s="120"/>
      <c r="AQ711" s="313"/>
      <c r="AR711" s="119"/>
      <c r="AS711" s="22"/>
      <c r="AT711" s="22"/>
      <c r="AU711" s="22"/>
      <c r="AV711" s="22"/>
      <c r="AW711" s="82"/>
      <c r="AX711" s="82"/>
      <c r="AY711" s="82"/>
      <c r="AZ711" s="82"/>
      <c r="BA711" s="82"/>
      <c r="BB711" s="82"/>
      <c r="BC711" s="82"/>
      <c r="BD711" s="82"/>
      <c r="BE711" s="82"/>
      <c r="BF711" s="82"/>
      <c r="BG711" s="112"/>
      <c r="BH711" s="112"/>
      <c r="BI711" s="112"/>
      <c r="BJ711" s="112"/>
      <c r="BK711" s="82"/>
      <c r="BL711" s="82"/>
      <c r="BN711" s="412"/>
      <c r="BO711" s="412"/>
      <c r="BP711" s="412"/>
      <c r="BQ711" s="412"/>
      <c r="BR711" s="412"/>
      <c r="BZ711" t="str">
        <f t="shared" si="63"/>
        <v/>
      </c>
    </row>
    <row r="712" spans="1:78" ht="15.6" hidden="1" customHeight="1">
      <c r="A712" s="35" t="str">
        <f t="shared" si="69"/>
        <v/>
      </c>
      <c r="C712" s="358" t="s">
        <v>24</v>
      </c>
      <c r="D712" s="358">
        <v>708</v>
      </c>
      <c r="E712" s="119"/>
      <c r="F712" s="119"/>
      <c r="G712" s="266"/>
      <c r="H712" s="119"/>
      <c r="I712" s="358"/>
      <c r="J712" s="359" t="str">
        <f>IFERROR(VLOOKUP($A712,#REF!,3,0),"")</f>
        <v/>
      </c>
      <c r="K712" s="359">
        <f>IFERROR(VLOOKUP($A712,#REF!,4,0),AF712)</f>
        <v>0</v>
      </c>
      <c r="L712" s="359" t="str">
        <f>IFERROR(VLOOKUP($A712,#REF!,5,0),"")</f>
        <v/>
      </c>
      <c r="M712" s="359" t="str">
        <f>IFERROR(VLOOKUP($A712,#REF!,7,0),"")</f>
        <v/>
      </c>
      <c r="N712" s="359"/>
      <c r="O712" s="359" t="str">
        <f>IFERROR(VLOOKUP($A712,#REF!,6,0),"")</f>
        <v/>
      </c>
      <c r="P712" s="359" t="str">
        <f>IFERROR(VLOOKUP($A712,#REF!,9,0),"")</f>
        <v/>
      </c>
      <c r="Q712" s="359" t="str">
        <f>IFERROR(VLOOKUP($A712,#REF!,10,0),"")</f>
        <v/>
      </c>
      <c r="R712" s="359" t="str">
        <f>IFERROR(VLOOKUP($A712,#REF!,11,0),"")</f>
        <v/>
      </c>
      <c r="S712" s="359" t="str">
        <f>IFERROR(VLOOKUP($A712,#REF!,13,0),"")</f>
        <v/>
      </c>
      <c r="T712" s="359" t="str">
        <f>IFERROR(VLOOKUP($A712,#REF!,14,0),"")</f>
        <v/>
      </c>
      <c r="U712" s="359" t="str">
        <f>IFERROR(VLOOKUP($A712,#REF!,15,0),"")</f>
        <v/>
      </c>
      <c r="V712" s="359" t="str">
        <f>IFERROR(VLOOKUP($A712,#REF!,16,0),"")</f>
        <v/>
      </c>
      <c r="W712" s="359" t="str">
        <f>IFERROR(VLOOKUP($A712,#REF!,17,0),"")</f>
        <v/>
      </c>
      <c r="X712" s="359" t="str">
        <f>IFERROR(VLOOKUP($A712,#REF!,18,0),"")</f>
        <v/>
      </c>
      <c r="Y712" s="359" t="str">
        <f>IFERROR(VLOOKUP($A712,#REF!,19,0),"")</f>
        <v/>
      </c>
      <c r="Z712" s="400" t="str">
        <f>IFERROR(VLOOKUP($A712,#REF!,21,0),"")</f>
        <v/>
      </c>
      <c r="AA712" s="358"/>
      <c r="AB712" s="358"/>
      <c r="AC712" s="119"/>
      <c r="AD712" s="119"/>
      <c r="AE712" s="119"/>
      <c r="AF712" s="277"/>
      <c r="AG712" s="119"/>
      <c r="AH712" s="358"/>
      <c r="AI712" s="358"/>
      <c r="AJ712" s="380"/>
      <c r="AK712" s="380"/>
      <c r="AL712" s="380"/>
      <c r="AM712" s="380"/>
      <c r="AN712" s="120"/>
      <c r="AO712" s="120"/>
      <c r="AP712" s="120"/>
      <c r="AQ712" s="313"/>
      <c r="AR712" s="119"/>
      <c r="AS712" s="22"/>
      <c r="AT712" s="22"/>
      <c r="AU712" s="22"/>
      <c r="AV712" s="22"/>
      <c r="AW712" s="82"/>
      <c r="AX712" s="82"/>
      <c r="AY712" s="82"/>
      <c r="AZ712" s="82"/>
      <c r="BA712" s="82"/>
      <c r="BB712" s="82"/>
      <c r="BC712" s="82"/>
      <c r="BD712" s="82"/>
      <c r="BE712" s="82"/>
      <c r="BF712" s="82"/>
      <c r="BG712" s="112"/>
      <c r="BH712" s="112"/>
      <c r="BI712" s="112"/>
      <c r="BJ712" s="112"/>
      <c r="BK712" s="82"/>
      <c r="BL712" s="82"/>
      <c r="BN712" s="412"/>
      <c r="BO712" s="412"/>
      <c r="BP712" s="412"/>
      <c r="BQ712" s="412"/>
      <c r="BR712" s="412"/>
      <c r="BZ712" t="str">
        <f t="shared" si="63"/>
        <v/>
      </c>
    </row>
    <row r="713" spans="1:78" ht="15.6" hidden="1" customHeight="1">
      <c r="A713" s="35" t="str">
        <f t="shared" si="69"/>
        <v/>
      </c>
      <c r="C713" s="358" t="s">
        <v>24</v>
      </c>
      <c r="D713" s="358">
        <v>709</v>
      </c>
      <c r="E713" s="119"/>
      <c r="F713" s="119"/>
      <c r="G713" s="266"/>
      <c r="H713" s="119"/>
      <c r="I713" s="358"/>
      <c r="J713" s="359" t="str">
        <f>IFERROR(VLOOKUP($A713,#REF!,3,0),"")</f>
        <v/>
      </c>
      <c r="K713" s="359">
        <f>IFERROR(VLOOKUP($A713,#REF!,4,0),AF713)</f>
        <v>0</v>
      </c>
      <c r="L713" s="359" t="str">
        <f>IFERROR(VLOOKUP($A713,#REF!,5,0),"")</f>
        <v/>
      </c>
      <c r="M713" s="359" t="str">
        <f>IFERROR(VLOOKUP($A713,#REF!,7,0),"")</f>
        <v/>
      </c>
      <c r="N713" s="359"/>
      <c r="O713" s="359" t="str">
        <f>IFERROR(VLOOKUP($A713,#REF!,6,0),"")</f>
        <v/>
      </c>
      <c r="P713" s="359" t="str">
        <f>IFERROR(VLOOKUP($A713,#REF!,9,0),"")</f>
        <v/>
      </c>
      <c r="Q713" s="359" t="str">
        <f>IFERROR(VLOOKUP($A713,#REF!,10,0),"")</f>
        <v/>
      </c>
      <c r="R713" s="359" t="str">
        <f>IFERROR(VLOOKUP($A713,#REF!,11,0),"")</f>
        <v/>
      </c>
      <c r="S713" s="359" t="str">
        <f>IFERROR(VLOOKUP($A713,#REF!,13,0),"")</f>
        <v/>
      </c>
      <c r="T713" s="359" t="str">
        <f>IFERROR(VLOOKUP($A713,#REF!,14,0),"")</f>
        <v/>
      </c>
      <c r="U713" s="359" t="str">
        <f>IFERROR(VLOOKUP($A713,#REF!,15,0),"")</f>
        <v/>
      </c>
      <c r="V713" s="359" t="str">
        <f>IFERROR(VLOOKUP($A713,#REF!,16,0),"")</f>
        <v/>
      </c>
      <c r="W713" s="359" t="str">
        <f>IFERROR(VLOOKUP($A713,#REF!,17,0),"")</f>
        <v/>
      </c>
      <c r="X713" s="359" t="str">
        <f>IFERROR(VLOOKUP($A713,#REF!,18,0),"")</f>
        <v/>
      </c>
      <c r="Y713" s="359" t="str">
        <f>IFERROR(VLOOKUP($A713,#REF!,19,0),"")</f>
        <v/>
      </c>
      <c r="Z713" s="400" t="str">
        <f>IFERROR(VLOOKUP($A713,#REF!,21,0),"")</f>
        <v/>
      </c>
      <c r="AA713" s="358"/>
      <c r="AB713" s="358"/>
      <c r="AC713" s="119"/>
      <c r="AD713" s="119"/>
      <c r="AE713" s="119"/>
      <c r="AF713" s="277"/>
      <c r="AG713" s="119"/>
      <c r="AH713" s="358"/>
      <c r="AI713" s="358"/>
      <c r="AJ713" s="380"/>
      <c r="AK713" s="380"/>
      <c r="AL713" s="380"/>
      <c r="AM713" s="380"/>
      <c r="AN713" s="120"/>
      <c r="AO713" s="120"/>
      <c r="AP713" s="120"/>
      <c r="AQ713" s="313"/>
      <c r="AR713" s="119"/>
      <c r="AS713" s="22"/>
      <c r="AT713" s="22"/>
      <c r="AU713" s="22"/>
      <c r="AV713" s="22"/>
      <c r="AW713" s="82"/>
      <c r="AX713" s="82"/>
      <c r="AY713" s="82"/>
      <c r="AZ713" s="82"/>
      <c r="BA713" s="82"/>
      <c r="BB713" s="82"/>
      <c r="BC713" s="82"/>
      <c r="BD713" s="82"/>
      <c r="BE713" s="82"/>
      <c r="BF713" s="82"/>
      <c r="BG713" s="112"/>
      <c r="BH713" s="112"/>
      <c r="BI713" s="112"/>
      <c r="BJ713" s="112"/>
      <c r="BK713" s="82"/>
      <c r="BL713" s="82"/>
      <c r="BN713" s="412"/>
      <c r="BO713" s="412"/>
      <c r="BP713" s="412"/>
      <c r="BQ713" s="412"/>
      <c r="BR713" s="412"/>
      <c r="BZ713" t="str">
        <f t="shared" si="63"/>
        <v/>
      </c>
    </row>
    <row r="714" spans="1:78" ht="15.6" hidden="1" customHeight="1">
      <c r="A714" s="35" t="str">
        <f t="shared" si="69"/>
        <v/>
      </c>
      <c r="C714" s="358" t="s">
        <v>24</v>
      </c>
      <c r="D714" s="358">
        <v>710</v>
      </c>
      <c r="E714" s="119"/>
      <c r="F714" s="119"/>
      <c r="G714" s="266"/>
      <c r="H714" s="119"/>
      <c r="I714" s="358"/>
      <c r="J714" s="359" t="str">
        <f>IFERROR(VLOOKUP($A714,#REF!,3,0),"")</f>
        <v/>
      </c>
      <c r="K714" s="359">
        <f>IFERROR(VLOOKUP($A714,#REF!,4,0),AF714)</f>
        <v>0</v>
      </c>
      <c r="L714" s="359" t="str">
        <f>IFERROR(VLOOKUP($A714,#REF!,5,0),"")</f>
        <v/>
      </c>
      <c r="M714" s="359" t="str">
        <f>IFERROR(VLOOKUP($A714,#REF!,7,0),"")</f>
        <v/>
      </c>
      <c r="N714" s="359"/>
      <c r="O714" s="359" t="str">
        <f>IFERROR(VLOOKUP($A714,#REF!,6,0),"")</f>
        <v/>
      </c>
      <c r="P714" s="359" t="str">
        <f>IFERROR(VLOOKUP($A714,#REF!,9,0),"")</f>
        <v/>
      </c>
      <c r="Q714" s="359" t="str">
        <f>IFERROR(VLOOKUP($A714,#REF!,10,0),"")</f>
        <v/>
      </c>
      <c r="R714" s="359" t="str">
        <f>IFERROR(VLOOKUP($A714,#REF!,11,0),"")</f>
        <v/>
      </c>
      <c r="S714" s="359" t="str">
        <f>IFERROR(VLOOKUP($A714,#REF!,13,0),"")</f>
        <v/>
      </c>
      <c r="T714" s="359" t="str">
        <f>IFERROR(VLOOKUP($A714,#REF!,14,0),"")</f>
        <v/>
      </c>
      <c r="U714" s="359" t="str">
        <f>IFERROR(VLOOKUP($A714,#REF!,15,0),"")</f>
        <v/>
      </c>
      <c r="V714" s="359" t="str">
        <f>IFERROR(VLOOKUP($A714,#REF!,16,0),"")</f>
        <v/>
      </c>
      <c r="W714" s="359" t="str">
        <f>IFERROR(VLOOKUP($A714,#REF!,17,0),"")</f>
        <v/>
      </c>
      <c r="X714" s="359" t="str">
        <f>IFERROR(VLOOKUP($A714,#REF!,18,0),"")</f>
        <v/>
      </c>
      <c r="Y714" s="359" t="str">
        <f>IFERROR(VLOOKUP($A714,#REF!,19,0),"")</f>
        <v/>
      </c>
      <c r="Z714" s="400" t="str">
        <f>IFERROR(VLOOKUP($A714,#REF!,21,0),"")</f>
        <v/>
      </c>
      <c r="AA714" s="358"/>
      <c r="AB714" s="358"/>
      <c r="AC714" s="119"/>
      <c r="AD714" s="119"/>
      <c r="AE714" s="119"/>
      <c r="AF714" s="277"/>
      <c r="AG714" s="119"/>
      <c r="AH714" s="358"/>
      <c r="AI714" s="358"/>
      <c r="AJ714" s="380"/>
      <c r="AK714" s="380"/>
      <c r="AL714" s="380"/>
      <c r="AM714" s="380"/>
      <c r="AN714" s="120"/>
      <c r="AO714" s="120"/>
      <c r="AP714" s="120"/>
      <c r="AQ714" s="313"/>
      <c r="AR714" s="119"/>
      <c r="AS714" s="22"/>
      <c r="AT714" s="22"/>
      <c r="AU714" s="22"/>
      <c r="AV714" s="22"/>
      <c r="AW714" s="82"/>
      <c r="AX714" s="82"/>
      <c r="AY714" s="82"/>
      <c r="AZ714" s="82"/>
      <c r="BA714" s="82"/>
      <c r="BB714" s="82"/>
      <c r="BC714" s="82"/>
      <c r="BD714" s="82"/>
      <c r="BE714" s="82"/>
      <c r="BF714" s="82"/>
      <c r="BG714" s="112"/>
      <c r="BH714" s="112"/>
      <c r="BI714" s="112"/>
      <c r="BJ714" s="112"/>
      <c r="BK714" s="82"/>
      <c r="BL714" s="82"/>
      <c r="BN714" s="412"/>
      <c r="BO714" s="412"/>
      <c r="BP714" s="412"/>
      <c r="BQ714" s="412"/>
      <c r="BR714" s="412"/>
      <c r="BZ714" t="str">
        <f t="shared" si="63"/>
        <v/>
      </c>
    </row>
    <row r="715" spans="1:78" ht="15.6" hidden="1" customHeight="1">
      <c r="A715" s="35" t="str">
        <f t="shared" si="69"/>
        <v/>
      </c>
      <c r="C715" s="358" t="s">
        <v>24</v>
      </c>
      <c r="D715" s="358">
        <v>711</v>
      </c>
      <c r="E715" s="119"/>
      <c r="F715" s="119"/>
      <c r="G715" s="266"/>
      <c r="H715" s="119"/>
      <c r="I715" s="358"/>
      <c r="J715" s="359" t="str">
        <f>IFERROR(VLOOKUP($A715,#REF!,3,0),"")</f>
        <v/>
      </c>
      <c r="K715" s="359">
        <f>IFERROR(VLOOKUP($A715,#REF!,4,0),AF715)</f>
        <v>0</v>
      </c>
      <c r="L715" s="359" t="str">
        <f>IFERROR(VLOOKUP($A715,#REF!,5,0),"")</f>
        <v/>
      </c>
      <c r="M715" s="359" t="str">
        <f>IFERROR(VLOOKUP($A715,#REF!,7,0),"")</f>
        <v/>
      </c>
      <c r="N715" s="359"/>
      <c r="O715" s="359" t="str">
        <f>IFERROR(VLOOKUP($A715,#REF!,6,0),"")</f>
        <v/>
      </c>
      <c r="P715" s="359" t="str">
        <f>IFERROR(VLOOKUP($A715,#REF!,9,0),"")</f>
        <v/>
      </c>
      <c r="Q715" s="359" t="str">
        <f>IFERROR(VLOOKUP($A715,#REF!,10,0),"")</f>
        <v/>
      </c>
      <c r="R715" s="359" t="str">
        <f>IFERROR(VLOOKUP($A715,#REF!,11,0),"")</f>
        <v/>
      </c>
      <c r="S715" s="359" t="str">
        <f>IFERROR(VLOOKUP($A715,#REF!,13,0),"")</f>
        <v/>
      </c>
      <c r="T715" s="359" t="str">
        <f>IFERROR(VLOOKUP($A715,#REF!,14,0),"")</f>
        <v/>
      </c>
      <c r="U715" s="359" t="str">
        <f>IFERROR(VLOOKUP($A715,#REF!,15,0),"")</f>
        <v/>
      </c>
      <c r="V715" s="359" t="str">
        <f>IFERROR(VLOOKUP($A715,#REF!,16,0),"")</f>
        <v/>
      </c>
      <c r="W715" s="359" t="str">
        <f>IFERROR(VLOOKUP($A715,#REF!,17,0),"")</f>
        <v/>
      </c>
      <c r="X715" s="359" t="str">
        <f>IFERROR(VLOOKUP($A715,#REF!,18,0),"")</f>
        <v/>
      </c>
      <c r="Y715" s="359" t="str">
        <f>IFERROR(VLOOKUP($A715,#REF!,19,0),"")</f>
        <v/>
      </c>
      <c r="Z715" s="400" t="str">
        <f>IFERROR(VLOOKUP($A715,#REF!,21,0),"")</f>
        <v/>
      </c>
      <c r="AA715" s="358"/>
      <c r="AB715" s="358"/>
      <c r="AC715" s="119"/>
      <c r="AD715" s="119"/>
      <c r="AE715" s="119"/>
      <c r="AF715" s="277"/>
      <c r="AG715" s="119"/>
      <c r="AH715" s="358"/>
      <c r="AI715" s="358"/>
      <c r="AJ715" s="380"/>
      <c r="AK715" s="380"/>
      <c r="AL715" s="380"/>
      <c r="AM715" s="380"/>
      <c r="AN715" s="120"/>
      <c r="AO715" s="120"/>
      <c r="AP715" s="120"/>
      <c r="AQ715" s="313"/>
      <c r="AR715" s="119"/>
      <c r="AS715" s="22"/>
      <c r="AT715" s="22"/>
      <c r="AU715" s="22"/>
      <c r="AV715" s="22"/>
      <c r="AW715" s="82"/>
      <c r="AX715" s="82"/>
      <c r="AY715" s="82"/>
      <c r="AZ715" s="82"/>
      <c r="BA715" s="82"/>
      <c r="BB715" s="82"/>
      <c r="BC715" s="82"/>
      <c r="BD715" s="82"/>
      <c r="BE715" s="82"/>
      <c r="BF715" s="82"/>
      <c r="BG715" s="112"/>
      <c r="BH715" s="112"/>
      <c r="BI715" s="112"/>
      <c r="BJ715" s="112"/>
      <c r="BK715" s="82"/>
      <c r="BL715" s="82"/>
      <c r="BN715" s="412"/>
      <c r="BO715" s="412"/>
      <c r="BP715" s="412"/>
      <c r="BQ715" s="412"/>
      <c r="BR715" s="412"/>
      <c r="BZ715" t="str">
        <f t="shared" si="63"/>
        <v/>
      </c>
    </row>
    <row r="716" spans="1:78" ht="15.6" hidden="1" customHeight="1">
      <c r="A716" s="35" t="str">
        <f t="shared" si="69"/>
        <v/>
      </c>
      <c r="C716" s="358" t="s">
        <v>24</v>
      </c>
      <c r="D716" s="358">
        <v>712</v>
      </c>
      <c r="E716" s="119"/>
      <c r="F716" s="119"/>
      <c r="G716" s="266"/>
      <c r="H716" s="119"/>
      <c r="I716" s="358"/>
      <c r="J716" s="359" t="str">
        <f>IFERROR(VLOOKUP($A716,#REF!,3,0),"")</f>
        <v/>
      </c>
      <c r="K716" s="359">
        <f>IFERROR(VLOOKUP($A716,#REF!,4,0),AF716)</f>
        <v>0</v>
      </c>
      <c r="L716" s="359" t="str">
        <f>IFERROR(VLOOKUP($A716,#REF!,5,0),"")</f>
        <v/>
      </c>
      <c r="M716" s="359" t="str">
        <f>IFERROR(VLOOKUP($A716,#REF!,7,0),"")</f>
        <v/>
      </c>
      <c r="N716" s="359"/>
      <c r="O716" s="359" t="str">
        <f>IFERROR(VLOOKUP($A716,#REF!,6,0),"")</f>
        <v/>
      </c>
      <c r="P716" s="359" t="str">
        <f>IFERROR(VLOOKUP($A716,#REF!,9,0),"")</f>
        <v/>
      </c>
      <c r="Q716" s="359" t="str">
        <f>IFERROR(VLOOKUP($A716,#REF!,10,0),"")</f>
        <v/>
      </c>
      <c r="R716" s="359" t="str">
        <f>IFERROR(VLOOKUP($A716,#REF!,11,0),"")</f>
        <v/>
      </c>
      <c r="S716" s="359" t="str">
        <f>IFERROR(VLOOKUP($A716,#REF!,13,0),"")</f>
        <v/>
      </c>
      <c r="T716" s="359" t="str">
        <f>IFERROR(VLOOKUP($A716,#REF!,14,0),"")</f>
        <v/>
      </c>
      <c r="U716" s="359" t="str">
        <f>IFERROR(VLOOKUP($A716,#REF!,15,0),"")</f>
        <v/>
      </c>
      <c r="V716" s="359" t="str">
        <f>IFERROR(VLOOKUP($A716,#REF!,16,0),"")</f>
        <v/>
      </c>
      <c r="W716" s="359" t="str">
        <f>IFERROR(VLOOKUP($A716,#REF!,17,0),"")</f>
        <v/>
      </c>
      <c r="X716" s="359" t="str">
        <f>IFERROR(VLOOKUP($A716,#REF!,18,0),"")</f>
        <v/>
      </c>
      <c r="Y716" s="359" t="str">
        <f>IFERROR(VLOOKUP($A716,#REF!,19,0),"")</f>
        <v/>
      </c>
      <c r="Z716" s="400" t="str">
        <f>IFERROR(VLOOKUP($A716,#REF!,21,0),"")</f>
        <v/>
      </c>
      <c r="AA716" s="358"/>
      <c r="AB716" s="358"/>
      <c r="AC716" s="119"/>
      <c r="AD716" s="119"/>
      <c r="AE716" s="119"/>
      <c r="AF716" s="277"/>
      <c r="AG716" s="119"/>
      <c r="AH716" s="358"/>
      <c r="AI716" s="358"/>
      <c r="AJ716" s="380"/>
      <c r="AK716" s="380"/>
      <c r="AL716" s="380"/>
      <c r="AM716" s="380"/>
      <c r="AN716" s="120"/>
      <c r="AO716" s="120"/>
      <c r="AP716" s="120"/>
      <c r="AQ716" s="313"/>
      <c r="AR716" s="119"/>
      <c r="AS716" s="22"/>
      <c r="AT716" s="22"/>
      <c r="AU716" s="22"/>
      <c r="AV716" s="22"/>
      <c r="AW716" s="82"/>
      <c r="AX716" s="82"/>
      <c r="AY716" s="82"/>
      <c r="AZ716" s="82"/>
      <c r="BA716" s="82"/>
      <c r="BB716" s="82"/>
      <c r="BC716" s="82"/>
      <c r="BD716" s="82"/>
      <c r="BE716" s="82"/>
      <c r="BF716" s="82"/>
      <c r="BG716" s="112"/>
      <c r="BH716" s="112"/>
      <c r="BI716" s="112"/>
      <c r="BJ716" s="112"/>
      <c r="BK716" s="82"/>
      <c r="BL716" s="82"/>
      <c r="BN716" s="412"/>
      <c r="BO716" s="412"/>
      <c r="BP716" s="412"/>
      <c r="BQ716" s="412"/>
      <c r="BR716" s="412"/>
      <c r="BZ716" t="str">
        <f t="shared" ref="BZ716:BZ780" si="70">IF(G716&gt;1,1,"")</f>
        <v/>
      </c>
    </row>
    <row r="717" spans="1:78" ht="15.6" hidden="1" customHeight="1">
      <c r="A717" s="35" t="str">
        <f t="shared" si="69"/>
        <v/>
      </c>
      <c r="C717" s="358" t="s">
        <v>24</v>
      </c>
      <c r="D717" s="358">
        <v>713</v>
      </c>
      <c r="E717" s="119"/>
      <c r="F717" s="119"/>
      <c r="G717" s="266"/>
      <c r="H717" s="119"/>
      <c r="I717" s="358"/>
      <c r="J717" s="359" t="str">
        <f>IFERROR(VLOOKUP($A717,#REF!,3,0),"")</f>
        <v/>
      </c>
      <c r="K717" s="359">
        <f>IFERROR(VLOOKUP($A717,#REF!,4,0),AF717)</f>
        <v>0</v>
      </c>
      <c r="L717" s="359" t="str">
        <f>IFERROR(VLOOKUP($A717,#REF!,5,0),"")</f>
        <v/>
      </c>
      <c r="M717" s="359" t="str">
        <f>IFERROR(VLOOKUP($A717,#REF!,7,0),"")</f>
        <v/>
      </c>
      <c r="N717" s="359"/>
      <c r="O717" s="359" t="str">
        <f>IFERROR(VLOOKUP($A717,#REF!,6,0),"")</f>
        <v/>
      </c>
      <c r="P717" s="359" t="str">
        <f>IFERROR(VLOOKUP($A717,#REF!,9,0),"")</f>
        <v/>
      </c>
      <c r="Q717" s="359" t="str">
        <f>IFERROR(VLOOKUP($A717,#REF!,10,0),"")</f>
        <v/>
      </c>
      <c r="R717" s="359" t="str">
        <f>IFERROR(VLOOKUP($A717,#REF!,11,0),"")</f>
        <v/>
      </c>
      <c r="S717" s="359" t="str">
        <f>IFERROR(VLOOKUP($A717,#REF!,13,0),"")</f>
        <v/>
      </c>
      <c r="T717" s="359" t="str">
        <f>IFERROR(VLOOKUP($A717,#REF!,14,0),"")</f>
        <v/>
      </c>
      <c r="U717" s="359" t="str">
        <f>IFERROR(VLOOKUP($A717,#REF!,15,0),"")</f>
        <v/>
      </c>
      <c r="V717" s="359" t="str">
        <f>IFERROR(VLOOKUP($A717,#REF!,16,0),"")</f>
        <v/>
      </c>
      <c r="W717" s="359" t="str">
        <f>IFERROR(VLOOKUP($A717,#REF!,17,0),"")</f>
        <v/>
      </c>
      <c r="X717" s="359" t="str">
        <f>IFERROR(VLOOKUP($A717,#REF!,18,0),"")</f>
        <v/>
      </c>
      <c r="Y717" s="359" t="str">
        <f>IFERROR(VLOOKUP($A717,#REF!,19,0),"")</f>
        <v/>
      </c>
      <c r="Z717" s="400" t="str">
        <f>IFERROR(VLOOKUP($A717,#REF!,21,0),"")</f>
        <v/>
      </c>
      <c r="AA717" s="358"/>
      <c r="AB717" s="358"/>
      <c r="AC717" s="119"/>
      <c r="AD717" s="119"/>
      <c r="AE717" s="119"/>
      <c r="AF717" s="277"/>
      <c r="AG717" s="119"/>
      <c r="AH717" s="358"/>
      <c r="AI717" s="358"/>
      <c r="AJ717" s="380"/>
      <c r="AK717" s="380"/>
      <c r="AL717" s="380"/>
      <c r="AM717" s="380"/>
      <c r="AN717" s="120"/>
      <c r="AO717" s="120"/>
      <c r="AP717" s="120"/>
      <c r="AQ717" s="313"/>
      <c r="AR717" s="119"/>
      <c r="AS717" s="22"/>
      <c r="AT717" s="22"/>
      <c r="AU717" s="22"/>
      <c r="AV717" s="22"/>
      <c r="AW717" s="82"/>
      <c r="AX717" s="82"/>
      <c r="AY717" s="82"/>
      <c r="AZ717" s="82"/>
      <c r="BA717" s="82"/>
      <c r="BB717" s="82"/>
      <c r="BC717" s="82"/>
      <c r="BD717" s="82"/>
      <c r="BE717" s="82"/>
      <c r="BF717" s="82"/>
      <c r="BG717" s="112"/>
      <c r="BH717" s="112"/>
      <c r="BI717" s="112"/>
      <c r="BJ717" s="112"/>
      <c r="BK717" s="82"/>
      <c r="BL717" s="82"/>
      <c r="BN717" s="412"/>
      <c r="BO717" s="412"/>
      <c r="BP717" s="412"/>
      <c r="BQ717" s="412"/>
      <c r="BR717" s="412"/>
      <c r="BZ717" t="str">
        <f t="shared" si="70"/>
        <v/>
      </c>
    </row>
    <row r="718" spans="1:78" ht="15.6" hidden="1" customHeight="1">
      <c r="A718" s="35" t="str">
        <f t="shared" si="69"/>
        <v/>
      </c>
      <c r="C718" s="358" t="s">
        <v>24</v>
      </c>
      <c r="D718" s="358">
        <v>714</v>
      </c>
      <c r="E718" s="119"/>
      <c r="F718" s="119"/>
      <c r="G718" s="266"/>
      <c r="H718" s="119"/>
      <c r="I718" s="358"/>
      <c r="J718" s="359" t="str">
        <f>IFERROR(VLOOKUP($A718,#REF!,3,0),"")</f>
        <v/>
      </c>
      <c r="K718" s="359">
        <f>IFERROR(VLOOKUP($A718,#REF!,4,0),AF718)</f>
        <v>0</v>
      </c>
      <c r="L718" s="359" t="str">
        <f>IFERROR(VLOOKUP($A718,#REF!,5,0),"")</f>
        <v/>
      </c>
      <c r="M718" s="359" t="str">
        <f>IFERROR(VLOOKUP($A718,#REF!,7,0),"")</f>
        <v/>
      </c>
      <c r="N718" s="359"/>
      <c r="O718" s="359" t="str">
        <f>IFERROR(VLOOKUP($A718,#REF!,6,0),"")</f>
        <v/>
      </c>
      <c r="P718" s="359" t="str">
        <f>IFERROR(VLOOKUP($A718,#REF!,9,0),"")</f>
        <v/>
      </c>
      <c r="Q718" s="359" t="str">
        <f>IFERROR(VLOOKUP($A718,#REF!,10,0),"")</f>
        <v/>
      </c>
      <c r="R718" s="359" t="str">
        <f>IFERROR(VLOOKUP($A718,#REF!,11,0),"")</f>
        <v/>
      </c>
      <c r="S718" s="359" t="str">
        <f>IFERROR(VLOOKUP($A718,#REF!,13,0),"")</f>
        <v/>
      </c>
      <c r="T718" s="359" t="str">
        <f>IFERROR(VLOOKUP($A718,#REF!,14,0),"")</f>
        <v/>
      </c>
      <c r="U718" s="359" t="str">
        <f>IFERROR(VLOOKUP($A718,#REF!,15,0),"")</f>
        <v/>
      </c>
      <c r="V718" s="359" t="str">
        <f>IFERROR(VLOOKUP($A718,#REF!,16,0),"")</f>
        <v/>
      </c>
      <c r="W718" s="359" t="str">
        <f>IFERROR(VLOOKUP($A718,#REF!,17,0),"")</f>
        <v/>
      </c>
      <c r="X718" s="359" t="str">
        <f>IFERROR(VLOOKUP($A718,#REF!,18,0),"")</f>
        <v/>
      </c>
      <c r="Y718" s="359" t="str">
        <f>IFERROR(VLOOKUP($A718,#REF!,19,0),"")</f>
        <v/>
      </c>
      <c r="Z718" s="400" t="str">
        <f>IFERROR(VLOOKUP($A718,#REF!,21,0),"")</f>
        <v/>
      </c>
      <c r="AA718" s="358"/>
      <c r="AB718" s="358"/>
      <c r="AC718" s="119"/>
      <c r="AD718" s="119"/>
      <c r="AE718" s="119"/>
      <c r="AF718" s="277"/>
      <c r="AG718" s="119"/>
      <c r="AH718" s="358"/>
      <c r="AI718" s="358"/>
      <c r="AJ718" s="380"/>
      <c r="AK718" s="380"/>
      <c r="AL718" s="380"/>
      <c r="AM718" s="380"/>
      <c r="AN718" s="120"/>
      <c r="AO718" s="120"/>
      <c r="AP718" s="120"/>
      <c r="AQ718" s="313"/>
      <c r="AR718" s="119"/>
      <c r="AS718" s="22"/>
      <c r="AT718" s="22"/>
      <c r="AU718" s="22"/>
      <c r="AV718" s="22"/>
      <c r="AW718" s="82"/>
      <c r="AX718" s="82"/>
      <c r="AY718" s="82"/>
      <c r="AZ718" s="82"/>
      <c r="BA718" s="82"/>
      <c r="BB718" s="82"/>
      <c r="BC718" s="82"/>
      <c r="BD718" s="82"/>
      <c r="BE718" s="82"/>
      <c r="BF718" s="82"/>
      <c r="BG718" s="112"/>
      <c r="BH718" s="112"/>
      <c r="BI718" s="112"/>
      <c r="BJ718" s="112"/>
      <c r="BK718" s="82"/>
      <c r="BL718" s="82"/>
      <c r="BN718" s="412"/>
      <c r="BO718" s="412"/>
      <c r="BP718" s="412"/>
      <c r="BQ718" s="412"/>
      <c r="BR718" s="412"/>
      <c r="BZ718" t="str">
        <f t="shared" si="70"/>
        <v/>
      </c>
    </row>
    <row r="719" spans="1:78" ht="15.6" hidden="1" customHeight="1">
      <c r="A719" s="35" t="str">
        <f t="shared" si="69"/>
        <v/>
      </c>
      <c r="C719" s="358" t="s">
        <v>24</v>
      </c>
      <c r="D719" s="358">
        <v>715</v>
      </c>
      <c r="E719" s="119"/>
      <c r="F719" s="119"/>
      <c r="G719" s="266"/>
      <c r="H719" s="119"/>
      <c r="I719" s="358"/>
      <c r="J719" s="359" t="str">
        <f>IFERROR(VLOOKUP($A719,#REF!,3,0),"")</f>
        <v/>
      </c>
      <c r="K719" s="359">
        <f>IFERROR(VLOOKUP($A719,#REF!,4,0),AF719)</f>
        <v>0</v>
      </c>
      <c r="L719" s="359" t="str">
        <f>IFERROR(VLOOKUP($A719,#REF!,5,0),"")</f>
        <v/>
      </c>
      <c r="M719" s="359" t="str">
        <f>IFERROR(VLOOKUP($A719,#REF!,7,0),"")</f>
        <v/>
      </c>
      <c r="N719" s="359"/>
      <c r="O719" s="359" t="str">
        <f>IFERROR(VLOOKUP($A719,#REF!,6,0),"")</f>
        <v/>
      </c>
      <c r="P719" s="359" t="str">
        <f>IFERROR(VLOOKUP($A719,#REF!,9,0),"")</f>
        <v/>
      </c>
      <c r="Q719" s="359" t="str">
        <f>IFERROR(VLOOKUP($A719,#REF!,10,0),"")</f>
        <v/>
      </c>
      <c r="R719" s="359" t="str">
        <f>IFERROR(VLOOKUP($A719,#REF!,11,0),"")</f>
        <v/>
      </c>
      <c r="S719" s="359" t="str">
        <f>IFERROR(VLOOKUP($A719,#REF!,13,0),"")</f>
        <v/>
      </c>
      <c r="T719" s="359" t="str">
        <f>IFERROR(VLOOKUP($A719,#REF!,14,0),"")</f>
        <v/>
      </c>
      <c r="U719" s="359" t="str">
        <f>IFERROR(VLOOKUP($A719,#REF!,15,0),"")</f>
        <v/>
      </c>
      <c r="V719" s="359" t="str">
        <f>IFERROR(VLOOKUP($A719,#REF!,16,0),"")</f>
        <v/>
      </c>
      <c r="W719" s="359" t="str">
        <f>IFERROR(VLOOKUP($A719,#REF!,17,0),"")</f>
        <v/>
      </c>
      <c r="X719" s="359" t="str">
        <f>IFERROR(VLOOKUP($A719,#REF!,18,0),"")</f>
        <v/>
      </c>
      <c r="Y719" s="359" t="str">
        <f>IFERROR(VLOOKUP($A719,#REF!,19,0),"")</f>
        <v/>
      </c>
      <c r="Z719" s="400" t="str">
        <f>IFERROR(VLOOKUP($A719,#REF!,21,0),"")</f>
        <v/>
      </c>
      <c r="AA719" s="358"/>
      <c r="AB719" s="358"/>
      <c r="AC719" s="119"/>
      <c r="AD719" s="119"/>
      <c r="AE719" s="119"/>
      <c r="AF719" s="277"/>
      <c r="AG719" s="119"/>
      <c r="AH719" s="358"/>
      <c r="AI719" s="358"/>
      <c r="AJ719" s="380"/>
      <c r="AK719" s="380"/>
      <c r="AL719" s="380"/>
      <c r="AM719" s="380"/>
      <c r="AN719" s="120"/>
      <c r="AO719" s="120"/>
      <c r="AP719" s="120"/>
      <c r="AQ719" s="313"/>
      <c r="AR719" s="119"/>
      <c r="AS719" s="22"/>
      <c r="AT719" s="22"/>
      <c r="AU719" s="22"/>
      <c r="AV719" s="22"/>
      <c r="AW719" s="82"/>
      <c r="AX719" s="82"/>
      <c r="AY719" s="82"/>
      <c r="AZ719" s="82"/>
      <c r="BA719" s="82"/>
      <c r="BB719" s="82"/>
      <c r="BC719" s="82"/>
      <c r="BD719" s="82"/>
      <c r="BE719" s="82"/>
      <c r="BF719" s="82"/>
      <c r="BG719" s="112"/>
      <c r="BH719" s="112"/>
      <c r="BI719" s="112"/>
      <c r="BJ719" s="112"/>
      <c r="BK719" s="82"/>
      <c r="BL719" s="82"/>
      <c r="BN719" s="412"/>
      <c r="BO719" s="412"/>
      <c r="BP719" s="412"/>
      <c r="BQ719" s="412"/>
      <c r="BR719" s="412"/>
      <c r="BZ719" t="str">
        <f t="shared" si="70"/>
        <v/>
      </c>
    </row>
    <row r="720" spans="1:78" ht="15.6" hidden="1" customHeight="1">
      <c r="A720" s="35" t="str">
        <f t="shared" si="69"/>
        <v/>
      </c>
      <c r="C720" s="358" t="s">
        <v>24</v>
      </c>
      <c r="D720" s="358">
        <v>716</v>
      </c>
      <c r="E720" s="119"/>
      <c r="F720" s="119"/>
      <c r="G720" s="266"/>
      <c r="H720" s="119"/>
      <c r="I720" s="358"/>
      <c r="J720" s="359" t="str">
        <f>IFERROR(VLOOKUP($A720,#REF!,3,0),"")</f>
        <v/>
      </c>
      <c r="K720" s="359">
        <f>IFERROR(VLOOKUP($A720,#REF!,4,0),AF720)</f>
        <v>0</v>
      </c>
      <c r="L720" s="359" t="str">
        <f>IFERROR(VLOOKUP($A720,#REF!,5,0),"")</f>
        <v/>
      </c>
      <c r="M720" s="359" t="str">
        <f>IFERROR(VLOOKUP($A720,#REF!,7,0),"")</f>
        <v/>
      </c>
      <c r="N720" s="359"/>
      <c r="O720" s="359" t="str">
        <f>IFERROR(VLOOKUP($A720,#REF!,6,0),"")</f>
        <v/>
      </c>
      <c r="P720" s="359" t="str">
        <f>IFERROR(VLOOKUP($A720,#REF!,9,0),"")</f>
        <v/>
      </c>
      <c r="Q720" s="359" t="str">
        <f>IFERROR(VLOOKUP($A720,#REF!,10,0),"")</f>
        <v/>
      </c>
      <c r="R720" s="359" t="str">
        <f>IFERROR(VLOOKUP($A720,#REF!,11,0),"")</f>
        <v/>
      </c>
      <c r="S720" s="359" t="str">
        <f>IFERROR(VLOOKUP($A720,#REF!,13,0),"")</f>
        <v/>
      </c>
      <c r="T720" s="359" t="str">
        <f>IFERROR(VLOOKUP($A720,#REF!,14,0),"")</f>
        <v/>
      </c>
      <c r="U720" s="359" t="str">
        <f>IFERROR(VLOOKUP($A720,#REF!,15,0),"")</f>
        <v/>
      </c>
      <c r="V720" s="359" t="str">
        <f>IFERROR(VLOOKUP($A720,#REF!,16,0),"")</f>
        <v/>
      </c>
      <c r="W720" s="359" t="str">
        <f>IFERROR(VLOOKUP($A720,#REF!,17,0),"")</f>
        <v/>
      </c>
      <c r="X720" s="359" t="str">
        <f>IFERROR(VLOOKUP($A720,#REF!,18,0),"")</f>
        <v/>
      </c>
      <c r="Y720" s="359" t="str">
        <f>IFERROR(VLOOKUP($A720,#REF!,19,0),"")</f>
        <v/>
      </c>
      <c r="Z720" s="400" t="str">
        <f>IFERROR(VLOOKUP($A720,#REF!,21,0),"")</f>
        <v/>
      </c>
      <c r="AA720" s="358"/>
      <c r="AB720" s="358"/>
      <c r="AC720" s="119"/>
      <c r="AD720" s="119"/>
      <c r="AE720" s="119"/>
      <c r="AF720" s="277"/>
      <c r="AG720" s="119"/>
      <c r="AH720" s="358"/>
      <c r="AI720" s="358"/>
      <c r="AJ720" s="380"/>
      <c r="AK720" s="380"/>
      <c r="AL720" s="380"/>
      <c r="AM720" s="380"/>
      <c r="AN720" s="120"/>
      <c r="AO720" s="120"/>
      <c r="AP720" s="120"/>
      <c r="AQ720" s="313"/>
      <c r="AR720" s="119"/>
      <c r="AS720" s="22"/>
      <c r="AT720" s="22"/>
      <c r="AU720" s="22"/>
      <c r="AV720" s="22"/>
      <c r="AW720" s="82"/>
      <c r="AX720" s="82"/>
      <c r="AY720" s="82"/>
      <c r="AZ720" s="82"/>
      <c r="BA720" s="82"/>
      <c r="BB720" s="82"/>
      <c r="BC720" s="82"/>
      <c r="BD720" s="82"/>
      <c r="BE720" s="82"/>
      <c r="BF720" s="82"/>
      <c r="BG720" s="112"/>
      <c r="BH720" s="112"/>
      <c r="BI720" s="112"/>
      <c r="BJ720" s="112"/>
      <c r="BK720" s="82"/>
      <c r="BL720" s="82"/>
      <c r="BN720" s="412"/>
      <c r="BO720" s="412"/>
      <c r="BP720" s="412"/>
      <c r="BQ720" s="412"/>
      <c r="BR720" s="412"/>
      <c r="BZ720" t="str">
        <f t="shared" si="70"/>
        <v/>
      </c>
    </row>
    <row r="721" spans="1:78" ht="15.6" hidden="1" customHeight="1">
      <c r="A721" s="35" t="str">
        <f t="shared" si="69"/>
        <v/>
      </c>
      <c r="C721" s="358" t="s">
        <v>24</v>
      </c>
      <c r="D721" s="358">
        <v>717</v>
      </c>
      <c r="E721" s="119"/>
      <c r="F721" s="119"/>
      <c r="G721" s="266"/>
      <c r="H721" s="119"/>
      <c r="I721" s="358"/>
      <c r="J721" s="359" t="str">
        <f>IFERROR(VLOOKUP($A721,#REF!,3,0),"")</f>
        <v/>
      </c>
      <c r="K721" s="359">
        <f>IFERROR(VLOOKUP($A721,#REF!,4,0),AF721)</f>
        <v>0</v>
      </c>
      <c r="L721" s="359" t="str">
        <f>IFERROR(VLOOKUP($A721,#REF!,5,0),"")</f>
        <v/>
      </c>
      <c r="M721" s="359" t="str">
        <f>IFERROR(VLOOKUP($A721,#REF!,7,0),"")</f>
        <v/>
      </c>
      <c r="N721" s="359"/>
      <c r="O721" s="359" t="str">
        <f>IFERROR(VLOOKUP($A721,#REF!,6,0),"")</f>
        <v/>
      </c>
      <c r="P721" s="359" t="str">
        <f>IFERROR(VLOOKUP($A721,#REF!,9,0),"")</f>
        <v/>
      </c>
      <c r="Q721" s="359" t="str">
        <f>IFERROR(VLOOKUP($A721,#REF!,10,0),"")</f>
        <v/>
      </c>
      <c r="R721" s="359" t="str">
        <f>IFERROR(VLOOKUP($A721,#REF!,11,0),"")</f>
        <v/>
      </c>
      <c r="S721" s="359" t="str">
        <f>IFERROR(VLOOKUP($A721,#REF!,13,0),"")</f>
        <v/>
      </c>
      <c r="T721" s="359" t="str">
        <f>IFERROR(VLOOKUP($A721,#REF!,14,0),"")</f>
        <v/>
      </c>
      <c r="U721" s="359" t="str">
        <f>IFERROR(VLOOKUP($A721,#REF!,15,0),"")</f>
        <v/>
      </c>
      <c r="V721" s="359" t="str">
        <f>IFERROR(VLOOKUP($A721,#REF!,16,0),"")</f>
        <v/>
      </c>
      <c r="W721" s="359" t="str">
        <f>IFERROR(VLOOKUP($A721,#REF!,17,0),"")</f>
        <v/>
      </c>
      <c r="X721" s="359" t="str">
        <f>IFERROR(VLOOKUP($A721,#REF!,18,0),"")</f>
        <v/>
      </c>
      <c r="Y721" s="359" t="str">
        <f>IFERROR(VLOOKUP($A721,#REF!,19,0),"")</f>
        <v/>
      </c>
      <c r="Z721" s="400" t="str">
        <f>IFERROR(VLOOKUP($A721,#REF!,21,0),"")</f>
        <v/>
      </c>
      <c r="AA721" s="358"/>
      <c r="AB721" s="358"/>
      <c r="AC721" s="119"/>
      <c r="AD721" s="119"/>
      <c r="AE721" s="119"/>
      <c r="AF721" s="277"/>
      <c r="AG721" s="119"/>
      <c r="AH721" s="358"/>
      <c r="AI721" s="358"/>
      <c r="AJ721" s="380"/>
      <c r="AK721" s="380"/>
      <c r="AL721" s="380"/>
      <c r="AM721" s="380"/>
      <c r="AN721" s="120"/>
      <c r="AO721" s="120"/>
      <c r="AP721" s="120"/>
      <c r="AQ721" s="313"/>
      <c r="AR721" s="119"/>
      <c r="AS721" s="22"/>
      <c r="AT721" s="22"/>
      <c r="AU721" s="22"/>
      <c r="AV721" s="22"/>
      <c r="AW721" s="82"/>
      <c r="AX721" s="82"/>
      <c r="AY721" s="82"/>
      <c r="AZ721" s="82"/>
      <c r="BA721" s="82"/>
      <c r="BB721" s="82"/>
      <c r="BC721" s="82"/>
      <c r="BD721" s="82"/>
      <c r="BE721" s="82"/>
      <c r="BF721" s="82"/>
      <c r="BG721" s="112"/>
      <c r="BH721" s="112"/>
      <c r="BI721" s="112"/>
      <c r="BJ721" s="112"/>
      <c r="BK721" s="82"/>
      <c r="BL721" s="82"/>
      <c r="BN721" s="412"/>
      <c r="BO721" s="412"/>
      <c r="BP721" s="412"/>
      <c r="BQ721" s="412"/>
      <c r="BR721" s="412"/>
      <c r="BZ721" t="str">
        <f t="shared" si="70"/>
        <v/>
      </c>
    </row>
    <row r="722" spans="1:78" ht="15.6" hidden="1" customHeight="1">
      <c r="A722" s="35" t="str">
        <f t="shared" si="69"/>
        <v/>
      </c>
      <c r="C722" s="358" t="s">
        <v>24</v>
      </c>
      <c r="D722" s="358">
        <v>718</v>
      </c>
      <c r="E722" s="119"/>
      <c r="F722" s="119"/>
      <c r="G722" s="266"/>
      <c r="H722" s="119"/>
      <c r="I722" s="358"/>
      <c r="J722" s="359" t="str">
        <f>IFERROR(VLOOKUP($A722,#REF!,3,0),"")</f>
        <v/>
      </c>
      <c r="K722" s="359">
        <f>IFERROR(VLOOKUP($A722,#REF!,4,0),AF722)</f>
        <v>0</v>
      </c>
      <c r="L722" s="359" t="str">
        <f>IFERROR(VLOOKUP($A722,#REF!,5,0),"")</f>
        <v/>
      </c>
      <c r="M722" s="359" t="str">
        <f>IFERROR(VLOOKUP($A722,#REF!,7,0),"")</f>
        <v/>
      </c>
      <c r="N722" s="359"/>
      <c r="O722" s="359" t="str">
        <f>IFERROR(VLOOKUP($A722,#REF!,6,0),"")</f>
        <v/>
      </c>
      <c r="P722" s="359" t="str">
        <f>IFERROR(VLOOKUP($A722,#REF!,9,0),"")</f>
        <v/>
      </c>
      <c r="Q722" s="359" t="str">
        <f>IFERROR(VLOOKUP($A722,#REF!,10,0),"")</f>
        <v/>
      </c>
      <c r="R722" s="359" t="str">
        <f>IFERROR(VLOOKUP($A722,#REF!,11,0),"")</f>
        <v/>
      </c>
      <c r="S722" s="359" t="str">
        <f>IFERROR(VLOOKUP($A722,#REF!,13,0),"")</f>
        <v/>
      </c>
      <c r="T722" s="359" t="str">
        <f>IFERROR(VLOOKUP($A722,#REF!,14,0),"")</f>
        <v/>
      </c>
      <c r="U722" s="359" t="str">
        <f>IFERROR(VLOOKUP($A722,#REF!,15,0),"")</f>
        <v/>
      </c>
      <c r="V722" s="359" t="str">
        <f>IFERROR(VLOOKUP($A722,#REF!,16,0),"")</f>
        <v/>
      </c>
      <c r="W722" s="359" t="str">
        <f>IFERROR(VLOOKUP($A722,#REF!,17,0),"")</f>
        <v/>
      </c>
      <c r="X722" s="359" t="str">
        <f>IFERROR(VLOOKUP($A722,#REF!,18,0),"")</f>
        <v/>
      </c>
      <c r="Y722" s="359" t="str">
        <f>IFERROR(VLOOKUP($A722,#REF!,19,0),"")</f>
        <v/>
      </c>
      <c r="Z722" s="400" t="str">
        <f>IFERROR(VLOOKUP($A722,#REF!,21,0),"")</f>
        <v/>
      </c>
      <c r="AA722" s="358"/>
      <c r="AB722" s="358"/>
      <c r="AC722" s="119"/>
      <c r="AD722" s="119"/>
      <c r="AE722" s="119"/>
      <c r="AF722" s="277"/>
      <c r="AG722" s="119"/>
      <c r="AH722" s="358"/>
      <c r="AI722" s="358"/>
      <c r="AJ722" s="380"/>
      <c r="AK722" s="380"/>
      <c r="AL722" s="380"/>
      <c r="AM722" s="380"/>
      <c r="AN722" s="120"/>
      <c r="AO722" s="120"/>
      <c r="AP722" s="120"/>
      <c r="AQ722" s="313"/>
      <c r="AR722" s="119"/>
      <c r="AS722" s="22"/>
      <c r="AT722" s="22"/>
      <c r="AU722" s="22"/>
      <c r="AV722" s="22"/>
      <c r="AW722" s="82"/>
      <c r="AX722" s="82"/>
      <c r="AY722" s="82"/>
      <c r="AZ722" s="82"/>
      <c r="BA722" s="82"/>
      <c r="BB722" s="82"/>
      <c r="BC722" s="82"/>
      <c r="BD722" s="82"/>
      <c r="BE722" s="82"/>
      <c r="BF722" s="82"/>
      <c r="BG722" s="112"/>
      <c r="BH722" s="112"/>
      <c r="BI722" s="112"/>
      <c r="BJ722" s="112"/>
      <c r="BK722" s="82"/>
      <c r="BL722" s="82"/>
      <c r="BN722" s="412"/>
      <c r="BO722" s="412"/>
      <c r="BP722" s="412"/>
      <c r="BQ722" s="412"/>
      <c r="BR722" s="412"/>
      <c r="BZ722" t="str">
        <f t="shared" si="70"/>
        <v/>
      </c>
    </row>
    <row r="723" spans="1:78" ht="15.6" hidden="1" customHeight="1">
      <c r="A723" s="35" t="str">
        <f t="shared" si="69"/>
        <v/>
      </c>
      <c r="C723" s="358" t="s">
        <v>24</v>
      </c>
      <c r="D723" s="358">
        <v>719</v>
      </c>
      <c r="E723" s="119"/>
      <c r="F723" s="119"/>
      <c r="G723" s="266"/>
      <c r="H723" s="119"/>
      <c r="I723" s="358"/>
      <c r="J723" s="359" t="str">
        <f>IFERROR(VLOOKUP($A723,#REF!,3,0),"")</f>
        <v/>
      </c>
      <c r="K723" s="359">
        <f>IFERROR(VLOOKUP($A723,#REF!,4,0),AF723)</f>
        <v>0</v>
      </c>
      <c r="L723" s="359" t="str">
        <f>IFERROR(VLOOKUP($A723,#REF!,5,0),"")</f>
        <v/>
      </c>
      <c r="M723" s="359" t="str">
        <f>IFERROR(VLOOKUP($A723,#REF!,7,0),"")</f>
        <v/>
      </c>
      <c r="N723" s="359"/>
      <c r="O723" s="359" t="str">
        <f>IFERROR(VLOOKUP($A723,#REF!,6,0),"")</f>
        <v/>
      </c>
      <c r="P723" s="359" t="str">
        <f>IFERROR(VLOOKUP($A723,#REF!,9,0),"")</f>
        <v/>
      </c>
      <c r="Q723" s="359" t="str">
        <f>IFERROR(VLOOKUP($A723,#REF!,10,0),"")</f>
        <v/>
      </c>
      <c r="R723" s="359" t="str">
        <f>IFERROR(VLOOKUP($A723,#REF!,11,0),"")</f>
        <v/>
      </c>
      <c r="S723" s="359" t="str">
        <f>IFERROR(VLOOKUP($A723,#REF!,13,0),"")</f>
        <v/>
      </c>
      <c r="T723" s="359" t="str">
        <f>IFERROR(VLOOKUP($A723,#REF!,14,0),"")</f>
        <v/>
      </c>
      <c r="U723" s="359" t="str">
        <f>IFERROR(VLOOKUP($A723,#REF!,15,0),"")</f>
        <v/>
      </c>
      <c r="V723" s="359" t="str">
        <f>IFERROR(VLOOKUP($A723,#REF!,16,0),"")</f>
        <v/>
      </c>
      <c r="W723" s="359" t="str">
        <f>IFERROR(VLOOKUP($A723,#REF!,17,0),"")</f>
        <v/>
      </c>
      <c r="X723" s="359" t="str">
        <f>IFERROR(VLOOKUP($A723,#REF!,18,0),"")</f>
        <v/>
      </c>
      <c r="Y723" s="359" t="str">
        <f>IFERROR(VLOOKUP($A723,#REF!,19,0),"")</f>
        <v/>
      </c>
      <c r="Z723" s="400" t="str">
        <f>IFERROR(VLOOKUP($A723,#REF!,21,0),"")</f>
        <v/>
      </c>
      <c r="AA723" s="358"/>
      <c r="AB723" s="358"/>
      <c r="AC723" s="119"/>
      <c r="AD723" s="119"/>
      <c r="AE723" s="119"/>
      <c r="AF723" s="277"/>
      <c r="AG723" s="119"/>
      <c r="AH723" s="358"/>
      <c r="AI723" s="358"/>
      <c r="AJ723" s="380"/>
      <c r="AK723" s="380"/>
      <c r="AL723" s="380"/>
      <c r="AM723" s="380"/>
      <c r="AN723" s="120"/>
      <c r="AO723" s="120"/>
      <c r="AP723" s="120"/>
      <c r="AQ723" s="313"/>
      <c r="AR723" s="119"/>
      <c r="AS723" s="22"/>
      <c r="AT723" s="22"/>
      <c r="AU723" s="22"/>
      <c r="AV723" s="22"/>
      <c r="AW723" s="82"/>
      <c r="AX723" s="82"/>
      <c r="AY723" s="82"/>
      <c r="AZ723" s="82"/>
      <c r="BA723" s="82"/>
      <c r="BB723" s="82"/>
      <c r="BC723" s="82"/>
      <c r="BD723" s="82"/>
      <c r="BE723" s="82"/>
      <c r="BF723" s="82"/>
      <c r="BG723" s="112"/>
      <c r="BH723" s="112"/>
      <c r="BI723" s="112"/>
      <c r="BJ723" s="112"/>
      <c r="BK723" s="82"/>
      <c r="BL723" s="82"/>
      <c r="BN723" s="412"/>
      <c r="BO723" s="412"/>
      <c r="BP723" s="412"/>
      <c r="BQ723" s="412"/>
      <c r="BR723" s="412"/>
      <c r="BZ723" t="str">
        <f t="shared" si="70"/>
        <v/>
      </c>
    </row>
    <row r="724" spans="1:78" ht="15.6" hidden="1" customHeight="1">
      <c r="A724" s="35" t="str">
        <f t="shared" si="69"/>
        <v/>
      </c>
      <c r="C724" s="358" t="s">
        <v>24</v>
      </c>
      <c r="D724" s="358">
        <v>720</v>
      </c>
      <c r="E724" s="119"/>
      <c r="F724" s="119"/>
      <c r="G724" s="266"/>
      <c r="H724" s="119"/>
      <c r="I724" s="358"/>
      <c r="J724" s="359" t="str">
        <f>IFERROR(VLOOKUP($A724,#REF!,3,0),"")</f>
        <v/>
      </c>
      <c r="K724" s="359">
        <f>IFERROR(VLOOKUP($A724,#REF!,4,0),AF724)</f>
        <v>0</v>
      </c>
      <c r="L724" s="359" t="str">
        <f>IFERROR(VLOOKUP($A724,#REF!,5,0),"")</f>
        <v/>
      </c>
      <c r="M724" s="359" t="str">
        <f>IFERROR(VLOOKUP($A724,#REF!,7,0),"")</f>
        <v/>
      </c>
      <c r="N724" s="359"/>
      <c r="O724" s="359" t="str">
        <f>IFERROR(VLOOKUP($A724,#REF!,6,0),"")</f>
        <v/>
      </c>
      <c r="P724" s="359" t="str">
        <f>IFERROR(VLOOKUP($A724,#REF!,9,0),"")</f>
        <v/>
      </c>
      <c r="Q724" s="359" t="str">
        <f>IFERROR(VLOOKUP($A724,#REF!,10,0),"")</f>
        <v/>
      </c>
      <c r="R724" s="359" t="str">
        <f>IFERROR(VLOOKUP($A724,#REF!,11,0),"")</f>
        <v/>
      </c>
      <c r="S724" s="359" t="str">
        <f>IFERROR(VLOOKUP($A724,#REF!,13,0),"")</f>
        <v/>
      </c>
      <c r="T724" s="359" t="str">
        <f>IFERROR(VLOOKUP($A724,#REF!,14,0),"")</f>
        <v/>
      </c>
      <c r="U724" s="359" t="str">
        <f>IFERROR(VLOOKUP($A724,#REF!,15,0),"")</f>
        <v/>
      </c>
      <c r="V724" s="359" t="str">
        <f>IFERROR(VLOOKUP($A724,#REF!,16,0),"")</f>
        <v/>
      </c>
      <c r="W724" s="359" t="str">
        <f>IFERROR(VLOOKUP($A724,#REF!,17,0),"")</f>
        <v/>
      </c>
      <c r="X724" s="359" t="str">
        <f>IFERROR(VLOOKUP($A724,#REF!,18,0),"")</f>
        <v/>
      </c>
      <c r="Y724" s="359" t="str">
        <f>IFERROR(VLOOKUP($A724,#REF!,19,0),"")</f>
        <v/>
      </c>
      <c r="Z724" s="400" t="str">
        <f>IFERROR(VLOOKUP($A724,#REF!,21,0),"")</f>
        <v/>
      </c>
      <c r="AA724" s="358"/>
      <c r="AB724" s="358"/>
      <c r="AC724" s="119"/>
      <c r="AD724" s="119"/>
      <c r="AE724" s="119"/>
      <c r="AF724" s="277"/>
      <c r="AG724" s="119"/>
      <c r="AH724" s="358"/>
      <c r="AI724" s="358"/>
      <c r="AJ724" s="380"/>
      <c r="AK724" s="380"/>
      <c r="AL724" s="380"/>
      <c r="AM724" s="380"/>
      <c r="AN724" s="120"/>
      <c r="AO724" s="120"/>
      <c r="AP724" s="120"/>
      <c r="AQ724" s="313"/>
      <c r="AR724" s="119"/>
      <c r="AS724" s="22"/>
      <c r="AT724" s="22"/>
      <c r="AU724" s="22"/>
      <c r="AV724" s="22"/>
      <c r="AW724" s="82"/>
      <c r="AX724" s="82"/>
      <c r="AY724" s="82"/>
      <c r="AZ724" s="82"/>
      <c r="BA724" s="82"/>
      <c r="BB724" s="82"/>
      <c r="BC724" s="82"/>
      <c r="BD724" s="82"/>
      <c r="BE724" s="82"/>
      <c r="BF724" s="82"/>
      <c r="BG724" s="112"/>
      <c r="BH724" s="112"/>
      <c r="BI724" s="112"/>
      <c r="BJ724" s="112"/>
      <c r="BK724" s="82"/>
      <c r="BL724" s="82"/>
      <c r="BN724" s="412"/>
      <c r="BO724" s="412"/>
      <c r="BP724" s="412"/>
      <c r="BQ724" s="412"/>
      <c r="BR724" s="412"/>
      <c r="BZ724" t="str">
        <f t="shared" si="70"/>
        <v/>
      </c>
    </row>
    <row r="725" spans="1:78" ht="15.6" hidden="1" customHeight="1">
      <c r="A725" s="35" t="str">
        <f t="shared" si="69"/>
        <v/>
      </c>
      <c r="C725" s="358" t="s">
        <v>24</v>
      </c>
      <c r="D725" s="358">
        <v>721</v>
      </c>
      <c r="E725" s="119"/>
      <c r="F725" s="119"/>
      <c r="G725" s="266"/>
      <c r="H725" s="119"/>
      <c r="I725" s="358"/>
      <c r="J725" s="359" t="str">
        <f>IFERROR(VLOOKUP($A725,#REF!,3,0),"")</f>
        <v/>
      </c>
      <c r="K725" s="359">
        <f>IFERROR(VLOOKUP($A725,#REF!,4,0),AF725)</f>
        <v>0</v>
      </c>
      <c r="L725" s="359" t="str">
        <f>IFERROR(VLOOKUP($A725,#REF!,5,0),"")</f>
        <v/>
      </c>
      <c r="M725" s="359" t="str">
        <f>IFERROR(VLOOKUP($A725,#REF!,7,0),"")</f>
        <v/>
      </c>
      <c r="N725" s="359"/>
      <c r="O725" s="359" t="str">
        <f>IFERROR(VLOOKUP($A725,#REF!,6,0),"")</f>
        <v/>
      </c>
      <c r="P725" s="359" t="str">
        <f>IFERROR(VLOOKUP($A725,#REF!,9,0),"")</f>
        <v/>
      </c>
      <c r="Q725" s="359" t="str">
        <f>IFERROR(VLOOKUP($A725,#REF!,10,0),"")</f>
        <v/>
      </c>
      <c r="R725" s="359" t="str">
        <f>IFERROR(VLOOKUP($A725,#REF!,11,0),"")</f>
        <v/>
      </c>
      <c r="S725" s="359" t="str">
        <f>IFERROR(VLOOKUP($A725,#REF!,13,0),"")</f>
        <v/>
      </c>
      <c r="T725" s="359" t="str">
        <f>IFERROR(VLOOKUP($A725,#REF!,14,0),"")</f>
        <v/>
      </c>
      <c r="U725" s="359" t="str">
        <f>IFERROR(VLOOKUP($A725,#REF!,15,0),"")</f>
        <v/>
      </c>
      <c r="V725" s="359" t="str">
        <f>IFERROR(VLOOKUP($A725,#REF!,16,0),"")</f>
        <v/>
      </c>
      <c r="W725" s="359" t="str">
        <f>IFERROR(VLOOKUP($A725,#REF!,17,0),"")</f>
        <v/>
      </c>
      <c r="X725" s="359" t="str">
        <f>IFERROR(VLOOKUP($A725,#REF!,18,0),"")</f>
        <v/>
      </c>
      <c r="Y725" s="359" t="str">
        <f>IFERROR(VLOOKUP($A725,#REF!,19,0),"")</f>
        <v/>
      </c>
      <c r="Z725" s="400" t="str">
        <f>IFERROR(VLOOKUP($A725,#REF!,21,0),"")</f>
        <v/>
      </c>
      <c r="AA725" s="358"/>
      <c r="AB725" s="358"/>
      <c r="AC725" s="119"/>
      <c r="AD725" s="119"/>
      <c r="AE725" s="119"/>
      <c r="AF725" s="277"/>
      <c r="AG725" s="119"/>
      <c r="AH725" s="358"/>
      <c r="AI725" s="358"/>
      <c r="AJ725" s="380"/>
      <c r="AK725" s="380"/>
      <c r="AL725" s="380"/>
      <c r="AM725" s="380"/>
      <c r="AN725" s="120"/>
      <c r="AO725" s="120"/>
      <c r="AP725" s="120"/>
      <c r="AQ725" s="313"/>
      <c r="AR725" s="119"/>
      <c r="AS725" s="22"/>
      <c r="AT725" s="22"/>
      <c r="AU725" s="22"/>
      <c r="AV725" s="22"/>
      <c r="AW725" s="82"/>
      <c r="AX725" s="82"/>
      <c r="AY725" s="82"/>
      <c r="AZ725" s="82"/>
      <c r="BA725" s="82"/>
      <c r="BB725" s="82"/>
      <c r="BC725" s="82"/>
      <c r="BD725" s="82"/>
      <c r="BE725" s="82"/>
      <c r="BF725" s="82"/>
      <c r="BG725" s="112"/>
      <c r="BH725" s="112"/>
      <c r="BI725" s="112"/>
      <c r="BJ725" s="112"/>
      <c r="BK725" s="82"/>
      <c r="BL725" s="82"/>
      <c r="BN725" s="412"/>
      <c r="BO725" s="412"/>
      <c r="BP725" s="412"/>
      <c r="BQ725" s="412"/>
      <c r="BR725" s="412"/>
      <c r="BZ725" t="str">
        <f t="shared" si="70"/>
        <v/>
      </c>
    </row>
    <row r="726" spans="1:78" ht="15.6" hidden="1" customHeight="1">
      <c r="A726" s="35" t="str">
        <f t="shared" si="69"/>
        <v/>
      </c>
      <c r="C726" s="358" t="s">
        <v>24</v>
      </c>
      <c r="D726" s="358">
        <v>722</v>
      </c>
      <c r="E726" s="119"/>
      <c r="F726" s="119"/>
      <c r="G726" s="266"/>
      <c r="H726" s="119"/>
      <c r="I726" s="358"/>
      <c r="J726" s="359" t="str">
        <f>IFERROR(VLOOKUP($A726,#REF!,3,0),"")</f>
        <v/>
      </c>
      <c r="K726" s="359">
        <f>IFERROR(VLOOKUP($A726,#REF!,4,0),AF726)</f>
        <v>0</v>
      </c>
      <c r="L726" s="359" t="str">
        <f>IFERROR(VLOOKUP($A726,#REF!,5,0),"")</f>
        <v/>
      </c>
      <c r="M726" s="359" t="str">
        <f>IFERROR(VLOOKUP($A726,#REF!,7,0),"")</f>
        <v/>
      </c>
      <c r="N726" s="359"/>
      <c r="O726" s="359" t="str">
        <f>IFERROR(VLOOKUP($A726,#REF!,6,0),"")</f>
        <v/>
      </c>
      <c r="P726" s="359" t="str">
        <f>IFERROR(VLOOKUP($A726,#REF!,9,0),"")</f>
        <v/>
      </c>
      <c r="Q726" s="359" t="str">
        <f>IFERROR(VLOOKUP($A726,#REF!,10,0),"")</f>
        <v/>
      </c>
      <c r="R726" s="359" t="str">
        <f>IFERROR(VLOOKUP($A726,#REF!,11,0),"")</f>
        <v/>
      </c>
      <c r="S726" s="359" t="str">
        <f>IFERROR(VLOOKUP($A726,#REF!,13,0),"")</f>
        <v/>
      </c>
      <c r="T726" s="359" t="str">
        <f>IFERROR(VLOOKUP($A726,#REF!,14,0),"")</f>
        <v/>
      </c>
      <c r="U726" s="359" t="str">
        <f>IFERROR(VLOOKUP($A726,#REF!,15,0),"")</f>
        <v/>
      </c>
      <c r="V726" s="359" t="str">
        <f>IFERROR(VLOOKUP($A726,#REF!,16,0),"")</f>
        <v/>
      </c>
      <c r="W726" s="359" t="str">
        <f>IFERROR(VLOOKUP($A726,#REF!,17,0),"")</f>
        <v/>
      </c>
      <c r="X726" s="359" t="str">
        <f>IFERROR(VLOOKUP($A726,#REF!,18,0),"")</f>
        <v/>
      </c>
      <c r="Y726" s="359" t="str">
        <f>IFERROR(VLOOKUP($A726,#REF!,19,0),"")</f>
        <v/>
      </c>
      <c r="Z726" s="400" t="str">
        <f>IFERROR(VLOOKUP($A726,#REF!,21,0),"")</f>
        <v/>
      </c>
      <c r="AA726" s="358"/>
      <c r="AB726" s="358"/>
      <c r="AC726" s="119"/>
      <c r="AD726" s="119"/>
      <c r="AE726" s="119"/>
      <c r="AF726" s="277"/>
      <c r="AG726" s="119"/>
      <c r="AH726" s="358"/>
      <c r="AI726" s="358"/>
      <c r="AJ726" s="380"/>
      <c r="AK726" s="380"/>
      <c r="AL726" s="380"/>
      <c r="AM726" s="380"/>
      <c r="AN726" s="120"/>
      <c r="AO726" s="120"/>
      <c r="AP726" s="120"/>
      <c r="AQ726" s="313"/>
      <c r="AR726" s="119"/>
      <c r="AS726" s="22"/>
      <c r="AT726" s="22"/>
      <c r="AU726" s="22"/>
      <c r="AV726" s="22"/>
      <c r="AW726" s="82"/>
      <c r="AX726" s="82"/>
      <c r="AY726" s="82"/>
      <c r="AZ726" s="82"/>
      <c r="BA726" s="82"/>
      <c r="BB726" s="82"/>
      <c r="BC726" s="82"/>
      <c r="BD726" s="82"/>
      <c r="BE726" s="82"/>
      <c r="BF726" s="82"/>
      <c r="BG726" s="112"/>
      <c r="BH726" s="112"/>
      <c r="BI726" s="112"/>
      <c r="BJ726" s="112"/>
      <c r="BK726" s="82"/>
      <c r="BL726" s="82"/>
      <c r="BN726" s="412"/>
      <c r="BO726" s="412"/>
      <c r="BP726" s="412"/>
      <c r="BQ726" s="412"/>
      <c r="BR726" s="412"/>
      <c r="BZ726" t="str">
        <f t="shared" si="70"/>
        <v/>
      </c>
    </row>
    <row r="727" spans="1:78" ht="15.6" hidden="1" customHeight="1">
      <c r="A727" s="35" t="str">
        <f t="shared" si="69"/>
        <v/>
      </c>
      <c r="C727" s="358" t="s">
        <v>24</v>
      </c>
      <c r="D727" s="358">
        <v>723</v>
      </c>
      <c r="E727" s="119"/>
      <c r="F727" s="119"/>
      <c r="G727" s="266"/>
      <c r="H727" s="119"/>
      <c r="I727" s="358"/>
      <c r="J727" s="359" t="str">
        <f>IFERROR(VLOOKUP($A727,#REF!,3,0),"")</f>
        <v/>
      </c>
      <c r="K727" s="359">
        <f>IFERROR(VLOOKUP($A727,#REF!,4,0),AF727)</f>
        <v>0</v>
      </c>
      <c r="L727" s="359" t="str">
        <f>IFERROR(VLOOKUP($A727,#REF!,5,0),"")</f>
        <v/>
      </c>
      <c r="M727" s="359" t="str">
        <f>IFERROR(VLOOKUP($A727,#REF!,7,0),"")</f>
        <v/>
      </c>
      <c r="N727" s="359"/>
      <c r="O727" s="359" t="str">
        <f>IFERROR(VLOOKUP($A727,#REF!,6,0),"")</f>
        <v/>
      </c>
      <c r="P727" s="359" t="str">
        <f>IFERROR(VLOOKUP($A727,#REF!,9,0),"")</f>
        <v/>
      </c>
      <c r="Q727" s="359" t="str">
        <f>IFERROR(VLOOKUP($A727,#REF!,10,0),"")</f>
        <v/>
      </c>
      <c r="R727" s="359" t="str">
        <f>IFERROR(VLOOKUP($A727,#REF!,11,0),"")</f>
        <v/>
      </c>
      <c r="S727" s="359" t="str">
        <f>IFERROR(VLOOKUP($A727,#REF!,13,0),"")</f>
        <v/>
      </c>
      <c r="T727" s="359" t="str">
        <f>IFERROR(VLOOKUP($A727,#REF!,14,0),"")</f>
        <v/>
      </c>
      <c r="U727" s="359" t="str">
        <f>IFERROR(VLOOKUP($A727,#REF!,15,0),"")</f>
        <v/>
      </c>
      <c r="V727" s="359" t="str">
        <f>IFERROR(VLOOKUP($A727,#REF!,16,0),"")</f>
        <v/>
      </c>
      <c r="W727" s="359" t="str">
        <f>IFERROR(VLOOKUP($A727,#REF!,17,0),"")</f>
        <v/>
      </c>
      <c r="X727" s="359" t="str">
        <f>IFERROR(VLOOKUP($A727,#REF!,18,0),"")</f>
        <v/>
      </c>
      <c r="Y727" s="359" t="str">
        <f>IFERROR(VLOOKUP($A727,#REF!,19,0),"")</f>
        <v/>
      </c>
      <c r="Z727" s="400" t="str">
        <f>IFERROR(VLOOKUP($A727,#REF!,21,0),"")</f>
        <v/>
      </c>
      <c r="AA727" s="358"/>
      <c r="AB727" s="358"/>
      <c r="AC727" s="119"/>
      <c r="AD727" s="119"/>
      <c r="AE727" s="119"/>
      <c r="AF727" s="277"/>
      <c r="AG727" s="119"/>
      <c r="AH727" s="358"/>
      <c r="AI727" s="358"/>
      <c r="AJ727" s="380"/>
      <c r="AK727" s="380"/>
      <c r="AL727" s="380"/>
      <c r="AM727" s="380"/>
      <c r="AN727" s="120"/>
      <c r="AO727" s="120"/>
      <c r="AP727" s="120"/>
      <c r="AQ727" s="313"/>
      <c r="AR727" s="119"/>
      <c r="AS727" s="22"/>
      <c r="AT727" s="22"/>
      <c r="AU727" s="22"/>
      <c r="AV727" s="2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112"/>
      <c r="BH727" s="112"/>
      <c r="BI727" s="112"/>
      <c r="BJ727" s="112"/>
      <c r="BK727" s="82"/>
      <c r="BL727" s="82"/>
      <c r="BN727" s="412"/>
      <c r="BO727" s="412"/>
      <c r="BP727" s="412"/>
      <c r="BQ727" s="412"/>
      <c r="BR727" s="412"/>
      <c r="BZ727" t="str">
        <f t="shared" si="70"/>
        <v/>
      </c>
    </row>
    <row r="728" spans="1:78" ht="15.6" hidden="1" customHeight="1">
      <c r="A728" s="35" t="str">
        <f t="shared" si="69"/>
        <v/>
      </c>
      <c r="C728" s="358" t="s">
        <v>24</v>
      </c>
      <c r="D728" s="358">
        <v>724</v>
      </c>
      <c r="E728" s="119"/>
      <c r="F728" s="119"/>
      <c r="G728" s="266"/>
      <c r="H728" s="119"/>
      <c r="I728" s="358"/>
      <c r="J728" s="359" t="str">
        <f>IFERROR(VLOOKUP($A728,#REF!,3,0),"")</f>
        <v/>
      </c>
      <c r="K728" s="359">
        <f>IFERROR(VLOOKUP($A728,#REF!,4,0),AF728)</f>
        <v>0</v>
      </c>
      <c r="L728" s="359" t="str">
        <f>IFERROR(VLOOKUP($A728,#REF!,5,0),"")</f>
        <v/>
      </c>
      <c r="M728" s="359" t="str">
        <f>IFERROR(VLOOKUP($A728,#REF!,7,0),"")</f>
        <v/>
      </c>
      <c r="N728" s="359"/>
      <c r="O728" s="359" t="str">
        <f>IFERROR(VLOOKUP($A728,#REF!,6,0),"")</f>
        <v/>
      </c>
      <c r="P728" s="359" t="str">
        <f>IFERROR(VLOOKUP($A728,#REF!,9,0),"")</f>
        <v/>
      </c>
      <c r="Q728" s="359" t="str">
        <f>IFERROR(VLOOKUP($A728,#REF!,10,0),"")</f>
        <v/>
      </c>
      <c r="R728" s="359" t="str">
        <f>IFERROR(VLOOKUP($A728,#REF!,11,0),"")</f>
        <v/>
      </c>
      <c r="S728" s="359" t="str">
        <f>IFERROR(VLOOKUP($A728,#REF!,13,0),"")</f>
        <v/>
      </c>
      <c r="T728" s="359" t="str">
        <f>IFERROR(VLOOKUP($A728,#REF!,14,0),"")</f>
        <v/>
      </c>
      <c r="U728" s="359" t="str">
        <f>IFERROR(VLOOKUP($A728,#REF!,15,0),"")</f>
        <v/>
      </c>
      <c r="V728" s="359" t="str">
        <f>IFERROR(VLOOKUP($A728,#REF!,16,0),"")</f>
        <v/>
      </c>
      <c r="W728" s="359" t="str">
        <f>IFERROR(VLOOKUP($A728,#REF!,17,0),"")</f>
        <v/>
      </c>
      <c r="X728" s="359" t="str">
        <f>IFERROR(VLOOKUP($A728,#REF!,18,0),"")</f>
        <v/>
      </c>
      <c r="Y728" s="359" t="str">
        <f>IFERROR(VLOOKUP($A728,#REF!,19,0),"")</f>
        <v/>
      </c>
      <c r="Z728" s="400" t="str">
        <f>IFERROR(VLOOKUP($A728,#REF!,21,0),"")</f>
        <v/>
      </c>
      <c r="AA728" s="358"/>
      <c r="AB728" s="358"/>
      <c r="AC728" s="119"/>
      <c r="AD728" s="119"/>
      <c r="AE728" s="119"/>
      <c r="AF728" s="277"/>
      <c r="AG728" s="119"/>
      <c r="AH728" s="358"/>
      <c r="AI728" s="358"/>
      <c r="AJ728" s="380"/>
      <c r="AK728" s="380"/>
      <c r="AL728" s="380"/>
      <c r="AM728" s="380"/>
      <c r="AN728" s="120"/>
      <c r="AO728" s="120"/>
      <c r="AP728" s="120"/>
      <c r="AQ728" s="313"/>
      <c r="AR728" s="119"/>
      <c r="AS728" s="22"/>
      <c r="AT728" s="22"/>
      <c r="AU728" s="22"/>
      <c r="AV728" s="22"/>
      <c r="AW728" s="82"/>
      <c r="AX728" s="82"/>
      <c r="AY728" s="82"/>
      <c r="AZ728" s="82"/>
      <c r="BA728" s="82"/>
      <c r="BB728" s="82"/>
      <c r="BC728" s="82"/>
      <c r="BD728" s="82"/>
      <c r="BE728" s="82"/>
      <c r="BF728" s="82"/>
      <c r="BG728" s="112"/>
      <c r="BH728" s="112"/>
      <c r="BI728" s="112"/>
      <c r="BJ728" s="112"/>
      <c r="BK728" s="82"/>
      <c r="BL728" s="82"/>
      <c r="BN728" s="412"/>
      <c r="BO728" s="412"/>
      <c r="BP728" s="412"/>
      <c r="BQ728" s="412"/>
      <c r="BR728" s="412"/>
      <c r="BZ728" t="str">
        <f t="shared" si="70"/>
        <v/>
      </c>
    </row>
    <row r="729" spans="1:78" ht="15.6" hidden="1" customHeight="1">
      <c r="A729" s="35" t="str">
        <f t="shared" si="69"/>
        <v/>
      </c>
      <c r="C729" s="358" t="s">
        <v>24</v>
      </c>
      <c r="D729" s="358">
        <v>725</v>
      </c>
      <c r="E729" s="119"/>
      <c r="F729" s="119"/>
      <c r="G729" s="266"/>
      <c r="H729" s="119"/>
      <c r="I729" s="358"/>
      <c r="J729" s="359" t="str">
        <f>IFERROR(VLOOKUP($A729,#REF!,3,0),"")</f>
        <v/>
      </c>
      <c r="K729" s="359">
        <f>IFERROR(VLOOKUP($A729,#REF!,4,0),AF729)</f>
        <v>0</v>
      </c>
      <c r="L729" s="359" t="str">
        <f>IFERROR(VLOOKUP($A729,#REF!,5,0),"")</f>
        <v/>
      </c>
      <c r="M729" s="359" t="str">
        <f>IFERROR(VLOOKUP($A729,#REF!,7,0),"")</f>
        <v/>
      </c>
      <c r="N729" s="359"/>
      <c r="O729" s="359" t="str">
        <f>IFERROR(VLOOKUP($A729,#REF!,6,0),"")</f>
        <v/>
      </c>
      <c r="P729" s="359" t="str">
        <f>IFERROR(VLOOKUP($A729,#REF!,9,0),"")</f>
        <v/>
      </c>
      <c r="Q729" s="359" t="str">
        <f>IFERROR(VLOOKUP($A729,#REF!,10,0),"")</f>
        <v/>
      </c>
      <c r="R729" s="359" t="str">
        <f>IFERROR(VLOOKUP($A729,#REF!,11,0),"")</f>
        <v/>
      </c>
      <c r="S729" s="359" t="str">
        <f>IFERROR(VLOOKUP($A729,#REF!,13,0),"")</f>
        <v/>
      </c>
      <c r="T729" s="359" t="str">
        <f>IFERROR(VLOOKUP($A729,#REF!,14,0),"")</f>
        <v/>
      </c>
      <c r="U729" s="359" t="str">
        <f>IFERROR(VLOOKUP($A729,#REF!,15,0),"")</f>
        <v/>
      </c>
      <c r="V729" s="359" t="str">
        <f>IFERROR(VLOOKUP($A729,#REF!,16,0),"")</f>
        <v/>
      </c>
      <c r="W729" s="359" t="str">
        <f>IFERROR(VLOOKUP($A729,#REF!,17,0),"")</f>
        <v/>
      </c>
      <c r="X729" s="359" t="str">
        <f>IFERROR(VLOOKUP($A729,#REF!,18,0),"")</f>
        <v/>
      </c>
      <c r="Y729" s="359" t="str">
        <f>IFERROR(VLOOKUP($A729,#REF!,19,0),"")</f>
        <v/>
      </c>
      <c r="Z729" s="400" t="str">
        <f>IFERROR(VLOOKUP($A729,#REF!,21,0),"")</f>
        <v/>
      </c>
      <c r="AA729" s="358"/>
      <c r="AB729" s="358"/>
      <c r="AC729" s="119"/>
      <c r="AD729" s="119"/>
      <c r="AE729" s="119"/>
      <c r="AF729" s="277"/>
      <c r="AG729" s="119"/>
      <c r="AH729" s="358"/>
      <c r="AI729" s="358"/>
      <c r="AJ729" s="380"/>
      <c r="AK729" s="380"/>
      <c r="AL729" s="380"/>
      <c r="AM729" s="380"/>
      <c r="AN729" s="120"/>
      <c r="AO729" s="120"/>
      <c r="AP729" s="120"/>
      <c r="AQ729" s="313"/>
      <c r="AR729" s="119"/>
      <c r="AS729" s="22"/>
      <c r="AT729" s="22"/>
      <c r="AU729" s="22"/>
      <c r="AV729" s="22"/>
      <c r="AW729" s="82"/>
      <c r="AX729" s="82"/>
      <c r="AY729" s="82"/>
      <c r="AZ729" s="82"/>
      <c r="BA729" s="82"/>
      <c r="BB729" s="82"/>
      <c r="BC729" s="82"/>
      <c r="BD729" s="82"/>
      <c r="BE729" s="82"/>
      <c r="BF729" s="82"/>
      <c r="BG729" s="112"/>
      <c r="BH729" s="112"/>
      <c r="BI729" s="112"/>
      <c r="BJ729" s="112"/>
      <c r="BK729" s="82"/>
      <c r="BL729" s="82"/>
      <c r="BN729" s="412"/>
      <c r="BO729" s="412"/>
      <c r="BP729" s="412"/>
      <c r="BQ729" s="412"/>
      <c r="BR729" s="412"/>
      <c r="BZ729" t="str">
        <f t="shared" si="70"/>
        <v/>
      </c>
    </row>
    <row r="730" spans="1:78" ht="15.6" hidden="1" customHeight="1">
      <c r="A730" s="35" t="str">
        <f t="shared" si="69"/>
        <v/>
      </c>
      <c r="C730" s="358" t="s">
        <v>24</v>
      </c>
      <c r="D730" s="358">
        <v>726</v>
      </c>
      <c r="E730" s="119"/>
      <c r="F730" s="119"/>
      <c r="G730" s="266"/>
      <c r="H730" s="119"/>
      <c r="I730" s="358"/>
      <c r="J730" s="359" t="str">
        <f>IFERROR(VLOOKUP($A730,#REF!,3,0),"")</f>
        <v/>
      </c>
      <c r="K730" s="359">
        <f>IFERROR(VLOOKUP($A730,#REF!,4,0),AF730)</f>
        <v>0</v>
      </c>
      <c r="L730" s="359" t="str">
        <f>IFERROR(VLOOKUP($A730,#REF!,5,0),"")</f>
        <v/>
      </c>
      <c r="M730" s="359" t="str">
        <f>IFERROR(VLOOKUP($A730,#REF!,7,0),"")</f>
        <v/>
      </c>
      <c r="N730" s="359"/>
      <c r="O730" s="359" t="str">
        <f>IFERROR(VLOOKUP($A730,#REF!,6,0),"")</f>
        <v/>
      </c>
      <c r="P730" s="359" t="str">
        <f>IFERROR(VLOOKUP($A730,#REF!,9,0),"")</f>
        <v/>
      </c>
      <c r="Q730" s="359" t="str">
        <f>IFERROR(VLOOKUP($A730,#REF!,10,0),"")</f>
        <v/>
      </c>
      <c r="R730" s="359" t="str">
        <f>IFERROR(VLOOKUP($A730,#REF!,11,0),"")</f>
        <v/>
      </c>
      <c r="S730" s="359" t="str">
        <f>IFERROR(VLOOKUP($A730,#REF!,13,0),"")</f>
        <v/>
      </c>
      <c r="T730" s="359" t="str">
        <f>IFERROR(VLOOKUP($A730,#REF!,14,0),"")</f>
        <v/>
      </c>
      <c r="U730" s="359" t="str">
        <f>IFERROR(VLOOKUP($A730,#REF!,15,0),"")</f>
        <v/>
      </c>
      <c r="V730" s="359" t="str">
        <f>IFERROR(VLOOKUP($A730,#REF!,16,0),"")</f>
        <v/>
      </c>
      <c r="W730" s="359" t="str">
        <f>IFERROR(VLOOKUP($A730,#REF!,17,0),"")</f>
        <v/>
      </c>
      <c r="X730" s="359" t="str">
        <f>IFERROR(VLOOKUP($A730,#REF!,18,0),"")</f>
        <v/>
      </c>
      <c r="Y730" s="359" t="str">
        <f>IFERROR(VLOOKUP($A730,#REF!,19,0),"")</f>
        <v/>
      </c>
      <c r="Z730" s="400" t="str">
        <f>IFERROR(VLOOKUP($A730,#REF!,21,0),"")</f>
        <v/>
      </c>
      <c r="AA730" s="358"/>
      <c r="AB730" s="358"/>
      <c r="AC730" s="119"/>
      <c r="AD730" s="119"/>
      <c r="AE730" s="119"/>
      <c r="AF730" s="277"/>
      <c r="AG730" s="119"/>
      <c r="AH730" s="358"/>
      <c r="AI730" s="358"/>
      <c r="AJ730" s="380"/>
      <c r="AK730" s="380"/>
      <c r="AL730" s="380"/>
      <c r="AM730" s="380"/>
      <c r="AN730" s="120"/>
      <c r="AO730" s="120"/>
      <c r="AP730" s="120"/>
      <c r="AQ730" s="313"/>
      <c r="AR730" s="119"/>
      <c r="AS730" s="22"/>
      <c r="AT730" s="22"/>
      <c r="AU730" s="22"/>
      <c r="AV730" s="2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112"/>
      <c r="BH730" s="112"/>
      <c r="BI730" s="112"/>
      <c r="BJ730" s="112"/>
      <c r="BK730" s="82"/>
      <c r="BL730" s="82"/>
      <c r="BN730" s="412"/>
      <c r="BO730" s="412"/>
      <c r="BP730" s="412"/>
      <c r="BQ730" s="412"/>
      <c r="BR730" s="412"/>
      <c r="BZ730" t="str">
        <f t="shared" si="70"/>
        <v/>
      </c>
    </row>
    <row r="731" spans="1:78" ht="15.6" hidden="1" customHeight="1">
      <c r="A731" s="35" t="str">
        <f t="shared" si="69"/>
        <v/>
      </c>
      <c r="C731" s="358" t="s">
        <v>24</v>
      </c>
      <c r="D731" s="358">
        <v>727</v>
      </c>
      <c r="E731" s="119"/>
      <c r="F731" s="119"/>
      <c r="G731" s="266"/>
      <c r="H731" s="119"/>
      <c r="I731" s="358"/>
      <c r="J731" s="359" t="str">
        <f>IFERROR(VLOOKUP($A731,#REF!,3,0),"")</f>
        <v/>
      </c>
      <c r="K731" s="359">
        <f>IFERROR(VLOOKUP($A731,#REF!,4,0),AF731)</f>
        <v>0</v>
      </c>
      <c r="L731" s="359" t="str">
        <f>IFERROR(VLOOKUP($A731,#REF!,5,0),"")</f>
        <v/>
      </c>
      <c r="M731" s="359" t="str">
        <f>IFERROR(VLOOKUP($A731,#REF!,7,0),"")</f>
        <v/>
      </c>
      <c r="N731" s="359"/>
      <c r="O731" s="359" t="str">
        <f>IFERROR(VLOOKUP($A731,#REF!,6,0),"")</f>
        <v/>
      </c>
      <c r="P731" s="359" t="str">
        <f>IFERROR(VLOOKUP($A731,#REF!,9,0),"")</f>
        <v/>
      </c>
      <c r="Q731" s="359" t="str">
        <f>IFERROR(VLOOKUP($A731,#REF!,10,0),"")</f>
        <v/>
      </c>
      <c r="R731" s="359" t="str">
        <f>IFERROR(VLOOKUP($A731,#REF!,11,0),"")</f>
        <v/>
      </c>
      <c r="S731" s="359" t="str">
        <f>IFERROR(VLOOKUP($A731,#REF!,13,0),"")</f>
        <v/>
      </c>
      <c r="T731" s="359" t="str">
        <f>IFERROR(VLOOKUP($A731,#REF!,14,0),"")</f>
        <v/>
      </c>
      <c r="U731" s="359" t="str">
        <f>IFERROR(VLOOKUP($A731,#REF!,15,0),"")</f>
        <v/>
      </c>
      <c r="V731" s="359" t="str">
        <f>IFERROR(VLOOKUP($A731,#REF!,16,0),"")</f>
        <v/>
      </c>
      <c r="W731" s="359" t="str">
        <f>IFERROR(VLOOKUP($A731,#REF!,17,0),"")</f>
        <v/>
      </c>
      <c r="X731" s="359" t="str">
        <f>IFERROR(VLOOKUP($A731,#REF!,18,0),"")</f>
        <v/>
      </c>
      <c r="Y731" s="359" t="str">
        <f>IFERROR(VLOOKUP($A731,#REF!,19,0),"")</f>
        <v/>
      </c>
      <c r="Z731" s="400" t="str">
        <f>IFERROR(VLOOKUP($A731,#REF!,21,0),"")</f>
        <v/>
      </c>
      <c r="AA731" s="358"/>
      <c r="AB731" s="358"/>
      <c r="AC731" s="119"/>
      <c r="AD731" s="119"/>
      <c r="AE731" s="119"/>
      <c r="AF731" s="277"/>
      <c r="AG731" s="119"/>
      <c r="AH731" s="358"/>
      <c r="AI731" s="358"/>
      <c r="AJ731" s="380"/>
      <c r="AK731" s="380"/>
      <c r="AL731" s="380"/>
      <c r="AM731" s="380"/>
      <c r="AN731" s="120"/>
      <c r="AO731" s="120"/>
      <c r="AP731" s="120"/>
      <c r="AQ731" s="313"/>
      <c r="AR731" s="119"/>
      <c r="AS731" s="22"/>
      <c r="AT731" s="22"/>
      <c r="AU731" s="22"/>
      <c r="AV731" s="2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112"/>
      <c r="BH731" s="112"/>
      <c r="BI731" s="112"/>
      <c r="BJ731" s="112"/>
      <c r="BK731" s="82"/>
      <c r="BL731" s="82"/>
      <c r="BN731" s="412"/>
      <c r="BO731" s="412"/>
      <c r="BP731" s="412"/>
      <c r="BQ731" s="412"/>
      <c r="BR731" s="412"/>
      <c r="BZ731" t="str">
        <f t="shared" si="70"/>
        <v/>
      </c>
    </row>
    <row r="732" spans="1:78" ht="15.6" hidden="1" customHeight="1">
      <c r="A732" s="35" t="str">
        <f t="shared" si="69"/>
        <v/>
      </c>
      <c r="C732" s="358" t="s">
        <v>24</v>
      </c>
      <c r="D732" s="358">
        <v>728</v>
      </c>
      <c r="E732" s="119"/>
      <c r="F732" s="119"/>
      <c r="G732" s="266"/>
      <c r="H732" s="119"/>
      <c r="I732" s="358"/>
      <c r="J732" s="359" t="str">
        <f>IFERROR(VLOOKUP($A732,#REF!,3,0),"")</f>
        <v/>
      </c>
      <c r="K732" s="359">
        <f>IFERROR(VLOOKUP($A732,#REF!,4,0),AF732)</f>
        <v>0</v>
      </c>
      <c r="L732" s="359" t="str">
        <f>IFERROR(VLOOKUP($A732,#REF!,5,0),"")</f>
        <v/>
      </c>
      <c r="M732" s="359" t="str">
        <f>IFERROR(VLOOKUP($A732,#REF!,7,0),"")</f>
        <v/>
      </c>
      <c r="N732" s="359"/>
      <c r="O732" s="359" t="str">
        <f>IFERROR(VLOOKUP($A732,#REF!,6,0),"")</f>
        <v/>
      </c>
      <c r="P732" s="359" t="str">
        <f>IFERROR(VLOOKUP($A732,#REF!,9,0),"")</f>
        <v/>
      </c>
      <c r="Q732" s="359" t="str">
        <f>IFERROR(VLOOKUP($A732,#REF!,10,0),"")</f>
        <v/>
      </c>
      <c r="R732" s="359" t="str">
        <f>IFERROR(VLOOKUP($A732,#REF!,11,0),"")</f>
        <v/>
      </c>
      <c r="S732" s="359" t="str">
        <f>IFERROR(VLOOKUP($A732,#REF!,13,0),"")</f>
        <v/>
      </c>
      <c r="T732" s="359" t="str">
        <f>IFERROR(VLOOKUP($A732,#REF!,14,0),"")</f>
        <v/>
      </c>
      <c r="U732" s="359" t="str">
        <f>IFERROR(VLOOKUP($A732,#REF!,15,0),"")</f>
        <v/>
      </c>
      <c r="V732" s="359" t="str">
        <f>IFERROR(VLOOKUP($A732,#REF!,16,0),"")</f>
        <v/>
      </c>
      <c r="W732" s="359" t="str">
        <f>IFERROR(VLOOKUP($A732,#REF!,17,0),"")</f>
        <v/>
      </c>
      <c r="X732" s="359" t="str">
        <f>IFERROR(VLOOKUP($A732,#REF!,18,0),"")</f>
        <v/>
      </c>
      <c r="Y732" s="359" t="str">
        <f>IFERROR(VLOOKUP($A732,#REF!,19,0),"")</f>
        <v/>
      </c>
      <c r="Z732" s="400" t="str">
        <f>IFERROR(VLOOKUP($A732,#REF!,21,0),"")</f>
        <v/>
      </c>
      <c r="AA732" s="358"/>
      <c r="AB732" s="358"/>
      <c r="AC732" s="119"/>
      <c r="AD732" s="119"/>
      <c r="AE732" s="119"/>
      <c r="AF732" s="277"/>
      <c r="AG732" s="119"/>
      <c r="AH732" s="358"/>
      <c r="AI732" s="358"/>
      <c r="AJ732" s="380"/>
      <c r="AK732" s="380"/>
      <c r="AL732" s="380"/>
      <c r="AM732" s="380"/>
      <c r="AN732" s="120"/>
      <c r="AO732" s="120"/>
      <c r="AP732" s="120"/>
      <c r="AQ732" s="313"/>
      <c r="AR732" s="119"/>
      <c r="AS732" s="22"/>
      <c r="AT732" s="22"/>
      <c r="AU732" s="22"/>
      <c r="AV732" s="2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112"/>
      <c r="BH732" s="112"/>
      <c r="BI732" s="112"/>
      <c r="BJ732" s="112"/>
      <c r="BK732" s="82"/>
      <c r="BL732" s="82"/>
      <c r="BN732" s="412"/>
      <c r="BO732" s="412"/>
      <c r="BP732" s="412"/>
      <c r="BQ732" s="412"/>
      <c r="BR732" s="412"/>
      <c r="BZ732" t="str">
        <f t="shared" si="70"/>
        <v/>
      </c>
    </row>
    <row r="733" spans="1:78" ht="15.6" hidden="1" customHeight="1">
      <c r="A733" s="35" t="str">
        <f t="shared" si="69"/>
        <v/>
      </c>
      <c r="C733" s="358" t="s">
        <v>24</v>
      </c>
      <c r="D733" s="358">
        <v>729</v>
      </c>
      <c r="E733" s="119"/>
      <c r="F733" s="119"/>
      <c r="G733" s="266"/>
      <c r="H733" s="119"/>
      <c r="I733" s="358"/>
      <c r="J733" s="359" t="str">
        <f>IFERROR(VLOOKUP($A733,#REF!,3,0),"")</f>
        <v/>
      </c>
      <c r="K733" s="359">
        <f>IFERROR(VLOOKUP($A733,#REF!,4,0),AF733)</f>
        <v>0</v>
      </c>
      <c r="L733" s="359" t="str">
        <f>IFERROR(VLOOKUP($A733,#REF!,5,0),"")</f>
        <v/>
      </c>
      <c r="M733" s="359" t="str">
        <f>IFERROR(VLOOKUP($A733,#REF!,7,0),"")</f>
        <v/>
      </c>
      <c r="N733" s="359"/>
      <c r="O733" s="359" t="str">
        <f>IFERROR(VLOOKUP($A733,#REF!,6,0),"")</f>
        <v/>
      </c>
      <c r="P733" s="359" t="str">
        <f>IFERROR(VLOOKUP($A733,#REF!,9,0),"")</f>
        <v/>
      </c>
      <c r="Q733" s="359" t="str">
        <f>IFERROR(VLOOKUP($A733,#REF!,10,0),"")</f>
        <v/>
      </c>
      <c r="R733" s="359" t="str">
        <f>IFERROR(VLOOKUP($A733,#REF!,11,0),"")</f>
        <v/>
      </c>
      <c r="S733" s="359" t="str">
        <f>IFERROR(VLOOKUP($A733,#REF!,13,0),"")</f>
        <v/>
      </c>
      <c r="T733" s="359" t="str">
        <f>IFERROR(VLOOKUP($A733,#REF!,14,0),"")</f>
        <v/>
      </c>
      <c r="U733" s="359" t="str">
        <f>IFERROR(VLOOKUP($A733,#REF!,15,0),"")</f>
        <v/>
      </c>
      <c r="V733" s="359" t="str">
        <f>IFERROR(VLOOKUP($A733,#REF!,16,0),"")</f>
        <v/>
      </c>
      <c r="W733" s="359" t="str">
        <f>IFERROR(VLOOKUP($A733,#REF!,17,0),"")</f>
        <v/>
      </c>
      <c r="X733" s="359" t="str">
        <f>IFERROR(VLOOKUP($A733,#REF!,18,0),"")</f>
        <v/>
      </c>
      <c r="Y733" s="359" t="str">
        <f>IFERROR(VLOOKUP($A733,#REF!,19,0),"")</f>
        <v/>
      </c>
      <c r="Z733" s="400" t="str">
        <f>IFERROR(VLOOKUP($A733,#REF!,21,0),"")</f>
        <v/>
      </c>
      <c r="AA733" s="358"/>
      <c r="AB733" s="358"/>
      <c r="AC733" s="119"/>
      <c r="AD733" s="119"/>
      <c r="AE733" s="119"/>
      <c r="AF733" s="277"/>
      <c r="AG733" s="119"/>
      <c r="AH733" s="358"/>
      <c r="AI733" s="358"/>
      <c r="AJ733" s="380"/>
      <c r="AK733" s="380"/>
      <c r="AL733" s="380"/>
      <c r="AM733" s="380"/>
      <c r="AN733" s="120"/>
      <c r="AO733" s="120"/>
      <c r="AP733" s="120"/>
      <c r="AQ733" s="313"/>
      <c r="AR733" s="119"/>
      <c r="AS733" s="22"/>
      <c r="AT733" s="22"/>
      <c r="AU733" s="22"/>
      <c r="AV733" s="2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112"/>
      <c r="BH733" s="112"/>
      <c r="BI733" s="112"/>
      <c r="BJ733" s="112"/>
      <c r="BK733" s="82"/>
      <c r="BL733" s="82"/>
      <c r="BN733" s="412"/>
      <c r="BO733" s="412"/>
      <c r="BP733" s="412"/>
      <c r="BQ733" s="412"/>
      <c r="BR733" s="412"/>
      <c r="BZ733" t="str">
        <f t="shared" si="70"/>
        <v/>
      </c>
    </row>
    <row r="734" spans="1:78" ht="15.6" hidden="1" customHeight="1">
      <c r="A734" s="35" t="str">
        <f t="shared" si="69"/>
        <v/>
      </c>
      <c r="C734" s="358" t="s">
        <v>24</v>
      </c>
      <c r="D734" s="358">
        <v>730</v>
      </c>
      <c r="E734" s="119"/>
      <c r="F734" s="119"/>
      <c r="G734" s="266"/>
      <c r="H734" s="119"/>
      <c r="I734" s="358"/>
      <c r="J734" s="359" t="str">
        <f>IFERROR(VLOOKUP($A734,#REF!,3,0),"")</f>
        <v/>
      </c>
      <c r="K734" s="359">
        <f>IFERROR(VLOOKUP($A734,#REF!,4,0),AF734)</f>
        <v>0</v>
      </c>
      <c r="L734" s="359" t="str">
        <f>IFERROR(VLOOKUP($A734,#REF!,5,0),"")</f>
        <v/>
      </c>
      <c r="M734" s="359" t="str">
        <f>IFERROR(VLOOKUP($A734,#REF!,7,0),"")</f>
        <v/>
      </c>
      <c r="N734" s="359"/>
      <c r="O734" s="359" t="str">
        <f>IFERROR(VLOOKUP($A734,#REF!,6,0),"")</f>
        <v/>
      </c>
      <c r="P734" s="359" t="str">
        <f>IFERROR(VLOOKUP($A734,#REF!,9,0),"")</f>
        <v/>
      </c>
      <c r="Q734" s="359" t="str">
        <f>IFERROR(VLOOKUP($A734,#REF!,10,0),"")</f>
        <v/>
      </c>
      <c r="R734" s="359" t="str">
        <f>IFERROR(VLOOKUP($A734,#REF!,11,0),"")</f>
        <v/>
      </c>
      <c r="S734" s="359" t="str">
        <f>IFERROR(VLOOKUP($A734,#REF!,13,0),"")</f>
        <v/>
      </c>
      <c r="T734" s="359" t="str">
        <f>IFERROR(VLOOKUP($A734,#REF!,14,0),"")</f>
        <v/>
      </c>
      <c r="U734" s="359" t="str">
        <f>IFERROR(VLOOKUP($A734,#REF!,15,0),"")</f>
        <v/>
      </c>
      <c r="V734" s="359" t="str">
        <f>IFERROR(VLOOKUP($A734,#REF!,16,0),"")</f>
        <v/>
      </c>
      <c r="W734" s="359" t="str">
        <f>IFERROR(VLOOKUP($A734,#REF!,17,0),"")</f>
        <v/>
      </c>
      <c r="X734" s="359" t="str">
        <f>IFERROR(VLOOKUP($A734,#REF!,18,0),"")</f>
        <v/>
      </c>
      <c r="Y734" s="359" t="str">
        <f>IFERROR(VLOOKUP($A734,#REF!,19,0),"")</f>
        <v/>
      </c>
      <c r="Z734" s="400" t="str">
        <f>IFERROR(VLOOKUP($A734,#REF!,21,0),"")</f>
        <v/>
      </c>
      <c r="AA734" s="358"/>
      <c r="AB734" s="358"/>
      <c r="AC734" s="119"/>
      <c r="AD734" s="119"/>
      <c r="AE734" s="119"/>
      <c r="AF734" s="277"/>
      <c r="AG734" s="119"/>
      <c r="AH734" s="358"/>
      <c r="AI734" s="358"/>
      <c r="AJ734" s="380"/>
      <c r="AK734" s="380"/>
      <c r="AL734" s="380"/>
      <c r="AM734" s="380"/>
      <c r="AN734" s="120"/>
      <c r="AO734" s="120"/>
      <c r="AP734" s="120"/>
      <c r="AQ734" s="313"/>
      <c r="AR734" s="119"/>
      <c r="AS734" s="22"/>
      <c r="AT734" s="22"/>
      <c r="AU734" s="22"/>
      <c r="AV734" s="2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112"/>
      <c r="BH734" s="112"/>
      <c r="BI734" s="112"/>
      <c r="BJ734" s="112"/>
      <c r="BK734" s="82"/>
      <c r="BL734" s="82"/>
      <c r="BN734" s="412"/>
      <c r="BO734" s="412"/>
      <c r="BP734" s="412"/>
      <c r="BQ734" s="412"/>
      <c r="BR734" s="412"/>
      <c r="BZ734" t="str">
        <f t="shared" si="70"/>
        <v/>
      </c>
    </row>
    <row r="735" spans="1:78" ht="15.6" hidden="1" customHeight="1">
      <c r="A735" s="35" t="str">
        <f t="shared" si="69"/>
        <v/>
      </c>
      <c r="C735" s="358" t="s">
        <v>24</v>
      </c>
      <c r="D735" s="358">
        <v>731</v>
      </c>
      <c r="E735" s="119"/>
      <c r="F735" s="119"/>
      <c r="G735" s="266"/>
      <c r="H735" s="119"/>
      <c r="I735" s="358"/>
      <c r="J735" s="359" t="str">
        <f>IFERROR(VLOOKUP($A735,#REF!,3,0),"")</f>
        <v/>
      </c>
      <c r="K735" s="359">
        <f>IFERROR(VLOOKUP($A735,#REF!,4,0),AF735)</f>
        <v>0</v>
      </c>
      <c r="L735" s="359" t="str">
        <f>IFERROR(VLOOKUP($A735,#REF!,5,0),"")</f>
        <v/>
      </c>
      <c r="M735" s="359" t="str">
        <f>IFERROR(VLOOKUP($A735,#REF!,7,0),"")</f>
        <v/>
      </c>
      <c r="N735" s="359"/>
      <c r="O735" s="359" t="str">
        <f>IFERROR(VLOOKUP($A735,#REF!,6,0),"")</f>
        <v/>
      </c>
      <c r="P735" s="359" t="str">
        <f>IFERROR(VLOOKUP($A735,#REF!,9,0),"")</f>
        <v/>
      </c>
      <c r="Q735" s="359" t="str">
        <f>IFERROR(VLOOKUP($A735,#REF!,10,0),"")</f>
        <v/>
      </c>
      <c r="R735" s="359" t="str">
        <f>IFERROR(VLOOKUP($A735,#REF!,11,0),"")</f>
        <v/>
      </c>
      <c r="S735" s="359" t="str">
        <f>IFERROR(VLOOKUP($A735,#REF!,13,0),"")</f>
        <v/>
      </c>
      <c r="T735" s="359" t="str">
        <f>IFERROR(VLOOKUP($A735,#REF!,14,0),"")</f>
        <v/>
      </c>
      <c r="U735" s="359" t="str">
        <f>IFERROR(VLOOKUP($A735,#REF!,15,0),"")</f>
        <v/>
      </c>
      <c r="V735" s="359" t="str">
        <f>IFERROR(VLOOKUP($A735,#REF!,16,0),"")</f>
        <v/>
      </c>
      <c r="W735" s="359" t="str">
        <f>IFERROR(VLOOKUP($A735,#REF!,17,0),"")</f>
        <v/>
      </c>
      <c r="X735" s="359" t="str">
        <f>IFERROR(VLOOKUP($A735,#REF!,18,0),"")</f>
        <v/>
      </c>
      <c r="Y735" s="359" t="str">
        <f>IFERROR(VLOOKUP($A735,#REF!,19,0),"")</f>
        <v/>
      </c>
      <c r="Z735" s="400" t="str">
        <f>IFERROR(VLOOKUP($A735,#REF!,21,0),"")</f>
        <v/>
      </c>
      <c r="AA735" s="358"/>
      <c r="AB735" s="358"/>
      <c r="AC735" s="119"/>
      <c r="AD735" s="119"/>
      <c r="AE735" s="119"/>
      <c r="AF735" s="277"/>
      <c r="AG735" s="119"/>
      <c r="AH735" s="358"/>
      <c r="AI735" s="358"/>
      <c r="AJ735" s="380"/>
      <c r="AK735" s="380"/>
      <c r="AL735" s="380"/>
      <c r="AM735" s="380"/>
      <c r="AN735" s="120"/>
      <c r="AO735" s="120"/>
      <c r="AP735" s="120"/>
      <c r="AQ735" s="313"/>
      <c r="AR735" s="119"/>
      <c r="AS735" s="22"/>
      <c r="AT735" s="22"/>
      <c r="AU735" s="22"/>
      <c r="AV735" s="2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112"/>
      <c r="BH735" s="112"/>
      <c r="BI735" s="112"/>
      <c r="BJ735" s="112"/>
      <c r="BK735" s="82"/>
      <c r="BL735" s="82"/>
      <c r="BN735" s="412"/>
      <c r="BO735" s="412"/>
      <c r="BP735" s="412"/>
      <c r="BQ735" s="412"/>
      <c r="BR735" s="412"/>
      <c r="BZ735" t="str">
        <f t="shared" si="70"/>
        <v/>
      </c>
    </row>
    <row r="736" spans="1:78" ht="15.6" hidden="1" customHeight="1">
      <c r="A736" s="35" t="str">
        <f t="shared" si="69"/>
        <v/>
      </c>
      <c r="C736" s="358" t="s">
        <v>24</v>
      </c>
      <c r="D736" s="358">
        <v>732</v>
      </c>
      <c r="E736" s="119"/>
      <c r="F736" s="119"/>
      <c r="G736" s="266"/>
      <c r="H736" s="119"/>
      <c r="I736" s="358"/>
      <c r="J736" s="359" t="str">
        <f>IFERROR(VLOOKUP($A736,#REF!,3,0),"")</f>
        <v/>
      </c>
      <c r="K736" s="359">
        <f>IFERROR(VLOOKUP($A736,#REF!,4,0),AF736)</f>
        <v>0</v>
      </c>
      <c r="L736" s="359" t="str">
        <f>IFERROR(VLOOKUP($A736,#REF!,5,0),"")</f>
        <v/>
      </c>
      <c r="M736" s="359" t="str">
        <f>IFERROR(VLOOKUP($A736,#REF!,7,0),"")</f>
        <v/>
      </c>
      <c r="N736" s="359"/>
      <c r="O736" s="359" t="str">
        <f>IFERROR(VLOOKUP($A736,#REF!,6,0),"")</f>
        <v/>
      </c>
      <c r="P736" s="359" t="str">
        <f>IFERROR(VLOOKUP($A736,#REF!,9,0),"")</f>
        <v/>
      </c>
      <c r="Q736" s="359" t="str">
        <f>IFERROR(VLOOKUP($A736,#REF!,10,0),"")</f>
        <v/>
      </c>
      <c r="R736" s="359" t="str">
        <f>IFERROR(VLOOKUP($A736,#REF!,11,0),"")</f>
        <v/>
      </c>
      <c r="S736" s="359" t="str">
        <f>IFERROR(VLOOKUP($A736,#REF!,13,0),"")</f>
        <v/>
      </c>
      <c r="T736" s="359" t="str">
        <f>IFERROR(VLOOKUP($A736,#REF!,14,0),"")</f>
        <v/>
      </c>
      <c r="U736" s="359" t="str">
        <f>IFERROR(VLOOKUP($A736,#REF!,15,0),"")</f>
        <v/>
      </c>
      <c r="V736" s="359" t="str">
        <f>IFERROR(VLOOKUP($A736,#REF!,16,0),"")</f>
        <v/>
      </c>
      <c r="W736" s="359" t="str">
        <f>IFERROR(VLOOKUP($A736,#REF!,17,0),"")</f>
        <v/>
      </c>
      <c r="X736" s="359" t="str">
        <f>IFERROR(VLOOKUP($A736,#REF!,18,0),"")</f>
        <v/>
      </c>
      <c r="Y736" s="359" t="str">
        <f>IFERROR(VLOOKUP($A736,#REF!,19,0),"")</f>
        <v/>
      </c>
      <c r="Z736" s="400" t="str">
        <f>IFERROR(VLOOKUP($A736,#REF!,21,0),"")</f>
        <v/>
      </c>
      <c r="AA736" s="358"/>
      <c r="AB736" s="358"/>
      <c r="AC736" s="119"/>
      <c r="AD736" s="119"/>
      <c r="AE736" s="119"/>
      <c r="AF736" s="277"/>
      <c r="AG736" s="119"/>
      <c r="AH736" s="358"/>
      <c r="AI736" s="358"/>
      <c r="AJ736" s="380"/>
      <c r="AK736" s="380"/>
      <c r="AL736" s="380"/>
      <c r="AM736" s="380"/>
      <c r="AN736" s="120"/>
      <c r="AO736" s="120"/>
      <c r="AP736" s="120"/>
      <c r="AQ736" s="313"/>
      <c r="AR736" s="119"/>
      <c r="AS736" s="22"/>
      <c r="AT736" s="22"/>
      <c r="AU736" s="22"/>
      <c r="AV736" s="2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112"/>
      <c r="BH736" s="112"/>
      <c r="BI736" s="112"/>
      <c r="BJ736" s="112"/>
      <c r="BK736" s="82"/>
      <c r="BL736" s="82"/>
      <c r="BN736" s="412"/>
      <c r="BO736" s="412"/>
      <c r="BP736" s="412"/>
      <c r="BQ736" s="412"/>
      <c r="BR736" s="412"/>
      <c r="BZ736" t="str">
        <f t="shared" si="70"/>
        <v/>
      </c>
    </row>
    <row r="737" spans="1:78" ht="15.6" hidden="1" customHeight="1">
      <c r="A737" s="35" t="str">
        <f t="shared" si="69"/>
        <v/>
      </c>
      <c r="C737" s="358" t="s">
        <v>24</v>
      </c>
      <c r="D737" s="358">
        <v>733</v>
      </c>
      <c r="E737" s="119"/>
      <c r="F737" s="119"/>
      <c r="G737" s="266"/>
      <c r="H737" s="119"/>
      <c r="I737" s="358"/>
      <c r="J737" s="359" t="str">
        <f>IFERROR(VLOOKUP($A737,#REF!,3,0),"")</f>
        <v/>
      </c>
      <c r="K737" s="359">
        <f>IFERROR(VLOOKUP($A737,#REF!,4,0),AF737)</f>
        <v>0</v>
      </c>
      <c r="L737" s="359" t="str">
        <f>IFERROR(VLOOKUP($A737,#REF!,5,0),"")</f>
        <v/>
      </c>
      <c r="M737" s="359" t="str">
        <f>IFERROR(VLOOKUP($A737,#REF!,7,0),"")</f>
        <v/>
      </c>
      <c r="N737" s="359"/>
      <c r="O737" s="359" t="str">
        <f>IFERROR(VLOOKUP($A737,#REF!,6,0),"")</f>
        <v/>
      </c>
      <c r="P737" s="359" t="str">
        <f>IFERROR(VLOOKUP($A737,#REF!,9,0),"")</f>
        <v/>
      </c>
      <c r="Q737" s="359" t="str">
        <f>IFERROR(VLOOKUP($A737,#REF!,10,0),"")</f>
        <v/>
      </c>
      <c r="R737" s="359" t="str">
        <f>IFERROR(VLOOKUP($A737,#REF!,11,0),"")</f>
        <v/>
      </c>
      <c r="S737" s="359" t="str">
        <f>IFERROR(VLOOKUP($A737,#REF!,13,0),"")</f>
        <v/>
      </c>
      <c r="T737" s="359" t="str">
        <f>IFERROR(VLOOKUP($A737,#REF!,14,0),"")</f>
        <v/>
      </c>
      <c r="U737" s="359" t="str">
        <f>IFERROR(VLOOKUP($A737,#REF!,15,0),"")</f>
        <v/>
      </c>
      <c r="V737" s="359" t="str">
        <f>IFERROR(VLOOKUP($A737,#REF!,16,0),"")</f>
        <v/>
      </c>
      <c r="W737" s="359" t="str">
        <f>IFERROR(VLOOKUP($A737,#REF!,17,0),"")</f>
        <v/>
      </c>
      <c r="X737" s="359" t="str">
        <f>IFERROR(VLOOKUP($A737,#REF!,18,0),"")</f>
        <v/>
      </c>
      <c r="Y737" s="359" t="str">
        <f>IFERROR(VLOOKUP($A737,#REF!,19,0),"")</f>
        <v/>
      </c>
      <c r="Z737" s="400" t="str">
        <f>IFERROR(VLOOKUP($A737,#REF!,21,0),"")</f>
        <v/>
      </c>
      <c r="AA737" s="358"/>
      <c r="AB737" s="358"/>
      <c r="AC737" s="119"/>
      <c r="AD737" s="119"/>
      <c r="AE737" s="119"/>
      <c r="AF737" s="277"/>
      <c r="AG737" s="119"/>
      <c r="AH737" s="358"/>
      <c r="AI737" s="358"/>
      <c r="AJ737" s="380"/>
      <c r="AK737" s="380"/>
      <c r="AL737" s="380"/>
      <c r="AM737" s="380"/>
      <c r="AN737" s="120"/>
      <c r="AO737" s="120"/>
      <c r="AP737" s="120"/>
      <c r="AQ737" s="313"/>
      <c r="AR737" s="119"/>
      <c r="AS737" s="22"/>
      <c r="AT737" s="22"/>
      <c r="AU737" s="22"/>
      <c r="AV737" s="2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112"/>
      <c r="BH737" s="112"/>
      <c r="BI737" s="112"/>
      <c r="BJ737" s="112"/>
      <c r="BK737" s="82"/>
      <c r="BL737" s="82"/>
      <c r="BN737" s="412"/>
      <c r="BO737" s="412"/>
      <c r="BP737" s="412"/>
      <c r="BQ737" s="412"/>
      <c r="BR737" s="412"/>
      <c r="BZ737" t="str">
        <f t="shared" si="70"/>
        <v/>
      </c>
    </row>
    <row r="738" spans="1:78" ht="15.6" hidden="1" customHeight="1">
      <c r="A738" s="35" t="str">
        <f t="shared" si="69"/>
        <v/>
      </c>
      <c r="C738" s="358" t="s">
        <v>24</v>
      </c>
      <c r="D738" s="358">
        <v>734</v>
      </c>
      <c r="E738" s="119"/>
      <c r="F738" s="119"/>
      <c r="G738" s="266"/>
      <c r="H738" s="119"/>
      <c r="I738" s="358"/>
      <c r="J738" s="359" t="str">
        <f>IFERROR(VLOOKUP($A738,#REF!,3,0),"")</f>
        <v/>
      </c>
      <c r="K738" s="359">
        <f>IFERROR(VLOOKUP($A738,#REF!,4,0),AF738)</f>
        <v>0</v>
      </c>
      <c r="L738" s="359" t="str">
        <f>IFERROR(VLOOKUP($A738,#REF!,5,0),"")</f>
        <v/>
      </c>
      <c r="M738" s="359" t="str">
        <f>IFERROR(VLOOKUP($A738,#REF!,7,0),"")</f>
        <v/>
      </c>
      <c r="N738" s="359"/>
      <c r="O738" s="359" t="str">
        <f>IFERROR(VLOOKUP($A738,#REF!,6,0),"")</f>
        <v/>
      </c>
      <c r="P738" s="359" t="str">
        <f>IFERROR(VLOOKUP($A738,#REF!,9,0),"")</f>
        <v/>
      </c>
      <c r="Q738" s="359" t="str">
        <f>IFERROR(VLOOKUP($A738,#REF!,10,0),"")</f>
        <v/>
      </c>
      <c r="R738" s="359" t="str">
        <f>IFERROR(VLOOKUP($A738,#REF!,11,0),"")</f>
        <v/>
      </c>
      <c r="S738" s="359" t="str">
        <f>IFERROR(VLOOKUP($A738,#REF!,13,0),"")</f>
        <v/>
      </c>
      <c r="T738" s="359" t="str">
        <f>IFERROR(VLOOKUP($A738,#REF!,14,0),"")</f>
        <v/>
      </c>
      <c r="U738" s="359" t="str">
        <f>IFERROR(VLOOKUP($A738,#REF!,15,0),"")</f>
        <v/>
      </c>
      <c r="V738" s="359" t="str">
        <f>IFERROR(VLOOKUP($A738,#REF!,16,0),"")</f>
        <v/>
      </c>
      <c r="W738" s="359" t="str">
        <f>IFERROR(VLOOKUP($A738,#REF!,17,0),"")</f>
        <v/>
      </c>
      <c r="X738" s="359" t="str">
        <f>IFERROR(VLOOKUP($A738,#REF!,18,0),"")</f>
        <v/>
      </c>
      <c r="Y738" s="359" t="str">
        <f>IFERROR(VLOOKUP($A738,#REF!,19,0),"")</f>
        <v/>
      </c>
      <c r="Z738" s="400" t="str">
        <f>IFERROR(VLOOKUP($A738,#REF!,21,0),"")</f>
        <v/>
      </c>
      <c r="AA738" s="358"/>
      <c r="AB738" s="358"/>
      <c r="AC738" s="119"/>
      <c r="AD738" s="119"/>
      <c r="AE738" s="119"/>
      <c r="AF738" s="277"/>
      <c r="AG738" s="119"/>
      <c r="AH738" s="358"/>
      <c r="AI738" s="358"/>
      <c r="AJ738" s="380"/>
      <c r="AK738" s="380"/>
      <c r="AL738" s="380"/>
      <c r="AM738" s="380"/>
      <c r="AN738" s="120"/>
      <c r="AO738" s="120"/>
      <c r="AP738" s="120"/>
      <c r="AQ738" s="313"/>
      <c r="AR738" s="119"/>
      <c r="AS738" s="22"/>
      <c r="AT738" s="22"/>
      <c r="AU738" s="22"/>
      <c r="AV738" s="2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112"/>
      <c r="BH738" s="112"/>
      <c r="BI738" s="112"/>
      <c r="BJ738" s="112"/>
      <c r="BK738" s="82"/>
      <c r="BL738" s="82"/>
      <c r="BN738" s="412"/>
      <c r="BO738" s="412"/>
      <c r="BP738" s="412"/>
      <c r="BQ738" s="412"/>
      <c r="BR738" s="412"/>
      <c r="BZ738" t="str">
        <f t="shared" si="70"/>
        <v/>
      </c>
    </row>
    <row r="739" spans="1:78" ht="15.6" hidden="1" customHeight="1">
      <c r="A739" s="35" t="str">
        <f t="shared" si="69"/>
        <v>M223/2646196</v>
      </c>
      <c r="C739" s="358" t="s">
        <v>24</v>
      </c>
      <c r="D739" s="358">
        <v>735</v>
      </c>
      <c r="E739" s="119" t="s">
        <v>4067</v>
      </c>
      <c r="F739" s="119" t="s">
        <v>102</v>
      </c>
      <c r="G739" s="266">
        <v>46196</v>
      </c>
      <c r="H739" s="119" t="s">
        <v>4068</v>
      </c>
      <c r="I739" s="358">
        <v>11</v>
      </c>
      <c r="J739" s="359" t="str">
        <f>IFERROR(VLOOKUP($A739,#REF!,3,0),"")</f>
        <v/>
      </c>
      <c r="K739" s="359">
        <f>IFERROR(VLOOKUP($A739,#REF!,4,0),AF739)</f>
        <v>0</v>
      </c>
      <c r="L739" s="359" t="str">
        <f>IFERROR(VLOOKUP($A739,#REF!,5,0),"")</f>
        <v/>
      </c>
      <c r="M739" s="359" t="str">
        <f>IFERROR(VLOOKUP($A739,#REF!,7,0),"")</f>
        <v/>
      </c>
      <c r="N739" s="359"/>
      <c r="O739" s="359" t="str">
        <f>IFERROR(VLOOKUP($A739,#REF!,6,0),"")</f>
        <v/>
      </c>
      <c r="P739" s="359" t="str">
        <f>IFERROR(VLOOKUP($A739,#REF!,9,0),"")</f>
        <v/>
      </c>
      <c r="Q739" s="359" t="str">
        <f>IFERROR(VLOOKUP($A739,#REF!,10,0),"")</f>
        <v/>
      </c>
      <c r="R739" s="359" t="str">
        <f>IFERROR(VLOOKUP($A739,#REF!,11,0),"")</f>
        <v/>
      </c>
      <c r="S739" s="359" t="str">
        <f>IFERROR(VLOOKUP($A739,#REF!,13,0),"")</f>
        <v/>
      </c>
      <c r="T739" s="359" t="str">
        <f>IFERROR(VLOOKUP($A739,#REF!,14,0),"")</f>
        <v/>
      </c>
      <c r="U739" s="359" t="str">
        <f>IFERROR(VLOOKUP($A739,#REF!,15,0),"")</f>
        <v/>
      </c>
      <c r="V739" s="359" t="str">
        <f>IFERROR(VLOOKUP($A739,#REF!,16,0),"")</f>
        <v/>
      </c>
      <c r="W739" s="359" t="str">
        <f>IFERROR(VLOOKUP($A739,#REF!,17,0),"")</f>
        <v/>
      </c>
      <c r="X739" s="359" t="str">
        <f>IFERROR(VLOOKUP($A739,#REF!,18,0),"")</f>
        <v/>
      </c>
      <c r="Y739" s="359" t="str">
        <f>IFERROR(VLOOKUP($A739,#REF!,19,0),"")</f>
        <v/>
      </c>
      <c r="Z739" s="400" t="str">
        <f>IFERROR(VLOOKUP($A739,#REF!,21,0),"")</f>
        <v/>
      </c>
      <c r="AA739" s="358"/>
      <c r="AB739" s="358"/>
      <c r="AC739" s="119" t="s">
        <v>3075</v>
      </c>
      <c r="AD739" s="119" t="s">
        <v>47</v>
      </c>
      <c r="AE739" s="119"/>
      <c r="AF739" s="277"/>
      <c r="AG739" s="119" t="s">
        <v>4069</v>
      </c>
      <c r="AH739" s="119"/>
      <c r="AI739" s="119"/>
      <c r="AJ739" s="120" t="s">
        <v>3765</v>
      </c>
      <c r="AK739" s="120"/>
      <c r="AL739" s="120"/>
      <c r="AM739" s="120"/>
      <c r="AN739" s="120"/>
      <c r="AO739" s="120"/>
      <c r="AP739" s="120"/>
      <c r="AQ739" s="313"/>
      <c r="AR739" s="119"/>
      <c r="AS739" s="22"/>
      <c r="AT739" s="22"/>
      <c r="AU739" s="22"/>
      <c r="AV739" s="2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112"/>
      <c r="BH739" s="112"/>
      <c r="BI739" s="112"/>
      <c r="BJ739" s="112"/>
      <c r="BK739" s="82"/>
      <c r="BL739" s="82"/>
      <c r="BN739" s="412"/>
      <c r="BO739" s="412"/>
      <c r="BP739" s="412"/>
      <c r="BQ739" s="412"/>
      <c r="BR739" s="412"/>
      <c r="BZ739">
        <f t="shared" si="70"/>
        <v>1</v>
      </c>
    </row>
    <row r="740" spans="1:78" ht="15.6" hidden="1" customHeight="1">
      <c r="A740" s="35" t="str">
        <f t="shared" si="69"/>
        <v>M214/2646221</v>
      </c>
      <c r="C740" s="358" t="s">
        <v>24</v>
      </c>
      <c r="D740" s="358">
        <v>736</v>
      </c>
      <c r="E740" s="119" t="s">
        <v>4070</v>
      </c>
      <c r="F740" s="119" t="s">
        <v>50</v>
      </c>
      <c r="G740" s="266">
        <v>46221</v>
      </c>
      <c r="H740" s="119" t="s">
        <v>202</v>
      </c>
      <c r="I740" s="358">
        <v>23</v>
      </c>
      <c r="J740" s="359" t="str">
        <f>IFERROR(VLOOKUP($A740,#REF!,3,0),"")</f>
        <v/>
      </c>
      <c r="K740" s="359">
        <f>IFERROR(VLOOKUP($A740,#REF!,4,0),AF740)</f>
        <v>0</v>
      </c>
      <c r="L740" s="359" t="str">
        <f>IFERROR(VLOOKUP($A740,#REF!,5,0),"")</f>
        <v/>
      </c>
      <c r="M740" s="359" t="str">
        <f>IFERROR(VLOOKUP($A740,#REF!,7,0),"")</f>
        <v/>
      </c>
      <c r="N740" s="359"/>
      <c r="O740" s="359" t="str">
        <f>IFERROR(VLOOKUP($A740,#REF!,6,0),"")</f>
        <v/>
      </c>
      <c r="P740" s="359" t="str">
        <f>IFERROR(VLOOKUP($A740,#REF!,9,0),"")</f>
        <v/>
      </c>
      <c r="Q740" s="359" t="str">
        <f>IFERROR(VLOOKUP($A740,#REF!,10,0),"")</f>
        <v/>
      </c>
      <c r="R740" s="359" t="str">
        <f>IFERROR(VLOOKUP($A740,#REF!,11,0),"")</f>
        <v/>
      </c>
      <c r="S740" s="359" t="str">
        <f>IFERROR(VLOOKUP($A740,#REF!,13,0),"")</f>
        <v/>
      </c>
      <c r="T740" s="359" t="str">
        <f>IFERROR(VLOOKUP($A740,#REF!,14,0),"")</f>
        <v/>
      </c>
      <c r="U740" s="359" t="str">
        <f>IFERROR(VLOOKUP($A740,#REF!,15,0),"")</f>
        <v/>
      </c>
      <c r="V740" s="359" t="str">
        <f>IFERROR(VLOOKUP($A740,#REF!,16,0),"")</f>
        <v/>
      </c>
      <c r="W740" s="359" t="str">
        <f>IFERROR(VLOOKUP($A740,#REF!,17,0),"")</f>
        <v/>
      </c>
      <c r="X740" s="359" t="str">
        <f>IFERROR(VLOOKUP($A740,#REF!,18,0),"")</f>
        <v/>
      </c>
      <c r="Y740" s="359" t="str">
        <f>IFERROR(VLOOKUP($A740,#REF!,19,0),"")</f>
        <v/>
      </c>
      <c r="Z740" s="400" t="str">
        <f>IFERROR(VLOOKUP($A740,#REF!,21,0),"")</f>
        <v/>
      </c>
      <c r="AA740" s="358"/>
      <c r="AB740" s="358"/>
      <c r="AC740" s="119" t="s">
        <v>3075</v>
      </c>
      <c r="AD740" s="119" t="s">
        <v>47</v>
      </c>
      <c r="AE740" s="119"/>
      <c r="AF740" s="141"/>
      <c r="AG740" s="119"/>
      <c r="AH740" s="119"/>
      <c r="AI740" s="119"/>
      <c r="AJ740" s="120" t="s">
        <v>2579</v>
      </c>
      <c r="AK740" s="120"/>
      <c r="AL740" s="120"/>
      <c r="AM740" s="120"/>
      <c r="AN740" s="120"/>
      <c r="AO740" s="120"/>
      <c r="AP740" s="120"/>
      <c r="AQ740" s="313"/>
      <c r="AR740" s="119"/>
      <c r="AS740" s="22"/>
      <c r="AT740" s="22"/>
      <c r="AU740" s="22"/>
      <c r="AV740" s="22"/>
      <c r="AW740" s="82"/>
      <c r="AX740" s="82"/>
      <c r="AY740" s="82"/>
      <c r="AZ740" s="82"/>
      <c r="BA740" s="82"/>
      <c r="BB740" s="82"/>
      <c r="BC740" s="82"/>
      <c r="BD740" s="82"/>
      <c r="BE740" s="82"/>
      <c r="BF740" s="82"/>
      <c r="BG740" s="112"/>
      <c r="BH740" s="112"/>
      <c r="BI740" s="112"/>
      <c r="BJ740" s="112"/>
      <c r="BK740" s="82"/>
      <c r="BL740" s="82"/>
      <c r="BN740" s="412"/>
      <c r="BO740" s="412"/>
      <c r="BP740" s="412"/>
      <c r="BQ740" s="412"/>
      <c r="BR740" s="412"/>
      <c r="BZ740">
        <f t="shared" si="70"/>
        <v>1</v>
      </c>
    </row>
    <row r="741" spans="1:78" ht="15.6" hidden="1" customHeight="1">
      <c r="A741" s="35" t="str">
        <f t="shared" si="69"/>
        <v>M215/2646293</v>
      </c>
      <c r="C741" s="358" t="s">
        <v>24</v>
      </c>
      <c r="D741" s="358">
        <v>737</v>
      </c>
      <c r="E741" s="119" t="s">
        <v>4071</v>
      </c>
      <c r="F741" s="119" t="s">
        <v>374</v>
      </c>
      <c r="G741" s="266">
        <v>46293</v>
      </c>
      <c r="H741" s="119" t="s">
        <v>202</v>
      </c>
      <c r="I741" s="358">
        <v>23</v>
      </c>
      <c r="J741" s="359" t="str">
        <f>IFERROR(VLOOKUP($A741,#REF!,3,0),"")</f>
        <v/>
      </c>
      <c r="K741" s="359">
        <f>IFERROR(VLOOKUP($A741,#REF!,4,0),AF741)</f>
        <v>0</v>
      </c>
      <c r="L741" s="359" t="str">
        <f>IFERROR(VLOOKUP($A741,#REF!,5,0),"")</f>
        <v/>
      </c>
      <c r="M741" s="359" t="str">
        <f>IFERROR(VLOOKUP($A741,#REF!,7,0),"")</f>
        <v/>
      </c>
      <c r="N741" s="359"/>
      <c r="O741" s="359" t="str">
        <f>IFERROR(VLOOKUP($A741,#REF!,6,0),"")</f>
        <v/>
      </c>
      <c r="P741" s="359" t="str">
        <f>IFERROR(VLOOKUP($A741,#REF!,9,0),"")</f>
        <v/>
      </c>
      <c r="Q741" s="359" t="str">
        <f>IFERROR(VLOOKUP($A741,#REF!,10,0),"")</f>
        <v/>
      </c>
      <c r="R741" s="359" t="str">
        <f>IFERROR(VLOOKUP($A741,#REF!,11,0),"")</f>
        <v/>
      </c>
      <c r="S741" s="359" t="str">
        <f>IFERROR(VLOOKUP($A741,#REF!,13,0),"")</f>
        <v/>
      </c>
      <c r="T741" s="359" t="str">
        <f>IFERROR(VLOOKUP($A741,#REF!,14,0),"")</f>
        <v/>
      </c>
      <c r="U741" s="359" t="str">
        <f>IFERROR(VLOOKUP($A741,#REF!,15,0),"")</f>
        <v/>
      </c>
      <c r="V741" s="359" t="str">
        <f>IFERROR(VLOOKUP($A741,#REF!,16,0),"")</f>
        <v/>
      </c>
      <c r="W741" s="359" t="str">
        <f>IFERROR(VLOOKUP($A741,#REF!,17,0),"")</f>
        <v/>
      </c>
      <c r="X741" s="359" t="str">
        <f>IFERROR(VLOOKUP($A741,#REF!,18,0),"")</f>
        <v/>
      </c>
      <c r="Y741" s="359" t="str">
        <f>IFERROR(VLOOKUP($A741,#REF!,19,0),"")</f>
        <v/>
      </c>
      <c r="Z741" s="400" t="str">
        <f>IFERROR(VLOOKUP($A741,#REF!,21,0),"")</f>
        <v/>
      </c>
      <c r="AA741" s="358"/>
      <c r="AB741" s="358"/>
      <c r="AC741" s="119" t="s">
        <v>3075</v>
      </c>
      <c r="AD741" s="119" t="s">
        <v>47</v>
      </c>
      <c r="AE741" s="119"/>
      <c r="AF741" s="141"/>
      <c r="AG741" s="119"/>
      <c r="AH741" s="119"/>
      <c r="AI741" s="119"/>
      <c r="AJ741" s="120" t="s">
        <v>2579</v>
      </c>
      <c r="AK741" s="120"/>
      <c r="AL741" s="120"/>
      <c r="AM741" s="120"/>
      <c r="AN741" s="120"/>
      <c r="AO741" s="120"/>
      <c r="AP741" s="120"/>
      <c r="AQ741" s="313"/>
      <c r="AR741" s="119"/>
      <c r="AS741" s="22"/>
      <c r="AT741" s="22"/>
      <c r="AU741" s="22"/>
      <c r="AV741" s="22"/>
      <c r="AW741" s="82"/>
      <c r="AX741" s="82"/>
      <c r="AY741" s="82"/>
      <c r="AZ741" s="82"/>
      <c r="BA741" s="82"/>
      <c r="BB741" s="82"/>
      <c r="BC741" s="82"/>
      <c r="BD741" s="82"/>
      <c r="BE741" s="82"/>
      <c r="BF741" s="82"/>
      <c r="BG741" s="112"/>
      <c r="BH741" s="112"/>
      <c r="BI741" s="112"/>
      <c r="BJ741" s="112"/>
      <c r="BK741" s="82"/>
      <c r="BL741" s="82"/>
      <c r="BN741" s="412"/>
      <c r="BO741" s="412"/>
      <c r="BP741" s="412"/>
      <c r="BQ741" s="412"/>
      <c r="BR741" s="412"/>
      <c r="BZ741">
        <f t="shared" si="70"/>
        <v>1</v>
      </c>
    </row>
    <row r="742" spans="1:78" ht="15.6" hidden="1" customHeight="1">
      <c r="A742" s="35" t="str">
        <f t="shared" si="69"/>
        <v/>
      </c>
      <c r="C742" s="358" t="s">
        <v>24</v>
      </c>
      <c r="D742" s="358">
        <v>738</v>
      </c>
      <c r="E742" s="119"/>
      <c r="F742" s="119"/>
      <c r="G742" s="266"/>
      <c r="H742" s="119"/>
      <c r="I742" s="358"/>
      <c r="J742" s="359" t="str">
        <f>IFERROR(VLOOKUP($A742,#REF!,3,0),"")</f>
        <v/>
      </c>
      <c r="K742" s="359">
        <f>IFERROR(VLOOKUP($A742,#REF!,4,0),AF742)</f>
        <v>0</v>
      </c>
      <c r="L742" s="359" t="str">
        <f>IFERROR(VLOOKUP($A742,#REF!,5,0),"")</f>
        <v/>
      </c>
      <c r="M742" s="359" t="str">
        <f>IFERROR(VLOOKUP($A742,#REF!,7,0),"")</f>
        <v/>
      </c>
      <c r="N742" s="359"/>
      <c r="O742" s="359" t="str">
        <f>IFERROR(VLOOKUP($A742,#REF!,6,0),"")</f>
        <v/>
      </c>
      <c r="P742" s="359" t="str">
        <f>IFERROR(VLOOKUP($A742,#REF!,9,0),"")</f>
        <v/>
      </c>
      <c r="Q742" s="359" t="str">
        <f>IFERROR(VLOOKUP($A742,#REF!,10,0),"")</f>
        <v/>
      </c>
      <c r="R742" s="359" t="str">
        <f>IFERROR(VLOOKUP($A742,#REF!,11,0),"")</f>
        <v/>
      </c>
      <c r="S742" s="359" t="str">
        <f>IFERROR(VLOOKUP($A742,#REF!,13,0),"")</f>
        <v/>
      </c>
      <c r="T742" s="359" t="str">
        <f>IFERROR(VLOOKUP($A742,#REF!,14,0),"")</f>
        <v/>
      </c>
      <c r="U742" s="359" t="str">
        <f>IFERROR(VLOOKUP($A742,#REF!,15,0),"")</f>
        <v/>
      </c>
      <c r="V742" s="359" t="str">
        <f>IFERROR(VLOOKUP($A742,#REF!,16,0),"")</f>
        <v/>
      </c>
      <c r="W742" s="359" t="str">
        <f>IFERROR(VLOOKUP($A742,#REF!,17,0),"")</f>
        <v/>
      </c>
      <c r="X742" s="359" t="str">
        <f>IFERROR(VLOOKUP($A742,#REF!,18,0),"")</f>
        <v/>
      </c>
      <c r="Y742" s="359" t="str">
        <f>IFERROR(VLOOKUP($A742,#REF!,19,0),"")</f>
        <v/>
      </c>
      <c r="Z742" s="400" t="str">
        <f>IFERROR(VLOOKUP($A742,#REF!,21,0),"")</f>
        <v/>
      </c>
      <c r="AA742" s="358"/>
      <c r="AB742" s="358"/>
      <c r="AC742" s="119"/>
      <c r="AD742" s="119"/>
      <c r="AE742" s="119"/>
      <c r="AF742" s="277"/>
      <c r="AG742" s="119"/>
      <c r="AH742" s="358"/>
      <c r="AI742" s="358"/>
      <c r="AJ742" s="380"/>
      <c r="AK742" s="380"/>
      <c r="AL742" s="380"/>
      <c r="AM742" s="380"/>
      <c r="AN742" s="120"/>
      <c r="AO742" s="120"/>
      <c r="AP742" s="120"/>
      <c r="AQ742" s="313"/>
      <c r="AR742" s="119"/>
      <c r="AS742" s="22"/>
      <c r="AT742" s="22"/>
      <c r="AU742" s="22"/>
      <c r="AV742" s="22"/>
      <c r="AW742" s="82"/>
      <c r="AX742" s="82"/>
      <c r="AY742" s="82"/>
      <c r="AZ742" s="82"/>
      <c r="BA742" s="82"/>
      <c r="BB742" s="82"/>
      <c r="BC742" s="82"/>
      <c r="BD742" s="82"/>
      <c r="BE742" s="82"/>
      <c r="BF742" s="82"/>
      <c r="BG742" s="112"/>
      <c r="BH742" s="112"/>
      <c r="BI742" s="112"/>
      <c r="BJ742" s="112"/>
      <c r="BK742" s="82"/>
      <c r="BL742" s="82"/>
      <c r="BN742" s="412"/>
      <c r="BO742" s="412"/>
      <c r="BP742" s="412"/>
      <c r="BQ742" s="412"/>
      <c r="BR742" s="412"/>
      <c r="BZ742" t="str">
        <f t="shared" si="70"/>
        <v/>
      </c>
    </row>
    <row r="743" spans="1:78" ht="15.6" hidden="1" customHeight="1">
      <c r="A743" s="35" t="str">
        <f t="shared" si="69"/>
        <v/>
      </c>
      <c r="C743" s="358" t="s">
        <v>24</v>
      </c>
      <c r="D743" s="358">
        <v>739</v>
      </c>
      <c r="E743" s="119"/>
      <c r="F743" s="119"/>
      <c r="G743" s="266"/>
      <c r="H743" s="119"/>
      <c r="I743" s="358"/>
      <c r="J743" s="359" t="str">
        <f>IFERROR(VLOOKUP($A743,#REF!,3,0),"")</f>
        <v/>
      </c>
      <c r="K743" s="359">
        <f>IFERROR(VLOOKUP($A743,#REF!,4,0),AF743)</f>
        <v>0</v>
      </c>
      <c r="L743" s="359" t="str">
        <f>IFERROR(VLOOKUP($A743,#REF!,5,0),"")</f>
        <v/>
      </c>
      <c r="M743" s="359" t="str">
        <f>IFERROR(VLOOKUP($A743,#REF!,7,0),"")</f>
        <v/>
      </c>
      <c r="N743" s="359"/>
      <c r="O743" s="359" t="str">
        <f>IFERROR(VLOOKUP($A743,#REF!,6,0),"")</f>
        <v/>
      </c>
      <c r="P743" s="359" t="str">
        <f>IFERROR(VLOOKUP($A743,#REF!,9,0),"")</f>
        <v/>
      </c>
      <c r="Q743" s="359" t="str">
        <f>IFERROR(VLOOKUP($A743,#REF!,10,0),"")</f>
        <v/>
      </c>
      <c r="R743" s="359" t="str">
        <f>IFERROR(VLOOKUP($A743,#REF!,11,0),"")</f>
        <v/>
      </c>
      <c r="S743" s="359" t="str">
        <f>IFERROR(VLOOKUP($A743,#REF!,13,0),"")</f>
        <v/>
      </c>
      <c r="T743" s="359" t="str">
        <f>IFERROR(VLOOKUP($A743,#REF!,14,0),"")</f>
        <v/>
      </c>
      <c r="U743" s="359" t="str">
        <f>IFERROR(VLOOKUP($A743,#REF!,15,0),"")</f>
        <v/>
      </c>
      <c r="V743" s="359" t="str">
        <f>IFERROR(VLOOKUP($A743,#REF!,16,0),"")</f>
        <v/>
      </c>
      <c r="W743" s="359" t="str">
        <f>IFERROR(VLOOKUP($A743,#REF!,17,0),"")</f>
        <v/>
      </c>
      <c r="X743" s="359" t="str">
        <f>IFERROR(VLOOKUP($A743,#REF!,18,0),"")</f>
        <v/>
      </c>
      <c r="Y743" s="359" t="str">
        <f>IFERROR(VLOOKUP($A743,#REF!,19,0),"")</f>
        <v/>
      </c>
      <c r="Z743" s="400" t="str">
        <f>IFERROR(VLOOKUP($A743,#REF!,21,0),"")</f>
        <v/>
      </c>
      <c r="AA743" s="358"/>
      <c r="AB743" s="358"/>
      <c r="AC743" s="119"/>
      <c r="AD743" s="119"/>
      <c r="AE743" s="119"/>
      <c r="AF743" s="277"/>
      <c r="AG743" s="119"/>
      <c r="AH743" s="358"/>
      <c r="AI743" s="358"/>
      <c r="AJ743" s="380"/>
      <c r="AK743" s="380"/>
      <c r="AL743" s="380"/>
      <c r="AM743" s="380"/>
      <c r="AN743" s="120"/>
      <c r="AO743" s="120"/>
      <c r="AP743" s="120"/>
      <c r="AQ743" s="313"/>
      <c r="AR743" s="119"/>
      <c r="AS743" s="22"/>
      <c r="AT743" s="22"/>
      <c r="AU743" s="22"/>
      <c r="AV743" s="22"/>
      <c r="AW743" s="82"/>
      <c r="AX743" s="82"/>
      <c r="AY743" s="82"/>
      <c r="AZ743" s="82"/>
      <c r="BA743" s="82"/>
      <c r="BB743" s="82"/>
      <c r="BC743" s="82"/>
      <c r="BD743" s="82"/>
      <c r="BE743" s="82"/>
      <c r="BF743" s="82"/>
      <c r="BG743" s="112"/>
      <c r="BH743" s="112"/>
      <c r="BI743" s="112"/>
      <c r="BJ743" s="112"/>
      <c r="BK743" s="82"/>
      <c r="BL743" s="82"/>
      <c r="BN743" s="412"/>
      <c r="BO743" s="412"/>
      <c r="BP743" s="412"/>
      <c r="BQ743" s="412"/>
      <c r="BR743" s="412"/>
      <c r="BZ743" t="str">
        <f t="shared" si="70"/>
        <v/>
      </c>
    </row>
    <row r="744" spans="1:78" ht="15.6" hidden="1" customHeight="1">
      <c r="A744" s="35" t="str">
        <f t="shared" si="69"/>
        <v/>
      </c>
      <c r="C744" s="358" t="s">
        <v>24</v>
      </c>
      <c r="D744" s="358">
        <v>740</v>
      </c>
      <c r="E744" s="119"/>
      <c r="F744" s="119"/>
      <c r="G744" s="266"/>
      <c r="H744" s="119"/>
      <c r="I744" s="358"/>
      <c r="J744" s="359" t="str">
        <f>IFERROR(VLOOKUP($A744,#REF!,3,0),"")</f>
        <v/>
      </c>
      <c r="K744" s="359">
        <f>IFERROR(VLOOKUP($A744,#REF!,4,0),AF744)</f>
        <v>0</v>
      </c>
      <c r="L744" s="359" t="str">
        <f>IFERROR(VLOOKUP($A744,#REF!,5,0),"")</f>
        <v/>
      </c>
      <c r="M744" s="359" t="str">
        <f>IFERROR(VLOOKUP($A744,#REF!,7,0),"")</f>
        <v/>
      </c>
      <c r="N744" s="359"/>
      <c r="O744" s="359" t="str">
        <f>IFERROR(VLOOKUP($A744,#REF!,6,0),"")</f>
        <v/>
      </c>
      <c r="P744" s="359" t="str">
        <f>IFERROR(VLOOKUP($A744,#REF!,9,0),"")</f>
        <v/>
      </c>
      <c r="Q744" s="359" t="str">
        <f>IFERROR(VLOOKUP($A744,#REF!,10,0),"")</f>
        <v/>
      </c>
      <c r="R744" s="359" t="str">
        <f>IFERROR(VLOOKUP($A744,#REF!,11,0),"")</f>
        <v/>
      </c>
      <c r="S744" s="359" t="str">
        <f>IFERROR(VLOOKUP($A744,#REF!,13,0),"")</f>
        <v/>
      </c>
      <c r="T744" s="359" t="str">
        <f>IFERROR(VLOOKUP($A744,#REF!,14,0),"")</f>
        <v/>
      </c>
      <c r="U744" s="359" t="str">
        <f>IFERROR(VLOOKUP($A744,#REF!,15,0),"")</f>
        <v/>
      </c>
      <c r="V744" s="359" t="str">
        <f>IFERROR(VLOOKUP($A744,#REF!,16,0),"")</f>
        <v/>
      </c>
      <c r="W744" s="359" t="str">
        <f>IFERROR(VLOOKUP($A744,#REF!,17,0),"")</f>
        <v/>
      </c>
      <c r="X744" s="359" t="str">
        <f>IFERROR(VLOOKUP($A744,#REF!,18,0),"")</f>
        <v/>
      </c>
      <c r="Y744" s="359" t="str">
        <f>IFERROR(VLOOKUP($A744,#REF!,19,0),"")</f>
        <v/>
      </c>
      <c r="Z744" s="400" t="str">
        <f>IFERROR(VLOOKUP($A744,#REF!,21,0),"")</f>
        <v/>
      </c>
      <c r="AA744" s="358"/>
      <c r="AB744" s="358"/>
      <c r="AC744" s="119"/>
      <c r="AD744" s="119"/>
      <c r="AE744" s="119"/>
      <c r="AF744" s="277"/>
      <c r="AG744" s="119"/>
      <c r="AH744" s="358"/>
      <c r="AI744" s="358"/>
      <c r="AJ744" s="380"/>
      <c r="AK744" s="380"/>
      <c r="AL744" s="380"/>
      <c r="AM744" s="380"/>
      <c r="AN744" s="120"/>
      <c r="AO744" s="120"/>
      <c r="AP744" s="120"/>
      <c r="AQ744" s="313"/>
      <c r="AR744" s="119"/>
      <c r="AS744" s="22"/>
      <c r="AT744" s="22"/>
      <c r="AU744" s="22"/>
      <c r="AV744" s="22"/>
      <c r="AW744" s="82"/>
      <c r="AX744" s="82"/>
      <c r="AY744" s="82"/>
      <c r="AZ744" s="82"/>
      <c r="BA744" s="82"/>
      <c r="BB744" s="82"/>
      <c r="BC744" s="82"/>
      <c r="BD744" s="82"/>
      <c r="BE744" s="82"/>
      <c r="BF744" s="82"/>
      <c r="BG744" s="112"/>
      <c r="BH744" s="112"/>
      <c r="BI744" s="112"/>
      <c r="BJ744" s="112"/>
      <c r="BK744" s="82"/>
      <c r="BL744" s="82"/>
      <c r="BN744" s="412"/>
      <c r="BO744" s="412"/>
      <c r="BP744" s="412"/>
      <c r="BQ744" s="412"/>
      <c r="BR744" s="412"/>
      <c r="BZ744" t="str">
        <f t="shared" si="70"/>
        <v/>
      </c>
    </row>
    <row r="745" spans="1:78" ht="15.6" hidden="1" customHeight="1">
      <c r="A745" s="35" t="str">
        <f t="shared" si="69"/>
        <v/>
      </c>
      <c r="C745" s="358" t="s">
        <v>24</v>
      </c>
      <c r="D745" s="358">
        <v>741</v>
      </c>
      <c r="E745" s="119"/>
      <c r="F745" s="119"/>
      <c r="G745" s="266"/>
      <c r="H745" s="119"/>
      <c r="I745" s="358"/>
      <c r="J745" s="359" t="str">
        <f>IFERROR(VLOOKUP($A745,#REF!,3,0),"")</f>
        <v/>
      </c>
      <c r="K745" s="359">
        <f>IFERROR(VLOOKUP($A745,#REF!,4,0),AF745)</f>
        <v>0</v>
      </c>
      <c r="L745" s="359" t="str">
        <f>IFERROR(VLOOKUP($A745,#REF!,5,0),"")</f>
        <v/>
      </c>
      <c r="M745" s="359" t="str">
        <f>IFERROR(VLOOKUP($A745,#REF!,7,0),"")</f>
        <v/>
      </c>
      <c r="N745" s="359"/>
      <c r="O745" s="359" t="str">
        <f>IFERROR(VLOOKUP($A745,#REF!,6,0),"")</f>
        <v/>
      </c>
      <c r="P745" s="359" t="str">
        <f>IFERROR(VLOOKUP($A745,#REF!,9,0),"")</f>
        <v/>
      </c>
      <c r="Q745" s="359" t="str">
        <f>IFERROR(VLOOKUP($A745,#REF!,10,0),"")</f>
        <v/>
      </c>
      <c r="R745" s="359" t="str">
        <f>IFERROR(VLOOKUP($A745,#REF!,11,0),"")</f>
        <v/>
      </c>
      <c r="S745" s="359" t="str">
        <f>IFERROR(VLOOKUP($A745,#REF!,13,0),"")</f>
        <v/>
      </c>
      <c r="T745" s="359" t="str">
        <f>IFERROR(VLOOKUP($A745,#REF!,14,0),"")</f>
        <v/>
      </c>
      <c r="U745" s="359" t="str">
        <f>IFERROR(VLOOKUP($A745,#REF!,15,0),"")</f>
        <v/>
      </c>
      <c r="V745" s="359" t="str">
        <f>IFERROR(VLOOKUP($A745,#REF!,16,0),"")</f>
        <v/>
      </c>
      <c r="W745" s="359" t="str">
        <f>IFERROR(VLOOKUP($A745,#REF!,17,0),"")</f>
        <v/>
      </c>
      <c r="X745" s="359" t="str">
        <f>IFERROR(VLOOKUP($A745,#REF!,18,0),"")</f>
        <v/>
      </c>
      <c r="Y745" s="359" t="str">
        <f>IFERROR(VLOOKUP($A745,#REF!,19,0),"")</f>
        <v/>
      </c>
      <c r="Z745" s="400" t="str">
        <f>IFERROR(VLOOKUP($A745,#REF!,21,0),"")</f>
        <v/>
      </c>
      <c r="AA745" s="358"/>
      <c r="AB745" s="358"/>
      <c r="AC745" s="119"/>
      <c r="AD745" s="119"/>
      <c r="AE745" s="119"/>
      <c r="AF745" s="277"/>
      <c r="AG745" s="119"/>
      <c r="AH745" s="358"/>
      <c r="AI745" s="358"/>
      <c r="AJ745" s="380"/>
      <c r="AK745" s="380"/>
      <c r="AL745" s="380"/>
      <c r="AM745" s="380"/>
      <c r="AN745" s="120"/>
      <c r="AO745" s="120"/>
      <c r="AP745" s="120"/>
      <c r="AQ745" s="313"/>
      <c r="AR745" s="119"/>
      <c r="AS745" s="22"/>
      <c r="AT745" s="22"/>
      <c r="AU745" s="22"/>
      <c r="AV745" s="22"/>
      <c r="AW745" s="82"/>
      <c r="AX745" s="82"/>
      <c r="AY745" s="82"/>
      <c r="AZ745" s="82"/>
      <c r="BA745" s="82"/>
      <c r="BB745" s="82"/>
      <c r="BC745" s="82"/>
      <c r="BD745" s="82"/>
      <c r="BE745" s="82"/>
      <c r="BF745" s="82"/>
      <c r="BG745" s="112"/>
      <c r="BH745" s="112"/>
      <c r="BI745" s="112"/>
      <c r="BJ745" s="112"/>
      <c r="BK745" s="82"/>
      <c r="BL745" s="82"/>
      <c r="BN745" s="412"/>
      <c r="BO745" s="412"/>
      <c r="BP745" s="412"/>
      <c r="BQ745" s="412"/>
      <c r="BR745" s="412"/>
      <c r="BZ745" t="str">
        <f t="shared" si="70"/>
        <v/>
      </c>
    </row>
    <row r="746" spans="1:78" ht="15.6" hidden="1" customHeight="1">
      <c r="A746" s="35" t="str">
        <f t="shared" si="69"/>
        <v/>
      </c>
      <c r="C746" s="358" t="s">
        <v>24</v>
      </c>
      <c r="D746" s="358">
        <v>742</v>
      </c>
      <c r="E746" s="119"/>
      <c r="F746" s="119"/>
      <c r="G746" s="266"/>
      <c r="H746" s="119"/>
      <c r="I746" s="358"/>
      <c r="J746" s="359" t="str">
        <f>IFERROR(VLOOKUP($A746,#REF!,3,0),"")</f>
        <v/>
      </c>
      <c r="K746" s="359">
        <f>IFERROR(VLOOKUP($A746,#REF!,4,0),AF746)</f>
        <v>0</v>
      </c>
      <c r="L746" s="359" t="str">
        <f>IFERROR(VLOOKUP($A746,#REF!,5,0),"")</f>
        <v/>
      </c>
      <c r="M746" s="359" t="str">
        <f>IFERROR(VLOOKUP($A746,#REF!,7,0),"")</f>
        <v/>
      </c>
      <c r="N746" s="359"/>
      <c r="O746" s="359" t="str">
        <f>IFERROR(VLOOKUP($A746,#REF!,6,0),"")</f>
        <v/>
      </c>
      <c r="P746" s="359" t="str">
        <f>IFERROR(VLOOKUP($A746,#REF!,9,0),"")</f>
        <v/>
      </c>
      <c r="Q746" s="359" t="str">
        <f>IFERROR(VLOOKUP($A746,#REF!,10,0),"")</f>
        <v/>
      </c>
      <c r="R746" s="359" t="str">
        <f>IFERROR(VLOOKUP($A746,#REF!,11,0),"")</f>
        <v/>
      </c>
      <c r="S746" s="359" t="str">
        <f>IFERROR(VLOOKUP($A746,#REF!,13,0),"")</f>
        <v/>
      </c>
      <c r="T746" s="359" t="str">
        <f>IFERROR(VLOOKUP($A746,#REF!,14,0),"")</f>
        <v/>
      </c>
      <c r="U746" s="359" t="str">
        <f>IFERROR(VLOOKUP($A746,#REF!,15,0),"")</f>
        <v/>
      </c>
      <c r="V746" s="359" t="str">
        <f>IFERROR(VLOOKUP($A746,#REF!,16,0),"")</f>
        <v/>
      </c>
      <c r="W746" s="359" t="str">
        <f>IFERROR(VLOOKUP($A746,#REF!,17,0),"")</f>
        <v/>
      </c>
      <c r="X746" s="359" t="str">
        <f>IFERROR(VLOOKUP($A746,#REF!,18,0),"")</f>
        <v/>
      </c>
      <c r="Y746" s="359" t="str">
        <f>IFERROR(VLOOKUP($A746,#REF!,19,0),"")</f>
        <v/>
      </c>
      <c r="Z746" s="400" t="str">
        <f>IFERROR(VLOOKUP($A746,#REF!,21,0),"")</f>
        <v/>
      </c>
      <c r="AA746" s="358"/>
      <c r="AB746" s="358"/>
      <c r="AC746" s="119"/>
      <c r="AD746" s="119"/>
      <c r="AE746" s="119"/>
      <c r="AF746" s="277"/>
      <c r="AG746" s="119"/>
      <c r="AH746" s="358"/>
      <c r="AI746" s="358"/>
      <c r="AJ746" s="380"/>
      <c r="AK746" s="380"/>
      <c r="AL746" s="380"/>
      <c r="AM746" s="380"/>
      <c r="AN746" s="120"/>
      <c r="AO746" s="120"/>
      <c r="AP746" s="120"/>
      <c r="AQ746" s="313"/>
      <c r="AR746" s="119"/>
      <c r="AS746" s="22"/>
      <c r="AT746" s="22"/>
      <c r="AU746" s="22"/>
      <c r="AV746" s="22"/>
      <c r="AW746" s="82"/>
      <c r="AX746" s="82"/>
      <c r="AY746" s="82"/>
      <c r="AZ746" s="82"/>
      <c r="BA746" s="82"/>
      <c r="BB746" s="82"/>
      <c r="BC746" s="82"/>
      <c r="BD746" s="82"/>
      <c r="BE746" s="82"/>
      <c r="BF746" s="82"/>
      <c r="BG746" s="112"/>
      <c r="BH746" s="112"/>
      <c r="BI746" s="112"/>
      <c r="BJ746" s="112"/>
      <c r="BK746" s="82"/>
      <c r="BL746" s="82"/>
      <c r="BN746" s="412"/>
      <c r="BO746" s="412"/>
      <c r="BP746" s="412"/>
      <c r="BQ746" s="412"/>
      <c r="BR746" s="412"/>
      <c r="BZ746" t="str">
        <f t="shared" si="70"/>
        <v/>
      </c>
    </row>
    <row r="747" spans="1:78" ht="15.6" hidden="1" customHeight="1">
      <c r="A747" s="35" t="str">
        <f t="shared" si="69"/>
        <v/>
      </c>
      <c r="C747" s="358" t="s">
        <v>24</v>
      </c>
      <c r="D747" s="358">
        <v>743</v>
      </c>
      <c r="E747" s="119"/>
      <c r="F747" s="119"/>
      <c r="G747" s="266"/>
      <c r="H747" s="119"/>
      <c r="I747" s="358"/>
      <c r="J747" s="359" t="str">
        <f>IFERROR(VLOOKUP($A747,#REF!,3,0),"")</f>
        <v/>
      </c>
      <c r="K747" s="359">
        <f>IFERROR(VLOOKUP($A747,#REF!,4,0),AF747)</f>
        <v>0</v>
      </c>
      <c r="L747" s="359" t="str">
        <f>IFERROR(VLOOKUP($A747,#REF!,5,0),"")</f>
        <v/>
      </c>
      <c r="M747" s="359" t="str">
        <f>IFERROR(VLOOKUP($A747,#REF!,7,0),"")</f>
        <v/>
      </c>
      <c r="N747" s="359"/>
      <c r="O747" s="359" t="str">
        <f>IFERROR(VLOOKUP($A747,#REF!,6,0),"")</f>
        <v/>
      </c>
      <c r="P747" s="359" t="str">
        <f>IFERROR(VLOOKUP($A747,#REF!,9,0),"")</f>
        <v/>
      </c>
      <c r="Q747" s="359" t="str">
        <f>IFERROR(VLOOKUP($A747,#REF!,10,0),"")</f>
        <v/>
      </c>
      <c r="R747" s="359" t="str">
        <f>IFERROR(VLOOKUP($A747,#REF!,11,0),"")</f>
        <v/>
      </c>
      <c r="S747" s="359" t="str">
        <f>IFERROR(VLOOKUP($A747,#REF!,13,0),"")</f>
        <v/>
      </c>
      <c r="T747" s="359" t="str">
        <f>IFERROR(VLOOKUP($A747,#REF!,14,0),"")</f>
        <v/>
      </c>
      <c r="U747" s="359" t="str">
        <f>IFERROR(VLOOKUP($A747,#REF!,15,0),"")</f>
        <v/>
      </c>
      <c r="V747" s="359" t="str">
        <f>IFERROR(VLOOKUP($A747,#REF!,16,0),"")</f>
        <v/>
      </c>
      <c r="W747" s="359" t="str">
        <f>IFERROR(VLOOKUP($A747,#REF!,17,0),"")</f>
        <v/>
      </c>
      <c r="X747" s="359" t="str">
        <f>IFERROR(VLOOKUP($A747,#REF!,18,0),"")</f>
        <v/>
      </c>
      <c r="Y747" s="359" t="str">
        <f>IFERROR(VLOOKUP($A747,#REF!,19,0),"")</f>
        <v/>
      </c>
      <c r="Z747" s="400" t="str">
        <f>IFERROR(VLOOKUP($A747,#REF!,21,0),"")</f>
        <v/>
      </c>
      <c r="AA747" s="358"/>
      <c r="AB747" s="358"/>
      <c r="AC747" s="119"/>
      <c r="AD747" s="119"/>
      <c r="AE747" s="119"/>
      <c r="AF747" s="277"/>
      <c r="AG747" s="119"/>
      <c r="AH747" s="358"/>
      <c r="AI747" s="358"/>
      <c r="AJ747" s="380"/>
      <c r="AK747" s="380"/>
      <c r="AL747" s="380"/>
      <c r="AM747" s="380"/>
      <c r="AN747" s="120"/>
      <c r="AO747" s="120"/>
      <c r="AP747" s="120"/>
      <c r="AQ747" s="313"/>
      <c r="AR747" s="119"/>
      <c r="AS747" s="22"/>
      <c r="AT747" s="22"/>
      <c r="AU747" s="22"/>
      <c r="AV747" s="22"/>
      <c r="AW747" s="82"/>
      <c r="AX747" s="82"/>
      <c r="AY747" s="82"/>
      <c r="AZ747" s="82"/>
      <c r="BA747" s="82"/>
      <c r="BB747" s="82"/>
      <c r="BC747" s="82"/>
      <c r="BD747" s="82"/>
      <c r="BE747" s="82"/>
      <c r="BF747" s="82"/>
      <c r="BG747" s="112"/>
      <c r="BH747" s="112"/>
      <c r="BI747" s="112"/>
      <c r="BJ747" s="112"/>
      <c r="BK747" s="82"/>
      <c r="BL747" s="82"/>
      <c r="BN747" s="412"/>
      <c r="BO747" s="412"/>
      <c r="BP747" s="412"/>
      <c r="BQ747" s="412"/>
      <c r="BR747" s="412"/>
      <c r="BZ747" t="str">
        <f t="shared" si="70"/>
        <v/>
      </c>
    </row>
    <row r="748" spans="1:78" ht="15.6" hidden="1" customHeight="1">
      <c r="A748" s="35" t="str">
        <f t="shared" si="69"/>
        <v/>
      </c>
      <c r="C748" s="358" t="s">
        <v>24</v>
      </c>
      <c r="D748" s="358">
        <v>744</v>
      </c>
      <c r="E748" s="119"/>
      <c r="F748" s="119"/>
      <c r="G748" s="266"/>
      <c r="H748" s="119"/>
      <c r="I748" s="358"/>
      <c r="J748" s="359" t="str">
        <f>IFERROR(VLOOKUP($A748,#REF!,3,0),"")</f>
        <v/>
      </c>
      <c r="K748" s="359">
        <f>IFERROR(VLOOKUP($A748,#REF!,4,0),AF748)</f>
        <v>0</v>
      </c>
      <c r="L748" s="359" t="str">
        <f>IFERROR(VLOOKUP($A748,#REF!,5,0),"")</f>
        <v/>
      </c>
      <c r="M748" s="359" t="str">
        <f>IFERROR(VLOOKUP($A748,#REF!,7,0),"")</f>
        <v/>
      </c>
      <c r="N748" s="359"/>
      <c r="O748" s="359" t="str">
        <f>IFERROR(VLOOKUP($A748,#REF!,6,0),"")</f>
        <v/>
      </c>
      <c r="P748" s="359" t="str">
        <f>IFERROR(VLOOKUP($A748,#REF!,9,0),"")</f>
        <v/>
      </c>
      <c r="Q748" s="359" t="str">
        <f>IFERROR(VLOOKUP($A748,#REF!,10,0),"")</f>
        <v/>
      </c>
      <c r="R748" s="359" t="str">
        <f>IFERROR(VLOOKUP($A748,#REF!,11,0),"")</f>
        <v/>
      </c>
      <c r="S748" s="359" t="str">
        <f>IFERROR(VLOOKUP($A748,#REF!,13,0),"")</f>
        <v/>
      </c>
      <c r="T748" s="359" t="str">
        <f>IFERROR(VLOOKUP($A748,#REF!,14,0),"")</f>
        <v/>
      </c>
      <c r="U748" s="359" t="str">
        <f>IFERROR(VLOOKUP($A748,#REF!,15,0),"")</f>
        <v/>
      </c>
      <c r="V748" s="359" t="str">
        <f>IFERROR(VLOOKUP($A748,#REF!,16,0),"")</f>
        <v/>
      </c>
      <c r="W748" s="359" t="str">
        <f>IFERROR(VLOOKUP($A748,#REF!,17,0),"")</f>
        <v/>
      </c>
      <c r="X748" s="359" t="str">
        <f>IFERROR(VLOOKUP($A748,#REF!,18,0),"")</f>
        <v/>
      </c>
      <c r="Y748" s="359" t="str">
        <f>IFERROR(VLOOKUP($A748,#REF!,19,0),"")</f>
        <v/>
      </c>
      <c r="Z748" s="400" t="str">
        <f>IFERROR(VLOOKUP($A748,#REF!,21,0),"")</f>
        <v/>
      </c>
      <c r="AA748" s="358"/>
      <c r="AB748" s="358"/>
      <c r="AC748" s="119"/>
      <c r="AD748" s="119"/>
      <c r="AE748" s="119"/>
      <c r="AF748" s="277"/>
      <c r="AG748" s="119"/>
      <c r="AH748" s="358"/>
      <c r="AI748" s="358"/>
      <c r="AJ748" s="380"/>
      <c r="AK748" s="380"/>
      <c r="AL748" s="380"/>
      <c r="AM748" s="380"/>
      <c r="AN748" s="120"/>
      <c r="AO748" s="120"/>
      <c r="AP748" s="120"/>
      <c r="AQ748" s="313"/>
      <c r="AR748" s="119"/>
      <c r="AS748" s="22"/>
      <c r="AT748" s="22"/>
      <c r="AU748" s="22"/>
      <c r="AV748" s="22"/>
      <c r="AW748" s="82"/>
      <c r="AX748" s="82"/>
      <c r="AY748" s="82"/>
      <c r="AZ748" s="82"/>
      <c r="BA748" s="82"/>
      <c r="BB748" s="82"/>
      <c r="BC748" s="82"/>
      <c r="BD748" s="82"/>
      <c r="BE748" s="82"/>
      <c r="BF748" s="82"/>
      <c r="BG748" s="112"/>
      <c r="BH748" s="112"/>
      <c r="BI748" s="112"/>
      <c r="BJ748" s="112"/>
      <c r="BK748" s="82"/>
      <c r="BL748" s="82"/>
      <c r="BN748" s="412"/>
      <c r="BO748" s="412"/>
      <c r="BP748" s="412"/>
      <c r="BQ748" s="412"/>
      <c r="BR748" s="412"/>
      <c r="BZ748" t="str">
        <f t="shared" si="70"/>
        <v/>
      </c>
    </row>
    <row r="749" spans="1:78" ht="15.6" hidden="1" customHeight="1">
      <c r="A749" s="35" t="str">
        <f t="shared" si="69"/>
        <v/>
      </c>
      <c r="C749" s="358" t="s">
        <v>24</v>
      </c>
      <c r="D749" s="358">
        <v>745</v>
      </c>
      <c r="E749" s="119"/>
      <c r="F749" s="119"/>
      <c r="G749" s="266"/>
      <c r="H749" s="119"/>
      <c r="I749" s="358"/>
      <c r="J749" s="359" t="str">
        <f>IFERROR(VLOOKUP($A749,#REF!,3,0),"")</f>
        <v/>
      </c>
      <c r="K749" s="359">
        <f>IFERROR(VLOOKUP($A749,#REF!,4,0),AF749)</f>
        <v>0</v>
      </c>
      <c r="L749" s="359" t="str">
        <f>IFERROR(VLOOKUP($A749,#REF!,5,0),"")</f>
        <v/>
      </c>
      <c r="M749" s="359" t="str">
        <f>IFERROR(VLOOKUP($A749,#REF!,7,0),"")</f>
        <v/>
      </c>
      <c r="N749" s="359"/>
      <c r="O749" s="359" t="str">
        <f>IFERROR(VLOOKUP($A749,#REF!,6,0),"")</f>
        <v/>
      </c>
      <c r="P749" s="359" t="str">
        <f>IFERROR(VLOOKUP($A749,#REF!,9,0),"")</f>
        <v/>
      </c>
      <c r="Q749" s="359" t="str">
        <f>IFERROR(VLOOKUP($A749,#REF!,10,0),"")</f>
        <v/>
      </c>
      <c r="R749" s="359" t="str">
        <f>IFERROR(VLOOKUP($A749,#REF!,11,0),"")</f>
        <v/>
      </c>
      <c r="S749" s="359" t="str">
        <f>IFERROR(VLOOKUP($A749,#REF!,13,0),"")</f>
        <v/>
      </c>
      <c r="T749" s="359" t="str">
        <f>IFERROR(VLOOKUP($A749,#REF!,14,0),"")</f>
        <v/>
      </c>
      <c r="U749" s="359" t="str">
        <f>IFERROR(VLOOKUP($A749,#REF!,15,0),"")</f>
        <v/>
      </c>
      <c r="V749" s="359" t="str">
        <f>IFERROR(VLOOKUP($A749,#REF!,16,0),"")</f>
        <v/>
      </c>
      <c r="W749" s="359" t="str">
        <f>IFERROR(VLOOKUP($A749,#REF!,17,0),"")</f>
        <v/>
      </c>
      <c r="X749" s="359" t="str">
        <f>IFERROR(VLOOKUP($A749,#REF!,18,0),"")</f>
        <v/>
      </c>
      <c r="Y749" s="359" t="str">
        <f>IFERROR(VLOOKUP($A749,#REF!,19,0),"")</f>
        <v/>
      </c>
      <c r="Z749" s="400" t="str">
        <f>IFERROR(VLOOKUP($A749,#REF!,21,0),"")</f>
        <v/>
      </c>
      <c r="AA749" s="358"/>
      <c r="AB749" s="358"/>
      <c r="AC749" s="119"/>
      <c r="AD749" s="119"/>
      <c r="AE749" s="119"/>
      <c r="AF749" s="277"/>
      <c r="AG749" s="119"/>
      <c r="AH749" s="358"/>
      <c r="AI749" s="358"/>
      <c r="AJ749" s="380"/>
      <c r="AK749" s="380"/>
      <c r="AL749" s="380"/>
      <c r="AM749" s="380"/>
      <c r="AN749" s="120"/>
      <c r="AO749" s="120"/>
      <c r="AP749" s="120"/>
      <c r="AQ749" s="313"/>
      <c r="AR749" s="119"/>
      <c r="AS749" s="22"/>
      <c r="AT749" s="22"/>
      <c r="AU749" s="22"/>
      <c r="AV749" s="22"/>
      <c r="AW749" s="82"/>
      <c r="AX749" s="82"/>
      <c r="AY749" s="82"/>
      <c r="AZ749" s="82"/>
      <c r="BA749" s="82"/>
      <c r="BB749" s="82"/>
      <c r="BC749" s="82"/>
      <c r="BD749" s="82"/>
      <c r="BE749" s="82"/>
      <c r="BF749" s="82"/>
      <c r="BG749" s="112"/>
      <c r="BH749" s="112"/>
      <c r="BI749" s="112"/>
      <c r="BJ749" s="112"/>
      <c r="BK749" s="82"/>
      <c r="BL749" s="82"/>
      <c r="BN749" s="412"/>
      <c r="BO749" s="412"/>
      <c r="BP749" s="412"/>
      <c r="BQ749" s="412"/>
      <c r="BR749" s="412"/>
      <c r="BZ749" t="str">
        <f t="shared" si="70"/>
        <v/>
      </c>
    </row>
    <row r="750" spans="1:78" ht="15.6" hidden="1" customHeight="1">
      <c r="A750" s="35" t="str">
        <f t="shared" si="69"/>
        <v/>
      </c>
      <c r="C750" s="358" t="s">
        <v>24</v>
      </c>
      <c r="D750" s="358">
        <v>746</v>
      </c>
      <c r="E750" s="119"/>
      <c r="F750" s="119"/>
      <c r="G750" s="266"/>
      <c r="H750" s="119"/>
      <c r="I750" s="358"/>
      <c r="J750" s="359" t="str">
        <f>IFERROR(VLOOKUP($A750,#REF!,3,0),"")</f>
        <v/>
      </c>
      <c r="K750" s="359">
        <f>IFERROR(VLOOKUP($A750,#REF!,4,0),AF750)</f>
        <v>0</v>
      </c>
      <c r="L750" s="359" t="str">
        <f>IFERROR(VLOOKUP($A750,#REF!,5,0),"")</f>
        <v/>
      </c>
      <c r="M750" s="359" t="str">
        <f>IFERROR(VLOOKUP($A750,#REF!,7,0),"")</f>
        <v/>
      </c>
      <c r="N750" s="359"/>
      <c r="O750" s="359" t="str">
        <f>IFERROR(VLOOKUP($A750,#REF!,6,0),"")</f>
        <v/>
      </c>
      <c r="P750" s="359" t="str">
        <f>IFERROR(VLOOKUP($A750,#REF!,9,0),"")</f>
        <v/>
      </c>
      <c r="Q750" s="359" t="str">
        <f>IFERROR(VLOOKUP($A750,#REF!,10,0),"")</f>
        <v/>
      </c>
      <c r="R750" s="359" t="str">
        <f>IFERROR(VLOOKUP($A750,#REF!,11,0),"")</f>
        <v/>
      </c>
      <c r="S750" s="359" t="str">
        <f>IFERROR(VLOOKUP($A750,#REF!,13,0),"")</f>
        <v/>
      </c>
      <c r="T750" s="359" t="str">
        <f>IFERROR(VLOOKUP($A750,#REF!,14,0),"")</f>
        <v/>
      </c>
      <c r="U750" s="359" t="str">
        <f>IFERROR(VLOOKUP($A750,#REF!,15,0),"")</f>
        <v/>
      </c>
      <c r="V750" s="359" t="str">
        <f>IFERROR(VLOOKUP($A750,#REF!,16,0),"")</f>
        <v/>
      </c>
      <c r="W750" s="359" t="str">
        <f>IFERROR(VLOOKUP($A750,#REF!,17,0),"")</f>
        <v/>
      </c>
      <c r="X750" s="359" t="str">
        <f>IFERROR(VLOOKUP($A750,#REF!,18,0),"")</f>
        <v/>
      </c>
      <c r="Y750" s="359" t="str">
        <f>IFERROR(VLOOKUP($A750,#REF!,19,0),"")</f>
        <v/>
      </c>
      <c r="Z750" s="400" t="str">
        <f>IFERROR(VLOOKUP($A750,#REF!,21,0),"")</f>
        <v/>
      </c>
      <c r="AA750" s="358"/>
      <c r="AB750" s="358"/>
      <c r="AC750" s="119"/>
      <c r="AD750" s="119"/>
      <c r="AE750" s="119"/>
      <c r="AF750" s="277"/>
      <c r="AG750" s="119"/>
      <c r="AH750" s="358"/>
      <c r="AI750" s="358"/>
      <c r="AJ750" s="380"/>
      <c r="AK750" s="380"/>
      <c r="AL750" s="380"/>
      <c r="AM750" s="380"/>
      <c r="AN750" s="120"/>
      <c r="AO750" s="120"/>
      <c r="AP750" s="120"/>
      <c r="AQ750" s="313"/>
      <c r="AR750" s="119"/>
      <c r="AS750" s="22"/>
      <c r="AT750" s="22"/>
      <c r="AU750" s="22"/>
      <c r="AV750" s="22"/>
      <c r="AW750" s="82"/>
      <c r="AX750" s="82"/>
      <c r="AY750" s="82"/>
      <c r="AZ750" s="82"/>
      <c r="BA750" s="82"/>
      <c r="BB750" s="82"/>
      <c r="BC750" s="82"/>
      <c r="BD750" s="82"/>
      <c r="BE750" s="82"/>
      <c r="BF750" s="82"/>
      <c r="BG750" s="112"/>
      <c r="BH750" s="112"/>
      <c r="BI750" s="112"/>
      <c r="BJ750" s="112"/>
      <c r="BK750" s="82"/>
      <c r="BL750" s="82"/>
      <c r="BN750" s="412"/>
      <c r="BO750" s="412"/>
      <c r="BP750" s="412"/>
      <c r="BQ750" s="412"/>
      <c r="BR750" s="412"/>
      <c r="BZ750" t="str">
        <f t="shared" si="70"/>
        <v/>
      </c>
    </row>
    <row r="751" spans="1:78" ht="15.6" hidden="1" customHeight="1">
      <c r="A751" s="35" t="str">
        <f t="shared" si="69"/>
        <v/>
      </c>
      <c r="C751" s="358" t="s">
        <v>24</v>
      </c>
      <c r="D751" s="358">
        <v>747</v>
      </c>
      <c r="E751" s="119"/>
      <c r="F751" s="119"/>
      <c r="G751" s="266"/>
      <c r="H751" s="119"/>
      <c r="I751" s="358"/>
      <c r="J751" s="359" t="str">
        <f>IFERROR(VLOOKUP($A751,#REF!,3,0),"")</f>
        <v/>
      </c>
      <c r="K751" s="359">
        <f>IFERROR(VLOOKUP($A751,#REF!,4,0),AF751)</f>
        <v>0</v>
      </c>
      <c r="L751" s="359" t="str">
        <f>IFERROR(VLOOKUP($A751,#REF!,5,0),"")</f>
        <v/>
      </c>
      <c r="M751" s="359" t="str">
        <f>IFERROR(VLOOKUP($A751,#REF!,7,0),"")</f>
        <v/>
      </c>
      <c r="N751" s="359"/>
      <c r="O751" s="359" t="str">
        <f>IFERROR(VLOOKUP($A751,#REF!,6,0),"")</f>
        <v/>
      </c>
      <c r="P751" s="359" t="str">
        <f>IFERROR(VLOOKUP($A751,#REF!,9,0),"")</f>
        <v/>
      </c>
      <c r="Q751" s="359" t="str">
        <f>IFERROR(VLOOKUP($A751,#REF!,10,0),"")</f>
        <v/>
      </c>
      <c r="R751" s="359" t="str">
        <f>IFERROR(VLOOKUP($A751,#REF!,11,0),"")</f>
        <v/>
      </c>
      <c r="S751" s="359" t="str">
        <f>IFERROR(VLOOKUP($A751,#REF!,13,0),"")</f>
        <v/>
      </c>
      <c r="T751" s="359" t="str">
        <f>IFERROR(VLOOKUP($A751,#REF!,14,0),"")</f>
        <v/>
      </c>
      <c r="U751" s="359" t="str">
        <f>IFERROR(VLOOKUP($A751,#REF!,15,0),"")</f>
        <v/>
      </c>
      <c r="V751" s="359" t="str">
        <f>IFERROR(VLOOKUP($A751,#REF!,16,0),"")</f>
        <v/>
      </c>
      <c r="W751" s="359" t="str">
        <f>IFERROR(VLOOKUP($A751,#REF!,17,0),"")</f>
        <v/>
      </c>
      <c r="X751" s="359" t="str">
        <f>IFERROR(VLOOKUP($A751,#REF!,18,0),"")</f>
        <v/>
      </c>
      <c r="Y751" s="359" t="str">
        <f>IFERROR(VLOOKUP($A751,#REF!,19,0),"")</f>
        <v/>
      </c>
      <c r="Z751" s="400" t="str">
        <f>IFERROR(VLOOKUP($A751,#REF!,21,0),"")</f>
        <v/>
      </c>
      <c r="AA751" s="358"/>
      <c r="AB751" s="358"/>
      <c r="AC751" s="119"/>
      <c r="AD751" s="119"/>
      <c r="AE751" s="119"/>
      <c r="AF751" s="277"/>
      <c r="AG751" s="119"/>
      <c r="AH751" s="358"/>
      <c r="AI751" s="358"/>
      <c r="AJ751" s="380"/>
      <c r="AK751" s="380"/>
      <c r="AL751" s="380"/>
      <c r="AM751" s="380"/>
      <c r="AN751" s="120"/>
      <c r="AO751" s="120"/>
      <c r="AP751" s="120"/>
      <c r="AQ751" s="313"/>
      <c r="AR751" s="119"/>
      <c r="AS751" s="22"/>
      <c r="AT751" s="22"/>
      <c r="AU751" s="22"/>
      <c r="AV751" s="22"/>
      <c r="AW751" s="82"/>
      <c r="AX751" s="82"/>
      <c r="AY751" s="82"/>
      <c r="AZ751" s="82"/>
      <c r="BA751" s="82"/>
      <c r="BB751" s="82"/>
      <c r="BC751" s="82"/>
      <c r="BD751" s="82"/>
      <c r="BE751" s="82"/>
      <c r="BF751" s="82"/>
      <c r="BG751" s="112"/>
      <c r="BH751" s="112"/>
      <c r="BI751" s="112"/>
      <c r="BJ751" s="112"/>
      <c r="BK751" s="82"/>
      <c r="BL751" s="82"/>
      <c r="BN751" s="412"/>
      <c r="BO751" s="412"/>
      <c r="BP751" s="412"/>
      <c r="BQ751" s="412"/>
      <c r="BR751" s="412"/>
      <c r="BZ751" t="str">
        <f t="shared" si="70"/>
        <v/>
      </c>
    </row>
    <row r="752" spans="1:78" ht="15.6" hidden="1" customHeight="1">
      <c r="A752" s="35" t="str">
        <f t="shared" si="69"/>
        <v/>
      </c>
      <c r="C752" s="358" t="s">
        <v>24</v>
      </c>
      <c r="D752" s="358">
        <v>748</v>
      </c>
      <c r="E752" s="119"/>
      <c r="F752" s="119"/>
      <c r="G752" s="266"/>
      <c r="H752" s="119"/>
      <c r="I752" s="358"/>
      <c r="J752" s="359" t="str">
        <f>IFERROR(VLOOKUP($A752,#REF!,3,0),"")</f>
        <v/>
      </c>
      <c r="K752" s="359">
        <f>IFERROR(VLOOKUP($A752,#REF!,4,0),AF752)</f>
        <v>0</v>
      </c>
      <c r="L752" s="359" t="str">
        <f>IFERROR(VLOOKUP($A752,#REF!,5,0),"")</f>
        <v/>
      </c>
      <c r="M752" s="359" t="str">
        <f>IFERROR(VLOOKUP($A752,#REF!,7,0),"")</f>
        <v/>
      </c>
      <c r="N752" s="359"/>
      <c r="O752" s="359" t="str">
        <f>IFERROR(VLOOKUP($A752,#REF!,6,0),"")</f>
        <v/>
      </c>
      <c r="P752" s="359" t="str">
        <f>IFERROR(VLOOKUP($A752,#REF!,9,0),"")</f>
        <v/>
      </c>
      <c r="Q752" s="359" t="str">
        <f>IFERROR(VLOOKUP($A752,#REF!,10,0),"")</f>
        <v/>
      </c>
      <c r="R752" s="359" t="str">
        <f>IFERROR(VLOOKUP($A752,#REF!,11,0),"")</f>
        <v/>
      </c>
      <c r="S752" s="359" t="str">
        <f>IFERROR(VLOOKUP($A752,#REF!,13,0),"")</f>
        <v/>
      </c>
      <c r="T752" s="359" t="str">
        <f>IFERROR(VLOOKUP($A752,#REF!,14,0),"")</f>
        <v/>
      </c>
      <c r="U752" s="359" t="str">
        <f>IFERROR(VLOOKUP($A752,#REF!,15,0),"")</f>
        <v/>
      </c>
      <c r="V752" s="359" t="str">
        <f>IFERROR(VLOOKUP($A752,#REF!,16,0),"")</f>
        <v/>
      </c>
      <c r="W752" s="359" t="str">
        <f>IFERROR(VLOOKUP($A752,#REF!,17,0),"")</f>
        <v/>
      </c>
      <c r="X752" s="359" t="str">
        <f>IFERROR(VLOOKUP($A752,#REF!,18,0),"")</f>
        <v/>
      </c>
      <c r="Y752" s="359" t="str">
        <f>IFERROR(VLOOKUP($A752,#REF!,19,0),"")</f>
        <v/>
      </c>
      <c r="Z752" s="400" t="str">
        <f>IFERROR(VLOOKUP($A752,#REF!,21,0),"")</f>
        <v/>
      </c>
      <c r="AA752" s="358"/>
      <c r="AB752" s="358"/>
      <c r="AC752" s="119"/>
      <c r="AD752" s="119"/>
      <c r="AE752" s="119"/>
      <c r="AF752" s="277"/>
      <c r="AG752" s="119"/>
      <c r="AH752" s="358"/>
      <c r="AI752" s="358"/>
      <c r="AJ752" s="380"/>
      <c r="AK752" s="380"/>
      <c r="AL752" s="380"/>
      <c r="AM752" s="380"/>
      <c r="AN752" s="120"/>
      <c r="AO752" s="120"/>
      <c r="AP752" s="120"/>
      <c r="AQ752" s="313"/>
      <c r="AR752" s="119"/>
      <c r="AS752" s="22"/>
      <c r="AT752" s="22"/>
      <c r="AU752" s="22"/>
      <c r="AV752" s="22"/>
      <c r="AW752" s="82"/>
      <c r="AX752" s="82"/>
      <c r="AY752" s="82"/>
      <c r="AZ752" s="82"/>
      <c r="BA752" s="82"/>
      <c r="BB752" s="82"/>
      <c r="BC752" s="82"/>
      <c r="BD752" s="82"/>
      <c r="BE752" s="82"/>
      <c r="BF752" s="82"/>
      <c r="BG752" s="112"/>
      <c r="BH752" s="112"/>
      <c r="BI752" s="112"/>
      <c r="BJ752" s="112"/>
      <c r="BK752" s="82"/>
      <c r="BL752" s="82"/>
      <c r="BN752" s="412"/>
      <c r="BO752" s="412"/>
      <c r="BP752" s="412"/>
      <c r="BQ752" s="412"/>
      <c r="BR752" s="412"/>
      <c r="BZ752" t="str">
        <f t="shared" si="70"/>
        <v/>
      </c>
    </row>
    <row r="753" spans="1:78" ht="15.6" hidden="1" customHeight="1">
      <c r="A753" s="35" t="str">
        <f t="shared" si="69"/>
        <v/>
      </c>
      <c r="C753" s="358" t="s">
        <v>24</v>
      </c>
      <c r="D753" s="358">
        <v>749</v>
      </c>
      <c r="E753" s="119"/>
      <c r="F753" s="119"/>
      <c r="G753" s="266"/>
      <c r="H753" s="119"/>
      <c r="I753" s="358"/>
      <c r="J753" s="359" t="str">
        <f>IFERROR(VLOOKUP($A753,#REF!,3,0),"")</f>
        <v/>
      </c>
      <c r="K753" s="359">
        <f>IFERROR(VLOOKUP($A753,#REF!,4,0),AF753)</f>
        <v>0</v>
      </c>
      <c r="L753" s="359" t="str">
        <f>IFERROR(VLOOKUP($A753,#REF!,5,0),"")</f>
        <v/>
      </c>
      <c r="M753" s="359" t="str">
        <f>IFERROR(VLOOKUP($A753,#REF!,7,0),"")</f>
        <v/>
      </c>
      <c r="N753" s="359"/>
      <c r="O753" s="359" t="str">
        <f>IFERROR(VLOOKUP($A753,#REF!,6,0),"")</f>
        <v/>
      </c>
      <c r="P753" s="359" t="str">
        <f>IFERROR(VLOOKUP($A753,#REF!,9,0),"")</f>
        <v/>
      </c>
      <c r="Q753" s="359" t="str">
        <f>IFERROR(VLOOKUP($A753,#REF!,10,0),"")</f>
        <v/>
      </c>
      <c r="R753" s="359" t="str">
        <f>IFERROR(VLOOKUP($A753,#REF!,11,0),"")</f>
        <v/>
      </c>
      <c r="S753" s="359" t="str">
        <f>IFERROR(VLOOKUP($A753,#REF!,13,0),"")</f>
        <v/>
      </c>
      <c r="T753" s="359" t="str">
        <f>IFERROR(VLOOKUP($A753,#REF!,14,0),"")</f>
        <v/>
      </c>
      <c r="U753" s="359" t="str">
        <f>IFERROR(VLOOKUP($A753,#REF!,15,0),"")</f>
        <v/>
      </c>
      <c r="V753" s="359" t="str">
        <f>IFERROR(VLOOKUP($A753,#REF!,16,0),"")</f>
        <v/>
      </c>
      <c r="W753" s="359" t="str">
        <f>IFERROR(VLOOKUP($A753,#REF!,17,0),"")</f>
        <v/>
      </c>
      <c r="X753" s="359" t="str">
        <f>IFERROR(VLOOKUP($A753,#REF!,18,0),"")</f>
        <v/>
      </c>
      <c r="Y753" s="359" t="str">
        <f>IFERROR(VLOOKUP($A753,#REF!,19,0),"")</f>
        <v/>
      </c>
      <c r="Z753" s="400" t="str">
        <f>IFERROR(VLOOKUP($A753,#REF!,21,0),"")</f>
        <v/>
      </c>
      <c r="AA753" s="358"/>
      <c r="AB753" s="358"/>
      <c r="AC753" s="119"/>
      <c r="AD753" s="119"/>
      <c r="AE753" s="119"/>
      <c r="AF753" s="277"/>
      <c r="AG753" s="119"/>
      <c r="AH753" s="358"/>
      <c r="AI753" s="358"/>
      <c r="AJ753" s="380"/>
      <c r="AK753" s="380"/>
      <c r="AL753" s="380"/>
      <c r="AM753" s="380"/>
      <c r="AN753" s="120"/>
      <c r="AO753" s="120"/>
      <c r="AP753" s="120"/>
      <c r="AQ753" s="313"/>
      <c r="AR753" s="119"/>
      <c r="AS753" s="22"/>
      <c r="AT753" s="22"/>
      <c r="AU753" s="22"/>
      <c r="AV753" s="22"/>
      <c r="AW753" s="82"/>
      <c r="AX753" s="82"/>
      <c r="AY753" s="82"/>
      <c r="AZ753" s="82"/>
      <c r="BA753" s="82"/>
      <c r="BB753" s="82"/>
      <c r="BC753" s="82"/>
      <c r="BD753" s="82"/>
      <c r="BE753" s="82"/>
      <c r="BF753" s="82"/>
      <c r="BG753" s="112"/>
      <c r="BH753" s="112"/>
      <c r="BI753" s="112"/>
      <c r="BJ753" s="112"/>
      <c r="BK753" s="82"/>
      <c r="BL753" s="82"/>
      <c r="BN753" s="412"/>
      <c r="BO753" s="412"/>
      <c r="BP753" s="412"/>
      <c r="BQ753" s="412"/>
      <c r="BR753" s="412"/>
      <c r="BZ753" t="str">
        <f t="shared" si="70"/>
        <v/>
      </c>
    </row>
    <row r="754" spans="1:78" ht="15.6" hidden="1" customHeight="1">
      <c r="A754" s="35" t="str">
        <f t="shared" si="69"/>
        <v/>
      </c>
      <c r="C754" s="358" t="s">
        <v>24</v>
      </c>
      <c r="D754" s="358">
        <v>750</v>
      </c>
      <c r="E754" s="119"/>
      <c r="F754" s="119"/>
      <c r="G754" s="266"/>
      <c r="H754" s="119"/>
      <c r="I754" s="358"/>
      <c r="J754" s="359" t="str">
        <f>IFERROR(VLOOKUP($A754,#REF!,3,0),"")</f>
        <v/>
      </c>
      <c r="K754" s="359">
        <f>IFERROR(VLOOKUP($A754,#REF!,4,0),AF754)</f>
        <v>0</v>
      </c>
      <c r="L754" s="359" t="str">
        <f>IFERROR(VLOOKUP($A754,#REF!,5,0),"")</f>
        <v/>
      </c>
      <c r="M754" s="359" t="str">
        <f>IFERROR(VLOOKUP($A754,#REF!,7,0),"")</f>
        <v/>
      </c>
      <c r="N754" s="359"/>
      <c r="O754" s="359" t="str">
        <f>IFERROR(VLOOKUP($A754,#REF!,6,0),"")</f>
        <v/>
      </c>
      <c r="P754" s="359" t="str">
        <f>IFERROR(VLOOKUP($A754,#REF!,9,0),"")</f>
        <v/>
      </c>
      <c r="Q754" s="359" t="str">
        <f>IFERROR(VLOOKUP($A754,#REF!,10,0),"")</f>
        <v/>
      </c>
      <c r="R754" s="359" t="str">
        <f>IFERROR(VLOOKUP($A754,#REF!,11,0),"")</f>
        <v/>
      </c>
      <c r="S754" s="359" t="str">
        <f>IFERROR(VLOOKUP($A754,#REF!,13,0),"")</f>
        <v/>
      </c>
      <c r="T754" s="359" t="str">
        <f>IFERROR(VLOOKUP($A754,#REF!,14,0),"")</f>
        <v/>
      </c>
      <c r="U754" s="359" t="str">
        <f>IFERROR(VLOOKUP($A754,#REF!,15,0),"")</f>
        <v/>
      </c>
      <c r="V754" s="359" t="str">
        <f>IFERROR(VLOOKUP($A754,#REF!,16,0),"")</f>
        <v/>
      </c>
      <c r="W754" s="359" t="str">
        <f>IFERROR(VLOOKUP($A754,#REF!,17,0),"")</f>
        <v/>
      </c>
      <c r="X754" s="359" t="str">
        <f>IFERROR(VLOOKUP($A754,#REF!,18,0),"")</f>
        <v/>
      </c>
      <c r="Y754" s="359" t="str">
        <f>IFERROR(VLOOKUP($A754,#REF!,19,0),"")</f>
        <v/>
      </c>
      <c r="Z754" s="400" t="str">
        <f>IFERROR(VLOOKUP($A754,#REF!,21,0),"")</f>
        <v/>
      </c>
      <c r="AA754" s="358"/>
      <c r="AB754" s="358"/>
      <c r="AC754" s="119"/>
      <c r="AD754" s="119"/>
      <c r="AE754" s="119"/>
      <c r="AF754" s="277"/>
      <c r="AG754" s="119"/>
      <c r="AH754" s="358"/>
      <c r="AI754" s="358"/>
      <c r="AJ754" s="380"/>
      <c r="AK754" s="380"/>
      <c r="AL754" s="380"/>
      <c r="AM754" s="380"/>
      <c r="AN754" s="120"/>
      <c r="AO754" s="120"/>
      <c r="AP754" s="120"/>
      <c r="AQ754" s="313"/>
      <c r="AR754" s="119"/>
      <c r="AS754" s="22"/>
      <c r="AT754" s="22"/>
      <c r="AU754" s="22"/>
      <c r="AV754" s="22"/>
      <c r="AW754" s="82"/>
      <c r="AX754" s="82"/>
      <c r="AY754" s="82"/>
      <c r="AZ754" s="82"/>
      <c r="BA754" s="82"/>
      <c r="BB754" s="82"/>
      <c r="BC754" s="82"/>
      <c r="BD754" s="82"/>
      <c r="BE754" s="82"/>
      <c r="BF754" s="82"/>
      <c r="BG754" s="112"/>
      <c r="BH754" s="112"/>
      <c r="BI754" s="112"/>
      <c r="BJ754" s="112"/>
      <c r="BK754" s="82"/>
      <c r="BL754" s="82"/>
      <c r="BN754" s="412"/>
      <c r="BO754" s="412"/>
      <c r="BP754" s="412"/>
      <c r="BQ754" s="412"/>
      <c r="BR754" s="412"/>
      <c r="BZ754" t="str">
        <f t="shared" si="70"/>
        <v/>
      </c>
    </row>
    <row r="755" spans="1:78" ht="15.6" hidden="1" customHeight="1">
      <c r="A755" s="35" t="str">
        <f t="shared" si="69"/>
        <v/>
      </c>
      <c r="C755" s="358" t="s">
        <v>24</v>
      </c>
      <c r="D755" s="358">
        <v>751</v>
      </c>
      <c r="E755" s="119"/>
      <c r="F755" s="119"/>
      <c r="G755" s="266"/>
      <c r="H755" s="119"/>
      <c r="I755" s="358"/>
      <c r="J755" s="359" t="str">
        <f>IFERROR(VLOOKUP($A755,#REF!,3,0),"")</f>
        <v/>
      </c>
      <c r="K755" s="359">
        <f>IFERROR(VLOOKUP($A755,#REF!,4,0),AF755)</f>
        <v>0</v>
      </c>
      <c r="L755" s="359" t="str">
        <f>IFERROR(VLOOKUP($A755,#REF!,5,0),"")</f>
        <v/>
      </c>
      <c r="M755" s="359" t="str">
        <f>IFERROR(VLOOKUP($A755,#REF!,7,0),"")</f>
        <v/>
      </c>
      <c r="N755" s="359"/>
      <c r="O755" s="359" t="str">
        <f>IFERROR(VLOOKUP($A755,#REF!,6,0),"")</f>
        <v/>
      </c>
      <c r="P755" s="359" t="str">
        <f>IFERROR(VLOOKUP($A755,#REF!,9,0),"")</f>
        <v/>
      </c>
      <c r="Q755" s="359" t="str">
        <f>IFERROR(VLOOKUP($A755,#REF!,10,0),"")</f>
        <v/>
      </c>
      <c r="R755" s="359" t="str">
        <f>IFERROR(VLOOKUP($A755,#REF!,11,0),"")</f>
        <v/>
      </c>
      <c r="S755" s="359" t="str">
        <f>IFERROR(VLOOKUP($A755,#REF!,13,0),"")</f>
        <v/>
      </c>
      <c r="T755" s="359" t="str">
        <f>IFERROR(VLOOKUP($A755,#REF!,14,0),"")</f>
        <v/>
      </c>
      <c r="U755" s="359" t="str">
        <f>IFERROR(VLOOKUP($A755,#REF!,15,0),"")</f>
        <v/>
      </c>
      <c r="V755" s="359" t="str">
        <f>IFERROR(VLOOKUP($A755,#REF!,16,0),"")</f>
        <v/>
      </c>
      <c r="W755" s="359" t="str">
        <f>IFERROR(VLOOKUP($A755,#REF!,17,0),"")</f>
        <v/>
      </c>
      <c r="X755" s="359" t="str">
        <f>IFERROR(VLOOKUP($A755,#REF!,18,0),"")</f>
        <v/>
      </c>
      <c r="Y755" s="359" t="str">
        <f>IFERROR(VLOOKUP($A755,#REF!,19,0),"")</f>
        <v/>
      </c>
      <c r="Z755" s="400" t="str">
        <f>IFERROR(VLOOKUP($A755,#REF!,21,0),"")</f>
        <v/>
      </c>
      <c r="AA755" s="358"/>
      <c r="AB755" s="358"/>
      <c r="AC755" s="119"/>
      <c r="AD755" s="119"/>
      <c r="AE755" s="119"/>
      <c r="AF755" s="277"/>
      <c r="AG755" s="119"/>
      <c r="AH755" s="358"/>
      <c r="AI755" s="358"/>
      <c r="AJ755" s="380"/>
      <c r="AK755" s="380"/>
      <c r="AL755" s="380"/>
      <c r="AM755" s="380"/>
      <c r="AN755" s="120"/>
      <c r="AO755" s="120"/>
      <c r="AP755" s="120"/>
      <c r="AQ755" s="313"/>
      <c r="AR755" s="119"/>
      <c r="AS755" s="22"/>
      <c r="AT755" s="22"/>
      <c r="AU755" s="22"/>
      <c r="AV755" s="22"/>
      <c r="AW755" s="82"/>
      <c r="AX755" s="82"/>
      <c r="AY755" s="82"/>
      <c r="AZ755" s="82"/>
      <c r="BA755" s="82"/>
      <c r="BB755" s="82"/>
      <c r="BC755" s="82"/>
      <c r="BD755" s="82"/>
      <c r="BE755" s="82"/>
      <c r="BF755" s="82"/>
      <c r="BG755" s="112"/>
      <c r="BH755" s="112"/>
      <c r="BI755" s="112"/>
      <c r="BJ755" s="112"/>
      <c r="BK755" s="82"/>
      <c r="BL755" s="82"/>
      <c r="BN755" s="412"/>
      <c r="BO755" s="412"/>
      <c r="BP755" s="412"/>
      <c r="BQ755" s="412"/>
      <c r="BR755" s="412"/>
      <c r="BZ755" t="str">
        <f t="shared" si="70"/>
        <v/>
      </c>
    </row>
    <row r="756" spans="1:78" ht="15.6" hidden="1" customHeight="1">
      <c r="A756" s="35" t="str">
        <f t="shared" si="69"/>
        <v/>
      </c>
      <c r="C756" s="358" t="s">
        <v>24</v>
      </c>
      <c r="D756" s="358">
        <v>752</v>
      </c>
      <c r="E756" s="119"/>
      <c r="F756" s="119"/>
      <c r="G756" s="266"/>
      <c r="H756" s="119"/>
      <c r="I756" s="358"/>
      <c r="J756" s="359" t="str">
        <f>IFERROR(VLOOKUP($A756,#REF!,3,0),"")</f>
        <v/>
      </c>
      <c r="K756" s="359">
        <f>IFERROR(VLOOKUP($A756,#REF!,4,0),AF756)</f>
        <v>0</v>
      </c>
      <c r="L756" s="359" t="str">
        <f>IFERROR(VLOOKUP($A756,#REF!,5,0),"")</f>
        <v/>
      </c>
      <c r="M756" s="359" t="str">
        <f>IFERROR(VLOOKUP($A756,#REF!,7,0),"")</f>
        <v/>
      </c>
      <c r="N756" s="359"/>
      <c r="O756" s="359" t="str">
        <f>IFERROR(VLOOKUP($A756,#REF!,6,0),"")</f>
        <v/>
      </c>
      <c r="P756" s="359" t="str">
        <f>IFERROR(VLOOKUP($A756,#REF!,9,0),"")</f>
        <v/>
      </c>
      <c r="Q756" s="359" t="str">
        <f>IFERROR(VLOOKUP($A756,#REF!,10,0),"")</f>
        <v/>
      </c>
      <c r="R756" s="359" t="str">
        <f>IFERROR(VLOOKUP($A756,#REF!,11,0),"")</f>
        <v/>
      </c>
      <c r="S756" s="359" t="str">
        <f>IFERROR(VLOOKUP($A756,#REF!,13,0),"")</f>
        <v/>
      </c>
      <c r="T756" s="359" t="str">
        <f>IFERROR(VLOOKUP($A756,#REF!,14,0),"")</f>
        <v/>
      </c>
      <c r="U756" s="359" t="str">
        <f>IFERROR(VLOOKUP($A756,#REF!,15,0),"")</f>
        <v/>
      </c>
      <c r="V756" s="359" t="str">
        <f>IFERROR(VLOOKUP($A756,#REF!,16,0),"")</f>
        <v/>
      </c>
      <c r="W756" s="359" t="str">
        <f>IFERROR(VLOOKUP($A756,#REF!,17,0),"")</f>
        <v/>
      </c>
      <c r="X756" s="359" t="str">
        <f>IFERROR(VLOOKUP($A756,#REF!,18,0),"")</f>
        <v/>
      </c>
      <c r="Y756" s="359" t="str">
        <f>IFERROR(VLOOKUP($A756,#REF!,19,0),"")</f>
        <v/>
      </c>
      <c r="Z756" s="400" t="str">
        <f>IFERROR(VLOOKUP($A756,#REF!,21,0),"")</f>
        <v/>
      </c>
      <c r="AA756" s="358"/>
      <c r="AB756" s="358"/>
      <c r="AC756" s="119"/>
      <c r="AD756" s="119"/>
      <c r="AE756" s="119"/>
      <c r="AF756" s="277"/>
      <c r="AG756" s="119"/>
      <c r="AH756" s="358"/>
      <c r="AI756" s="358"/>
      <c r="AJ756" s="380"/>
      <c r="AK756" s="380"/>
      <c r="AL756" s="380"/>
      <c r="AM756" s="380"/>
      <c r="AN756" s="120"/>
      <c r="AO756" s="120"/>
      <c r="AP756" s="120"/>
      <c r="AQ756" s="313"/>
      <c r="AR756" s="119"/>
      <c r="AS756" s="22"/>
      <c r="AT756" s="22"/>
      <c r="AU756" s="22"/>
      <c r="AV756" s="22"/>
      <c r="AW756" s="82"/>
      <c r="AX756" s="82"/>
      <c r="AY756" s="82"/>
      <c r="AZ756" s="82"/>
      <c r="BA756" s="82"/>
      <c r="BB756" s="82"/>
      <c r="BC756" s="82"/>
      <c r="BD756" s="82"/>
      <c r="BE756" s="82"/>
      <c r="BF756" s="82"/>
      <c r="BG756" s="112"/>
      <c r="BH756" s="112"/>
      <c r="BI756" s="112"/>
      <c r="BJ756" s="112"/>
      <c r="BK756" s="82"/>
      <c r="BL756" s="82"/>
      <c r="BN756" s="412"/>
      <c r="BO756" s="412"/>
      <c r="BP756" s="412"/>
      <c r="BQ756" s="412"/>
      <c r="BR756" s="412"/>
      <c r="BZ756" t="str">
        <f t="shared" si="70"/>
        <v/>
      </c>
    </row>
    <row r="757" spans="1:78" ht="15.6" hidden="1" customHeight="1">
      <c r="A757" s="35" t="str">
        <f t="shared" si="69"/>
        <v/>
      </c>
      <c r="C757" s="358" t="s">
        <v>24</v>
      </c>
      <c r="D757" s="358">
        <v>753</v>
      </c>
      <c r="E757" s="119"/>
      <c r="F757" s="119"/>
      <c r="G757" s="266"/>
      <c r="H757" s="119"/>
      <c r="I757" s="358"/>
      <c r="J757" s="359" t="str">
        <f>IFERROR(VLOOKUP($A757,#REF!,3,0),"")</f>
        <v/>
      </c>
      <c r="K757" s="359">
        <f>IFERROR(VLOOKUP($A757,#REF!,4,0),AF757)</f>
        <v>0</v>
      </c>
      <c r="L757" s="359" t="str">
        <f>IFERROR(VLOOKUP($A757,#REF!,5,0),"")</f>
        <v/>
      </c>
      <c r="M757" s="359" t="str">
        <f>IFERROR(VLOOKUP($A757,#REF!,7,0),"")</f>
        <v/>
      </c>
      <c r="N757" s="359"/>
      <c r="O757" s="359" t="str">
        <f>IFERROR(VLOOKUP($A757,#REF!,6,0),"")</f>
        <v/>
      </c>
      <c r="P757" s="359" t="str">
        <f>IFERROR(VLOOKUP($A757,#REF!,9,0),"")</f>
        <v/>
      </c>
      <c r="Q757" s="359" t="str">
        <f>IFERROR(VLOOKUP($A757,#REF!,10,0),"")</f>
        <v/>
      </c>
      <c r="R757" s="359" t="str">
        <f>IFERROR(VLOOKUP($A757,#REF!,11,0),"")</f>
        <v/>
      </c>
      <c r="S757" s="359" t="str">
        <f>IFERROR(VLOOKUP($A757,#REF!,13,0),"")</f>
        <v/>
      </c>
      <c r="T757" s="359" t="str">
        <f>IFERROR(VLOOKUP($A757,#REF!,14,0),"")</f>
        <v/>
      </c>
      <c r="U757" s="359" t="str">
        <f>IFERROR(VLOOKUP($A757,#REF!,15,0),"")</f>
        <v/>
      </c>
      <c r="V757" s="359" t="str">
        <f>IFERROR(VLOOKUP($A757,#REF!,16,0),"")</f>
        <v/>
      </c>
      <c r="W757" s="359" t="str">
        <f>IFERROR(VLOOKUP($A757,#REF!,17,0),"")</f>
        <v/>
      </c>
      <c r="X757" s="359" t="str">
        <f>IFERROR(VLOOKUP($A757,#REF!,18,0),"")</f>
        <v/>
      </c>
      <c r="Y757" s="359" t="str">
        <f>IFERROR(VLOOKUP($A757,#REF!,19,0),"")</f>
        <v/>
      </c>
      <c r="Z757" s="400" t="str">
        <f>IFERROR(VLOOKUP($A757,#REF!,21,0),"")</f>
        <v/>
      </c>
      <c r="AA757" s="358"/>
      <c r="AB757" s="358"/>
      <c r="AC757" s="119"/>
      <c r="AD757" s="119"/>
      <c r="AE757" s="119"/>
      <c r="AF757" s="277"/>
      <c r="AG757" s="119"/>
      <c r="AH757" s="358"/>
      <c r="AI757" s="358"/>
      <c r="AJ757" s="380"/>
      <c r="AK757" s="380"/>
      <c r="AL757" s="380"/>
      <c r="AM757" s="380"/>
      <c r="AN757" s="120"/>
      <c r="AO757" s="120"/>
      <c r="AP757" s="120"/>
      <c r="AQ757" s="313"/>
      <c r="AR757" s="119"/>
      <c r="AS757" s="22"/>
      <c r="AT757" s="22"/>
      <c r="AU757" s="22"/>
      <c r="AV757" s="2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112"/>
      <c r="BH757" s="112"/>
      <c r="BI757" s="112"/>
      <c r="BJ757" s="112"/>
      <c r="BK757" s="82"/>
      <c r="BL757" s="82"/>
      <c r="BN757" s="412"/>
      <c r="BO757" s="412"/>
      <c r="BP757" s="412"/>
      <c r="BQ757" s="412"/>
      <c r="BR757" s="412"/>
      <c r="BZ757" t="str">
        <f t="shared" si="70"/>
        <v/>
      </c>
    </row>
    <row r="758" spans="1:78" ht="15.6" hidden="1" customHeight="1">
      <c r="A758" s="35" t="str">
        <f t="shared" si="69"/>
        <v/>
      </c>
      <c r="C758" s="358" t="s">
        <v>24</v>
      </c>
      <c r="D758" s="358">
        <v>754</v>
      </c>
      <c r="E758" s="119"/>
      <c r="F758" s="119"/>
      <c r="G758" s="266"/>
      <c r="H758" s="119"/>
      <c r="I758" s="358"/>
      <c r="J758" s="359" t="str">
        <f>IFERROR(VLOOKUP($A758,#REF!,3,0),"")</f>
        <v/>
      </c>
      <c r="K758" s="359">
        <f>IFERROR(VLOOKUP($A758,#REF!,4,0),AF758)</f>
        <v>0</v>
      </c>
      <c r="L758" s="359" t="str">
        <f>IFERROR(VLOOKUP($A758,#REF!,5,0),"")</f>
        <v/>
      </c>
      <c r="M758" s="359" t="str">
        <f>IFERROR(VLOOKUP($A758,#REF!,7,0),"")</f>
        <v/>
      </c>
      <c r="N758" s="359"/>
      <c r="O758" s="359" t="str">
        <f>IFERROR(VLOOKUP($A758,#REF!,6,0),"")</f>
        <v/>
      </c>
      <c r="P758" s="359" t="str">
        <f>IFERROR(VLOOKUP($A758,#REF!,9,0),"")</f>
        <v/>
      </c>
      <c r="Q758" s="359" t="str">
        <f>IFERROR(VLOOKUP($A758,#REF!,10,0),"")</f>
        <v/>
      </c>
      <c r="R758" s="359" t="str">
        <f>IFERROR(VLOOKUP($A758,#REF!,11,0),"")</f>
        <v/>
      </c>
      <c r="S758" s="359" t="str">
        <f>IFERROR(VLOOKUP($A758,#REF!,13,0),"")</f>
        <v/>
      </c>
      <c r="T758" s="359" t="str">
        <f>IFERROR(VLOOKUP($A758,#REF!,14,0),"")</f>
        <v/>
      </c>
      <c r="U758" s="359" t="str">
        <f>IFERROR(VLOOKUP($A758,#REF!,15,0),"")</f>
        <v/>
      </c>
      <c r="V758" s="359" t="str">
        <f>IFERROR(VLOOKUP($A758,#REF!,16,0),"")</f>
        <v/>
      </c>
      <c r="W758" s="359" t="str">
        <f>IFERROR(VLOOKUP($A758,#REF!,17,0),"")</f>
        <v/>
      </c>
      <c r="X758" s="359" t="str">
        <f>IFERROR(VLOOKUP($A758,#REF!,18,0),"")</f>
        <v/>
      </c>
      <c r="Y758" s="359" t="str">
        <f>IFERROR(VLOOKUP($A758,#REF!,19,0),"")</f>
        <v/>
      </c>
      <c r="Z758" s="400" t="str">
        <f>IFERROR(VLOOKUP($A758,#REF!,21,0),"")</f>
        <v/>
      </c>
      <c r="AA758" s="358"/>
      <c r="AB758" s="358"/>
      <c r="AC758" s="119"/>
      <c r="AD758" s="119"/>
      <c r="AE758" s="119"/>
      <c r="AF758" s="277"/>
      <c r="AG758" s="119"/>
      <c r="AH758" s="358"/>
      <c r="AI758" s="358"/>
      <c r="AJ758" s="380"/>
      <c r="AK758" s="380"/>
      <c r="AL758" s="380"/>
      <c r="AM758" s="380"/>
      <c r="AN758" s="120"/>
      <c r="AO758" s="120"/>
      <c r="AP758" s="120"/>
      <c r="AQ758" s="313"/>
      <c r="AR758" s="119"/>
      <c r="AS758" s="22"/>
      <c r="AT758" s="22"/>
      <c r="AU758" s="22"/>
      <c r="AV758" s="2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112"/>
      <c r="BH758" s="112"/>
      <c r="BI758" s="112"/>
      <c r="BJ758" s="112"/>
      <c r="BK758" s="82"/>
      <c r="BL758" s="82"/>
      <c r="BN758" s="412"/>
      <c r="BO758" s="412"/>
      <c r="BP758" s="412"/>
      <c r="BQ758" s="412"/>
      <c r="BR758" s="412"/>
      <c r="BZ758" t="str">
        <f t="shared" si="70"/>
        <v/>
      </c>
    </row>
    <row r="759" spans="1:78" ht="15.6" hidden="1" customHeight="1">
      <c r="A759" s="35" t="str">
        <f t="shared" si="69"/>
        <v/>
      </c>
      <c r="C759" s="358" t="s">
        <v>24</v>
      </c>
      <c r="D759" s="358">
        <v>755</v>
      </c>
      <c r="E759" s="119"/>
      <c r="F759" s="119"/>
      <c r="G759" s="266"/>
      <c r="H759" s="119"/>
      <c r="I759" s="358"/>
      <c r="J759" s="359" t="str">
        <f>IFERROR(VLOOKUP($A759,#REF!,3,0),"")</f>
        <v/>
      </c>
      <c r="K759" s="359">
        <f>IFERROR(VLOOKUP($A759,#REF!,4,0),AF759)</f>
        <v>0</v>
      </c>
      <c r="L759" s="359" t="str">
        <f>IFERROR(VLOOKUP($A759,#REF!,5,0),"")</f>
        <v/>
      </c>
      <c r="M759" s="359" t="str">
        <f>IFERROR(VLOOKUP($A759,#REF!,7,0),"")</f>
        <v/>
      </c>
      <c r="N759" s="359"/>
      <c r="O759" s="359" t="str">
        <f>IFERROR(VLOOKUP($A759,#REF!,6,0),"")</f>
        <v/>
      </c>
      <c r="P759" s="359" t="str">
        <f>IFERROR(VLOOKUP($A759,#REF!,9,0),"")</f>
        <v/>
      </c>
      <c r="Q759" s="359" t="str">
        <f>IFERROR(VLOOKUP($A759,#REF!,10,0),"")</f>
        <v/>
      </c>
      <c r="R759" s="359" t="str">
        <f>IFERROR(VLOOKUP($A759,#REF!,11,0),"")</f>
        <v/>
      </c>
      <c r="S759" s="359" t="str">
        <f>IFERROR(VLOOKUP($A759,#REF!,13,0),"")</f>
        <v/>
      </c>
      <c r="T759" s="359" t="str">
        <f>IFERROR(VLOOKUP($A759,#REF!,14,0),"")</f>
        <v/>
      </c>
      <c r="U759" s="359" t="str">
        <f>IFERROR(VLOOKUP($A759,#REF!,15,0),"")</f>
        <v/>
      </c>
      <c r="V759" s="359" t="str">
        <f>IFERROR(VLOOKUP($A759,#REF!,16,0),"")</f>
        <v/>
      </c>
      <c r="W759" s="359" t="str">
        <f>IFERROR(VLOOKUP($A759,#REF!,17,0),"")</f>
        <v/>
      </c>
      <c r="X759" s="359" t="str">
        <f>IFERROR(VLOOKUP($A759,#REF!,18,0),"")</f>
        <v/>
      </c>
      <c r="Y759" s="359" t="str">
        <f>IFERROR(VLOOKUP($A759,#REF!,19,0),"")</f>
        <v/>
      </c>
      <c r="Z759" s="400" t="str">
        <f>IFERROR(VLOOKUP($A759,#REF!,21,0),"")</f>
        <v/>
      </c>
      <c r="AA759" s="358"/>
      <c r="AB759" s="358"/>
      <c r="AC759" s="119"/>
      <c r="AD759" s="119"/>
      <c r="AE759" s="119"/>
      <c r="AF759" s="277"/>
      <c r="AG759" s="119"/>
      <c r="AH759" s="358"/>
      <c r="AI759" s="358"/>
      <c r="AJ759" s="380"/>
      <c r="AK759" s="380"/>
      <c r="AL759" s="380"/>
      <c r="AM759" s="380"/>
      <c r="AN759" s="120"/>
      <c r="AO759" s="120"/>
      <c r="AP759" s="120"/>
      <c r="AQ759" s="313"/>
      <c r="AR759" s="119"/>
      <c r="AS759" s="22"/>
      <c r="AT759" s="22"/>
      <c r="AU759" s="22"/>
      <c r="AV759" s="2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112"/>
      <c r="BH759" s="112"/>
      <c r="BI759" s="112"/>
      <c r="BJ759" s="112"/>
      <c r="BK759" s="82"/>
      <c r="BL759" s="82"/>
      <c r="BN759" s="412"/>
      <c r="BO759" s="412"/>
      <c r="BP759" s="412"/>
      <c r="BQ759" s="412"/>
      <c r="BR759" s="412"/>
      <c r="BZ759" t="str">
        <f t="shared" si="70"/>
        <v/>
      </c>
    </row>
    <row r="760" spans="1:78" ht="15.6" hidden="1" customHeight="1">
      <c r="A760" s="35" t="str">
        <f t="shared" si="69"/>
        <v/>
      </c>
      <c r="C760" s="358" t="s">
        <v>24</v>
      </c>
      <c r="D760" s="358">
        <v>756</v>
      </c>
      <c r="E760" s="119"/>
      <c r="F760" s="119"/>
      <c r="G760" s="266"/>
      <c r="H760" s="119"/>
      <c r="I760" s="358"/>
      <c r="J760" s="359" t="str">
        <f>IFERROR(VLOOKUP($A760,#REF!,3,0),"")</f>
        <v/>
      </c>
      <c r="K760" s="359">
        <f>IFERROR(VLOOKUP($A760,#REF!,4,0),AF760)</f>
        <v>0</v>
      </c>
      <c r="L760" s="359" t="str">
        <f>IFERROR(VLOOKUP($A760,#REF!,5,0),"")</f>
        <v/>
      </c>
      <c r="M760" s="359" t="str">
        <f>IFERROR(VLOOKUP($A760,#REF!,7,0),"")</f>
        <v/>
      </c>
      <c r="N760" s="359"/>
      <c r="O760" s="359" t="str">
        <f>IFERROR(VLOOKUP($A760,#REF!,6,0),"")</f>
        <v/>
      </c>
      <c r="P760" s="359" t="str">
        <f>IFERROR(VLOOKUP($A760,#REF!,9,0),"")</f>
        <v/>
      </c>
      <c r="Q760" s="359" t="str">
        <f>IFERROR(VLOOKUP($A760,#REF!,10,0),"")</f>
        <v/>
      </c>
      <c r="R760" s="359" t="str">
        <f>IFERROR(VLOOKUP($A760,#REF!,11,0),"")</f>
        <v/>
      </c>
      <c r="S760" s="359" t="str">
        <f>IFERROR(VLOOKUP($A760,#REF!,13,0),"")</f>
        <v/>
      </c>
      <c r="T760" s="359" t="str">
        <f>IFERROR(VLOOKUP($A760,#REF!,14,0),"")</f>
        <v/>
      </c>
      <c r="U760" s="359" t="str">
        <f>IFERROR(VLOOKUP($A760,#REF!,15,0),"")</f>
        <v/>
      </c>
      <c r="V760" s="359" t="str">
        <f>IFERROR(VLOOKUP($A760,#REF!,16,0),"")</f>
        <v/>
      </c>
      <c r="W760" s="359" t="str">
        <f>IFERROR(VLOOKUP($A760,#REF!,17,0),"")</f>
        <v/>
      </c>
      <c r="X760" s="359" t="str">
        <f>IFERROR(VLOOKUP($A760,#REF!,18,0),"")</f>
        <v/>
      </c>
      <c r="Y760" s="359" t="str">
        <f>IFERROR(VLOOKUP($A760,#REF!,19,0),"")</f>
        <v/>
      </c>
      <c r="Z760" s="400" t="str">
        <f>IFERROR(VLOOKUP($A760,#REF!,21,0),"")</f>
        <v/>
      </c>
      <c r="AA760" s="358"/>
      <c r="AB760" s="358"/>
      <c r="AC760" s="119"/>
      <c r="AD760" s="119"/>
      <c r="AE760" s="119"/>
      <c r="AF760" s="277"/>
      <c r="AG760" s="119"/>
      <c r="AH760" s="358"/>
      <c r="AI760" s="358"/>
      <c r="AJ760" s="380"/>
      <c r="AK760" s="380"/>
      <c r="AL760" s="380"/>
      <c r="AM760" s="380"/>
      <c r="AN760" s="120"/>
      <c r="AO760" s="120"/>
      <c r="AP760" s="120"/>
      <c r="AQ760" s="313"/>
      <c r="AR760" s="119"/>
      <c r="AS760" s="22"/>
      <c r="AT760" s="22"/>
      <c r="AU760" s="22"/>
      <c r="AV760" s="2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112"/>
      <c r="BH760" s="112"/>
      <c r="BI760" s="112"/>
      <c r="BJ760" s="112"/>
      <c r="BK760" s="82"/>
      <c r="BL760" s="82"/>
      <c r="BN760" s="412"/>
      <c r="BO760" s="412"/>
      <c r="BP760" s="412"/>
      <c r="BQ760" s="412"/>
      <c r="BR760" s="412"/>
      <c r="BZ760" t="str">
        <f t="shared" si="70"/>
        <v/>
      </c>
    </row>
    <row r="761" spans="1:78" ht="15.6" hidden="1" customHeight="1">
      <c r="A761" s="35" t="str">
        <f t="shared" si="69"/>
        <v/>
      </c>
      <c r="C761" s="358" t="s">
        <v>24</v>
      </c>
      <c r="D761" s="358">
        <v>757</v>
      </c>
      <c r="E761" s="119"/>
      <c r="F761" s="119"/>
      <c r="G761" s="266"/>
      <c r="H761" s="119"/>
      <c r="I761" s="358"/>
      <c r="J761" s="359" t="str">
        <f>IFERROR(VLOOKUP($A761,#REF!,3,0),"")</f>
        <v/>
      </c>
      <c r="K761" s="359">
        <f>IFERROR(VLOOKUP($A761,#REF!,4,0),AF761)</f>
        <v>0</v>
      </c>
      <c r="L761" s="359" t="str">
        <f>IFERROR(VLOOKUP($A761,#REF!,5,0),"")</f>
        <v/>
      </c>
      <c r="M761" s="359" t="str">
        <f>IFERROR(VLOOKUP($A761,#REF!,7,0),"")</f>
        <v/>
      </c>
      <c r="N761" s="359"/>
      <c r="O761" s="359" t="str">
        <f>IFERROR(VLOOKUP($A761,#REF!,6,0),"")</f>
        <v/>
      </c>
      <c r="P761" s="359" t="str">
        <f>IFERROR(VLOOKUP($A761,#REF!,9,0),"")</f>
        <v/>
      </c>
      <c r="Q761" s="359" t="str">
        <f>IFERROR(VLOOKUP($A761,#REF!,10,0),"")</f>
        <v/>
      </c>
      <c r="R761" s="359" t="str">
        <f>IFERROR(VLOOKUP($A761,#REF!,11,0),"")</f>
        <v/>
      </c>
      <c r="S761" s="359" t="str">
        <f>IFERROR(VLOOKUP($A761,#REF!,13,0),"")</f>
        <v/>
      </c>
      <c r="T761" s="359" t="str">
        <f>IFERROR(VLOOKUP($A761,#REF!,14,0),"")</f>
        <v/>
      </c>
      <c r="U761" s="359" t="str">
        <f>IFERROR(VLOOKUP($A761,#REF!,15,0),"")</f>
        <v/>
      </c>
      <c r="V761" s="359" t="str">
        <f>IFERROR(VLOOKUP($A761,#REF!,16,0),"")</f>
        <v/>
      </c>
      <c r="W761" s="359" t="str">
        <f>IFERROR(VLOOKUP($A761,#REF!,17,0),"")</f>
        <v/>
      </c>
      <c r="X761" s="359" t="str">
        <f>IFERROR(VLOOKUP($A761,#REF!,18,0),"")</f>
        <v/>
      </c>
      <c r="Y761" s="359" t="str">
        <f>IFERROR(VLOOKUP($A761,#REF!,19,0),"")</f>
        <v/>
      </c>
      <c r="Z761" s="400" t="str">
        <f>IFERROR(VLOOKUP($A761,#REF!,21,0),"")</f>
        <v/>
      </c>
      <c r="AA761" s="358"/>
      <c r="AB761" s="358"/>
      <c r="AC761" s="119"/>
      <c r="AD761" s="119"/>
      <c r="AE761" s="119"/>
      <c r="AF761" s="277"/>
      <c r="AG761" s="119"/>
      <c r="AH761" s="358"/>
      <c r="AI761" s="358"/>
      <c r="AJ761" s="380"/>
      <c r="AK761" s="380"/>
      <c r="AL761" s="380"/>
      <c r="AM761" s="380"/>
      <c r="AN761" s="120"/>
      <c r="AO761" s="120"/>
      <c r="AP761" s="120"/>
      <c r="AQ761" s="313"/>
      <c r="AR761" s="119"/>
      <c r="AS761" s="22"/>
      <c r="AT761" s="22"/>
      <c r="AU761" s="22"/>
      <c r="AV761" s="2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112"/>
      <c r="BH761" s="112"/>
      <c r="BI761" s="112"/>
      <c r="BJ761" s="112"/>
      <c r="BK761" s="82"/>
      <c r="BL761" s="82"/>
      <c r="BN761" s="412"/>
      <c r="BO761" s="412"/>
      <c r="BP761" s="412"/>
      <c r="BQ761" s="412"/>
      <c r="BR761" s="412"/>
      <c r="BZ761" t="str">
        <f t="shared" si="70"/>
        <v/>
      </c>
    </row>
    <row r="762" spans="1:78" ht="15.6" hidden="1" customHeight="1">
      <c r="A762" s="35" t="str">
        <f t="shared" si="69"/>
        <v/>
      </c>
      <c r="C762" s="358" t="s">
        <v>24</v>
      </c>
      <c r="D762" s="358">
        <v>758</v>
      </c>
      <c r="E762" s="119"/>
      <c r="F762" s="119"/>
      <c r="G762" s="266"/>
      <c r="H762" s="119"/>
      <c r="I762" s="358"/>
      <c r="J762" s="359" t="str">
        <f>IFERROR(VLOOKUP($A762,#REF!,3,0),"")</f>
        <v/>
      </c>
      <c r="K762" s="359">
        <f>IFERROR(VLOOKUP($A762,#REF!,4,0),AF762)</f>
        <v>0</v>
      </c>
      <c r="L762" s="359" t="str">
        <f>IFERROR(VLOOKUP($A762,#REF!,5,0),"")</f>
        <v/>
      </c>
      <c r="M762" s="359" t="str">
        <f>IFERROR(VLOOKUP($A762,#REF!,7,0),"")</f>
        <v/>
      </c>
      <c r="N762" s="359"/>
      <c r="O762" s="359" t="str">
        <f>IFERROR(VLOOKUP($A762,#REF!,6,0),"")</f>
        <v/>
      </c>
      <c r="P762" s="359" t="str">
        <f>IFERROR(VLOOKUP($A762,#REF!,9,0),"")</f>
        <v/>
      </c>
      <c r="Q762" s="359" t="str">
        <f>IFERROR(VLOOKUP($A762,#REF!,10,0),"")</f>
        <v/>
      </c>
      <c r="R762" s="359" t="str">
        <f>IFERROR(VLOOKUP($A762,#REF!,11,0),"")</f>
        <v/>
      </c>
      <c r="S762" s="359" t="str">
        <f>IFERROR(VLOOKUP($A762,#REF!,13,0),"")</f>
        <v/>
      </c>
      <c r="T762" s="359" t="str">
        <f>IFERROR(VLOOKUP($A762,#REF!,14,0),"")</f>
        <v/>
      </c>
      <c r="U762" s="359" t="str">
        <f>IFERROR(VLOOKUP($A762,#REF!,15,0),"")</f>
        <v/>
      </c>
      <c r="V762" s="359" t="str">
        <f>IFERROR(VLOOKUP($A762,#REF!,16,0),"")</f>
        <v/>
      </c>
      <c r="W762" s="359" t="str">
        <f>IFERROR(VLOOKUP($A762,#REF!,17,0),"")</f>
        <v/>
      </c>
      <c r="X762" s="359" t="str">
        <f>IFERROR(VLOOKUP($A762,#REF!,18,0),"")</f>
        <v/>
      </c>
      <c r="Y762" s="359" t="str">
        <f>IFERROR(VLOOKUP($A762,#REF!,19,0),"")</f>
        <v/>
      </c>
      <c r="Z762" s="400" t="str">
        <f>IFERROR(VLOOKUP($A762,#REF!,21,0),"")</f>
        <v/>
      </c>
      <c r="AA762" s="358"/>
      <c r="AB762" s="358"/>
      <c r="AC762" s="119"/>
      <c r="AD762" s="119"/>
      <c r="AE762" s="119"/>
      <c r="AF762" s="277"/>
      <c r="AG762" s="119"/>
      <c r="AH762" s="358"/>
      <c r="AI762" s="358"/>
      <c r="AJ762" s="380"/>
      <c r="AK762" s="380"/>
      <c r="AL762" s="380"/>
      <c r="AM762" s="380"/>
      <c r="AN762" s="120"/>
      <c r="AO762" s="120"/>
      <c r="AP762" s="120"/>
      <c r="AQ762" s="313"/>
      <c r="AR762" s="119"/>
      <c r="AS762" s="22"/>
      <c r="AT762" s="22"/>
      <c r="AU762" s="22"/>
      <c r="AV762" s="2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112"/>
      <c r="BH762" s="112"/>
      <c r="BI762" s="112"/>
      <c r="BJ762" s="112"/>
      <c r="BK762" s="82"/>
      <c r="BL762" s="82"/>
      <c r="BN762" s="412"/>
      <c r="BO762" s="412"/>
      <c r="BP762" s="412"/>
      <c r="BQ762" s="412"/>
      <c r="BR762" s="412"/>
      <c r="BZ762" t="str">
        <f t="shared" si="70"/>
        <v/>
      </c>
    </row>
    <row r="763" spans="1:78" ht="15.6" hidden="1" customHeight="1">
      <c r="A763" s="35" t="str">
        <f t="shared" si="69"/>
        <v/>
      </c>
      <c r="C763" s="358" t="s">
        <v>24</v>
      </c>
      <c r="D763" s="358">
        <v>759</v>
      </c>
      <c r="E763" s="119"/>
      <c r="F763" s="119"/>
      <c r="G763" s="266"/>
      <c r="H763" s="119"/>
      <c r="I763" s="358"/>
      <c r="J763" s="359" t="str">
        <f>IFERROR(VLOOKUP($A763,#REF!,3,0),"")</f>
        <v/>
      </c>
      <c r="K763" s="359">
        <f>IFERROR(VLOOKUP($A763,#REF!,4,0),AF763)</f>
        <v>0</v>
      </c>
      <c r="L763" s="359" t="str">
        <f>IFERROR(VLOOKUP($A763,#REF!,5,0),"")</f>
        <v/>
      </c>
      <c r="M763" s="359" t="str">
        <f>IFERROR(VLOOKUP($A763,#REF!,7,0),"")</f>
        <v/>
      </c>
      <c r="N763" s="359"/>
      <c r="O763" s="359" t="str">
        <f>IFERROR(VLOOKUP($A763,#REF!,6,0),"")</f>
        <v/>
      </c>
      <c r="P763" s="359" t="str">
        <f>IFERROR(VLOOKUP($A763,#REF!,9,0),"")</f>
        <v/>
      </c>
      <c r="Q763" s="359" t="str">
        <f>IFERROR(VLOOKUP($A763,#REF!,10,0),"")</f>
        <v/>
      </c>
      <c r="R763" s="359" t="str">
        <f>IFERROR(VLOOKUP($A763,#REF!,11,0),"")</f>
        <v/>
      </c>
      <c r="S763" s="359" t="str">
        <f>IFERROR(VLOOKUP($A763,#REF!,13,0),"")</f>
        <v/>
      </c>
      <c r="T763" s="359" t="str">
        <f>IFERROR(VLOOKUP($A763,#REF!,14,0),"")</f>
        <v/>
      </c>
      <c r="U763" s="359" t="str">
        <f>IFERROR(VLOOKUP($A763,#REF!,15,0),"")</f>
        <v/>
      </c>
      <c r="V763" s="359" t="str">
        <f>IFERROR(VLOOKUP($A763,#REF!,16,0),"")</f>
        <v/>
      </c>
      <c r="W763" s="359" t="str">
        <f>IFERROR(VLOOKUP($A763,#REF!,17,0),"")</f>
        <v/>
      </c>
      <c r="X763" s="359" t="str">
        <f>IFERROR(VLOOKUP($A763,#REF!,18,0),"")</f>
        <v/>
      </c>
      <c r="Y763" s="359" t="str">
        <f>IFERROR(VLOOKUP($A763,#REF!,19,0),"")</f>
        <v/>
      </c>
      <c r="Z763" s="400" t="str">
        <f>IFERROR(VLOOKUP($A763,#REF!,21,0),"")</f>
        <v/>
      </c>
      <c r="AA763" s="358"/>
      <c r="AB763" s="358"/>
      <c r="AC763" s="119"/>
      <c r="AD763" s="119"/>
      <c r="AE763" s="119"/>
      <c r="AF763" s="277"/>
      <c r="AG763" s="119"/>
      <c r="AH763" s="358"/>
      <c r="AI763" s="358"/>
      <c r="AJ763" s="380"/>
      <c r="AK763" s="380"/>
      <c r="AL763" s="380"/>
      <c r="AM763" s="380"/>
      <c r="AN763" s="120"/>
      <c r="AO763" s="120"/>
      <c r="AP763" s="120"/>
      <c r="AQ763" s="313"/>
      <c r="AR763" s="119"/>
      <c r="AS763" s="22"/>
      <c r="AT763" s="22"/>
      <c r="AU763" s="22"/>
      <c r="AV763" s="2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112"/>
      <c r="BH763" s="112"/>
      <c r="BI763" s="112"/>
      <c r="BJ763" s="112"/>
      <c r="BK763" s="82"/>
      <c r="BL763" s="82"/>
      <c r="BN763" s="412"/>
      <c r="BO763" s="412"/>
      <c r="BP763" s="412"/>
      <c r="BQ763" s="412"/>
      <c r="BR763" s="412"/>
      <c r="BZ763" t="str">
        <f t="shared" si="70"/>
        <v/>
      </c>
    </row>
    <row r="764" spans="1:78" ht="15.6" hidden="1" customHeight="1">
      <c r="A764" s="35" t="str">
        <f t="shared" si="69"/>
        <v/>
      </c>
      <c r="C764" s="358" t="s">
        <v>24</v>
      </c>
      <c r="D764" s="358">
        <v>760</v>
      </c>
      <c r="E764" s="119"/>
      <c r="F764" s="119"/>
      <c r="G764" s="266"/>
      <c r="H764" s="119"/>
      <c r="I764" s="358"/>
      <c r="J764" s="359" t="str">
        <f>IFERROR(VLOOKUP($A764,#REF!,3,0),"")</f>
        <v/>
      </c>
      <c r="K764" s="359">
        <f>IFERROR(VLOOKUP($A764,#REF!,4,0),AF764)</f>
        <v>0</v>
      </c>
      <c r="L764" s="359" t="str">
        <f>IFERROR(VLOOKUP($A764,#REF!,5,0),"")</f>
        <v/>
      </c>
      <c r="M764" s="359" t="str">
        <f>IFERROR(VLOOKUP($A764,#REF!,7,0),"")</f>
        <v/>
      </c>
      <c r="N764" s="359"/>
      <c r="O764" s="359" t="str">
        <f>IFERROR(VLOOKUP($A764,#REF!,6,0),"")</f>
        <v/>
      </c>
      <c r="P764" s="359" t="str">
        <f>IFERROR(VLOOKUP($A764,#REF!,9,0),"")</f>
        <v/>
      </c>
      <c r="Q764" s="359" t="str">
        <f>IFERROR(VLOOKUP($A764,#REF!,10,0),"")</f>
        <v/>
      </c>
      <c r="R764" s="359" t="str">
        <f>IFERROR(VLOOKUP($A764,#REF!,11,0),"")</f>
        <v/>
      </c>
      <c r="S764" s="359" t="str">
        <f>IFERROR(VLOOKUP($A764,#REF!,13,0),"")</f>
        <v/>
      </c>
      <c r="T764" s="359" t="str">
        <f>IFERROR(VLOOKUP($A764,#REF!,14,0),"")</f>
        <v/>
      </c>
      <c r="U764" s="359" t="str">
        <f>IFERROR(VLOOKUP($A764,#REF!,15,0),"")</f>
        <v/>
      </c>
      <c r="V764" s="359" t="str">
        <f>IFERROR(VLOOKUP($A764,#REF!,16,0),"")</f>
        <v/>
      </c>
      <c r="W764" s="359" t="str">
        <f>IFERROR(VLOOKUP($A764,#REF!,17,0),"")</f>
        <v/>
      </c>
      <c r="X764" s="359" t="str">
        <f>IFERROR(VLOOKUP($A764,#REF!,18,0),"")</f>
        <v/>
      </c>
      <c r="Y764" s="359" t="str">
        <f>IFERROR(VLOOKUP($A764,#REF!,19,0),"")</f>
        <v/>
      </c>
      <c r="Z764" s="400" t="str">
        <f>IFERROR(VLOOKUP($A764,#REF!,21,0),"")</f>
        <v/>
      </c>
      <c r="AA764" s="358"/>
      <c r="AB764" s="358"/>
      <c r="AC764" s="119"/>
      <c r="AD764" s="119"/>
      <c r="AE764" s="119"/>
      <c r="AF764" s="277"/>
      <c r="AG764" s="119"/>
      <c r="AH764" s="358"/>
      <c r="AI764" s="358"/>
      <c r="AJ764" s="380"/>
      <c r="AK764" s="380"/>
      <c r="AL764" s="380"/>
      <c r="AM764" s="380"/>
      <c r="AN764" s="120"/>
      <c r="AO764" s="120"/>
      <c r="AP764" s="120"/>
      <c r="AQ764" s="313"/>
      <c r="AR764" s="119"/>
      <c r="AS764" s="22"/>
      <c r="AT764" s="22"/>
      <c r="AU764" s="22"/>
      <c r="AV764" s="22"/>
      <c r="AW764" s="82"/>
      <c r="AX764" s="82"/>
      <c r="AY764" s="82"/>
      <c r="AZ764" s="82"/>
      <c r="BA764" s="82"/>
      <c r="BB764" s="82"/>
      <c r="BC764" s="82"/>
      <c r="BD764" s="82"/>
      <c r="BE764" s="82"/>
      <c r="BF764" s="82"/>
      <c r="BG764" s="112"/>
      <c r="BH764" s="112"/>
      <c r="BI764" s="112"/>
      <c r="BJ764" s="112"/>
      <c r="BK764" s="82"/>
      <c r="BL764" s="82"/>
      <c r="BN764" s="412"/>
      <c r="BO764" s="412"/>
      <c r="BP764" s="412"/>
      <c r="BQ764" s="412"/>
      <c r="BR764" s="412"/>
      <c r="BZ764" t="str">
        <f t="shared" si="70"/>
        <v/>
      </c>
    </row>
    <row r="765" spans="1:78" ht="15.6" hidden="1" customHeight="1">
      <c r="A765" s="35" t="str">
        <f t="shared" si="69"/>
        <v/>
      </c>
      <c r="C765" s="358" t="s">
        <v>24</v>
      </c>
      <c r="D765" s="358">
        <v>761</v>
      </c>
      <c r="E765" s="119"/>
      <c r="F765" s="119"/>
      <c r="G765" s="266"/>
      <c r="H765" s="119"/>
      <c r="I765" s="358"/>
      <c r="J765" s="359" t="str">
        <f>IFERROR(VLOOKUP($A765,#REF!,3,0),"")</f>
        <v/>
      </c>
      <c r="K765" s="359">
        <f>IFERROR(VLOOKUP($A765,#REF!,4,0),AF765)</f>
        <v>0</v>
      </c>
      <c r="L765" s="359" t="str">
        <f>IFERROR(VLOOKUP($A765,#REF!,5,0),"")</f>
        <v/>
      </c>
      <c r="M765" s="359" t="str">
        <f>IFERROR(VLOOKUP($A765,#REF!,7,0),"")</f>
        <v/>
      </c>
      <c r="N765" s="359"/>
      <c r="O765" s="359" t="str">
        <f>IFERROR(VLOOKUP($A765,#REF!,6,0),"")</f>
        <v/>
      </c>
      <c r="P765" s="359" t="str">
        <f>IFERROR(VLOOKUP($A765,#REF!,9,0),"")</f>
        <v/>
      </c>
      <c r="Q765" s="359" t="str">
        <f>IFERROR(VLOOKUP($A765,#REF!,10,0),"")</f>
        <v/>
      </c>
      <c r="R765" s="359" t="str">
        <f>IFERROR(VLOOKUP($A765,#REF!,11,0),"")</f>
        <v/>
      </c>
      <c r="S765" s="359" t="str">
        <f>IFERROR(VLOOKUP($A765,#REF!,13,0),"")</f>
        <v/>
      </c>
      <c r="T765" s="359" t="str">
        <f>IFERROR(VLOOKUP($A765,#REF!,14,0),"")</f>
        <v/>
      </c>
      <c r="U765" s="359" t="str">
        <f>IFERROR(VLOOKUP($A765,#REF!,15,0),"")</f>
        <v/>
      </c>
      <c r="V765" s="359" t="str">
        <f>IFERROR(VLOOKUP($A765,#REF!,16,0),"")</f>
        <v/>
      </c>
      <c r="W765" s="359" t="str">
        <f>IFERROR(VLOOKUP($A765,#REF!,17,0),"")</f>
        <v/>
      </c>
      <c r="X765" s="359" t="str">
        <f>IFERROR(VLOOKUP($A765,#REF!,18,0),"")</f>
        <v/>
      </c>
      <c r="Y765" s="359" t="str">
        <f>IFERROR(VLOOKUP($A765,#REF!,19,0),"")</f>
        <v/>
      </c>
      <c r="Z765" s="400" t="str">
        <f>IFERROR(VLOOKUP($A765,#REF!,21,0),"")</f>
        <v/>
      </c>
      <c r="AA765" s="358"/>
      <c r="AB765" s="358"/>
      <c r="AC765" s="119"/>
      <c r="AD765" s="119"/>
      <c r="AE765" s="119"/>
      <c r="AF765" s="277"/>
      <c r="AG765" s="119"/>
      <c r="AH765" s="358"/>
      <c r="AI765" s="358"/>
      <c r="AJ765" s="380"/>
      <c r="AK765" s="380"/>
      <c r="AL765" s="380"/>
      <c r="AM765" s="380"/>
      <c r="AN765" s="120"/>
      <c r="AO765" s="120"/>
      <c r="AP765" s="120"/>
      <c r="AQ765" s="313"/>
      <c r="AR765" s="119"/>
      <c r="AS765" s="22"/>
      <c r="AT765" s="22"/>
      <c r="AU765" s="22"/>
      <c r="AV765" s="22"/>
      <c r="AW765" s="82"/>
      <c r="AX765" s="82"/>
      <c r="AY765" s="82"/>
      <c r="AZ765" s="82"/>
      <c r="BA765" s="82"/>
      <c r="BB765" s="82"/>
      <c r="BC765" s="82"/>
      <c r="BD765" s="82"/>
      <c r="BE765" s="82"/>
      <c r="BF765" s="82"/>
      <c r="BG765" s="112"/>
      <c r="BH765" s="112"/>
      <c r="BI765" s="112"/>
      <c r="BJ765" s="112"/>
      <c r="BK765" s="82"/>
      <c r="BL765" s="82"/>
      <c r="BN765" s="412"/>
      <c r="BO765" s="412"/>
      <c r="BP765" s="412"/>
      <c r="BQ765" s="412"/>
      <c r="BR765" s="412"/>
      <c r="BZ765" t="str">
        <f t="shared" si="70"/>
        <v/>
      </c>
    </row>
    <row r="766" spans="1:78" ht="15.6" hidden="1" customHeight="1">
      <c r="A766" s="35" t="str">
        <f t="shared" si="69"/>
        <v/>
      </c>
      <c r="C766" s="358" t="s">
        <v>24</v>
      </c>
      <c r="D766" s="358">
        <v>762</v>
      </c>
      <c r="E766" s="119"/>
      <c r="F766" s="119"/>
      <c r="G766" s="266"/>
      <c r="H766" s="119"/>
      <c r="I766" s="358"/>
      <c r="J766" s="359" t="str">
        <f>IFERROR(VLOOKUP($A766,#REF!,3,0),"")</f>
        <v/>
      </c>
      <c r="K766" s="359">
        <f>IFERROR(VLOOKUP($A766,#REF!,4,0),AF766)</f>
        <v>0</v>
      </c>
      <c r="L766" s="359" t="str">
        <f>IFERROR(VLOOKUP($A766,#REF!,5,0),"")</f>
        <v/>
      </c>
      <c r="M766" s="359" t="str">
        <f>IFERROR(VLOOKUP($A766,#REF!,7,0),"")</f>
        <v/>
      </c>
      <c r="N766" s="359"/>
      <c r="O766" s="359" t="str">
        <f>IFERROR(VLOOKUP($A766,#REF!,6,0),"")</f>
        <v/>
      </c>
      <c r="P766" s="359" t="str">
        <f>IFERROR(VLOOKUP($A766,#REF!,9,0),"")</f>
        <v/>
      </c>
      <c r="Q766" s="359" t="str">
        <f>IFERROR(VLOOKUP($A766,#REF!,10,0),"")</f>
        <v/>
      </c>
      <c r="R766" s="359" t="str">
        <f>IFERROR(VLOOKUP($A766,#REF!,11,0),"")</f>
        <v/>
      </c>
      <c r="S766" s="359" t="str">
        <f>IFERROR(VLOOKUP($A766,#REF!,13,0),"")</f>
        <v/>
      </c>
      <c r="T766" s="359" t="str">
        <f>IFERROR(VLOOKUP($A766,#REF!,14,0),"")</f>
        <v/>
      </c>
      <c r="U766" s="359" t="str">
        <f>IFERROR(VLOOKUP($A766,#REF!,15,0),"")</f>
        <v/>
      </c>
      <c r="V766" s="359" t="str">
        <f>IFERROR(VLOOKUP($A766,#REF!,16,0),"")</f>
        <v/>
      </c>
      <c r="W766" s="359" t="str">
        <f>IFERROR(VLOOKUP($A766,#REF!,17,0),"")</f>
        <v/>
      </c>
      <c r="X766" s="359" t="str">
        <f>IFERROR(VLOOKUP($A766,#REF!,18,0),"")</f>
        <v/>
      </c>
      <c r="Y766" s="359" t="str">
        <f>IFERROR(VLOOKUP($A766,#REF!,19,0),"")</f>
        <v/>
      </c>
      <c r="Z766" s="400" t="str">
        <f>IFERROR(VLOOKUP($A766,#REF!,21,0),"")</f>
        <v/>
      </c>
      <c r="AA766" s="358"/>
      <c r="AB766" s="358"/>
      <c r="AC766" s="119"/>
      <c r="AD766" s="119"/>
      <c r="AE766" s="119"/>
      <c r="AF766" s="277"/>
      <c r="AG766" s="119"/>
      <c r="AH766" s="358"/>
      <c r="AI766" s="358"/>
      <c r="AJ766" s="380"/>
      <c r="AK766" s="380"/>
      <c r="AL766" s="380"/>
      <c r="AM766" s="380"/>
      <c r="AN766" s="120"/>
      <c r="AO766" s="120"/>
      <c r="AP766" s="120"/>
      <c r="AQ766" s="313"/>
      <c r="AR766" s="119"/>
      <c r="AS766" s="22"/>
      <c r="AT766" s="22"/>
      <c r="AU766" s="22"/>
      <c r="AV766" s="22"/>
      <c r="AW766" s="82"/>
      <c r="AX766" s="82"/>
      <c r="AY766" s="82"/>
      <c r="AZ766" s="82"/>
      <c r="BA766" s="82"/>
      <c r="BB766" s="82"/>
      <c r="BC766" s="82"/>
      <c r="BD766" s="82"/>
      <c r="BE766" s="82"/>
      <c r="BF766" s="82"/>
      <c r="BG766" s="112"/>
      <c r="BH766" s="112"/>
      <c r="BI766" s="112"/>
      <c r="BJ766" s="112"/>
      <c r="BK766" s="82"/>
      <c r="BL766" s="82"/>
      <c r="BN766" s="412"/>
      <c r="BO766" s="412"/>
      <c r="BP766" s="412"/>
      <c r="BQ766" s="412"/>
      <c r="BR766" s="412"/>
      <c r="BZ766" t="str">
        <f t="shared" si="70"/>
        <v/>
      </c>
    </row>
    <row r="767" spans="1:78" ht="15.6" hidden="1" customHeight="1">
      <c r="A767" s="35" t="str">
        <f t="shared" si="69"/>
        <v/>
      </c>
      <c r="C767" s="358" t="s">
        <v>24</v>
      </c>
      <c r="D767" s="358">
        <v>763</v>
      </c>
      <c r="E767" s="119"/>
      <c r="F767" s="119"/>
      <c r="G767" s="266"/>
      <c r="H767" s="119"/>
      <c r="I767" s="358"/>
      <c r="J767" s="359" t="str">
        <f>IFERROR(VLOOKUP($A767,#REF!,3,0),"")</f>
        <v/>
      </c>
      <c r="K767" s="359">
        <f>IFERROR(VLOOKUP($A767,#REF!,4,0),AF767)</f>
        <v>0</v>
      </c>
      <c r="L767" s="359" t="str">
        <f>IFERROR(VLOOKUP($A767,#REF!,5,0),"")</f>
        <v/>
      </c>
      <c r="M767" s="359" t="str">
        <f>IFERROR(VLOOKUP($A767,#REF!,7,0),"")</f>
        <v/>
      </c>
      <c r="N767" s="359"/>
      <c r="O767" s="359" t="str">
        <f>IFERROR(VLOOKUP($A767,#REF!,6,0),"")</f>
        <v/>
      </c>
      <c r="P767" s="359" t="str">
        <f>IFERROR(VLOOKUP($A767,#REF!,9,0),"")</f>
        <v/>
      </c>
      <c r="Q767" s="359" t="str">
        <f>IFERROR(VLOOKUP($A767,#REF!,10,0),"")</f>
        <v/>
      </c>
      <c r="R767" s="359" t="str">
        <f>IFERROR(VLOOKUP($A767,#REF!,11,0),"")</f>
        <v/>
      </c>
      <c r="S767" s="359" t="str">
        <f>IFERROR(VLOOKUP($A767,#REF!,13,0),"")</f>
        <v/>
      </c>
      <c r="T767" s="359" t="str">
        <f>IFERROR(VLOOKUP($A767,#REF!,14,0),"")</f>
        <v/>
      </c>
      <c r="U767" s="359" t="str">
        <f>IFERROR(VLOOKUP($A767,#REF!,15,0),"")</f>
        <v/>
      </c>
      <c r="V767" s="359" t="str">
        <f>IFERROR(VLOOKUP($A767,#REF!,16,0),"")</f>
        <v/>
      </c>
      <c r="W767" s="359" t="str">
        <f>IFERROR(VLOOKUP($A767,#REF!,17,0),"")</f>
        <v/>
      </c>
      <c r="X767" s="359" t="str">
        <f>IFERROR(VLOOKUP($A767,#REF!,18,0),"")</f>
        <v/>
      </c>
      <c r="Y767" s="359" t="str">
        <f>IFERROR(VLOOKUP($A767,#REF!,19,0),"")</f>
        <v/>
      </c>
      <c r="Z767" s="400" t="str">
        <f>IFERROR(VLOOKUP($A767,#REF!,21,0),"")</f>
        <v/>
      </c>
      <c r="AA767" s="358"/>
      <c r="AB767" s="358"/>
      <c r="AC767" s="119"/>
      <c r="AD767" s="119"/>
      <c r="AE767" s="119"/>
      <c r="AF767" s="277"/>
      <c r="AG767" s="119"/>
      <c r="AH767" s="358"/>
      <c r="AI767" s="358"/>
      <c r="AJ767" s="380"/>
      <c r="AK767" s="380"/>
      <c r="AL767" s="380"/>
      <c r="AM767" s="380"/>
      <c r="AN767" s="120"/>
      <c r="AO767" s="120"/>
      <c r="AP767" s="120"/>
      <c r="AQ767" s="313"/>
      <c r="AR767" s="119"/>
      <c r="AS767" s="22"/>
      <c r="AT767" s="22"/>
      <c r="AU767" s="22"/>
      <c r="AV767" s="2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112"/>
      <c r="BH767" s="112"/>
      <c r="BI767" s="112"/>
      <c r="BJ767" s="112"/>
      <c r="BK767" s="82"/>
      <c r="BL767" s="82"/>
      <c r="BN767" s="412"/>
      <c r="BO767" s="412"/>
      <c r="BP767" s="412"/>
      <c r="BQ767" s="412"/>
      <c r="BR767" s="412"/>
      <c r="BZ767" t="str">
        <f t="shared" si="70"/>
        <v/>
      </c>
    </row>
    <row r="768" spans="1:78" ht="15.6" hidden="1" customHeight="1">
      <c r="A768" s="35" t="str">
        <f t="shared" si="69"/>
        <v>M159/2646181</v>
      </c>
      <c r="C768" s="358" t="s">
        <v>24</v>
      </c>
      <c r="D768" s="358">
        <v>764</v>
      </c>
      <c r="E768" s="358" t="s">
        <v>4072</v>
      </c>
      <c r="F768" s="119" t="s">
        <v>1641</v>
      </c>
      <c r="G768" s="266">
        <v>46181</v>
      </c>
      <c r="H768" s="119" t="s">
        <v>666</v>
      </c>
      <c r="I768" s="358">
        <v>22</v>
      </c>
      <c r="J768" s="359" t="str">
        <f>IFERROR(VLOOKUP($A768,#REF!,3,0),"")</f>
        <v/>
      </c>
      <c r="K768" s="359">
        <f>IFERROR(VLOOKUP($A768,#REF!,4,0),AF768)</f>
        <v>0</v>
      </c>
      <c r="L768" s="359" t="str">
        <f>IFERROR(VLOOKUP($A768,#REF!,5,0),"")</f>
        <v/>
      </c>
      <c r="M768" s="359" t="str">
        <f>IFERROR(VLOOKUP($A768,#REF!,7,0),"")</f>
        <v/>
      </c>
      <c r="N768" s="359"/>
      <c r="O768" s="359" t="str">
        <f>IFERROR(VLOOKUP($A768,#REF!,6,0),"")</f>
        <v/>
      </c>
      <c r="P768" s="359" t="str">
        <f>IFERROR(VLOOKUP($A768,#REF!,9,0),"")</f>
        <v/>
      </c>
      <c r="Q768" s="359" t="str">
        <f>IFERROR(VLOOKUP($A768,#REF!,10,0),"")</f>
        <v/>
      </c>
      <c r="R768" s="359" t="str">
        <f>IFERROR(VLOOKUP($A768,#REF!,11,0),"")</f>
        <v/>
      </c>
      <c r="S768" s="359" t="str">
        <f>IFERROR(VLOOKUP($A768,#REF!,13,0),"")</f>
        <v/>
      </c>
      <c r="T768" s="359" t="str">
        <f>IFERROR(VLOOKUP($A768,#REF!,14,0),"")</f>
        <v/>
      </c>
      <c r="U768" s="359" t="str">
        <f>IFERROR(VLOOKUP($A768,#REF!,15,0),"")</f>
        <v/>
      </c>
      <c r="V768" s="359" t="str">
        <f>IFERROR(VLOOKUP($A768,#REF!,16,0),"")</f>
        <v/>
      </c>
      <c r="W768" s="359" t="str">
        <f>IFERROR(VLOOKUP($A768,#REF!,17,0),"")</f>
        <v/>
      </c>
      <c r="X768" s="359" t="str">
        <f>IFERROR(VLOOKUP($A768,#REF!,18,0),"")</f>
        <v/>
      </c>
      <c r="Y768" s="359" t="str">
        <f>IFERROR(VLOOKUP($A768,#REF!,19,0),"")</f>
        <v/>
      </c>
      <c r="Z768" s="400" t="str">
        <f>IFERROR(VLOOKUP($A768,#REF!,21,0),"")</f>
        <v/>
      </c>
      <c r="AA768" s="358"/>
      <c r="AB768" s="358"/>
      <c r="AC768" s="119" t="s">
        <v>1077</v>
      </c>
      <c r="AD768" s="119" t="s">
        <v>1138</v>
      </c>
      <c r="AE768" s="119"/>
      <c r="AF768" s="277"/>
      <c r="AG768" s="119"/>
      <c r="AH768" s="119"/>
      <c r="AI768" s="119"/>
      <c r="AJ768" s="120"/>
      <c r="AK768" s="120"/>
      <c r="AL768" s="120"/>
      <c r="AM768" s="120"/>
      <c r="AN768" s="120"/>
      <c r="AO768" s="120"/>
      <c r="AP768" s="120"/>
      <c r="AQ768" s="313"/>
      <c r="AR768" s="119"/>
      <c r="AS768" s="22"/>
      <c r="AT768" s="22"/>
      <c r="AU768" s="22"/>
      <c r="AV768" s="22"/>
      <c r="AW768" s="82"/>
      <c r="AX768" s="82"/>
      <c r="AY768" s="82"/>
      <c r="AZ768" s="82"/>
      <c r="BA768" s="82"/>
      <c r="BB768" s="82"/>
      <c r="BC768" s="82"/>
      <c r="BD768" s="82"/>
      <c r="BE768" s="82"/>
      <c r="BF768" s="82"/>
      <c r="BG768" s="112"/>
      <c r="BH768" s="112"/>
      <c r="BI768" s="112"/>
      <c r="BJ768" s="112"/>
      <c r="BK768" s="82"/>
      <c r="BL768" s="82"/>
      <c r="BN768" s="412"/>
      <c r="BO768" s="412"/>
      <c r="BP768" s="412"/>
      <c r="BQ768" s="412"/>
      <c r="BR768" s="412"/>
      <c r="BZ768">
        <f t="shared" si="70"/>
        <v>1</v>
      </c>
    </row>
    <row r="769" spans="1:78" ht="15.6" hidden="1" customHeight="1">
      <c r="A769" s="35" t="str">
        <f t="shared" si="69"/>
        <v>M160/2646182</v>
      </c>
      <c r="C769" s="358" t="s">
        <v>24</v>
      </c>
      <c r="D769" s="358">
        <v>765</v>
      </c>
      <c r="E769" s="119" t="s">
        <v>4073</v>
      </c>
      <c r="F769" s="119" t="s">
        <v>129</v>
      </c>
      <c r="G769" s="266">
        <v>46182</v>
      </c>
      <c r="H769" s="119" t="s">
        <v>666</v>
      </c>
      <c r="I769" s="358">
        <v>22</v>
      </c>
      <c r="J769" s="359" t="str">
        <f>IFERROR(VLOOKUP($A769,#REF!,3,0),"")</f>
        <v/>
      </c>
      <c r="K769" s="359">
        <f>IFERROR(VLOOKUP($A769,#REF!,4,0),AF769)</f>
        <v>0</v>
      </c>
      <c r="L769" s="359" t="str">
        <f>IFERROR(VLOOKUP($A769,#REF!,5,0),"")</f>
        <v/>
      </c>
      <c r="M769" s="359" t="str">
        <f>IFERROR(VLOOKUP($A769,#REF!,7,0),"")</f>
        <v/>
      </c>
      <c r="N769" s="359"/>
      <c r="O769" s="359" t="str">
        <f>IFERROR(VLOOKUP($A769,#REF!,6,0),"")</f>
        <v/>
      </c>
      <c r="P769" s="359" t="str">
        <f>IFERROR(VLOOKUP($A769,#REF!,9,0),"")</f>
        <v/>
      </c>
      <c r="Q769" s="359" t="str">
        <f>IFERROR(VLOOKUP($A769,#REF!,10,0),"")</f>
        <v/>
      </c>
      <c r="R769" s="359" t="str">
        <f>IFERROR(VLOOKUP($A769,#REF!,11,0),"")</f>
        <v/>
      </c>
      <c r="S769" s="359" t="str">
        <f>IFERROR(VLOOKUP($A769,#REF!,13,0),"")</f>
        <v/>
      </c>
      <c r="T769" s="359" t="str">
        <f>IFERROR(VLOOKUP($A769,#REF!,14,0),"")</f>
        <v/>
      </c>
      <c r="U769" s="359" t="str">
        <f>IFERROR(VLOOKUP($A769,#REF!,15,0),"")</f>
        <v/>
      </c>
      <c r="V769" s="359" t="str">
        <f>IFERROR(VLOOKUP($A769,#REF!,16,0),"")</f>
        <v/>
      </c>
      <c r="W769" s="359" t="str">
        <f>IFERROR(VLOOKUP($A769,#REF!,17,0),"")</f>
        <v/>
      </c>
      <c r="X769" s="359" t="str">
        <f>IFERROR(VLOOKUP($A769,#REF!,18,0),"")</f>
        <v/>
      </c>
      <c r="Y769" s="359" t="str">
        <f>IFERROR(VLOOKUP($A769,#REF!,19,0),"")</f>
        <v/>
      </c>
      <c r="Z769" s="400" t="str">
        <f>IFERROR(VLOOKUP($A769,#REF!,21,0),"")</f>
        <v/>
      </c>
      <c r="AA769" s="358"/>
      <c r="AB769" s="358"/>
      <c r="AC769" s="119" t="s">
        <v>1077</v>
      </c>
      <c r="AD769" s="119" t="s">
        <v>1138</v>
      </c>
      <c r="AE769" s="119"/>
      <c r="AF769" s="277"/>
      <c r="AG769" s="119"/>
      <c r="AH769" s="119"/>
      <c r="AI769" s="119"/>
      <c r="AJ769" s="120"/>
      <c r="AK769" s="120"/>
      <c r="AL769" s="120"/>
      <c r="AM769" s="120"/>
      <c r="AN769" s="120"/>
      <c r="AO769" s="120"/>
      <c r="AP769" s="120"/>
      <c r="AQ769" s="313"/>
      <c r="AR769" s="119"/>
      <c r="AS769" s="22"/>
      <c r="AT769" s="22"/>
      <c r="AU769" s="22"/>
      <c r="AV769" s="22"/>
      <c r="AW769" s="82"/>
      <c r="AX769" s="82"/>
      <c r="AY769" s="82"/>
      <c r="AZ769" s="82"/>
      <c r="BA769" s="82"/>
      <c r="BB769" s="82"/>
      <c r="BC769" s="82"/>
      <c r="BD769" s="82"/>
      <c r="BE769" s="82"/>
      <c r="BF769" s="82"/>
      <c r="BG769" s="112"/>
      <c r="BH769" s="112"/>
      <c r="BI769" s="112"/>
      <c r="BJ769" s="112"/>
      <c r="BK769" s="82"/>
      <c r="BL769" s="82"/>
      <c r="BN769" s="412"/>
      <c r="BO769" s="412"/>
      <c r="BP769" s="412"/>
      <c r="BQ769" s="412"/>
      <c r="BR769" s="412"/>
      <c r="BZ769">
        <f t="shared" si="70"/>
        <v>1</v>
      </c>
    </row>
    <row r="770" spans="1:78" ht="15.6" hidden="1" customHeight="1">
      <c r="A770" s="35" t="str">
        <f t="shared" si="69"/>
        <v>M161/2646266</v>
      </c>
      <c r="C770" s="358" t="s">
        <v>24</v>
      </c>
      <c r="D770" s="358">
        <v>766</v>
      </c>
      <c r="E770" s="119" t="s">
        <v>4074</v>
      </c>
      <c r="F770" s="119" t="s">
        <v>606</v>
      </c>
      <c r="G770" s="266">
        <v>46266</v>
      </c>
      <c r="H770" s="119" t="s">
        <v>666</v>
      </c>
      <c r="I770" s="358">
        <v>22</v>
      </c>
      <c r="J770" s="359" t="str">
        <f>IFERROR(VLOOKUP($A770,#REF!,3,0),"")</f>
        <v/>
      </c>
      <c r="K770" s="359">
        <f>IFERROR(VLOOKUP($A770,#REF!,4,0),AF770)</f>
        <v>0</v>
      </c>
      <c r="L770" s="359" t="str">
        <f>IFERROR(VLOOKUP($A770,#REF!,5,0),"")</f>
        <v/>
      </c>
      <c r="M770" s="359" t="str">
        <f>IFERROR(VLOOKUP($A770,#REF!,7,0),"")</f>
        <v/>
      </c>
      <c r="N770" s="359"/>
      <c r="O770" s="359" t="str">
        <f>IFERROR(VLOOKUP($A770,#REF!,6,0),"")</f>
        <v/>
      </c>
      <c r="P770" s="359" t="str">
        <f>IFERROR(VLOOKUP($A770,#REF!,9,0),"")</f>
        <v/>
      </c>
      <c r="Q770" s="359" t="str">
        <f>IFERROR(VLOOKUP($A770,#REF!,10,0),"")</f>
        <v/>
      </c>
      <c r="R770" s="359" t="str">
        <f>IFERROR(VLOOKUP($A770,#REF!,11,0),"")</f>
        <v/>
      </c>
      <c r="S770" s="359" t="str">
        <f>IFERROR(VLOOKUP($A770,#REF!,13,0),"")</f>
        <v/>
      </c>
      <c r="T770" s="359" t="str">
        <f>IFERROR(VLOOKUP($A770,#REF!,14,0),"")</f>
        <v/>
      </c>
      <c r="U770" s="359" t="str">
        <f>IFERROR(VLOOKUP($A770,#REF!,15,0),"")</f>
        <v/>
      </c>
      <c r="V770" s="359" t="str">
        <f>IFERROR(VLOOKUP($A770,#REF!,16,0),"")</f>
        <v/>
      </c>
      <c r="W770" s="359" t="str">
        <f>IFERROR(VLOOKUP($A770,#REF!,17,0),"")</f>
        <v/>
      </c>
      <c r="X770" s="359" t="str">
        <f>IFERROR(VLOOKUP($A770,#REF!,18,0),"")</f>
        <v/>
      </c>
      <c r="Y770" s="359" t="str">
        <f>IFERROR(VLOOKUP($A770,#REF!,19,0),"")</f>
        <v/>
      </c>
      <c r="Z770" s="400" t="str">
        <f>IFERROR(VLOOKUP($A770,#REF!,21,0),"")</f>
        <v/>
      </c>
      <c r="AA770" s="358"/>
      <c r="AB770" s="358"/>
      <c r="AC770" s="119" t="s">
        <v>1077</v>
      </c>
      <c r="AD770" s="119" t="s">
        <v>1138</v>
      </c>
      <c r="AE770" s="119"/>
      <c r="AF770" s="277"/>
      <c r="AG770" s="119"/>
      <c r="AH770" s="119"/>
      <c r="AI770" s="119"/>
      <c r="AJ770" s="120"/>
      <c r="AK770" s="120"/>
      <c r="AL770" s="120"/>
      <c r="AM770" s="120"/>
      <c r="AN770" s="120"/>
      <c r="AO770" s="120"/>
      <c r="AP770" s="120"/>
      <c r="AQ770" s="313"/>
      <c r="AR770" s="119"/>
      <c r="AS770" s="22"/>
      <c r="AT770" s="22"/>
      <c r="AU770" s="22"/>
      <c r="AV770" s="2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112"/>
      <c r="BH770" s="112"/>
      <c r="BI770" s="112"/>
      <c r="BJ770" s="112"/>
      <c r="BK770" s="82"/>
      <c r="BL770" s="82"/>
      <c r="BN770" s="412"/>
      <c r="BO770" s="412"/>
      <c r="BP770" s="412"/>
      <c r="BQ770" s="412"/>
      <c r="BR770" s="412"/>
      <c r="BZ770">
        <f t="shared" si="70"/>
        <v>1</v>
      </c>
    </row>
    <row r="771" spans="1:78" ht="15.6" hidden="1" customHeight="1">
      <c r="A771" s="35" t="str">
        <f t="shared" si="69"/>
        <v>M162/2646267</v>
      </c>
      <c r="C771" s="358" t="s">
        <v>24</v>
      </c>
      <c r="D771" s="358">
        <v>767</v>
      </c>
      <c r="E771" s="119" t="s">
        <v>4075</v>
      </c>
      <c r="F771" s="119" t="s">
        <v>2307</v>
      </c>
      <c r="G771" s="266">
        <v>46267</v>
      </c>
      <c r="H771" s="119" t="s">
        <v>666</v>
      </c>
      <c r="I771" s="358">
        <v>22</v>
      </c>
      <c r="J771" s="359" t="str">
        <f>IFERROR(VLOOKUP($A771,#REF!,3,0),"")</f>
        <v/>
      </c>
      <c r="K771" s="359">
        <f>IFERROR(VLOOKUP($A771,#REF!,4,0),AF771)</f>
        <v>0</v>
      </c>
      <c r="L771" s="359" t="str">
        <f>IFERROR(VLOOKUP($A771,#REF!,5,0),"")</f>
        <v/>
      </c>
      <c r="M771" s="359" t="str">
        <f>IFERROR(VLOOKUP($A771,#REF!,7,0),"")</f>
        <v/>
      </c>
      <c r="N771" s="359"/>
      <c r="O771" s="359" t="str">
        <f>IFERROR(VLOOKUP($A771,#REF!,6,0),"")</f>
        <v/>
      </c>
      <c r="P771" s="359" t="str">
        <f>IFERROR(VLOOKUP($A771,#REF!,9,0),"")</f>
        <v/>
      </c>
      <c r="Q771" s="359" t="str">
        <f>IFERROR(VLOOKUP($A771,#REF!,10,0),"")</f>
        <v/>
      </c>
      <c r="R771" s="359" t="str">
        <f>IFERROR(VLOOKUP($A771,#REF!,11,0),"")</f>
        <v/>
      </c>
      <c r="S771" s="359" t="str">
        <f>IFERROR(VLOOKUP($A771,#REF!,13,0),"")</f>
        <v/>
      </c>
      <c r="T771" s="359" t="str">
        <f>IFERROR(VLOOKUP($A771,#REF!,14,0),"")</f>
        <v/>
      </c>
      <c r="U771" s="359" t="str">
        <f>IFERROR(VLOOKUP($A771,#REF!,15,0),"")</f>
        <v/>
      </c>
      <c r="V771" s="359" t="str">
        <f>IFERROR(VLOOKUP($A771,#REF!,16,0),"")</f>
        <v/>
      </c>
      <c r="W771" s="359" t="str">
        <f>IFERROR(VLOOKUP($A771,#REF!,17,0),"")</f>
        <v/>
      </c>
      <c r="X771" s="359" t="str">
        <f>IFERROR(VLOOKUP($A771,#REF!,18,0),"")</f>
        <v/>
      </c>
      <c r="Y771" s="359" t="str">
        <f>IFERROR(VLOOKUP($A771,#REF!,19,0),"")</f>
        <v/>
      </c>
      <c r="Z771" s="400" t="str">
        <f>IFERROR(VLOOKUP($A771,#REF!,21,0),"")</f>
        <v/>
      </c>
      <c r="AA771" s="358"/>
      <c r="AB771" s="358"/>
      <c r="AC771" s="119" t="s">
        <v>1077</v>
      </c>
      <c r="AD771" s="119" t="s">
        <v>1138</v>
      </c>
      <c r="AE771" s="119"/>
      <c r="AF771" s="277"/>
      <c r="AG771" s="119"/>
      <c r="AH771" s="119"/>
      <c r="AI771" s="119"/>
      <c r="AJ771" s="120"/>
      <c r="AK771" s="120"/>
      <c r="AL771" s="120"/>
      <c r="AM771" s="120"/>
      <c r="AN771" s="120"/>
      <c r="AO771" s="120"/>
      <c r="AP771" s="120"/>
      <c r="AQ771" s="313"/>
      <c r="AR771" s="119"/>
      <c r="AS771" s="22"/>
      <c r="AT771" s="22"/>
      <c r="AU771" s="22"/>
      <c r="AV771" s="2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112"/>
      <c r="BH771" s="112"/>
      <c r="BI771" s="112"/>
      <c r="BJ771" s="112"/>
      <c r="BK771" s="82"/>
      <c r="BL771" s="82"/>
      <c r="BN771" s="412"/>
      <c r="BO771" s="412"/>
      <c r="BP771" s="412"/>
      <c r="BQ771" s="412"/>
      <c r="BR771" s="412"/>
      <c r="BZ771">
        <f t="shared" si="70"/>
        <v>1</v>
      </c>
    </row>
    <row r="772" spans="1:78" ht="15.6" hidden="1" customHeight="1">
      <c r="A772" s="35" t="str">
        <f t="shared" si="69"/>
        <v>M238/2646283</v>
      </c>
      <c r="C772" s="358" t="s">
        <v>24</v>
      </c>
      <c r="D772" s="358">
        <v>768</v>
      </c>
      <c r="E772" s="358" t="s">
        <v>4076</v>
      </c>
      <c r="F772" s="119" t="s">
        <v>43</v>
      </c>
      <c r="G772" s="266">
        <v>46283</v>
      </c>
      <c r="H772" s="119" t="s">
        <v>202</v>
      </c>
      <c r="I772" s="358">
        <v>17</v>
      </c>
      <c r="J772" s="359" t="str">
        <f>IFERROR(VLOOKUP($A772,#REF!,3,0),"")</f>
        <v/>
      </c>
      <c r="K772" s="359">
        <f>IFERROR(VLOOKUP($A772,#REF!,4,0),AF772)</f>
        <v>0</v>
      </c>
      <c r="L772" s="359" t="str">
        <f>IFERROR(VLOOKUP($A772,#REF!,5,0),"")</f>
        <v/>
      </c>
      <c r="M772" s="359" t="str">
        <f>IFERROR(VLOOKUP($A772,#REF!,7,0),"")</f>
        <v/>
      </c>
      <c r="N772" s="359"/>
      <c r="O772" s="359" t="str">
        <f>IFERROR(VLOOKUP($A772,#REF!,6,0),"")</f>
        <v/>
      </c>
      <c r="P772" s="359" t="str">
        <f>IFERROR(VLOOKUP($A772,#REF!,9,0),"")</f>
        <v/>
      </c>
      <c r="Q772" s="359" t="str">
        <f>IFERROR(VLOOKUP($A772,#REF!,10,0),"")</f>
        <v/>
      </c>
      <c r="R772" s="359" t="str">
        <f>IFERROR(VLOOKUP($A772,#REF!,11,0),"")</f>
        <v/>
      </c>
      <c r="S772" s="359" t="str">
        <f>IFERROR(VLOOKUP($A772,#REF!,13,0),"")</f>
        <v/>
      </c>
      <c r="T772" s="359" t="str">
        <f>IFERROR(VLOOKUP($A772,#REF!,14,0),"")</f>
        <v/>
      </c>
      <c r="U772" s="359" t="str">
        <f>IFERROR(VLOOKUP($A772,#REF!,15,0),"")</f>
        <v/>
      </c>
      <c r="V772" s="359" t="str">
        <f>IFERROR(VLOOKUP($A772,#REF!,16,0),"")</f>
        <v/>
      </c>
      <c r="W772" s="359" t="str">
        <f>IFERROR(VLOOKUP($A772,#REF!,17,0),"")</f>
        <v/>
      </c>
      <c r="X772" s="359" t="str">
        <f>IFERROR(VLOOKUP($A772,#REF!,18,0),"")</f>
        <v/>
      </c>
      <c r="Y772" s="359" t="str">
        <f>IFERROR(VLOOKUP($A772,#REF!,19,0),"")</f>
        <v/>
      </c>
      <c r="Z772" s="400" t="str">
        <f>IFERROR(VLOOKUP($A772,#REF!,21,0),"")</f>
        <v/>
      </c>
      <c r="AA772" s="358"/>
      <c r="AB772" s="358"/>
      <c r="AC772" s="119" t="s">
        <v>3075</v>
      </c>
      <c r="AD772" s="119" t="s">
        <v>47</v>
      </c>
      <c r="AE772" s="119"/>
      <c r="AF772" s="277"/>
      <c r="AG772" s="119"/>
      <c r="AH772" s="119"/>
      <c r="AI772" s="119"/>
      <c r="AJ772" s="120" t="s">
        <v>3765</v>
      </c>
      <c r="AK772" s="120"/>
      <c r="AL772" s="120"/>
      <c r="AM772" s="120"/>
      <c r="AN772" s="120"/>
      <c r="AO772" s="120"/>
      <c r="AP772" s="120"/>
      <c r="AQ772" s="313"/>
      <c r="AR772" s="119"/>
      <c r="AS772" s="22"/>
      <c r="AT772" s="22"/>
      <c r="AU772" s="22"/>
      <c r="AV772" s="2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112"/>
      <c r="BH772" s="112"/>
      <c r="BI772" s="112"/>
      <c r="BJ772" s="112"/>
      <c r="BK772" s="82"/>
      <c r="BL772" s="82"/>
      <c r="BN772" s="412"/>
      <c r="BO772" s="412"/>
      <c r="BP772" s="412"/>
      <c r="BQ772" s="412"/>
      <c r="BR772" s="412"/>
      <c r="BZ772">
        <f t="shared" si="70"/>
        <v>1</v>
      </c>
    </row>
    <row r="773" spans="1:78" ht="15.6" hidden="1" customHeight="1">
      <c r="A773" s="35" t="str">
        <f t="shared" ref="A773:A836" si="71">E773&amp;G773</f>
        <v>M224/2646289</v>
      </c>
      <c r="C773" s="358" t="s">
        <v>24</v>
      </c>
      <c r="D773" s="358">
        <v>769</v>
      </c>
      <c r="E773" s="119" t="s">
        <v>4077</v>
      </c>
      <c r="F773" s="119" t="s">
        <v>469</v>
      </c>
      <c r="G773" s="266">
        <v>46289</v>
      </c>
      <c r="H773" s="119" t="s">
        <v>4068</v>
      </c>
      <c r="I773" s="358">
        <v>11</v>
      </c>
      <c r="J773" s="359" t="str">
        <f>IFERROR(VLOOKUP($A773,#REF!,3,0),"")</f>
        <v/>
      </c>
      <c r="K773" s="359">
        <f>IFERROR(VLOOKUP($A773,#REF!,4,0),AF773)</f>
        <v>0</v>
      </c>
      <c r="L773" s="359" t="str">
        <f>IFERROR(VLOOKUP($A773,#REF!,5,0),"")</f>
        <v/>
      </c>
      <c r="M773" s="359" t="str">
        <f>IFERROR(VLOOKUP($A773,#REF!,7,0),"")</f>
        <v/>
      </c>
      <c r="N773" s="359"/>
      <c r="O773" s="359" t="str">
        <f>IFERROR(VLOOKUP($A773,#REF!,6,0),"")</f>
        <v/>
      </c>
      <c r="P773" s="359" t="str">
        <f>IFERROR(VLOOKUP($A773,#REF!,9,0),"")</f>
        <v/>
      </c>
      <c r="Q773" s="359" t="str">
        <f>IFERROR(VLOOKUP($A773,#REF!,10,0),"")</f>
        <v/>
      </c>
      <c r="R773" s="359" t="str">
        <f>IFERROR(VLOOKUP($A773,#REF!,11,0),"")</f>
        <v/>
      </c>
      <c r="S773" s="359" t="str">
        <f>IFERROR(VLOOKUP($A773,#REF!,13,0),"")</f>
        <v/>
      </c>
      <c r="T773" s="359" t="str">
        <f>IFERROR(VLOOKUP($A773,#REF!,14,0),"")</f>
        <v/>
      </c>
      <c r="U773" s="359" t="str">
        <f>IFERROR(VLOOKUP($A773,#REF!,15,0),"")</f>
        <v/>
      </c>
      <c r="V773" s="359" t="str">
        <f>IFERROR(VLOOKUP($A773,#REF!,16,0),"")</f>
        <v/>
      </c>
      <c r="W773" s="359" t="str">
        <f>IFERROR(VLOOKUP($A773,#REF!,17,0),"")</f>
        <v/>
      </c>
      <c r="X773" s="359" t="str">
        <f>IFERROR(VLOOKUP($A773,#REF!,18,0),"")</f>
        <v/>
      </c>
      <c r="Y773" s="359" t="str">
        <f>IFERROR(VLOOKUP($A773,#REF!,19,0),"")</f>
        <v/>
      </c>
      <c r="Z773" s="400" t="str">
        <f>IFERROR(VLOOKUP($A773,#REF!,21,0),"")</f>
        <v/>
      </c>
      <c r="AA773" s="358"/>
      <c r="AB773" s="358"/>
      <c r="AC773" s="119" t="s">
        <v>3075</v>
      </c>
      <c r="AD773" s="119" t="s">
        <v>47</v>
      </c>
      <c r="AE773" s="119"/>
      <c r="AF773" s="277"/>
      <c r="AG773" s="119"/>
      <c r="AH773" s="119"/>
      <c r="AI773" s="119"/>
      <c r="AJ773" s="120" t="s">
        <v>3765</v>
      </c>
      <c r="AK773" s="120"/>
      <c r="AL773" s="120"/>
      <c r="AM773" s="120"/>
      <c r="AN773" s="120"/>
      <c r="AO773" s="120"/>
      <c r="AP773" s="120"/>
      <c r="AQ773" s="313"/>
      <c r="AR773" s="119"/>
      <c r="AS773" s="22"/>
      <c r="AT773" s="22"/>
      <c r="AU773" s="22"/>
      <c r="AV773" s="2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112"/>
      <c r="BH773" s="112"/>
      <c r="BI773" s="112"/>
      <c r="BJ773" s="112"/>
      <c r="BK773" s="82"/>
      <c r="BL773" s="82"/>
      <c r="BN773" s="412"/>
      <c r="BO773" s="412"/>
      <c r="BP773" s="412"/>
      <c r="BQ773" s="412"/>
      <c r="BR773" s="412"/>
      <c r="BZ773">
        <f t="shared" si="70"/>
        <v>1</v>
      </c>
    </row>
    <row r="774" spans="1:78" ht="15.6" hidden="1" customHeight="1">
      <c r="A774" s="35" t="str">
        <f t="shared" si="71"/>
        <v>M239/2646346</v>
      </c>
      <c r="C774" s="358" t="s">
        <v>24</v>
      </c>
      <c r="D774" s="358">
        <v>770</v>
      </c>
      <c r="E774" s="119" t="s">
        <v>4078</v>
      </c>
      <c r="F774" s="119" t="s">
        <v>50</v>
      </c>
      <c r="G774" s="266">
        <v>46346</v>
      </c>
      <c r="H774" s="119" t="s">
        <v>202</v>
      </c>
      <c r="I774" s="358">
        <v>17</v>
      </c>
      <c r="J774" s="359" t="str">
        <f>IFERROR(VLOOKUP($A774,#REF!,3,0),"")</f>
        <v/>
      </c>
      <c r="K774" s="359">
        <f>IFERROR(VLOOKUP($A774,#REF!,4,0),AF774)</f>
        <v>0</v>
      </c>
      <c r="L774" s="359" t="str">
        <f>IFERROR(VLOOKUP($A774,#REF!,5,0),"")</f>
        <v/>
      </c>
      <c r="M774" s="359" t="str">
        <f>IFERROR(VLOOKUP($A774,#REF!,7,0),"")</f>
        <v/>
      </c>
      <c r="N774" s="359"/>
      <c r="O774" s="359" t="str">
        <f>IFERROR(VLOOKUP($A774,#REF!,6,0),"")</f>
        <v/>
      </c>
      <c r="P774" s="359" t="str">
        <f>IFERROR(VLOOKUP($A774,#REF!,9,0),"")</f>
        <v/>
      </c>
      <c r="Q774" s="359" t="str">
        <f>IFERROR(VLOOKUP($A774,#REF!,10,0),"")</f>
        <v/>
      </c>
      <c r="R774" s="359" t="str">
        <f>IFERROR(VLOOKUP($A774,#REF!,11,0),"")</f>
        <v/>
      </c>
      <c r="S774" s="359" t="str">
        <f>IFERROR(VLOOKUP($A774,#REF!,13,0),"")</f>
        <v/>
      </c>
      <c r="T774" s="359" t="str">
        <f>IFERROR(VLOOKUP($A774,#REF!,14,0),"")</f>
        <v/>
      </c>
      <c r="U774" s="359" t="str">
        <f>IFERROR(VLOOKUP($A774,#REF!,15,0),"")</f>
        <v/>
      </c>
      <c r="V774" s="359" t="str">
        <f>IFERROR(VLOOKUP($A774,#REF!,16,0),"")</f>
        <v/>
      </c>
      <c r="W774" s="359" t="str">
        <f>IFERROR(VLOOKUP($A774,#REF!,17,0),"")</f>
        <v/>
      </c>
      <c r="X774" s="359" t="str">
        <f>IFERROR(VLOOKUP($A774,#REF!,18,0),"")</f>
        <v/>
      </c>
      <c r="Y774" s="359" t="str">
        <f>IFERROR(VLOOKUP($A774,#REF!,19,0),"")</f>
        <v/>
      </c>
      <c r="Z774" s="400" t="str">
        <f>IFERROR(VLOOKUP($A774,#REF!,21,0),"")</f>
        <v/>
      </c>
      <c r="AA774" s="358"/>
      <c r="AB774" s="358"/>
      <c r="AC774" s="119" t="s">
        <v>3075</v>
      </c>
      <c r="AD774" s="119" t="s">
        <v>47</v>
      </c>
      <c r="AE774" s="119"/>
      <c r="AF774" s="277"/>
      <c r="AG774" s="119"/>
      <c r="AH774" s="119"/>
      <c r="AI774" s="119"/>
      <c r="AJ774" s="120" t="s">
        <v>3765</v>
      </c>
      <c r="AK774" s="120"/>
      <c r="AL774" s="120"/>
      <c r="AM774" s="120"/>
      <c r="AN774" s="120"/>
      <c r="AO774" s="120"/>
      <c r="AP774" s="120"/>
      <c r="AQ774" s="313"/>
      <c r="AR774" s="119"/>
      <c r="AS774" s="22"/>
      <c r="AT774" s="22"/>
      <c r="AU774" s="22"/>
      <c r="AV774" s="2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112"/>
      <c r="BH774" s="112"/>
      <c r="BI774" s="112"/>
      <c r="BJ774" s="112"/>
      <c r="BK774" s="82"/>
      <c r="BL774" s="82"/>
      <c r="BN774" s="412"/>
      <c r="BO774" s="412"/>
      <c r="BP774" s="412"/>
      <c r="BQ774" s="412"/>
      <c r="BR774" s="412"/>
      <c r="BZ774">
        <f t="shared" si="70"/>
        <v>1</v>
      </c>
    </row>
    <row r="775" spans="1:78" ht="15.6" hidden="1" customHeight="1">
      <c r="A775" s="35" t="str">
        <f t="shared" si="71"/>
        <v/>
      </c>
      <c r="C775" s="358" t="s">
        <v>24</v>
      </c>
      <c r="D775" s="358">
        <v>771</v>
      </c>
      <c r="E775" s="119"/>
      <c r="F775" s="119"/>
      <c r="G775" s="266"/>
      <c r="H775" s="119"/>
      <c r="I775" s="358"/>
      <c r="J775" s="359" t="str">
        <f>IFERROR(VLOOKUP($A775,#REF!,3,0),"")</f>
        <v/>
      </c>
      <c r="K775" s="359">
        <f>IFERROR(VLOOKUP($A775,#REF!,4,0),AF775)</f>
        <v>0</v>
      </c>
      <c r="L775" s="359" t="str">
        <f>IFERROR(VLOOKUP($A775,#REF!,5,0),"")</f>
        <v/>
      </c>
      <c r="M775" s="359" t="str">
        <f>IFERROR(VLOOKUP($A775,#REF!,7,0),"")</f>
        <v/>
      </c>
      <c r="N775" s="359"/>
      <c r="O775" s="359" t="str">
        <f>IFERROR(VLOOKUP($A775,#REF!,6,0),"")</f>
        <v/>
      </c>
      <c r="P775" s="359" t="str">
        <f>IFERROR(VLOOKUP($A775,#REF!,9,0),"")</f>
        <v/>
      </c>
      <c r="Q775" s="359" t="str">
        <f>IFERROR(VLOOKUP($A775,#REF!,10,0),"")</f>
        <v/>
      </c>
      <c r="R775" s="359" t="str">
        <f>IFERROR(VLOOKUP($A775,#REF!,11,0),"")</f>
        <v/>
      </c>
      <c r="S775" s="359" t="str">
        <f>IFERROR(VLOOKUP($A775,#REF!,13,0),"")</f>
        <v/>
      </c>
      <c r="T775" s="359" t="str">
        <f>IFERROR(VLOOKUP($A775,#REF!,14,0),"")</f>
        <v/>
      </c>
      <c r="U775" s="359" t="str">
        <f>IFERROR(VLOOKUP($A775,#REF!,15,0),"")</f>
        <v/>
      </c>
      <c r="V775" s="359" t="str">
        <f>IFERROR(VLOOKUP($A775,#REF!,16,0),"")</f>
        <v/>
      </c>
      <c r="W775" s="359" t="str">
        <f>IFERROR(VLOOKUP($A775,#REF!,17,0),"")</f>
        <v/>
      </c>
      <c r="X775" s="359" t="str">
        <f>IFERROR(VLOOKUP($A775,#REF!,18,0),"")</f>
        <v/>
      </c>
      <c r="Y775" s="359" t="str">
        <f>IFERROR(VLOOKUP($A775,#REF!,19,0),"")</f>
        <v/>
      </c>
      <c r="Z775" s="400" t="str">
        <f>IFERROR(VLOOKUP($A775,#REF!,21,0),"")</f>
        <v/>
      </c>
      <c r="AA775" s="358"/>
      <c r="AB775" s="358"/>
      <c r="AC775" s="119"/>
      <c r="AD775" s="119"/>
      <c r="AE775" s="119"/>
      <c r="AF775" s="277"/>
      <c r="AG775" s="119"/>
      <c r="AH775" s="358"/>
      <c r="AI775" s="358"/>
      <c r="AJ775" s="380"/>
      <c r="AK775" s="380"/>
      <c r="AL775" s="380"/>
      <c r="AM775" s="380"/>
      <c r="AN775" s="120"/>
      <c r="AO775" s="120"/>
      <c r="AP775" s="120"/>
      <c r="AQ775" s="313"/>
      <c r="AR775" s="119"/>
      <c r="AS775" s="22"/>
      <c r="AT775" s="22"/>
      <c r="AU775" s="22"/>
      <c r="AV775" s="2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112"/>
      <c r="BH775" s="112"/>
      <c r="BI775" s="112"/>
      <c r="BJ775" s="112"/>
      <c r="BK775" s="82"/>
      <c r="BL775" s="82"/>
      <c r="BN775" s="412"/>
      <c r="BO775" s="412"/>
      <c r="BP775" s="412"/>
      <c r="BQ775" s="412"/>
      <c r="BR775" s="412"/>
      <c r="BZ775" t="str">
        <f t="shared" si="70"/>
        <v/>
      </c>
    </row>
    <row r="776" spans="1:78" ht="15.6" hidden="1" customHeight="1">
      <c r="A776" s="35" t="str">
        <f t="shared" si="71"/>
        <v/>
      </c>
      <c r="C776" s="358" t="s">
        <v>24</v>
      </c>
      <c r="D776" s="358">
        <v>772</v>
      </c>
      <c r="E776" s="119"/>
      <c r="F776" s="119"/>
      <c r="G776" s="266"/>
      <c r="H776" s="119"/>
      <c r="I776" s="358"/>
      <c r="J776" s="359" t="str">
        <f>IFERROR(VLOOKUP($A776,#REF!,3,0),"")</f>
        <v/>
      </c>
      <c r="K776" s="359">
        <f>IFERROR(VLOOKUP($A776,#REF!,4,0),AF776)</f>
        <v>0</v>
      </c>
      <c r="L776" s="359" t="str">
        <f>IFERROR(VLOOKUP($A776,#REF!,5,0),"")</f>
        <v/>
      </c>
      <c r="M776" s="359" t="str">
        <f>IFERROR(VLOOKUP($A776,#REF!,7,0),"")</f>
        <v/>
      </c>
      <c r="N776" s="359"/>
      <c r="O776" s="359" t="str">
        <f>IFERROR(VLOOKUP($A776,#REF!,6,0),"")</f>
        <v/>
      </c>
      <c r="P776" s="359" t="str">
        <f>IFERROR(VLOOKUP($A776,#REF!,9,0),"")</f>
        <v/>
      </c>
      <c r="Q776" s="359" t="str">
        <f>IFERROR(VLOOKUP($A776,#REF!,10,0),"")</f>
        <v/>
      </c>
      <c r="R776" s="359" t="str">
        <f>IFERROR(VLOOKUP($A776,#REF!,11,0),"")</f>
        <v/>
      </c>
      <c r="S776" s="359" t="str">
        <f>IFERROR(VLOOKUP($A776,#REF!,13,0),"")</f>
        <v/>
      </c>
      <c r="T776" s="359" t="str">
        <f>IFERROR(VLOOKUP($A776,#REF!,14,0),"")</f>
        <v/>
      </c>
      <c r="U776" s="359" t="str">
        <f>IFERROR(VLOOKUP($A776,#REF!,15,0),"")</f>
        <v/>
      </c>
      <c r="V776" s="359" t="str">
        <f>IFERROR(VLOOKUP($A776,#REF!,16,0),"")</f>
        <v/>
      </c>
      <c r="W776" s="359" t="str">
        <f>IFERROR(VLOOKUP($A776,#REF!,17,0),"")</f>
        <v/>
      </c>
      <c r="X776" s="359" t="str">
        <f>IFERROR(VLOOKUP($A776,#REF!,18,0),"")</f>
        <v/>
      </c>
      <c r="Y776" s="359" t="str">
        <f>IFERROR(VLOOKUP($A776,#REF!,19,0),"")</f>
        <v/>
      </c>
      <c r="Z776" s="400" t="str">
        <f>IFERROR(VLOOKUP($A776,#REF!,21,0),"")</f>
        <v/>
      </c>
      <c r="AA776" s="358"/>
      <c r="AB776" s="358"/>
      <c r="AC776" s="119"/>
      <c r="AD776" s="119"/>
      <c r="AE776" s="119"/>
      <c r="AF776" s="277"/>
      <c r="AG776" s="119"/>
      <c r="AH776" s="358"/>
      <c r="AI776" s="358"/>
      <c r="AJ776" s="380"/>
      <c r="AK776" s="380"/>
      <c r="AL776" s="380"/>
      <c r="AM776" s="380"/>
      <c r="AN776" s="120"/>
      <c r="AO776" s="120"/>
      <c r="AP776" s="120"/>
      <c r="AQ776" s="313"/>
      <c r="AR776" s="119"/>
      <c r="AS776" s="22"/>
      <c r="AT776" s="22"/>
      <c r="AU776" s="22"/>
      <c r="AV776" s="2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112"/>
      <c r="BH776" s="112"/>
      <c r="BI776" s="112"/>
      <c r="BJ776" s="112"/>
      <c r="BK776" s="82"/>
      <c r="BL776" s="82"/>
      <c r="BN776" s="412"/>
      <c r="BO776" s="412"/>
      <c r="BP776" s="412"/>
      <c r="BQ776" s="412"/>
      <c r="BR776" s="412"/>
      <c r="BZ776" t="str">
        <f t="shared" si="70"/>
        <v/>
      </c>
    </row>
    <row r="777" spans="1:78" ht="15.6" hidden="1" customHeight="1">
      <c r="A777" s="35" t="str">
        <f t="shared" si="71"/>
        <v/>
      </c>
      <c r="C777" s="358" t="s">
        <v>24</v>
      </c>
      <c r="D777" s="358">
        <v>773</v>
      </c>
      <c r="E777" s="119"/>
      <c r="F777" s="119"/>
      <c r="G777" s="266"/>
      <c r="H777" s="119"/>
      <c r="I777" s="358"/>
      <c r="J777" s="359" t="str">
        <f>IFERROR(VLOOKUP($A777,#REF!,3,0),"")</f>
        <v/>
      </c>
      <c r="K777" s="359">
        <f>IFERROR(VLOOKUP($A777,#REF!,4,0),AF777)</f>
        <v>0</v>
      </c>
      <c r="L777" s="359" t="str">
        <f>IFERROR(VLOOKUP($A777,#REF!,5,0),"")</f>
        <v/>
      </c>
      <c r="M777" s="359" t="str">
        <f>IFERROR(VLOOKUP($A777,#REF!,7,0),"")</f>
        <v/>
      </c>
      <c r="N777" s="359"/>
      <c r="O777" s="359" t="str">
        <f>IFERROR(VLOOKUP($A777,#REF!,6,0),"")</f>
        <v/>
      </c>
      <c r="P777" s="359" t="str">
        <f>IFERROR(VLOOKUP($A777,#REF!,9,0),"")</f>
        <v/>
      </c>
      <c r="Q777" s="359" t="str">
        <f>IFERROR(VLOOKUP($A777,#REF!,10,0),"")</f>
        <v/>
      </c>
      <c r="R777" s="359" t="str">
        <f>IFERROR(VLOOKUP($A777,#REF!,11,0),"")</f>
        <v/>
      </c>
      <c r="S777" s="359" t="str">
        <f>IFERROR(VLOOKUP($A777,#REF!,13,0),"")</f>
        <v/>
      </c>
      <c r="T777" s="359" t="str">
        <f>IFERROR(VLOOKUP($A777,#REF!,14,0),"")</f>
        <v/>
      </c>
      <c r="U777" s="359" t="str">
        <f>IFERROR(VLOOKUP($A777,#REF!,15,0),"")</f>
        <v/>
      </c>
      <c r="V777" s="359" t="str">
        <f>IFERROR(VLOOKUP($A777,#REF!,16,0),"")</f>
        <v/>
      </c>
      <c r="W777" s="359" t="str">
        <f>IFERROR(VLOOKUP($A777,#REF!,17,0),"")</f>
        <v/>
      </c>
      <c r="X777" s="359" t="str">
        <f>IFERROR(VLOOKUP($A777,#REF!,18,0),"")</f>
        <v/>
      </c>
      <c r="Y777" s="359" t="str">
        <f>IFERROR(VLOOKUP($A777,#REF!,19,0),"")</f>
        <v/>
      </c>
      <c r="Z777" s="400" t="str">
        <f>IFERROR(VLOOKUP($A777,#REF!,21,0),"")</f>
        <v/>
      </c>
      <c r="AA777" s="358"/>
      <c r="AB777" s="358"/>
      <c r="AC777" s="119"/>
      <c r="AD777" s="119"/>
      <c r="AE777" s="119"/>
      <c r="AF777" s="277"/>
      <c r="AG777" s="119"/>
      <c r="AH777" s="358"/>
      <c r="AI777" s="358"/>
      <c r="AJ777" s="380"/>
      <c r="AK777" s="380"/>
      <c r="AL777" s="380"/>
      <c r="AM777" s="380"/>
      <c r="AN777" s="120"/>
      <c r="AO777" s="120"/>
      <c r="AP777" s="120"/>
      <c r="AQ777" s="313"/>
      <c r="AR777" s="119"/>
      <c r="AS777" s="22"/>
      <c r="AT777" s="22"/>
      <c r="AU777" s="22"/>
      <c r="AV777" s="2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112"/>
      <c r="BH777" s="112"/>
      <c r="BI777" s="112"/>
      <c r="BJ777" s="112"/>
      <c r="BK777" s="82"/>
      <c r="BL777" s="82"/>
      <c r="BN777" s="412"/>
      <c r="BO777" s="412"/>
      <c r="BP777" s="412"/>
      <c r="BQ777" s="412"/>
      <c r="BR777" s="412"/>
      <c r="BZ777" t="str">
        <f t="shared" si="70"/>
        <v/>
      </c>
    </row>
    <row r="778" spans="1:78" ht="15.6" hidden="1" customHeight="1">
      <c r="A778" s="35" t="str">
        <f t="shared" si="71"/>
        <v/>
      </c>
      <c r="C778" s="358" t="s">
        <v>24</v>
      </c>
      <c r="D778" s="358">
        <v>774</v>
      </c>
      <c r="E778" s="119"/>
      <c r="F778" s="119"/>
      <c r="G778" s="266"/>
      <c r="H778" s="119"/>
      <c r="I778" s="358"/>
      <c r="J778" s="359" t="str">
        <f>IFERROR(VLOOKUP($A778,#REF!,3,0),"")</f>
        <v/>
      </c>
      <c r="K778" s="359">
        <f>IFERROR(VLOOKUP($A778,#REF!,4,0),AF778)</f>
        <v>0</v>
      </c>
      <c r="L778" s="359" t="str">
        <f>IFERROR(VLOOKUP($A778,#REF!,5,0),"")</f>
        <v/>
      </c>
      <c r="M778" s="359" t="str">
        <f>IFERROR(VLOOKUP($A778,#REF!,7,0),"")</f>
        <v/>
      </c>
      <c r="N778" s="359"/>
      <c r="O778" s="359" t="str">
        <f>IFERROR(VLOOKUP($A778,#REF!,6,0),"")</f>
        <v/>
      </c>
      <c r="P778" s="359" t="str">
        <f>IFERROR(VLOOKUP($A778,#REF!,9,0),"")</f>
        <v/>
      </c>
      <c r="Q778" s="359" t="str">
        <f>IFERROR(VLOOKUP($A778,#REF!,10,0),"")</f>
        <v/>
      </c>
      <c r="R778" s="359" t="str">
        <f>IFERROR(VLOOKUP($A778,#REF!,11,0),"")</f>
        <v/>
      </c>
      <c r="S778" s="359" t="str">
        <f>IFERROR(VLOOKUP($A778,#REF!,13,0),"")</f>
        <v/>
      </c>
      <c r="T778" s="359" t="str">
        <f>IFERROR(VLOOKUP($A778,#REF!,14,0),"")</f>
        <v/>
      </c>
      <c r="U778" s="359" t="str">
        <f>IFERROR(VLOOKUP($A778,#REF!,15,0),"")</f>
        <v/>
      </c>
      <c r="V778" s="359" t="str">
        <f>IFERROR(VLOOKUP($A778,#REF!,16,0),"")</f>
        <v/>
      </c>
      <c r="W778" s="359" t="str">
        <f>IFERROR(VLOOKUP($A778,#REF!,17,0),"")</f>
        <v/>
      </c>
      <c r="X778" s="359" t="str">
        <f>IFERROR(VLOOKUP($A778,#REF!,18,0),"")</f>
        <v/>
      </c>
      <c r="Y778" s="359" t="str">
        <f>IFERROR(VLOOKUP($A778,#REF!,19,0),"")</f>
        <v/>
      </c>
      <c r="Z778" s="400" t="str">
        <f>IFERROR(VLOOKUP($A778,#REF!,21,0),"")</f>
        <v/>
      </c>
      <c r="AA778" s="358"/>
      <c r="AB778" s="358"/>
      <c r="AC778" s="119"/>
      <c r="AD778" s="119"/>
      <c r="AE778" s="119"/>
      <c r="AF778" s="277"/>
      <c r="AG778" s="119"/>
      <c r="AH778" s="358"/>
      <c r="AI778" s="358"/>
      <c r="AJ778" s="380"/>
      <c r="AK778" s="380"/>
      <c r="AL778" s="380"/>
      <c r="AM778" s="380"/>
      <c r="AN778" s="120"/>
      <c r="AO778" s="120"/>
      <c r="AP778" s="120"/>
      <c r="AQ778" s="313"/>
      <c r="AR778" s="119"/>
      <c r="AS778" s="22"/>
      <c r="AT778" s="22"/>
      <c r="AU778" s="22"/>
      <c r="AV778" s="2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112"/>
      <c r="BH778" s="112"/>
      <c r="BI778" s="112"/>
      <c r="BJ778" s="112"/>
      <c r="BK778" s="82"/>
      <c r="BL778" s="82"/>
      <c r="BN778" s="412"/>
      <c r="BO778" s="412"/>
      <c r="BP778" s="412"/>
      <c r="BQ778" s="412"/>
      <c r="BR778" s="412"/>
      <c r="BZ778" t="str">
        <f t="shared" si="70"/>
        <v/>
      </c>
    </row>
    <row r="779" spans="1:78" ht="15.6" hidden="1" customHeight="1">
      <c r="A779" s="35" t="str">
        <f t="shared" si="71"/>
        <v/>
      </c>
      <c r="C779" s="358" t="s">
        <v>24</v>
      </c>
      <c r="D779" s="358">
        <v>775</v>
      </c>
      <c r="E779" s="119"/>
      <c r="F779" s="119"/>
      <c r="G779" s="266"/>
      <c r="H779" s="119"/>
      <c r="I779" s="358"/>
      <c r="J779" s="359" t="str">
        <f>IFERROR(VLOOKUP($A779,#REF!,3,0),"")</f>
        <v/>
      </c>
      <c r="K779" s="359">
        <f>IFERROR(VLOOKUP($A779,#REF!,4,0),AF779)</f>
        <v>0</v>
      </c>
      <c r="L779" s="359" t="str">
        <f>IFERROR(VLOOKUP($A779,#REF!,5,0),"")</f>
        <v/>
      </c>
      <c r="M779" s="359" t="str">
        <f>IFERROR(VLOOKUP($A779,#REF!,7,0),"")</f>
        <v/>
      </c>
      <c r="N779" s="359"/>
      <c r="O779" s="359" t="str">
        <f>IFERROR(VLOOKUP($A779,#REF!,6,0),"")</f>
        <v/>
      </c>
      <c r="P779" s="359" t="str">
        <f>IFERROR(VLOOKUP($A779,#REF!,9,0),"")</f>
        <v/>
      </c>
      <c r="Q779" s="359" t="str">
        <f>IFERROR(VLOOKUP($A779,#REF!,10,0),"")</f>
        <v/>
      </c>
      <c r="R779" s="359" t="str">
        <f>IFERROR(VLOOKUP($A779,#REF!,11,0),"")</f>
        <v/>
      </c>
      <c r="S779" s="359" t="str">
        <f>IFERROR(VLOOKUP($A779,#REF!,13,0),"")</f>
        <v/>
      </c>
      <c r="T779" s="359" t="str">
        <f>IFERROR(VLOOKUP($A779,#REF!,14,0),"")</f>
        <v/>
      </c>
      <c r="U779" s="359" t="str">
        <f>IFERROR(VLOOKUP($A779,#REF!,15,0),"")</f>
        <v/>
      </c>
      <c r="V779" s="359" t="str">
        <f>IFERROR(VLOOKUP($A779,#REF!,16,0),"")</f>
        <v/>
      </c>
      <c r="W779" s="359" t="str">
        <f>IFERROR(VLOOKUP($A779,#REF!,17,0),"")</f>
        <v/>
      </c>
      <c r="X779" s="359" t="str">
        <f>IFERROR(VLOOKUP($A779,#REF!,18,0),"")</f>
        <v/>
      </c>
      <c r="Y779" s="359" t="str">
        <f>IFERROR(VLOOKUP($A779,#REF!,19,0),"")</f>
        <v/>
      </c>
      <c r="Z779" s="400" t="str">
        <f>IFERROR(VLOOKUP($A779,#REF!,21,0),"")</f>
        <v/>
      </c>
      <c r="AA779" s="358"/>
      <c r="AB779" s="358"/>
      <c r="AC779" s="119"/>
      <c r="AD779" s="119"/>
      <c r="AE779" s="119"/>
      <c r="AF779" s="277"/>
      <c r="AG779" s="119"/>
      <c r="AH779" s="358"/>
      <c r="AI779" s="358"/>
      <c r="AJ779" s="380"/>
      <c r="AK779" s="380"/>
      <c r="AL779" s="380"/>
      <c r="AM779" s="380"/>
      <c r="AN779" s="120"/>
      <c r="AO779" s="120"/>
      <c r="AP779" s="120"/>
      <c r="AQ779" s="313"/>
      <c r="AR779" s="119"/>
      <c r="AS779" s="22"/>
      <c r="AT779" s="22"/>
      <c r="AU779" s="22"/>
      <c r="AV779" s="2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112"/>
      <c r="BH779" s="112"/>
      <c r="BI779" s="112"/>
      <c r="BJ779" s="112"/>
      <c r="BK779" s="82"/>
      <c r="BL779" s="82"/>
      <c r="BN779" s="412"/>
      <c r="BO779" s="412"/>
      <c r="BP779" s="412"/>
      <c r="BQ779" s="412"/>
      <c r="BR779" s="412"/>
      <c r="BZ779" t="str">
        <f t="shared" si="70"/>
        <v/>
      </c>
    </row>
    <row r="780" spans="1:78" ht="15.6" hidden="1" customHeight="1">
      <c r="A780" s="35" t="str">
        <f t="shared" si="71"/>
        <v/>
      </c>
      <c r="C780" s="358" t="s">
        <v>24</v>
      </c>
      <c r="D780" s="358">
        <v>776</v>
      </c>
      <c r="E780" s="119"/>
      <c r="F780" s="119"/>
      <c r="G780" s="266"/>
      <c r="H780" s="119"/>
      <c r="I780" s="358"/>
      <c r="J780" s="359" t="str">
        <f>IFERROR(VLOOKUP($A780,#REF!,3,0),"")</f>
        <v/>
      </c>
      <c r="K780" s="359">
        <f>IFERROR(VLOOKUP($A780,#REF!,4,0),AF780)</f>
        <v>0</v>
      </c>
      <c r="L780" s="359" t="str">
        <f>IFERROR(VLOOKUP($A780,#REF!,5,0),"")</f>
        <v/>
      </c>
      <c r="M780" s="359" t="str">
        <f>IFERROR(VLOOKUP($A780,#REF!,7,0),"")</f>
        <v/>
      </c>
      <c r="N780" s="359"/>
      <c r="O780" s="359" t="str">
        <f>IFERROR(VLOOKUP($A780,#REF!,6,0),"")</f>
        <v/>
      </c>
      <c r="P780" s="359" t="str">
        <f>IFERROR(VLOOKUP($A780,#REF!,9,0),"")</f>
        <v/>
      </c>
      <c r="Q780" s="359" t="str">
        <f>IFERROR(VLOOKUP($A780,#REF!,10,0),"")</f>
        <v/>
      </c>
      <c r="R780" s="359" t="str">
        <f>IFERROR(VLOOKUP($A780,#REF!,11,0),"")</f>
        <v/>
      </c>
      <c r="S780" s="359" t="str">
        <f>IFERROR(VLOOKUP($A780,#REF!,13,0),"")</f>
        <v/>
      </c>
      <c r="T780" s="359" t="str">
        <f>IFERROR(VLOOKUP($A780,#REF!,14,0),"")</f>
        <v/>
      </c>
      <c r="U780" s="359" t="str">
        <f>IFERROR(VLOOKUP($A780,#REF!,15,0),"")</f>
        <v/>
      </c>
      <c r="V780" s="359" t="str">
        <f>IFERROR(VLOOKUP($A780,#REF!,16,0),"")</f>
        <v/>
      </c>
      <c r="W780" s="359" t="str">
        <f>IFERROR(VLOOKUP($A780,#REF!,17,0),"")</f>
        <v/>
      </c>
      <c r="X780" s="359" t="str">
        <f>IFERROR(VLOOKUP($A780,#REF!,18,0),"")</f>
        <v/>
      </c>
      <c r="Y780" s="359" t="str">
        <f>IFERROR(VLOOKUP($A780,#REF!,19,0),"")</f>
        <v/>
      </c>
      <c r="Z780" s="400" t="str">
        <f>IFERROR(VLOOKUP($A780,#REF!,21,0),"")</f>
        <v/>
      </c>
      <c r="AA780" s="358"/>
      <c r="AB780" s="358"/>
      <c r="AC780" s="119"/>
      <c r="AD780" s="119"/>
      <c r="AE780" s="119"/>
      <c r="AF780" s="277"/>
      <c r="AG780" s="119"/>
      <c r="AH780" s="358"/>
      <c r="AI780" s="358"/>
      <c r="AJ780" s="380"/>
      <c r="AK780" s="380"/>
      <c r="AL780" s="380"/>
      <c r="AM780" s="380"/>
      <c r="AN780" s="120"/>
      <c r="AO780" s="120"/>
      <c r="AP780" s="120"/>
      <c r="AQ780" s="313"/>
      <c r="AR780" s="119"/>
      <c r="AS780" s="22"/>
      <c r="AT780" s="22"/>
      <c r="AU780" s="22"/>
      <c r="AV780" s="22"/>
      <c r="AW780" s="82"/>
      <c r="AX780" s="82"/>
      <c r="AY780" s="82"/>
      <c r="AZ780" s="82"/>
      <c r="BA780" s="82"/>
      <c r="BB780" s="82"/>
      <c r="BC780" s="82"/>
      <c r="BD780" s="82"/>
      <c r="BE780" s="82"/>
      <c r="BF780" s="82"/>
      <c r="BG780" s="112"/>
      <c r="BH780" s="112"/>
      <c r="BI780" s="112"/>
      <c r="BJ780" s="112"/>
      <c r="BK780" s="82"/>
      <c r="BL780" s="82"/>
      <c r="BN780" s="412"/>
      <c r="BO780" s="412"/>
      <c r="BP780" s="412"/>
      <c r="BQ780" s="412"/>
      <c r="BR780" s="412"/>
      <c r="BZ780" t="str">
        <f t="shared" si="70"/>
        <v/>
      </c>
    </row>
    <row r="781" spans="1:78" ht="15.6" hidden="1" customHeight="1">
      <c r="A781" s="35" t="str">
        <f t="shared" si="71"/>
        <v/>
      </c>
      <c r="C781" s="358" t="s">
        <v>24</v>
      </c>
      <c r="D781" s="358">
        <v>777</v>
      </c>
      <c r="E781" s="119"/>
      <c r="F781" s="119"/>
      <c r="G781" s="266"/>
      <c r="H781" s="119"/>
      <c r="I781" s="358"/>
      <c r="J781" s="359" t="str">
        <f>IFERROR(VLOOKUP($A781,#REF!,3,0),"")</f>
        <v/>
      </c>
      <c r="K781" s="359">
        <f>IFERROR(VLOOKUP($A781,#REF!,4,0),AF781)</f>
        <v>0</v>
      </c>
      <c r="L781" s="359" t="str">
        <f>IFERROR(VLOOKUP($A781,#REF!,5,0),"")</f>
        <v/>
      </c>
      <c r="M781" s="359" t="str">
        <f>IFERROR(VLOOKUP($A781,#REF!,7,0),"")</f>
        <v/>
      </c>
      <c r="N781" s="359"/>
      <c r="O781" s="359" t="str">
        <f>IFERROR(VLOOKUP($A781,#REF!,6,0),"")</f>
        <v/>
      </c>
      <c r="P781" s="359" t="str">
        <f>IFERROR(VLOOKUP($A781,#REF!,9,0),"")</f>
        <v/>
      </c>
      <c r="Q781" s="359" t="str">
        <f>IFERROR(VLOOKUP($A781,#REF!,10,0),"")</f>
        <v/>
      </c>
      <c r="R781" s="359" t="str">
        <f>IFERROR(VLOOKUP($A781,#REF!,11,0),"")</f>
        <v/>
      </c>
      <c r="S781" s="359" t="str">
        <f>IFERROR(VLOOKUP($A781,#REF!,13,0),"")</f>
        <v/>
      </c>
      <c r="T781" s="359" t="str">
        <f>IFERROR(VLOOKUP($A781,#REF!,14,0),"")</f>
        <v/>
      </c>
      <c r="U781" s="359" t="str">
        <f>IFERROR(VLOOKUP($A781,#REF!,15,0),"")</f>
        <v/>
      </c>
      <c r="V781" s="359" t="str">
        <f>IFERROR(VLOOKUP($A781,#REF!,16,0),"")</f>
        <v/>
      </c>
      <c r="W781" s="359" t="str">
        <f>IFERROR(VLOOKUP($A781,#REF!,17,0),"")</f>
        <v/>
      </c>
      <c r="X781" s="359" t="str">
        <f>IFERROR(VLOOKUP($A781,#REF!,18,0),"")</f>
        <v/>
      </c>
      <c r="Y781" s="359" t="str">
        <f>IFERROR(VLOOKUP($A781,#REF!,19,0),"")</f>
        <v/>
      </c>
      <c r="Z781" s="400" t="str">
        <f>IFERROR(VLOOKUP($A781,#REF!,21,0),"")</f>
        <v/>
      </c>
      <c r="AA781" s="358"/>
      <c r="AB781" s="358"/>
      <c r="AC781" s="119"/>
      <c r="AD781" s="119"/>
      <c r="AE781" s="119"/>
      <c r="AF781" s="277"/>
      <c r="AG781" s="119"/>
      <c r="AH781" s="358"/>
      <c r="AI781" s="358"/>
      <c r="AJ781" s="380"/>
      <c r="AK781" s="380"/>
      <c r="AL781" s="380"/>
      <c r="AM781" s="380"/>
      <c r="AN781" s="120"/>
      <c r="AO781" s="120"/>
      <c r="AP781" s="120"/>
      <c r="AQ781" s="313"/>
      <c r="AR781" s="119"/>
      <c r="AS781" s="22"/>
      <c r="AT781" s="22"/>
      <c r="AU781" s="22"/>
      <c r="AV781" s="22"/>
      <c r="AW781" s="82"/>
      <c r="AX781" s="82"/>
      <c r="AY781" s="82"/>
      <c r="AZ781" s="82"/>
      <c r="BA781" s="82"/>
      <c r="BB781" s="82"/>
      <c r="BC781" s="82"/>
      <c r="BD781" s="82"/>
      <c r="BE781" s="82"/>
      <c r="BF781" s="82"/>
      <c r="BG781" s="112"/>
      <c r="BH781" s="112"/>
      <c r="BI781" s="112"/>
      <c r="BJ781" s="112"/>
      <c r="BK781" s="82"/>
      <c r="BL781" s="82"/>
      <c r="BN781" s="412"/>
      <c r="BO781" s="412"/>
      <c r="BP781" s="412"/>
      <c r="BQ781" s="412"/>
      <c r="BR781" s="412"/>
      <c r="BZ781" t="str">
        <f t="shared" ref="BZ781:BZ844" si="72">IF(G781&gt;1,1,"")</f>
        <v/>
      </c>
    </row>
    <row r="782" spans="1:78" ht="15.6" hidden="1" customHeight="1">
      <c r="A782" s="35" t="str">
        <f t="shared" si="71"/>
        <v/>
      </c>
      <c r="C782" s="358" t="s">
        <v>24</v>
      </c>
      <c r="D782" s="358">
        <v>778</v>
      </c>
      <c r="E782" s="119"/>
      <c r="F782" s="119"/>
      <c r="G782" s="266"/>
      <c r="H782" s="119"/>
      <c r="I782" s="358"/>
      <c r="J782" s="359" t="str">
        <f>IFERROR(VLOOKUP($A782,#REF!,3,0),"")</f>
        <v/>
      </c>
      <c r="K782" s="359">
        <f>IFERROR(VLOOKUP($A782,#REF!,4,0),AF782)</f>
        <v>0</v>
      </c>
      <c r="L782" s="359" t="str">
        <f>IFERROR(VLOOKUP($A782,#REF!,5,0),"")</f>
        <v/>
      </c>
      <c r="M782" s="359" t="str">
        <f>IFERROR(VLOOKUP($A782,#REF!,7,0),"")</f>
        <v/>
      </c>
      <c r="N782" s="359"/>
      <c r="O782" s="359" t="str">
        <f>IFERROR(VLOOKUP($A782,#REF!,6,0),"")</f>
        <v/>
      </c>
      <c r="P782" s="359" t="str">
        <f>IFERROR(VLOOKUP($A782,#REF!,9,0),"")</f>
        <v/>
      </c>
      <c r="Q782" s="359" t="str">
        <f>IFERROR(VLOOKUP($A782,#REF!,10,0),"")</f>
        <v/>
      </c>
      <c r="R782" s="359" t="str">
        <f>IFERROR(VLOOKUP($A782,#REF!,11,0),"")</f>
        <v/>
      </c>
      <c r="S782" s="359" t="str">
        <f>IFERROR(VLOOKUP($A782,#REF!,13,0),"")</f>
        <v/>
      </c>
      <c r="T782" s="359" t="str">
        <f>IFERROR(VLOOKUP($A782,#REF!,14,0),"")</f>
        <v/>
      </c>
      <c r="U782" s="359" t="str">
        <f>IFERROR(VLOOKUP($A782,#REF!,15,0),"")</f>
        <v/>
      </c>
      <c r="V782" s="359" t="str">
        <f>IFERROR(VLOOKUP($A782,#REF!,16,0),"")</f>
        <v/>
      </c>
      <c r="W782" s="359" t="str">
        <f>IFERROR(VLOOKUP($A782,#REF!,17,0),"")</f>
        <v/>
      </c>
      <c r="X782" s="359" t="str">
        <f>IFERROR(VLOOKUP($A782,#REF!,18,0),"")</f>
        <v/>
      </c>
      <c r="Y782" s="359" t="str">
        <f>IFERROR(VLOOKUP($A782,#REF!,19,0),"")</f>
        <v/>
      </c>
      <c r="Z782" s="400" t="str">
        <f>IFERROR(VLOOKUP($A782,#REF!,21,0),"")</f>
        <v/>
      </c>
      <c r="AA782" s="358"/>
      <c r="AB782" s="358"/>
      <c r="AC782" s="119"/>
      <c r="AD782" s="119"/>
      <c r="AE782" s="119"/>
      <c r="AF782" s="277"/>
      <c r="AG782" s="119"/>
      <c r="AH782" s="358"/>
      <c r="AI782" s="358"/>
      <c r="AJ782" s="380"/>
      <c r="AK782" s="380"/>
      <c r="AL782" s="380"/>
      <c r="AM782" s="380"/>
      <c r="AN782" s="120"/>
      <c r="AO782" s="120"/>
      <c r="AP782" s="120"/>
      <c r="AQ782" s="313"/>
      <c r="AR782" s="119"/>
      <c r="AS782" s="22"/>
      <c r="AT782" s="22"/>
      <c r="AU782" s="22"/>
      <c r="AV782" s="22"/>
      <c r="AW782" s="82"/>
      <c r="AX782" s="82"/>
      <c r="AY782" s="82"/>
      <c r="AZ782" s="82"/>
      <c r="BA782" s="82"/>
      <c r="BB782" s="82"/>
      <c r="BC782" s="82"/>
      <c r="BD782" s="82"/>
      <c r="BE782" s="82"/>
      <c r="BF782" s="82"/>
      <c r="BG782" s="112"/>
      <c r="BH782" s="112"/>
      <c r="BI782" s="112"/>
      <c r="BJ782" s="112"/>
      <c r="BK782" s="82"/>
      <c r="BL782" s="82"/>
      <c r="BN782" s="412"/>
      <c r="BO782" s="412"/>
      <c r="BP782" s="412"/>
      <c r="BQ782" s="412"/>
      <c r="BR782" s="412"/>
      <c r="BZ782" t="str">
        <f t="shared" si="72"/>
        <v/>
      </c>
    </row>
    <row r="783" spans="1:78" ht="15.6" hidden="1" customHeight="1">
      <c r="A783" s="35" t="str">
        <f t="shared" si="71"/>
        <v/>
      </c>
      <c r="C783" s="358" t="s">
        <v>24</v>
      </c>
      <c r="D783" s="358">
        <v>779</v>
      </c>
      <c r="E783" s="119"/>
      <c r="F783" s="119"/>
      <c r="G783" s="266"/>
      <c r="H783" s="119"/>
      <c r="I783" s="358"/>
      <c r="J783" s="359" t="str">
        <f>IFERROR(VLOOKUP($A783,#REF!,3,0),"")</f>
        <v/>
      </c>
      <c r="K783" s="359">
        <f>IFERROR(VLOOKUP($A783,#REF!,4,0),AF783)</f>
        <v>0</v>
      </c>
      <c r="L783" s="359" t="str">
        <f>IFERROR(VLOOKUP($A783,#REF!,5,0),"")</f>
        <v/>
      </c>
      <c r="M783" s="359" t="str">
        <f>IFERROR(VLOOKUP($A783,#REF!,7,0),"")</f>
        <v/>
      </c>
      <c r="N783" s="359"/>
      <c r="O783" s="359" t="str">
        <f>IFERROR(VLOOKUP($A783,#REF!,6,0),"")</f>
        <v/>
      </c>
      <c r="P783" s="359" t="str">
        <f>IFERROR(VLOOKUP($A783,#REF!,9,0),"")</f>
        <v/>
      </c>
      <c r="Q783" s="359" t="str">
        <f>IFERROR(VLOOKUP($A783,#REF!,10,0),"")</f>
        <v/>
      </c>
      <c r="R783" s="359" t="str">
        <f>IFERROR(VLOOKUP($A783,#REF!,11,0),"")</f>
        <v/>
      </c>
      <c r="S783" s="359" t="str">
        <f>IFERROR(VLOOKUP($A783,#REF!,13,0),"")</f>
        <v/>
      </c>
      <c r="T783" s="359" t="str">
        <f>IFERROR(VLOOKUP($A783,#REF!,14,0),"")</f>
        <v/>
      </c>
      <c r="U783" s="359" t="str">
        <f>IFERROR(VLOOKUP($A783,#REF!,15,0),"")</f>
        <v/>
      </c>
      <c r="V783" s="359" t="str">
        <f>IFERROR(VLOOKUP($A783,#REF!,16,0),"")</f>
        <v/>
      </c>
      <c r="W783" s="359" t="str">
        <f>IFERROR(VLOOKUP($A783,#REF!,17,0),"")</f>
        <v/>
      </c>
      <c r="X783" s="359" t="str">
        <f>IFERROR(VLOOKUP($A783,#REF!,18,0),"")</f>
        <v/>
      </c>
      <c r="Y783" s="359" t="str">
        <f>IFERROR(VLOOKUP($A783,#REF!,19,0),"")</f>
        <v/>
      </c>
      <c r="Z783" s="400" t="str">
        <f>IFERROR(VLOOKUP($A783,#REF!,21,0),"")</f>
        <v/>
      </c>
      <c r="AA783" s="358"/>
      <c r="AB783" s="358"/>
      <c r="AC783" s="119"/>
      <c r="AD783" s="119"/>
      <c r="AE783" s="119"/>
      <c r="AF783" s="277"/>
      <c r="AG783" s="119"/>
      <c r="AH783" s="358"/>
      <c r="AI783" s="358"/>
      <c r="AJ783" s="380"/>
      <c r="AK783" s="380"/>
      <c r="AL783" s="380"/>
      <c r="AM783" s="380"/>
      <c r="AN783" s="120"/>
      <c r="AO783" s="120"/>
      <c r="AP783" s="120"/>
      <c r="AQ783" s="313"/>
      <c r="AR783" s="119"/>
      <c r="AS783" s="22"/>
      <c r="AT783" s="22"/>
      <c r="AU783" s="22"/>
      <c r="AV783" s="22"/>
      <c r="AW783" s="82"/>
      <c r="AX783" s="82"/>
      <c r="AY783" s="82"/>
      <c r="AZ783" s="82"/>
      <c r="BA783" s="82"/>
      <c r="BB783" s="82"/>
      <c r="BC783" s="82"/>
      <c r="BD783" s="82"/>
      <c r="BE783" s="82"/>
      <c r="BF783" s="82"/>
      <c r="BG783" s="112"/>
      <c r="BH783" s="112"/>
      <c r="BI783" s="112"/>
      <c r="BJ783" s="112"/>
      <c r="BK783" s="82"/>
      <c r="BL783" s="82"/>
      <c r="BN783" s="412"/>
      <c r="BO783" s="412"/>
      <c r="BP783" s="412"/>
      <c r="BQ783" s="412"/>
      <c r="BR783" s="412"/>
      <c r="BZ783" t="str">
        <f t="shared" si="72"/>
        <v/>
      </c>
    </row>
    <row r="784" spans="1:78" ht="15.6" hidden="1" customHeight="1">
      <c r="A784" s="35" t="str">
        <f t="shared" si="71"/>
        <v/>
      </c>
      <c r="C784" s="358" t="s">
        <v>24</v>
      </c>
      <c r="D784" s="358">
        <v>780</v>
      </c>
      <c r="E784" s="119"/>
      <c r="F784" s="119"/>
      <c r="G784" s="266"/>
      <c r="H784" s="119"/>
      <c r="I784" s="358"/>
      <c r="J784" s="359" t="str">
        <f>IFERROR(VLOOKUP($A784,#REF!,3,0),"")</f>
        <v/>
      </c>
      <c r="K784" s="359">
        <f>IFERROR(VLOOKUP($A784,#REF!,4,0),AF784)</f>
        <v>0</v>
      </c>
      <c r="L784" s="359" t="str">
        <f>IFERROR(VLOOKUP($A784,#REF!,5,0),"")</f>
        <v/>
      </c>
      <c r="M784" s="359" t="str">
        <f>IFERROR(VLOOKUP($A784,#REF!,7,0),"")</f>
        <v/>
      </c>
      <c r="N784" s="359"/>
      <c r="O784" s="359" t="str">
        <f>IFERROR(VLOOKUP($A784,#REF!,6,0),"")</f>
        <v/>
      </c>
      <c r="P784" s="359" t="str">
        <f>IFERROR(VLOOKUP($A784,#REF!,9,0),"")</f>
        <v/>
      </c>
      <c r="Q784" s="359" t="str">
        <f>IFERROR(VLOOKUP($A784,#REF!,10,0),"")</f>
        <v/>
      </c>
      <c r="R784" s="359" t="str">
        <f>IFERROR(VLOOKUP($A784,#REF!,11,0),"")</f>
        <v/>
      </c>
      <c r="S784" s="359" t="str">
        <f>IFERROR(VLOOKUP($A784,#REF!,13,0),"")</f>
        <v/>
      </c>
      <c r="T784" s="359" t="str">
        <f>IFERROR(VLOOKUP($A784,#REF!,14,0),"")</f>
        <v/>
      </c>
      <c r="U784" s="359" t="str">
        <f>IFERROR(VLOOKUP($A784,#REF!,15,0),"")</f>
        <v/>
      </c>
      <c r="V784" s="359" t="str">
        <f>IFERROR(VLOOKUP($A784,#REF!,16,0),"")</f>
        <v/>
      </c>
      <c r="W784" s="359" t="str">
        <f>IFERROR(VLOOKUP($A784,#REF!,17,0),"")</f>
        <v/>
      </c>
      <c r="X784" s="359" t="str">
        <f>IFERROR(VLOOKUP($A784,#REF!,18,0),"")</f>
        <v/>
      </c>
      <c r="Y784" s="359" t="str">
        <f>IFERROR(VLOOKUP($A784,#REF!,19,0),"")</f>
        <v/>
      </c>
      <c r="Z784" s="400" t="str">
        <f>IFERROR(VLOOKUP($A784,#REF!,21,0),"")</f>
        <v/>
      </c>
      <c r="AA784" s="358"/>
      <c r="AB784" s="358"/>
      <c r="AC784" s="119"/>
      <c r="AD784" s="119"/>
      <c r="AE784" s="119"/>
      <c r="AF784" s="277"/>
      <c r="AG784" s="119"/>
      <c r="AH784" s="358"/>
      <c r="AI784" s="358"/>
      <c r="AJ784" s="380"/>
      <c r="AK784" s="380"/>
      <c r="AL784" s="380"/>
      <c r="AM784" s="380"/>
      <c r="AN784" s="120"/>
      <c r="AO784" s="120"/>
      <c r="AP784" s="120"/>
      <c r="AQ784" s="313"/>
      <c r="AR784" s="119"/>
      <c r="AS784" s="22"/>
      <c r="AT784" s="22"/>
      <c r="AU784" s="22"/>
      <c r="AV784" s="22"/>
      <c r="AW784" s="82"/>
      <c r="AX784" s="82"/>
      <c r="AY784" s="82"/>
      <c r="AZ784" s="82"/>
      <c r="BA784" s="82"/>
      <c r="BB784" s="82"/>
      <c r="BC784" s="82"/>
      <c r="BD784" s="82"/>
      <c r="BE784" s="82"/>
      <c r="BF784" s="82"/>
      <c r="BG784" s="112"/>
      <c r="BH784" s="112"/>
      <c r="BI784" s="112"/>
      <c r="BJ784" s="112"/>
      <c r="BK784" s="82"/>
      <c r="BL784" s="82"/>
      <c r="BN784" s="412"/>
      <c r="BO784" s="412"/>
      <c r="BP784" s="412"/>
      <c r="BQ784" s="412"/>
      <c r="BR784" s="412"/>
      <c r="BZ784" t="str">
        <f t="shared" si="72"/>
        <v/>
      </c>
    </row>
    <row r="785" spans="1:78" ht="15.6" hidden="1" customHeight="1">
      <c r="A785" s="35" t="str">
        <f t="shared" si="71"/>
        <v/>
      </c>
      <c r="C785" s="358" t="s">
        <v>24</v>
      </c>
      <c r="D785" s="358">
        <v>781</v>
      </c>
      <c r="E785" s="119"/>
      <c r="F785" s="119"/>
      <c r="G785" s="266"/>
      <c r="H785" s="119"/>
      <c r="I785" s="358"/>
      <c r="J785" s="359" t="str">
        <f>IFERROR(VLOOKUP($A785,#REF!,3,0),"")</f>
        <v/>
      </c>
      <c r="K785" s="359">
        <f>IFERROR(VLOOKUP($A785,#REF!,4,0),AF785)</f>
        <v>0</v>
      </c>
      <c r="L785" s="359" t="str">
        <f>IFERROR(VLOOKUP($A785,#REF!,5,0),"")</f>
        <v/>
      </c>
      <c r="M785" s="359" t="str">
        <f>IFERROR(VLOOKUP($A785,#REF!,7,0),"")</f>
        <v/>
      </c>
      <c r="N785" s="359"/>
      <c r="O785" s="359" t="str">
        <f>IFERROR(VLOOKUP($A785,#REF!,6,0),"")</f>
        <v/>
      </c>
      <c r="P785" s="359" t="str">
        <f>IFERROR(VLOOKUP($A785,#REF!,9,0),"")</f>
        <v/>
      </c>
      <c r="Q785" s="359" t="str">
        <f>IFERROR(VLOOKUP($A785,#REF!,10,0),"")</f>
        <v/>
      </c>
      <c r="R785" s="359" t="str">
        <f>IFERROR(VLOOKUP($A785,#REF!,11,0),"")</f>
        <v/>
      </c>
      <c r="S785" s="359" t="str">
        <f>IFERROR(VLOOKUP($A785,#REF!,13,0),"")</f>
        <v/>
      </c>
      <c r="T785" s="359" t="str">
        <f>IFERROR(VLOOKUP($A785,#REF!,14,0),"")</f>
        <v/>
      </c>
      <c r="U785" s="359" t="str">
        <f>IFERROR(VLOOKUP($A785,#REF!,15,0),"")</f>
        <v/>
      </c>
      <c r="V785" s="359" t="str">
        <f>IFERROR(VLOOKUP($A785,#REF!,16,0),"")</f>
        <v/>
      </c>
      <c r="W785" s="359" t="str">
        <f>IFERROR(VLOOKUP($A785,#REF!,17,0),"")</f>
        <v/>
      </c>
      <c r="X785" s="359" t="str">
        <f>IFERROR(VLOOKUP($A785,#REF!,18,0),"")</f>
        <v/>
      </c>
      <c r="Y785" s="359" t="str">
        <f>IFERROR(VLOOKUP($A785,#REF!,19,0),"")</f>
        <v/>
      </c>
      <c r="Z785" s="400" t="str">
        <f>IFERROR(VLOOKUP($A785,#REF!,21,0),"")</f>
        <v/>
      </c>
      <c r="AA785" s="358"/>
      <c r="AB785" s="358"/>
      <c r="AC785" s="119"/>
      <c r="AD785" s="119"/>
      <c r="AE785" s="119"/>
      <c r="AF785" s="277"/>
      <c r="AG785" s="119"/>
      <c r="AH785" s="358"/>
      <c r="AI785" s="358"/>
      <c r="AJ785" s="380"/>
      <c r="AK785" s="380"/>
      <c r="AL785" s="380"/>
      <c r="AM785" s="380"/>
      <c r="AN785" s="120"/>
      <c r="AO785" s="120"/>
      <c r="AP785" s="120"/>
      <c r="AQ785" s="313"/>
      <c r="AR785" s="119"/>
      <c r="AS785" s="22"/>
      <c r="AT785" s="22"/>
      <c r="AU785" s="22"/>
      <c r="AV785" s="22"/>
      <c r="AW785" s="82"/>
      <c r="AX785" s="82"/>
      <c r="AY785" s="82"/>
      <c r="AZ785" s="82"/>
      <c r="BA785" s="82"/>
      <c r="BB785" s="82"/>
      <c r="BC785" s="82"/>
      <c r="BD785" s="82"/>
      <c r="BE785" s="82"/>
      <c r="BF785" s="82"/>
      <c r="BG785" s="112"/>
      <c r="BH785" s="112"/>
      <c r="BI785" s="112"/>
      <c r="BJ785" s="112"/>
      <c r="BK785" s="82"/>
      <c r="BL785" s="82"/>
      <c r="BN785" s="412"/>
      <c r="BO785" s="412"/>
      <c r="BP785" s="412"/>
      <c r="BQ785" s="412"/>
      <c r="BR785" s="412"/>
      <c r="BZ785" t="str">
        <f t="shared" si="72"/>
        <v/>
      </c>
    </row>
    <row r="786" spans="1:78" ht="15.6" hidden="1" customHeight="1">
      <c r="A786" s="35" t="str">
        <f t="shared" si="71"/>
        <v/>
      </c>
      <c r="C786" s="358" t="s">
        <v>24</v>
      </c>
      <c r="D786" s="358">
        <v>782</v>
      </c>
      <c r="E786" s="119"/>
      <c r="F786" s="119"/>
      <c r="G786" s="266"/>
      <c r="H786" s="119"/>
      <c r="I786" s="358"/>
      <c r="J786" s="359" t="str">
        <f>IFERROR(VLOOKUP($A786,#REF!,3,0),"")</f>
        <v/>
      </c>
      <c r="K786" s="359">
        <f>IFERROR(VLOOKUP($A786,#REF!,4,0),AF786)</f>
        <v>0</v>
      </c>
      <c r="L786" s="359" t="str">
        <f>IFERROR(VLOOKUP($A786,#REF!,5,0),"")</f>
        <v/>
      </c>
      <c r="M786" s="359" t="str">
        <f>IFERROR(VLOOKUP($A786,#REF!,7,0),"")</f>
        <v/>
      </c>
      <c r="N786" s="359"/>
      <c r="O786" s="359" t="str">
        <f>IFERROR(VLOOKUP($A786,#REF!,6,0),"")</f>
        <v/>
      </c>
      <c r="P786" s="359" t="str">
        <f>IFERROR(VLOOKUP($A786,#REF!,9,0),"")</f>
        <v/>
      </c>
      <c r="Q786" s="359" t="str">
        <f>IFERROR(VLOOKUP($A786,#REF!,10,0),"")</f>
        <v/>
      </c>
      <c r="R786" s="359" t="str">
        <f>IFERROR(VLOOKUP($A786,#REF!,11,0),"")</f>
        <v/>
      </c>
      <c r="S786" s="359" t="str">
        <f>IFERROR(VLOOKUP($A786,#REF!,13,0),"")</f>
        <v/>
      </c>
      <c r="T786" s="359" t="str">
        <f>IFERROR(VLOOKUP($A786,#REF!,14,0),"")</f>
        <v/>
      </c>
      <c r="U786" s="359" t="str">
        <f>IFERROR(VLOOKUP($A786,#REF!,15,0),"")</f>
        <v/>
      </c>
      <c r="V786" s="359" t="str">
        <f>IFERROR(VLOOKUP($A786,#REF!,16,0),"")</f>
        <v/>
      </c>
      <c r="W786" s="359" t="str">
        <f>IFERROR(VLOOKUP($A786,#REF!,17,0),"")</f>
        <v/>
      </c>
      <c r="X786" s="359" t="str">
        <f>IFERROR(VLOOKUP($A786,#REF!,18,0),"")</f>
        <v/>
      </c>
      <c r="Y786" s="359" t="str">
        <f>IFERROR(VLOOKUP($A786,#REF!,19,0),"")</f>
        <v/>
      </c>
      <c r="Z786" s="400" t="str">
        <f>IFERROR(VLOOKUP($A786,#REF!,21,0),"")</f>
        <v/>
      </c>
      <c r="AA786" s="358"/>
      <c r="AB786" s="358"/>
      <c r="AC786" s="119"/>
      <c r="AD786" s="119"/>
      <c r="AE786" s="119"/>
      <c r="AF786" s="277"/>
      <c r="AG786" s="119"/>
      <c r="AH786" s="358"/>
      <c r="AI786" s="358"/>
      <c r="AJ786" s="380"/>
      <c r="AK786" s="380"/>
      <c r="AL786" s="380"/>
      <c r="AM786" s="380"/>
      <c r="AN786" s="120"/>
      <c r="AO786" s="120"/>
      <c r="AP786" s="120"/>
      <c r="AQ786" s="313"/>
      <c r="AR786" s="119"/>
      <c r="AS786" s="22"/>
      <c r="AT786" s="22"/>
      <c r="AU786" s="22"/>
      <c r="AV786" s="22"/>
      <c r="AW786" s="82"/>
      <c r="AX786" s="82"/>
      <c r="AY786" s="82"/>
      <c r="AZ786" s="82"/>
      <c r="BA786" s="82"/>
      <c r="BB786" s="82"/>
      <c r="BC786" s="82"/>
      <c r="BD786" s="82"/>
      <c r="BE786" s="82"/>
      <c r="BF786" s="82"/>
      <c r="BG786" s="112"/>
      <c r="BH786" s="112"/>
      <c r="BI786" s="112"/>
      <c r="BJ786" s="112"/>
      <c r="BK786" s="82"/>
      <c r="BL786" s="82"/>
      <c r="BN786" s="412"/>
      <c r="BO786" s="412"/>
      <c r="BP786" s="412"/>
      <c r="BQ786" s="412"/>
      <c r="BR786" s="412"/>
      <c r="BZ786" t="str">
        <f t="shared" si="72"/>
        <v/>
      </c>
    </row>
    <row r="787" spans="1:78" ht="15.6" hidden="1" customHeight="1">
      <c r="A787" s="35" t="str">
        <f t="shared" si="71"/>
        <v/>
      </c>
      <c r="C787" s="358" t="s">
        <v>24</v>
      </c>
      <c r="D787" s="358">
        <v>783</v>
      </c>
      <c r="E787" s="119"/>
      <c r="F787" s="119"/>
      <c r="G787" s="266"/>
      <c r="H787" s="119"/>
      <c r="I787" s="358"/>
      <c r="J787" s="359" t="str">
        <f>IFERROR(VLOOKUP($A787,#REF!,3,0),"")</f>
        <v/>
      </c>
      <c r="K787" s="359">
        <f>IFERROR(VLOOKUP($A787,#REF!,4,0),AF787)</f>
        <v>0</v>
      </c>
      <c r="L787" s="359" t="str">
        <f>IFERROR(VLOOKUP($A787,#REF!,5,0),"")</f>
        <v/>
      </c>
      <c r="M787" s="359" t="str">
        <f>IFERROR(VLOOKUP($A787,#REF!,7,0),"")</f>
        <v/>
      </c>
      <c r="N787" s="359"/>
      <c r="O787" s="359" t="str">
        <f>IFERROR(VLOOKUP($A787,#REF!,6,0),"")</f>
        <v/>
      </c>
      <c r="P787" s="359" t="str">
        <f>IFERROR(VLOOKUP($A787,#REF!,9,0),"")</f>
        <v/>
      </c>
      <c r="Q787" s="359" t="str">
        <f>IFERROR(VLOOKUP($A787,#REF!,10,0),"")</f>
        <v/>
      </c>
      <c r="R787" s="359" t="str">
        <f>IFERROR(VLOOKUP($A787,#REF!,11,0),"")</f>
        <v/>
      </c>
      <c r="S787" s="359" t="str">
        <f>IFERROR(VLOOKUP($A787,#REF!,13,0),"")</f>
        <v/>
      </c>
      <c r="T787" s="359" t="str">
        <f>IFERROR(VLOOKUP($A787,#REF!,14,0),"")</f>
        <v/>
      </c>
      <c r="U787" s="359" t="str">
        <f>IFERROR(VLOOKUP($A787,#REF!,15,0),"")</f>
        <v/>
      </c>
      <c r="V787" s="359" t="str">
        <f>IFERROR(VLOOKUP($A787,#REF!,16,0),"")</f>
        <v/>
      </c>
      <c r="W787" s="359" t="str">
        <f>IFERROR(VLOOKUP($A787,#REF!,17,0),"")</f>
        <v/>
      </c>
      <c r="X787" s="359" t="str">
        <f>IFERROR(VLOOKUP($A787,#REF!,18,0),"")</f>
        <v/>
      </c>
      <c r="Y787" s="359" t="str">
        <f>IFERROR(VLOOKUP($A787,#REF!,19,0),"")</f>
        <v/>
      </c>
      <c r="Z787" s="400" t="str">
        <f>IFERROR(VLOOKUP($A787,#REF!,21,0),"")</f>
        <v/>
      </c>
      <c r="AA787" s="358"/>
      <c r="AB787" s="358"/>
      <c r="AC787" s="119"/>
      <c r="AD787" s="119"/>
      <c r="AE787" s="119"/>
      <c r="AF787" s="277"/>
      <c r="AG787" s="119"/>
      <c r="AH787" s="358"/>
      <c r="AI787" s="358"/>
      <c r="AJ787" s="380"/>
      <c r="AK787" s="380"/>
      <c r="AL787" s="380"/>
      <c r="AM787" s="380"/>
      <c r="AN787" s="120"/>
      <c r="AO787" s="120"/>
      <c r="AP787" s="120"/>
      <c r="AQ787" s="313"/>
      <c r="AR787" s="119"/>
      <c r="AS787" s="22"/>
      <c r="AT787" s="22"/>
      <c r="AU787" s="22"/>
      <c r="AV787" s="22"/>
      <c r="AW787" s="82"/>
      <c r="AX787" s="82"/>
      <c r="AY787" s="82"/>
      <c r="AZ787" s="82"/>
      <c r="BA787" s="82"/>
      <c r="BB787" s="82"/>
      <c r="BC787" s="82"/>
      <c r="BD787" s="82"/>
      <c r="BE787" s="82"/>
      <c r="BF787" s="82"/>
      <c r="BG787" s="112"/>
      <c r="BH787" s="112"/>
      <c r="BI787" s="112"/>
      <c r="BJ787" s="112"/>
      <c r="BK787" s="82"/>
      <c r="BL787" s="82"/>
      <c r="BN787" s="412"/>
      <c r="BO787" s="412"/>
      <c r="BP787" s="412"/>
      <c r="BQ787" s="412"/>
      <c r="BR787" s="412"/>
      <c r="BZ787" t="str">
        <f t="shared" si="72"/>
        <v/>
      </c>
    </row>
    <row r="788" spans="1:78" ht="15.6" hidden="1" customHeight="1">
      <c r="A788" s="35" t="str">
        <f t="shared" si="71"/>
        <v/>
      </c>
      <c r="C788" s="358" t="s">
        <v>24</v>
      </c>
      <c r="D788" s="358">
        <v>784</v>
      </c>
      <c r="E788" s="119"/>
      <c r="F788" s="119"/>
      <c r="G788" s="266"/>
      <c r="H788" s="119"/>
      <c r="I788" s="358"/>
      <c r="J788" s="359" t="str">
        <f>IFERROR(VLOOKUP($A788,#REF!,3,0),"")</f>
        <v/>
      </c>
      <c r="K788" s="359">
        <f>IFERROR(VLOOKUP($A788,#REF!,4,0),AF788)</f>
        <v>0</v>
      </c>
      <c r="L788" s="359" t="str">
        <f>IFERROR(VLOOKUP($A788,#REF!,5,0),"")</f>
        <v/>
      </c>
      <c r="M788" s="359" t="str">
        <f>IFERROR(VLOOKUP($A788,#REF!,7,0),"")</f>
        <v/>
      </c>
      <c r="N788" s="359"/>
      <c r="O788" s="359" t="str">
        <f>IFERROR(VLOOKUP($A788,#REF!,6,0),"")</f>
        <v/>
      </c>
      <c r="P788" s="359" t="str">
        <f>IFERROR(VLOOKUP($A788,#REF!,9,0),"")</f>
        <v/>
      </c>
      <c r="Q788" s="359" t="str">
        <f>IFERROR(VLOOKUP($A788,#REF!,10,0),"")</f>
        <v/>
      </c>
      <c r="R788" s="359" t="str">
        <f>IFERROR(VLOOKUP($A788,#REF!,11,0),"")</f>
        <v/>
      </c>
      <c r="S788" s="359" t="str">
        <f>IFERROR(VLOOKUP($A788,#REF!,13,0),"")</f>
        <v/>
      </c>
      <c r="T788" s="359" t="str">
        <f>IFERROR(VLOOKUP($A788,#REF!,14,0),"")</f>
        <v/>
      </c>
      <c r="U788" s="359" t="str">
        <f>IFERROR(VLOOKUP($A788,#REF!,15,0),"")</f>
        <v/>
      </c>
      <c r="V788" s="359" t="str">
        <f>IFERROR(VLOOKUP($A788,#REF!,16,0),"")</f>
        <v/>
      </c>
      <c r="W788" s="359" t="str">
        <f>IFERROR(VLOOKUP($A788,#REF!,17,0),"")</f>
        <v/>
      </c>
      <c r="X788" s="359" t="str">
        <f>IFERROR(VLOOKUP($A788,#REF!,18,0),"")</f>
        <v/>
      </c>
      <c r="Y788" s="359" t="str">
        <f>IFERROR(VLOOKUP($A788,#REF!,19,0),"")</f>
        <v/>
      </c>
      <c r="Z788" s="400" t="str">
        <f>IFERROR(VLOOKUP($A788,#REF!,21,0),"")</f>
        <v/>
      </c>
      <c r="AA788" s="358"/>
      <c r="AB788" s="358"/>
      <c r="AC788" s="119"/>
      <c r="AD788" s="119"/>
      <c r="AE788" s="119"/>
      <c r="AF788" s="277"/>
      <c r="AG788" s="119"/>
      <c r="AH788" s="358"/>
      <c r="AI788" s="358"/>
      <c r="AJ788" s="380"/>
      <c r="AK788" s="380"/>
      <c r="AL788" s="380"/>
      <c r="AM788" s="380"/>
      <c r="AN788" s="120"/>
      <c r="AO788" s="120"/>
      <c r="AP788" s="120"/>
      <c r="AQ788" s="313"/>
      <c r="AR788" s="119"/>
      <c r="AS788" s="22"/>
      <c r="AT788" s="22"/>
      <c r="AU788" s="22"/>
      <c r="AV788" s="22"/>
      <c r="AW788" s="82"/>
      <c r="AX788" s="82"/>
      <c r="AY788" s="82"/>
      <c r="AZ788" s="82"/>
      <c r="BA788" s="82"/>
      <c r="BB788" s="82"/>
      <c r="BC788" s="82"/>
      <c r="BD788" s="82"/>
      <c r="BE788" s="82"/>
      <c r="BF788" s="82"/>
      <c r="BG788" s="112"/>
      <c r="BH788" s="112"/>
      <c r="BI788" s="112"/>
      <c r="BJ788" s="112"/>
      <c r="BK788" s="82"/>
      <c r="BL788" s="82"/>
      <c r="BN788" s="412"/>
      <c r="BO788" s="412"/>
      <c r="BP788" s="412"/>
      <c r="BQ788" s="412"/>
      <c r="BR788" s="412"/>
      <c r="BZ788" t="str">
        <f t="shared" si="72"/>
        <v/>
      </c>
    </row>
    <row r="789" spans="1:78" ht="15.6" hidden="1" customHeight="1">
      <c r="A789" s="35" t="str">
        <f t="shared" si="71"/>
        <v/>
      </c>
      <c r="C789" s="358" t="s">
        <v>24</v>
      </c>
      <c r="D789" s="358">
        <v>785</v>
      </c>
      <c r="E789" s="119"/>
      <c r="F789" s="119"/>
      <c r="G789" s="266"/>
      <c r="H789" s="119"/>
      <c r="I789" s="358"/>
      <c r="J789" s="359" t="str">
        <f>IFERROR(VLOOKUP($A789,#REF!,3,0),"")</f>
        <v/>
      </c>
      <c r="K789" s="359">
        <f>IFERROR(VLOOKUP($A789,#REF!,4,0),AF789)</f>
        <v>0</v>
      </c>
      <c r="L789" s="359" t="str">
        <f>IFERROR(VLOOKUP($A789,#REF!,5,0),"")</f>
        <v/>
      </c>
      <c r="M789" s="359" t="str">
        <f>IFERROR(VLOOKUP($A789,#REF!,7,0),"")</f>
        <v/>
      </c>
      <c r="N789" s="359"/>
      <c r="O789" s="359" t="str">
        <f>IFERROR(VLOOKUP($A789,#REF!,6,0),"")</f>
        <v/>
      </c>
      <c r="P789" s="359" t="str">
        <f>IFERROR(VLOOKUP($A789,#REF!,9,0),"")</f>
        <v/>
      </c>
      <c r="Q789" s="359" t="str">
        <f>IFERROR(VLOOKUP($A789,#REF!,10,0),"")</f>
        <v/>
      </c>
      <c r="R789" s="359" t="str">
        <f>IFERROR(VLOOKUP($A789,#REF!,11,0),"")</f>
        <v/>
      </c>
      <c r="S789" s="359" t="str">
        <f>IFERROR(VLOOKUP($A789,#REF!,13,0),"")</f>
        <v/>
      </c>
      <c r="T789" s="359" t="str">
        <f>IFERROR(VLOOKUP($A789,#REF!,14,0),"")</f>
        <v/>
      </c>
      <c r="U789" s="359" t="str">
        <f>IFERROR(VLOOKUP($A789,#REF!,15,0),"")</f>
        <v/>
      </c>
      <c r="V789" s="359" t="str">
        <f>IFERROR(VLOOKUP($A789,#REF!,16,0),"")</f>
        <v/>
      </c>
      <c r="W789" s="359" t="str">
        <f>IFERROR(VLOOKUP($A789,#REF!,17,0),"")</f>
        <v/>
      </c>
      <c r="X789" s="359" t="str">
        <f>IFERROR(VLOOKUP($A789,#REF!,18,0),"")</f>
        <v/>
      </c>
      <c r="Y789" s="359" t="str">
        <f>IFERROR(VLOOKUP($A789,#REF!,19,0),"")</f>
        <v/>
      </c>
      <c r="Z789" s="400" t="str">
        <f>IFERROR(VLOOKUP($A789,#REF!,21,0),"")</f>
        <v/>
      </c>
      <c r="AA789" s="358"/>
      <c r="AB789" s="358"/>
      <c r="AC789" s="119"/>
      <c r="AD789" s="119"/>
      <c r="AE789" s="119"/>
      <c r="AF789" s="277"/>
      <c r="AG789" s="119"/>
      <c r="AH789" s="358"/>
      <c r="AI789" s="358"/>
      <c r="AJ789" s="380"/>
      <c r="AK789" s="380"/>
      <c r="AL789" s="380"/>
      <c r="AM789" s="380"/>
      <c r="AN789" s="120"/>
      <c r="AO789" s="120"/>
      <c r="AP789" s="120"/>
      <c r="AQ789" s="313"/>
      <c r="AR789" s="119"/>
      <c r="AS789" s="22"/>
      <c r="AT789" s="22"/>
      <c r="AU789" s="22"/>
      <c r="AV789" s="22"/>
      <c r="AW789" s="82"/>
      <c r="AX789" s="82"/>
      <c r="AY789" s="82"/>
      <c r="AZ789" s="82"/>
      <c r="BA789" s="82"/>
      <c r="BB789" s="82"/>
      <c r="BC789" s="82"/>
      <c r="BD789" s="82"/>
      <c r="BE789" s="82"/>
      <c r="BF789" s="82"/>
      <c r="BG789" s="112"/>
      <c r="BH789" s="112"/>
      <c r="BI789" s="112"/>
      <c r="BJ789" s="112"/>
      <c r="BK789" s="82"/>
      <c r="BL789" s="82"/>
      <c r="BN789" s="412"/>
      <c r="BO789" s="412"/>
      <c r="BP789" s="412"/>
      <c r="BQ789" s="412"/>
      <c r="BR789" s="412"/>
      <c r="BZ789" t="str">
        <f t="shared" si="72"/>
        <v/>
      </c>
    </row>
    <row r="790" spans="1:78" ht="15.6" hidden="1" customHeight="1">
      <c r="A790" s="35" t="str">
        <f t="shared" si="71"/>
        <v/>
      </c>
      <c r="C790" s="358" t="s">
        <v>24</v>
      </c>
      <c r="D790" s="358">
        <v>786</v>
      </c>
      <c r="E790" s="119"/>
      <c r="F790" s="119"/>
      <c r="G790" s="266"/>
      <c r="H790" s="119"/>
      <c r="I790" s="358"/>
      <c r="J790" s="359" t="str">
        <f>IFERROR(VLOOKUP($A790,#REF!,3,0),"")</f>
        <v/>
      </c>
      <c r="K790" s="359">
        <f>IFERROR(VLOOKUP($A790,#REF!,4,0),AF790)</f>
        <v>0</v>
      </c>
      <c r="L790" s="359" t="str">
        <f>IFERROR(VLOOKUP($A790,#REF!,5,0),"")</f>
        <v/>
      </c>
      <c r="M790" s="359" t="str">
        <f>IFERROR(VLOOKUP($A790,#REF!,7,0),"")</f>
        <v/>
      </c>
      <c r="N790" s="359"/>
      <c r="O790" s="359" t="str">
        <f>IFERROR(VLOOKUP($A790,#REF!,6,0),"")</f>
        <v/>
      </c>
      <c r="P790" s="359" t="str">
        <f>IFERROR(VLOOKUP($A790,#REF!,9,0),"")</f>
        <v/>
      </c>
      <c r="Q790" s="359" t="str">
        <f>IFERROR(VLOOKUP($A790,#REF!,10,0),"")</f>
        <v/>
      </c>
      <c r="R790" s="359" t="str">
        <f>IFERROR(VLOOKUP($A790,#REF!,11,0),"")</f>
        <v/>
      </c>
      <c r="S790" s="359" t="str">
        <f>IFERROR(VLOOKUP($A790,#REF!,13,0),"")</f>
        <v/>
      </c>
      <c r="T790" s="359" t="str">
        <f>IFERROR(VLOOKUP($A790,#REF!,14,0),"")</f>
        <v/>
      </c>
      <c r="U790" s="359" t="str">
        <f>IFERROR(VLOOKUP($A790,#REF!,15,0),"")</f>
        <v/>
      </c>
      <c r="V790" s="359" t="str">
        <f>IFERROR(VLOOKUP($A790,#REF!,16,0),"")</f>
        <v/>
      </c>
      <c r="W790" s="359" t="str">
        <f>IFERROR(VLOOKUP($A790,#REF!,17,0),"")</f>
        <v/>
      </c>
      <c r="X790" s="359" t="str">
        <f>IFERROR(VLOOKUP($A790,#REF!,18,0),"")</f>
        <v/>
      </c>
      <c r="Y790" s="359" t="str">
        <f>IFERROR(VLOOKUP($A790,#REF!,19,0),"")</f>
        <v/>
      </c>
      <c r="Z790" s="400" t="str">
        <f>IFERROR(VLOOKUP($A790,#REF!,21,0),"")</f>
        <v/>
      </c>
      <c r="AA790" s="358"/>
      <c r="AB790" s="358"/>
      <c r="AC790" s="119"/>
      <c r="AD790" s="119"/>
      <c r="AE790" s="119"/>
      <c r="AF790" s="277"/>
      <c r="AG790" s="119"/>
      <c r="AH790" s="358"/>
      <c r="AI790" s="358"/>
      <c r="AJ790" s="380"/>
      <c r="AK790" s="380"/>
      <c r="AL790" s="380"/>
      <c r="AM790" s="380"/>
      <c r="AN790" s="120"/>
      <c r="AO790" s="120"/>
      <c r="AP790" s="120"/>
      <c r="AQ790" s="313"/>
      <c r="AR790" s="119"/>
      <c r="AS790" s="22"/>
      <c r="AT790" s="22"/>
      <c r="AU790" s="22"/>
      <c r="AV790" s="22"/>
      <c r="AW790" s="82"/>
      <c r="AX790" s="82"/>
      <c r="AY790" s="82"/>
      <c r="AZ790" s="82"/>
      <c r="BA790" s="82"/>
      <c r="BB790" s="82"/>
      <c r="BC790" s="82"/>
      <c r="BD790" s="82"/>
      <c r="BE790" s="82"/>
      <c r="BF790" s="82"/>
      <c r="BG790" s="112"/>
      <c r="BH790" s="112"/>
      <c r="BI790" s="112"/>
      <c r="BJ790" s="112"/>
      <c r="BK790" s="82"/>
      <c r="BL790" s="82"/>
      <c r="BN790" s="412"/>
      <c r="BO790" s="412"/>
      <c r="BP790" s="412"/>
      <c r="BQ790" s="412"/>
      <c r="BR790" s="412"/>
      <c r="BZ790" t="str">
        <f t="shared" si="72"/>
        <v/>
      </c>
    </row>
    <row r="791" spans="1:78" ht="15.6" hidden="1" customHeight="1">
      <c r="A791" s="35" t="str">
        <f t="shared" si="71"/>
        <v/>
      </c>
      <c r="C791" s="358" t="s">
        <v>24</v>
      </c>
      <c r="D791" s="358">
        <v>787</v>
      </c>
      <c r="E791" s="119"/>
      <c r="F791" s="119"/>
      <c r="G791" s="266"/>
      <c r="H791" s="119"/>
      <c r="I791" s="358"/>
      <c r="J791" s="359" t="str">
        <f>IFERROR(VLOOKUP($A791,#REF!,3,0),"")</f>
        <v/>
      </c>
      <c r="K791" s="359">
        <f>IFERROR(VLOOKUP($A791,#REF!,4,0),AF791)</f>
        <v>0</v>
      </c>
      <c r="L791" s="359" t="str">
        <f>IFERROR(VLOOKUP($A791,#REF!,5,0),"")</f>
        <v/>
      </c>
      <c r="M791" s="359" t="str">
        <f>IFERROR(VLOOKUP($A791,#REF!,7,0),"")</f>
        <v/>
      </c>
      <c r="N791" s="359"/>
      <c r="O791" s="359" t="str">
        <f>IFERROR(VLOOKUP($A791,#REF!,6,0),"")</f>
        <v/>
      </c>
      <c r="P791" s="359" t="str">
        <f>IFERROR(VLOOKUP($A791,#REF!,9,0),"")</f>
        <v/>
      </c>
      <c r="Q791" s="359" t="str">
        <f>IFERROR(VLOOKUP($A791,#REF!,10,0),"")</f>
        <v/>
      </c>
      <c r="R791" s="359" t="str">
        <f>IFERROR(VLOOKUP($A791,#REF!,11,0),"")</f>
        <v/>
      </c>
      <c r="S791" s="359" t="str">
        <f>IFERROR(VLOOKUP($A791,#REF!,13,0),"")</f>
        <v/>
      </c>
      <c r="T791" s="359" t="str">
        <f>IFERROR(VLOOKUP($A791,#REF!,14,0),"")</f>
        <v/>
      </c>
      <c r="U791" s="359" t="str">
        <f>IFERROR(VLOOKUP($A791,#REF!,15,0),"")</f>
        <v/>
      </c>
      <c r="V791" s="359" t="str">
        <f>IFERROR(VLOOKUP($A791,#REF!,16,0),"")</f>
        <v/>
      </c>
      <c r="W791" s="359" t="str">
        <f>IFERROR(VLOOKUP($A791,#REF!,17,0),"")</f>
        <v/>
      </c>
      <c r="X791" s="359" t="str">
        <f>IFERROR(VLOOKUP($A791,#REF!,18,0),"")</f>
        <v/>
      </c>
      <c r="Y791" s="359" t="str">
        <f>IFERROR(VLOOKUP($A791,#REF!,19,0),"")</f>
        <v/>
      </c>
      <c r="Z791" s="400" t="str">
        <f>IFERROR(VLOOKUP($A791,#REF!,21,0),"")</f>
        <v/>
      </c>
      <c r="AA791" s="358"/>
      <c r="AB791" s="358"/>
      <c r="AC791" s="119"/>
      <c r="AD791" s="119"/>
      <c r="AE791" s="119"/>
      <c r="AF791" s="277"/>
      <c r="AG791" s="119"/>
      <c r="AH791" s="358"/>
      <c r="AI791" s="358"/>
      <c r="AJ791" s="380"/>
      <c r="AK791" s="380"/>
      <c r="AL791" s="380"/>
      <c r="AM791" s="380"/>
      <c r="AN791" s="120"/>
      <c r="AO791" s="120"/>
      <c r="AP791" s="120"/>
      <c r="AQ791" s="313"/>
      <c r="AR791" s="119"/>
      <c r="AS791" s="22"/>
      <c r="AT791" s="22"/>
      <c r="AU791" s="22"/>
      <c r="AV791" s="22"/>
      <c r="AW791" s="82"/>
      <c r="AX791" s="82"/>
      <c r="AY791" s="82"/>
      <c r="AZ791" s="82"/>
      <c r="BA791" s="82"/>
      <c r="BB791" s="82"/>
      <c r="BC791" s="82"/>
      <c r="BD791" s="82"/>
      <c r="BE791" s="82"/>
      <c r="BF791" s="82"/>
      <c r="BG791" s="112"/>
      <c r="BH791" s="112"/>
      <c r="BI791" s="112"/>
      <c r="BJ791" s="112"/>
      <c r="BK791" s="82"/>
      <c r="BL791" s="82"/>
      <c r="BN791" s="412"/>
      <c r="BO791" s="412"/>
      <c r="BP791" s="412"/>
      <c r="BQ791" s="412"/>
      <c r="BR791" s="412"/>
      <c r="BZ791" t="str">
        <f t="shared" si="72"/>
        <v/>
      </c>
    </row>
    <row r="792" spans="1:78" ht="15.6" hidden="1" customHeight="1">
      <c r="A792" s="35" t="str">
        <f t="shared" si="71"/>
        <v/>
      </c>
      <c r="C792" s="358" t="s">
        <v>24</v>
      </c>
      <c r="D792" s="358">
        <v>788</v>
      </c>
      <c r="E792" s="119"/>
      <c r="F792" s="119"/>
      <c r="G792" s="266"/>
      <c r="H792" s="119"/>
      <c r="I792" s="358"/>
      <c r="J792" s="359" t="str">
        <f>IFERROR(VLOOKUP($A792,#REF!,3,0),"")</f>
        <v/>
      </c>
      <c r="K792" s="359">
        <f>IFERROR(VLOOKUP($A792,#REF!,4,0),AF792)</f>
        <v>0</v>
      </c>
      <c r="L792" s="359" t="str">
        <f>IFERROR(VLOOKUP($A792,#REF!,5,0),"")</f>
        <v/>
      </c>
      <c r="M792" s="359" t="str">
        <f>IFERROR(VLOOKUP($A792,#REF!,7,0),"")</f>
        <v/>
      </c>
      <c r="N792" s="359"/>
      <c r="O792" s="359" t="str">
        <f>IFERROR(VLOOKUP($A792,#REF!,6,0),"")</f>
        <v/>
      </c>
      <c r="P792" s="359" t="str">
        <f>IFERROR(VLOOKUP($A792,#REF!,9,0),"")</f>
        <v/>
      </c>
      <c r="Q792" s="359" t="str">
        <f>IFERROR(VLOOKUP($A792,#REF!,10,0),"")</f>
        <v/>
      </c>
      <c r="R792" s="359" t="str">
        <f>IFERROR(VLOOKUP($A792,#REF!,11,0),"")</f>
        <v/>
      </c>
      <c r="S792" s="359" t="str">
        <f>IFERROR(VLOOKUP($A792,#REF!,13,0),"")</f>
        <v/>
      </c>
      <c r="T792" s="359" t="str">
        <f>IFERROR(VLOOKUP($A792,#REF!,14,0),"")</f>
        <v/>
      </c>
      <c r="U792" s="359" t="str">
        <f>IFERROR(VLOOKUP($A792,#REF!,15,0),"")</f>
        <v/>
      </c>
      <c r="V792" s="359" t="str">
        <f>IFERROR(VLOOKUP($A792,#REF!,16,0),"")</f>
        <v/>
      </c>
      <c r="W792" s="359" t="str">
        <f>IFERROR(VLOOKUP($A792,#REF!,17,0),"")</f>
        <v/>
      </c>
      <c r="X792" s="359" t="str">
        <f>IFERROR(VLOOKUP($A792,#REF!,18,0),"")</f>
        <v/>
      </c>
      <c r="Y792" s="359" t="str">
        <f>IFERROR(VLOOKUP($A792,#REF!,19,0),"")</f>
        <v/>
      </c>
      <c r="Z792" s="400" t="str">
        <f>IFERROR(VLOOKUP($A792,#REF!,21,0),"")</f>
        <v/>
      </c>
      <c r="AA792" s="358"/>
      <c r="AB792" s="358"/>
      <c r="AC792" s="119"/>
      <c r="AD792" s="119"/>
      <c r="AE792" s="119"/>
      <c r="AF792" s="277"/>
      <c r="AG792" s="119"/>
      <c r="AH792" s="358"/>
      <c r="AI792" s="358"/>
      <c r="AJ792" s="380"/>
      <c r="AK792" s="380"/>
      <c r="AL792" s="380"/>
      <c r="AM792" s="380"/>
      <c r="AN792" s="120"/>
      <c r="AO792" s="120"/>
      <c r="AP792" s="120"/>
      <c r="AQ792" s="313"/>
      <c r="AR792" s="119"/>
      <c r="AS792" s="22"/>
      <c r="AT792" s="22"/>
      <c r="AU792" s="22"/>
      <c r="AV792" s="22"/>
      <c r="AW792" s="82"/>
      <c r="AX792" s="82"/>
      <c r="AY792" s="82"/>
      <c r="AZ792" s="82"/>
      <c r="BA792" s="82"/>
      <c r="BB792" s="82"/>
      <c r="BC792" s="82"/>
      <c r="BD792" s="82"/>
      <c r="BE792" s="82"/>
      <c r="BF792" s="82"/>
      <c r="BG792" s="112"/>
      <c r="BH792" s="112"/>
      <c r="BI792" s="112"/>
      <c r="BJ792" s="112"/>
      <c r="BK792" s="82"/>
      <c r="BL792" s="82"/>
      <c r="BN792" s="412"/>
      <c r="BO792" s="412"/>
      <c r="BP792" s="412"/>
      <c r="BQ792" s="412"/>
      <c r="BR792" s="412"/>
      <c r="BZ792" t="str">
        <f t="shared" si="72"/>
        <v/>
      </c>
    </row>
    <row r="793" spans="1:78" ht="15.6" hidden="1" customHeight="1">
      <c r="A793" s="35" t="str">
        <f t="shared" si="71"/>
        <v/>
      </c>
      <c r="C793" s="358" t="s">
        <v>24</v>
      </c>
      <c r="D793" s="358">
        <v>789</v>
      </c>
      <c r="E793" s="119"/>
      <c r="F793" s="119"/>
      <c r="G793" s="266"/>
      <c r="H793" s="119"/>
      <c r="I793" s="358"/>
      <c r="J793" s="359" t="str">
        <f>IFERROR(VLOOKUP($A793,#REF!,3,0),"")</f>
        <v/>
      </c>
      <c r="K793" s="359">
        <f>IFERROR(VLOOKUP($A793,#REF!,4,0),AF793)</f>
        <v>0</v>
      </c>
      <c r="L793" s="359" t="str">
        <f>IFERROR(VLOOKUP($A793,#REF!,5,0),"")</f>
        <v/>
      </c>
      <c r="M793" s="359" t="str">
        <f>IFERROR(VLOOKUP($A793,#REF!,7,0),"")</f>
        <v/>
      </c>
      <c r="N793" s="359"/>
      <c r="O793" s="359" t="str">
        <f>IFERROR(VLOOKUP($A793,#REF!,6,0),"")</f>
        <v/>
      </c>
      <c r="P793" s="359" t="str">
        <f>IFERROR(VLOOKUP($A793,#REF!,9,0),"")</f>
        <v/>
      </c>
      <c r="Q793" s="359" t="str">
        <f>IFERROR(VLOOKUP($A793,#REF!,10,0),"")</f>
        <v/>
      </c>
      <c r="R793" s="359" t="str">
        <f>IFERROR(VLOOKUP($A793,#REF!,11,0),"")</f>
        <v/>
      </c>
      <c r="S793" s="359" t="str">
        <f>IFERROR(VLOOKUP($A793,#REF!,13,0),"")</f>
        <v/>
      </c>
      <c r="T793" s="359" t="str">
        <f>IFERROR(VLOOKUP($A793,#REF!,14,0),"")</f>
        <v/>
      </c>
      <c r="U793" s="359" t="str">
        <f>IFERROR(VLOOKUP($A793,#REF!,15,0),"")</f>
        <v/>
      </c>
      <c r="V793" s="359" t="str">
        <f>IFERROR(VLOOKUP($A793,#REF!,16,0),"")</f>
        <v/>
      </c>
      <c r="W793" s="359" t="str">
        <f>IFERROR(VLOOKUP($A793,#REF!,17,0),"")</f>
        <v/>
      </c>
      <c r="X793" s="359" t="str">
        <f>IFERROR(VLOOKUP($A793,#REF!,18,0),"")</f>
        <v/>
      </c>
      <c r="Y793" s="359" t="str">
        <f>IFERROR(VLOOKUP($A793,#REF!,19,0),"")</f>
        <v/>
      </c>
      <c r="Z793" s="400" t="str">
        <f>IFERROR(VLOOKUP($A793,#REF!,21,0),"")</f>
        <v/>
      </c>
      <c r="AA793" s="358"/>
      <c r="AB793" s="358"/>
      <c r="AC793" s="119"/>
      <c r="AD793" s="119"/>
      <c r="AE793" s="119"/>
      <c r="AF793" s="277"/>
      <c r="AG793" s="119"/>
      <c r="AH793" s="358"/>
      <c r="AI793" s="358"/>
      <c r="AJ793" s="380"/>
      <c r="AK793" s="380"/>
      <c r="AL793" s="380"/>
      <c r="AM793" s="380"/>
      <c r="AN793" s="120"/>
      <c r="AO793" s="120"/>
      <c r="AP793" s="120"/>
      <c r="AQ793" s="313"/>
      <c r="AR793" s="119"/>
      <c r="AS793" s="22"/>
      <c r="AT793" s="22"/>
      <c r="AU793" s="22"/>
      <c r="AV793" s="22"/>
      <c r="AW793" s="82"/>
      <c r="AX793" s="82"/>
      <c r="AY793" s="82"/>
      <c r="AZ793" s="82"/>
      <c r="BA793" s="82"/>
      <c r="BB793" s="82"/>
      <c r="BC793" s="82"/>
      <c r="BD793" s="82"/>
      <c r="BE793" s="82"/>
      <c r="BF793" s="82"/>
      <c r="BG793" s="112"/>
      <c r="BH793" s="112"/>
      <c r="BI793" s="112"/>
      <c r="BJ793" s="112"/>
      <c r="BK793" s="82"/>
      <c r="BL793" s="82"/>
      <c r="BN793" s="412"/>
      <c r="BO793" s="412"/>
      <c r="BP793" s="412"/>
      <c r="BQ793" s="412"/>
      <c r="BR793" s="412"/>
      <c r="BZ793" t="str">
        <f t="shared" si="72"/>
        <v/>
      </c>
    </row>
    <row r="794" spans="1:78" ht="15.6" hidden="1" customHeight="1">
      <c r="A794" s="35" t="str">
        <f t="shared" si="71"/>
        <v/>
      </c>
      <c r="C794" s="358" t="s">
        <v>24</v>
      </c>
      <c r="D794" s="358">
        <v>790</v>
      </c>
      <c r="E794" s="119"/>
      <c r="F794" s="119"/>
      <c r="G794" s="266"/>
      <c r="H794" s="119"/>
      <c r="I794" s="358"/>
      <c r="J794" s="359" t="str">
        <f>IFERROR(VLOOKUP($A794,#REF!,3,0),"")</f>
        <v/>
      </c>
      <c r="K794" s="359">
        <f>IFERROR(VLOOKUP($A794,#REF!,4,0),AF794)</f>
        <v>0</v>
      </c>
      <c r="L794" s="359" t="str">
        <f>IFERROR(VLOOKUP($A794,#REF!,5,0),"")</f>
        <v/>
      </c>
      <c r="M794" s="359" t="str">
        <f>IFERROR(VLOOKUP($A794,#REF!,7,0),"")</f>
        <v/>
      </c>
      <c r="N794" s="359"/>
      <c r="O794" s="359" t="str">
        <f>IFERROR(VLOOKUP($A794,#REF!,6,0),"")</f>
        <v/>
      </c>
      <c r="P794" s="359" t="str">
        <f>IFERROR(VLOOKUP($A794,#REF!,9,0),"")</f>
        <v/>
      </c>
      <c r="Q794" s="359" t="str">
        <f>IFERROR(VLOOKUP($A794,#REF!,10,0),"")</f>
        <v/>
      </c>
      <c r="R794" s="359" t="str">
        <f>IFERROR(VLOOKUP($A794,#REF!,11,0),"")</f>
        <v/>
      </c>
      <c r="S794" s="359" t="str">
        <f>IFERROR(VLOOKUP($A794,#REF!,13,0),"")</f>
        <v/>
      </c>
      <c r="T794" s="359" t="str">
        <f>IFERROR(VLOOKUP($A794,#REF!,14,0),"")</f>
        <v/>
      </c>
      <c r="U794" s="359" t="str">
        <f>IFERROR(VLOOKUP($A794,#REF!,15,0),"")</f>
        <v/>
      </c>
      <c r="V794" s="359" t="str">
        <f>IFERROR(VLOOKUP($A794,#REF!,16,0),"")</f>
        <v/>
      </c>
      <c r="W794" s="359" t="str">
        <f>IFERROR(VLOOKUP($A794,#REF!,17,0),"")</f>
        <v/>
      </c>
      <c r="X794" s="359" t="str">
        <f>IFERROR(VLOOKUP($A794,#REF!,18,0),"")</f>
        <v/>
      </c>
      <c r="Y794" s="359" t="str">
        <f>IFERROR(VLOOKUP($A794,#REF!,19,0),"")</f>
        <v/>
      </c>
      <c r="Z794" s="400" t="str">
        <f>IFERROR(VLOOKUP($A794,#REF!,21,0),"")</f>
        <v/>
      </c>
      <c r="AA794" s="358"/>
      <c r="AB794" s="358"/>
      <c r="AC794" s="119"/>
      <c r="AD794" s="119"/>
      <c r="AE794" s="119"/>
      <c r="AF794" s="277"/>
      <c r="AG794" s="119"/>
      <c r="AH794" s="358"/>
      <c r="AI794" s="358"/>
      <c r="AJ794" s="380"/>
      <c r="AK794" s="380"/>
      <c r="AL794" s="380"/>
      <c r="AM794" s="380"/>
      <c r="AN794" s="120"/>
      <c r="AO794" s="120"/>
      <c r="AP794" s="120"/>
      <c r="AQ794" s="313"/>
      <c r="AR794" s="119"/>
      <c r="AS794" s="22"/>
      <c r="AT794" s="22"/>
      <c r="AU794" s="22"/>
      <c r="AV794" s="22"/>
      <c r="AW794" s="82"/>
      <c r="AX794" s="82"/>
      <c r="AY794" s="82"/>
      <c r="AZ794" s="82"/>
      <c r="BA794" s="82"/>
      <c r="BB794" s="82"/>
      <c r="BC794" s="82"/>
      <c r="BD794" s="82"/>
      <c r="BE794" s="82"/>
      <c r="BF794" s="82"/>
      <c r="BG794" s="112"/>
      <c r="BH794" s="112"/>
      <c r="BI794" s="112"/>
      <c r="BJ794" s="112"/>
      <c r="BK794" s="82"/>
      <c r="BL794" s="82"/>
      <c r="BN794" s="412"/>
      <c r="BO794" s="412"/>
      <c r="BP794" s="412"/>
      <c r="BQ794" s="412"/>
      <c r="BR794" s="412"/>
      <c r="BZ794" t="str">
        <f t="shared" si="72"/>
        <v/>
      </c>
    </row>
    <row r="795" spans="1:78" ht="15.6" hidden="1" customHeight="1">
      <c r="A795" s="35" t="str">
        <f t="shared" si="71"/>
        <v/>
      </c>
      <c r="C795" s="358" t="s">
        <v>24</v>
      </c>
      <c r="D795" s="358">
        <v>791</v>
      </c>
      <c r="E795" s="119"/>
      <c r="F795" s="119"/>
      <c r="G795" s="266"/>
      <c r="H795" s="119"/>
      <c r="I795" s="358"/>
      <c r="J795" s="359" t="str">
        <f>IFERROR(VLOOKUP($A795,#REF!,3,0),"")</f>
        <v/>
      </c>
      <c r="K795" s="359">
        <f>IFERROR(VLOOKUP($A795,#REF!,4,0),AF795)</f>
        <v>0</v>
      </c>
      <c r="L795" s="359" t="str">
        <f>IFERROR(VLOOKUP($A795,#REF!,5,0),"")</f>
        <v/>
      </c>
      <c r="M795" s="359" t="str">
        <f>IFERROR(VLOOKUP($A795,#REF!,7,0),"")</f>
        <v/>
      </c>
      <c r="N795" s="359"/>
      <c r="O795" s="359" t="str">
        <f>IFERROR(VLOOKUP($A795,#REF!,6,0),"")</f>
        <v/>
      </c>
      <c r="P795" s="359" t="str">
        <f>IFERROR(VLOOKUP($A795,#REF!,9,0),"")</f>
        <v/>
      </c>
      <c r="Q795" s="359" t="str">
        <f>IFERROR(VLOOKUP($A795,#REF!,10,0),"")</f>
        <v/>
      </c>
      <c r="R795" s="359" t="str">
        <f>IFERROR(VLOOKUP($A795,#REF!,11,0),"")</f>
        <v/>
      </c>
      <c r="S795" s="359" t="str">
        <f>IFERROR(VLOOKUP($A795,#REF!,13,0),"")</f>
        <v/>
      </c>
      <c r="T795" s="359" t="str">
        <f>IFERROR(VLOOKUP($A795,#REF!,14,0),"")</f>
        <v/>
      </c>
      <c r="U795" s="359" t="str">
        <f>IFERROR(VLOOKUP($A795,#REF!,15,0),"")</f>
        <v/>
      </c>
      <c r="V795" s="359" t="str">
        <f>IFERROR(VLOOKUP($A795,#REF!,16,0),"")</f>
        <v/>
      </c>
      <c r="W795" s="359" t="str">
        <f>IFERROR(VLOOKUP($A795,#REF!,17,0),"")</f>
        <v/>
      </c>
      <c r="X795" s="359" t="str">
        <f>IFERROR(VLOOKUP($A795,#REF!,18,0),"")</f>
        <v/>
      </c>
      <c r="Y795" s="359" t="str">
        <f>IFERROR(VLOOKUP($A795,#REF!,19,0),"")</f>
        <v/>
      </c>
      <c r="Z795" s="400" t="str">
        <f>IFERROR(VLOOKUP($A795,#REF!,21,0),"")</f>
        <v/>
      </c>
      <c r="AA795" s="358"/>
      <c r="AB795" s="358"/>
      <c r="AC795" s="119"/>
      <c r="AD795" s="119"/>
      <c r="AE795" s="119"/>
      <c r="AF795" s="277"/>
      <c r="AG795" s="119"/>
      <c r="AH795" s="358"/>
      <c r="AI795" s="358"/>
      <c r="AJ795" s="380"/>
      <c r="AK795" s="380"/>
      <c r="AL795" s="380"/>
      <c r="AM795" s="380"/>
      <c r="AN795" s="120"/>
      <c r="AO795" s="120"/>
      <c r="AP795" s="120"/>
      <c r="AQ795" s="313"/>
      <c r="AR795" s="119"/>
      <c r="AS795" s="22"/>
      <c r="AT795" s="22"/>
      <c r="AU795" s="22"/>
      <c r="AV795" s="22"/>
      <c r="AW795" s="82"/>
      <c r="AX795" s="82"/>
      <c r="AY795" s="82"/>
      <c r="AZ795" s="82"/>
      <c r="BA795" s="82"/>
      <c r="BB795" s="82"/>
      <c r="BC795" s="82"/>
      <c r="BD795" s="82"/>
      <c r="BE795" s="82"/>
      <c r="BF795" s="82"/>
      <c r="BG795" s="112"/>
      <c r="BH795" s="112"/>
      <c r="BI795" s="112"/>
      <c r="BJ795" s="112"/>
      <c r="BK795" s="82"/>
      <c r="BL795" s="82"/>
      <c r="BN795" s="412"/>
      <c r="BO795" s="412"/>
      <c r="BP795" s="412"/>
      <c r="BQ795" s="412"/>
      <c r="BR795" s="412"/>
      <c r="BZ795" t="str">
        <f t="shared" si="72"/>
        <v/>
      </c>
    </row>
    <row r="796" spans="1:78" ht="15.6" hidden="1" customHeight="1">
      <c r="A796" s="35" t="str">
        <f t="shared" si="71"/>
        <v/>
      </c>
      <c r="C796" s="358" t="s">
        <v>24</v>
      </c>
      <c r="D796" s="358">
        <v>792</v>
      </c>
      <c r="E796" s="119"/>
      <c r="F796" s="119"/>
      <c r="G796" s="266"/>
      <c r="H796" s="119"/>
      <c r="I796" s="358"/>
      <c r="J796" s="359" t="str">
        <f>IFERROR(VLOOKUP($A796,#REF!,3,0),"")</f>
        <v/>
      </c>
      <c r="K796" s="359">
        <f>IFERROR(VLOOKUP($A796,#REF!,4,0),AF796)</f>
        <v>0</v>
      </c>
      <c r="L796" s="359" t="str">
        <f>IFERROR(VLOOKUP($A796,#REF!,5,0),"")</f>
        <v/>
      </c>
      <c r="M796" s="359" t="str">
        <f>IFERROR(VLOOKUP($A796,#REF!,7,0),"")</f>
        <v/>
      </c>
      <c r="N796" s="359"/>
      <c r="O796" s="359" t="str">
        <f>IFERROR(VLOOKUP($A796,#REF!,6,0),"")</f>
        <v/>
      </c>
      <c r="P796" s="359" t="str">
        <f>IFERROR(VLOOKUP($A796,#REF!,9,0),"")</f>
        <v/>
      </c>
      <c r="Q796" s="359" t="str">
        <f>IFERROR(VLOOKUP($A796,#REF!,10,0),"")</f>
        <v/>
      </c>
      <c r="R796" s="359" t="str">
        <f>IFERROR(VLOOKUP($A796,#REF!,11,0),"")</f>
        <v/>
      </c>
      <c r="S796" s="359" t="str">
        <f>IFERROR(VLOOKUP($A796,#REF!,13,0),"")</f>
        <v/>
      </c>
      <c r="T796" s="359" t="str">
        <f>IFERROR(VLOOKUP($A796,#REF!,14,0),"")</f>
        <v/>
      </c>
      <c r="U796" s="359" t="str">
        <f>IFERROR(VLOOKUP($A796,#REF!,15,0),"")</f>
        <v/>
      </c>
      <c r="V796" s="359" t="str">
        <f>IFERROR(VLOOKUP($A796,#REF!,16,0),"")</f>
        <v/>
      </c>
      <c r="W796" s="359" t="str">
        <f>IFERROR(VLOOKUP($A796,#REF!,17,0),"")</f>
        <v/>
      </c>
      <c r="X796" s="359" t="str">
        <f>IFERROR(VLOOKUP($A796,#REF!,18,0),"")</f>
        <v/>
      </c>
      <c r="Y796" s="359" t="str">
        <f>IFERROR(VLOOKUP($A796,#REF!,19,0),"")</f>
        <v/>
      </c>
      <c r="Z796" s="400" t="str">
        <f>IFERROR(VLOOKUP($A796,#REF!,21,0),"")</f>
        <v/>
      </c>
      <c r="AA796" s="358"/>
      <c r="AB796" s="358"/>
      <c r="AC796" s="119"/>
      <c r="AD796" s="119"/>
      <c r="AE796" s="119"/>
      <c r="AF796" s="277"/>
      <c r="AG796" s="119"/>
      <c r="AH796" s="358"/>
      <c r="AI796" s="358"/>
      <c r="AJ796" s="380"/>
      <c r="AK796" s="380"/>
      <c r="AL796" s="380"/>
      <c r="AM796" s="380"/>
      <c r="AN796" s="120"/>
      <c r="AO796" s="120"/>
      <c r="AP796" s="120"/>
      <c r="AQ796" s="313"/>
      <c r="AR796" s="119"/>
      <c r="AS796" s="22"/>
      <c r="AT796" s="22"/>
      <c r="AU796" s="22"/>
      <c r="AV796" s="22"/>
      <c r="AW796" s="82"/>
      <c r="AX796" s="82"/>
      <c r="AY796" s="82"/>
      <c r="AZ796" s="82"/>
      <c r="BA796" s="82"/>
      <c r="BB796" s="82"/>
      <c r="BC796" s="82"/>
      <c r="BD796" s="82"/>
      <c r="BE796" s="82"/>
      <c r="BF796" s="82"/>
      <c r="BG796" s="112"/>
      <c r="BH796" s="112"/>
      <c r="BI796" s="112"/>
      <c r="BJ796" s="112"/>
      <c r="BK796" s="82"/>
      <c r="BL796" s="82"/>
      <c r="BN796" s="412"/>
      <c r="BO796" s="412"/>
      <c r="BP796" s="412"/>
      <c r="BQ796" s="412"/>
      <c r="BR796" s="412"/>
      <c r="BZ796" t="str">
        <f t="shared" si="72"/>
        <v/>
      </c>
    </row>
    <row r="797" spans="1:78" ht="15.6" hidden="1" customHeight="1">
      <c r="A797" s="35" t="str">
        <f t="shared" si="71"/>
        <v/>
      </c>
      <c r="C797" s="358" t="s">
        <v>24</v>
      </c>
      <c r="D797" s="358">
        <v>793</v>
      </c>
      <c r="E797" s="119"/>
      <c r="F797" s="119"/>
      <c r="G797" s="266"/>
      <c r="H797" s="119"/>
      <c r="I797" s="358"/>
      <c r="J797" s="359" t="str">
        <f>IFERROR(VLOOKUP($A797,#REF!,3,0),"")</f>
        <v/>
      </c>
      <c r="K797" s="359">
        <f>IFERROR(VLOOKUP($A797,#REF!,4,0),AF797)</f>
        <v>0</v>
      </c>
      <c r="L797" s="359" t="str">
        <f>IFERROR(VLOOKUP($A797,#REF!,5,0),"")</f>
        <v/>
      </c>
      <c r="M797" s="359" t="str">
        <f>IFERROR(VLOOKUP($A797,#REF!,7,0),"")</f>
        <v/>
      </c>
      <c r="N797" s="359"/>
      <c r="O797" s="359" t="str">
        <f>IFERROR(VLOOKUP($A797,#REF!,6,0),"")</f>
        <v/>
      </c>
      <c r="P797" s="359" t="str">
        <f>IFERROR(VLOOKUP($A797,#REF!,9,0),"")</f>
        <v/>
      </c>
      <c r="Q797" s="359" t="str">
        <f>IFERROR(VLOOKUP($A797,#REF!,10,0),"")</f>
        <v/>
      </c>
      <c r="R797" s="359" t="str">
        <f>IFERROR(VLOOKUP($A797,#REF!,11,0),"")</f>
        <v/>
      </c>
      <c r="S797" s="359" t="str">
        <f>IFERROR(VLOOKUP($A797,#REF!,13,0),"")</f>
        <v/>
      </c>
      <c r="T797" s="359" t="str">
        <f>IFERROR(VLOOKUP($A797,#REF!,14,0),"")</f>
        <v/>
      </c>
      <c r="U797" s="359" t="str">
        <f>IFERROR(VLOOKUP($A797,#REF!,15,0),"")</f>
        <v/>
      </c>
      <c r="V797" s="359" t="str">
        <f>IFERROR(VLOOKUP($A797,#REF!,16,0),"")</f>
        <v/>
      </c>
      <c r="W797" s="359" t="str">
        <f>IFERROR(VLOOKUP($A797,#REF!,17,0),"")</f>
        <v/>
      </c>
      <c r="X797" s="359" t="str">
        <f>IFERROR(VLOOKUP($A797,#REF!,18,0),"")</f>
        <v/>
      </c>
      <c r="Y797" s="359" t="str">
        <f>IFERROR(VLOOKUP($A797,#REF!,19,0),"")</f>
        <v/>
      </c>
      <c r="Z797" s="400" t="str">
        <f>IFERROR(VLOOKUP($A797,#REF!,21,0),"")</f>
        <v/>
      </c>
      <c r="AA797" s="358"/>
      <c r="AB797" s="358"/>
      <c r="AC797" s="119"/>
      <c r="AD797" s="119"/>
      <c r="AE797" s="119"/>
      <c r="AF797" s="277"/>
      <c r="AG797" s="119"/>
      <c r="AH797" s="358"/>
      <c r="AI797" s="358"/>
      <c r="AJ797" s="380"/>
      <c r="AK797" s="380"/>
      <c r="AL797" s="380"/>
      <c r="AM797" s="380"/>
      <c r="AN797" s="120"/>
      <c r="AO797" s="120"/>
      <c r="AP797" s="120"/>
      <c r="AQ797" s="313"/>
      <c r="AR797" s="119"/>
      <c r="AS797" s="22"/>
      <c r="AT797" s="22"/>
      <c r="AU797" s="22"/>
      <c r="AV797" s="22"/>
      <c r="AW797" s="82"/>
      <c r="AX797" s="82"/>
      <c r="AY797" s="82"/>
      <c r="AZ797" s="82"/>
      <c r="BA797" s="82"/>
      <c r="BB797" s="82"/>
      <c r="BC797" s="82"/>
      <c r="BD797" s="82"/>
      <c r="BE797" s="82"/>
      <c r="BF797" s="82"/>
      <c r="BG797" s="112"/>
      <c r="BH797" s="112"/>
      <c r="BI797" s="112"/>
      <c r="BJ797" s="112"/>
      <c r="BK797" s="82"/>
      <c r="BL797" s="82"/>
      <c r="BN797" s="412"/>
      <c r="BO797" s="412"/>
      <c r="BP797" s="412"/>
      <c r="BQ797" s="412"/>
      <c r="BR797" s="412"/>
      <c r="BZ797" t="str">
        <f t="shared" si="72"/>
        <v/>
      </c>
    </row>
    <row r="798" spans="1:78" ht="15.6" hidden="1" customHeight="1">
      <c r="A798" s="35" t="str">
        <f t="shared" si="71"/>
        <v/>
      </c>
      <c r="C798" s="358" t="s">
        <v>24</v>
      </c>
      <c r="D798" s="358">
        <v>794</v>
      </c>
      <c r="E798" s="119"/>
      <c r="F798" s="119"/>
      <c r="G798" s="266"/>
      <c r="H798" s="119"/>
      <c r="I798" s="358"/>
      <c r="J798" s="359" t="str">
        <f>IFERROR(VLOOKUP($A798,#REF!,3,0),"")</f>
        <v/>
      </c>
      <c r="K798" s="359">
        <f>IFERROR(VLOOKUP($A798,#REF!,4,0),AF798)</f>
        <v>0</v>
      </c>
      <c r="L798" s="359" t="str">
        <f>IFERROR(VLOOKUP($A798,#REF!,5,0),"")</f>
        <v/>
      </c>
      <c r="M798" s="359" t="str">
        <f>IFERROR(VLOOKUP($A798,#REF!,7,0),"")</f>
        <v/>
      </c>
      <c r="N798" s="359"/>
      <c r="O798" s="359" t="str">
        <f>IFERROR(VLOOKUP($A798,#REF!,6,0),"")</f>
        <v/>
      </c>
      <c r="P798" s="359" t="str">
        <f>IFERROR(VLOOKUP($A798,#REF!,9,0),"")</f>
        <v/>
      </c>
      <c r="Q798" s="359" t="str">
        <f>IFERROR(VLOOKUP($A798,#REF!,10,0),"")</f>
        <v/>
      </c>
      <c r="R798" s="359" t="str">
        <f>IFERROR(VLOOKUP($A798,#REF!,11,0),"")</f>
        <v/>
      </c>
      <c r="S798" s="359" t="str">
        <f>IFERROR(VLOOKUP($A798,#REF!,13,0),"")</f>
        <v/>
      </c>
      <c r="T798" s="359" t="str">
        <f>IFERROR(VLOOKUP($A798,#REF!,14,0),"")</f>
        <v/>
      </c>
      <c r="U798" s="359" t="str">
        <f>IFERROR(VLOOKUP($A798,#REF!,15,0),"")</f>
        <v/>
      </c>
      <c r="V798" s="359" t="str">
        <f>IFERROR(VLOOKUP($A798,#REF!,16,0),"")</f>
        <v/>
      </c>
      <c r="W798" s="359" t="str">
        <f>IFERROR(VLOOKUP($A798,#REF!,17,0),"")</f>
        <v/>
      </c>
      <c r="X798" s="359" t="str">
        <f>IFERROR(VLOOKUP($A798,#REF!,18,0),"")</f>
        <v/>
      </c>
      <c r="Y798" s="359" t="str">
        <f>IFERROR(VLOOKUP($A798,#REF!,19,0),"")</f>
        <v/>
      </c>
      <c r="Z798" s="400" t="str">
        <f>IFERROR(VLOOKUP($A798,#REF!,21,0),"")</f>
        <v/>
      </c>
      <c r="AA798" s="358"/>
      <c r="AB798" s="358"/>
      <c r="AC798" s="119"/>
      <c r="AD798" s="119"/>
      <c r="AE798" s="119"/>
      <c r="AF798" s="277"/>
      <c r="AG798" s="119"/>
      <c r="AH798" s="358"/>
      <c r="AI798" s="358"/>
      <c r="AJ798" s="380"/>
      <c r="AK798" s="380"/>
      <c r="AL798" s="380"/>
      <c r="AM798" s="380"/>
      <c r="AN798" s="120"/>
      <c r="AO798" s="120"/>
      <c r="AP798" s="120"/>
      <c r="AQ798" s="313"/>
      <c r="AR798" s="119"/>
      <c r="AS798" s="22"/>
      <c r="AT798" s="22"/>
      <c r="AU798" s="22"/>
      <c r="AV798" s="22"/>
      <c r="AW798" s="82"/>
      <c r="AX798" s="82"/>
      <c r="AY798" s="82"/>
      <c r="AZ798" s="82"/>
      <c r="BA798" s="82"/>
      <c r="BB798" s="82"/>
      <c r="BC798" s="82"/>
      <c r="BD798" s="82"/>
      <c r="BE798" s="82"/>
      <c r="BF798" s="82"/>
      <c r="BG798" s="112"/>
      <c r="BH798" s="112"/>
      <c r="BI798" s="112"/>
      <c r="BJ798" s="112"/>
      <c r="BK798" s="82"/>
      <c r="BL798" s="82"/>
      <c r="BN798" s="412"/>
      <c r="BO798" s="412"/>
      <c r="BP798" s="412"/>
      <c r="BQ798" s="412"/>
      <c r="BR798" s="412"/>
      <c r="BZ798" t="str">
        <f t="shared" si="72"/>
        <v/>
      </c>
    </row>
    <row r="799" spans="1:78" ht="15.6" hidden="1" customHeight="1">
      <c r="A799" s="35" t="str">
        <f t="shared" si="71"/>
        <v/>
      </c>
      <c r="C799" s="358" t="s">
        <v>24</v>
      </c>
      <c r="D799" s="358">
        <v>795</v>
      </c>
      <c r="E799" s="119"/>
      <c r="F799" s="119"/>
      <c r="G799" s="266"/>
      <c r="H799" s="119"/>
      <c r="I799" s="358"/>
      <c r="J799" s="359" t="str">
        <f>IFERROR(VLOOKUP($A799,#REF!,3,0),"")</f>
        <v/>
      </c>
      <c r="K799" s="359">
        <f>IFERROR(VLOOKUP($A799,#REF!,4,0),AF799)</f>
        <v>0</v>
      </c>
      <c r="L799" s="359" t="str">
        <f>IFERROR(VLOOKUP($A799,#REF!,5,0),"")</f>
        <v/>
      </c>
      <c r="M799" s="359" t="str">
        <f>IFERROR(VLOOKUP($A799,#REF!,7,0),"")</f>
        <v/>
      </c>
      <c r="N799" s="359"/>
      <c r="O799" s="359" t="str">
        <f>IFERROR(VLOOKUP($A799,#REF!,6,0),"")</f>
        <v/>
      </c>
      <c r="P799" s="359" t="str">
        <f>IFERROR(VLOOKUP($A799,#REF!,9,0),"")</f>
        <v/>
      </c>
      <c r="Q799" s="359" t="str">
        <f>IFERROR(VLOOKUP($A799,#REF!,10,0),"")</f>
        <v/>
      </c>
      <c r="R799" s="359" t="str">
        <f>IFERROR(VLOOKUP($A799,#REF!,11,0),"")</f>
        <v/>
      </c>
      <c r="S799" s="359" t="str">
        <f>IFERROR(VLOOKUP($A799,#REF!,13,0),"")</f>
        <v/>
      </c>
      <c r="T799" s="359" t="str">
        <f>IFERROR(VLOOKUP($A799,#REF!,14,0),"")</f>
        <v/>
      </c>
      <c r="U799" s="359" t="str">
        <f>IFERROR(VLOOKUP($A799,#REF!,15,0),"")</f>
        <v/>
      </c>
      <c r="V799" s="359" t="str">
        <f>IFERROR(VLOOKUP($A799,#REF!,16,0),"")</f>
        <v/>
      </c>
      <c r="W799" s="359" t="str">
        <f>IFERROR(VLOOKUP($A799,#REF!,17,0),"")</f>
        <v/>
      </c>
      <c r="X799" s="359" t="str">
        <f>IFERROR(VLOOKUP($A799,#REF!,18,0),"")</f>
        <v/>
      </c>
      <c r="Y799" s="359" t="str">
        <f>IFERROR(VLOOKUP($A799,#REF!,19,0),"")</f>
        <v/>
      </c>
      <c r="Z799" s="400" t="str">
        <f>IFERROR(VLOOKUP($A799,#REF!,21,0),"")</f>
        <v/>
      </c>
      <c r="AA799" s="358"/>
      <c r="AB799" s="358"/>
      <c r="AC799" s="119"/>
      <c r="AD799" s="119"/>
      <c r="AE799" s="119"/>
      <c r="AF799" s="277"/>
      <c r="AG799" s="119"/>
      <c r="AH799" s="358"/>
      <c r="AI799" s="358"/>
      <c r="AJ799" s="380"/>
      <c r="AK799" s="380"/>
      <c r="AL799" s="380"/>
      <c r="AM799" s="380"/>
      <c r="AN799" s="120"/>
      <c r="AO799" s="120"/>
      <c r="AP799" s="120"/>
      <c r="AQ799" s="313"/>
      <c r="AR799" s="119"/>
      <c r="AS799" s="22"/>
      <c r="AT799" s="22"/>
      <c r="AU799" s="22"/>
      <c r="AV799" s="22"/>
      <c r="AW799" s="82"/>
      <c r="AX799" s="82"/>
      <c r="AY799" s="82"/>
      <c r="AZ799" s="82"/>
      <c r="BA799" s="82"/>
      <c r="BB799" s="82"/>
      <c r="BC799" s="82"/>
      <c r="BD799" s="82"/>
      <c r="BE799" s="82"/>
      <c r="BF799" s="82"/>
      <c r="BG799" s="112"/>
      <c r="BH799" s="112"/>
      <c r="BI799" s="112"/>
      <c r="BJ799" s="112"/>
      <c r="BK799" s="82"/>
      <c r="BL799" s="82"/>
      <c r="BN799" s="412"/>
      <c r="BO799" s="412"/>
      <c r="BP799" s="412"/>
      <c r="BQ799" s="412"/>
      <c r="BR799" s="412"/>
      <c r="BZ799" t="str">
        <f t="shared" si="72"/>
        <v/>
      </c>
    </row>
    <row r="800" spans="1:78" ht="15.6" hidden="1" customHeight="1">
      <c r="A800" s="35" t="str">
        <f t="shared" si="71"/>
        <v/>
      </c>
      <c r="C800" s="358" t="s">
        <v>24</v>
      </c>
      <c r="D800" s="358">
        <v>796</v>
      </c>
      <c r="E800" s="119"/>
      <c r="F800" s="119"/>
      <c r="G800" s="266"/>
      <c r="H800" s="119"/>
      <c r="I800" s="358"/>
      <c r="J800" s="359" t="str">
        <f>IFERROR(VLOOKUP($A800,#REF!,3,0),"")</f>
        <v/>
      </c>
      <c r="K800" s="359">
        <f>IFERROR(VLOOKUP($A800,#REF!,4,0),AF800)</f>
        <v>0</v>
      </c>
      <c r="L800" s="359" t="str">
        <f>IFERROR(VLOOKUP($A800,#REF!,5,0),"")</f>
        <v/>
      </c>
      <c r="M800" s="359" t="str">
        <f>IFERROR(VLOOKUP($A800,#REF!,7,0),"")</f>
        <v/>
      </c>
      <c r="N800" s="359"/>
      <c r="O800" s="359" t="str">
        <f>IFERROR(VLOOKUP($A800,#REF!,6,0),"")</f>
        <v/>
      </c>
      <c r="P800" s="359" t="str">
        <f>IFERROR(VLOOKUP($A800,#REF!,9,0),"")</f>
        <v/>
      </c>
      <c r="Q800" s="359" t="str">
        <f>IFERROR(VLOOKUP($A800,#REF!,10,0),"")</f>
        <v/>
      </c>
      <c r="R800" s="359" t="str">
        <f>IFERROR(VLOOKUP($A800,#REF!,11,0),"")</f>
        <v/>
      </c>
      <c r="S800" s="359" t="str">
        <f>IFERROR(VLOOKUP($A800,#REF!,13,0),"")</f>
        <v/>
      </c>
      <c r="T800" s="359" t="str">
        <f>IFERROR(VLOOKUP($A800,#REF!,14,0),"")</f>
        <v/>
      </c>
      <c r="U800" s="359" t="str">
        <f>IFERROR(VLOOKUP($A800,#REF!,15,0),"")</f>
        <v/>
      </c>
      <c r="V800" s="359" t="str">
        <f>IFERROR(VLOOKUP($A800,#REF!,16,0),"")</f>
        <v/>
      </c>
      <c r="W800" s="359" t="str">
        <f>IFERROR(VLOOKUP($A800,#REF!,17,0),"")</f>
        <v/>
      </c>
      <c r="X800" s="359" t="str">
        <f>IFERROR(VLOOKUP($A800,#REF!,18,0),"")</f>
        <v/>
      </c>
      <c r="Y800" s="359" t="str">
        <f>IFERROR(VLOOKUP($A800,#REF!,19,0),"")</f>
        <v/>
      </c>
      <c r="Z800" s="400" t="str">
        <f>IFERROR(VLOOKUP($A800,#REF!,21,0),"")</f>
        <v/>
      </c>
      <c r="AA800" s="358"/>
      <c r="AB800" s="358"/>
      <c r="AC800" s="119"/>
      <c r="AD800" s="119"/>
      <c r="AE800" s="119"/>
      <c r="AF800" s="277"/>
      <c r="AG800" s="119"/>
      <c r="AH800" s="358"/>
      <c r="AI800" s="358"/>
      <c r="AJ800" s="380"/>
      <c r="AK800" s="380"/>
      <c r="AL800" s="380"/>
      <c r="AM800" s="380"/>
      <c r="AN800" s="120"/>
      <c r="AO800" s="120"/>
      <c r="AP800" s="120"/>
      <c r="AQ800" s="313"/>
      <c r="AR800" s="119"/>
      <c r="AS800" s="22"/>
      <c r="AT800" s="22"/>
      <c r="AU800" s="22"/>
      <c r="AV800" s="22"/>
      <c r="AW800" s="82"/>
      <c r="AX800" s="82"/>
      <c r="AY800" s="82"/>
      <c r="AZ800" s="82"/>
      <c r="BA800" s="82"/>
      <c r="BB800" s="82"/>
      <c r="BC800" s="82"/>
      <c r="BD800" s="82"/>
      <c r="BE800" s="82"/>
      <c r="BF800" s="82"/>
      <c r="BG800" s="112"/>
      <c r="BH800" s="112"/>
      <c r="BI800" s="112"/>
      <c r="BJ800" s="112"/>
      <c r="BK800" s="82"/>
      <c r="BL800" s="82"/>
      <c r="BN800" s="412"/>
      <c r="BO800" s="412"/>
      <c r="BP800" s="412"/>
      <c r="BQ800" s="412"/>
      <c r="BR800" s="412"/>
      <c r="BZ800" t="str">
        <f t="shared" si="72"/>
        <v/>
      </c>
    </row>
    <row r="801" spans="1:78" ht="15.6" hidden="1" customHeight="1">
      <c r="A801" s="35" t="str">
        <f t="shared" si="71"/>
        <v/>
      </c>
      <c r="C801" s="358" t="s">
        <v>24</v>
      </c>
      <c r="D801" s="358">
        <v>797</v>
      </c>
      <c r="E801" s="119"/>
      <c r="F801" s="119"/>
      <c r="G801" s="266"/>
      <c r="H801" s="119"/>
      <c r="I801" s="358"/>
      <c r="J801" s="359" t="str">
        <f>IFERROR(VLOOKUP($A801,#REF!,3,0),"")</f>
        <v/>
      </c>
      <c r="K801" s="359">
        <f>IFERROR(VLOOKUP($A801,#REF!,4,0),AF801)</f>
        <v>0</v>
      </c>
      <c r="L801" s="359" t="str">
        <f>IFERROR(VLOOKUP($A801,#REF!,5,0),"")</f>
        <v/>
      </c>
      <c r="M801" s="359" t="str">
        <f>IFERROR(VLOOKUP($A801,#REF!,7,0),"")</f>
        <v/>
      </c>
      <c r="N801" s="359"/>
      <c r="O801" s="359" t="str">
        <f>IFERROR(VLOOKUP($A801,#REF!,6,0),"")</f>
        <v/>
      </c>
      <c r="P801" s="359" t="str">
        <f>IFERROR(VLOOKUP($A801,#REF!,9,0),"")</f>
        <v/>
      </c>
      <c r="Q801" s="359" t="str">
        <f>IFERROR(VLOOKUP($A801,#REF!,10,0),"")</f>
        <v/>
      </c>
      <c r="R801" s="359" t="str">
        <f>IFERROR(VLOOKUP($A801,#REF!,11,0),"")</f>
        <v/>
      </c>
      <c r="S801" s="359" t="str">
        <f>IFERROR(VLOOKUP($A801,#REF!,13,0),"")</f>
        <v/>
      </c>
      <c r="T801" s="359" t="str">
        <f>IFERROR(VLOOKUP($A801,#REF!,14,0),"")</f>
        <v/>
      </c>
      <c r="U801" s="359" t="str">
        <f>IFERROR(VLOOKUP($A801,#REF!,15,0),"")</f>
        <v/>
      </c>
      <c r="V801" s="359" t="str">
        <f>IFERROR(VLOOKUP($A801,#REF!,16,0),"")</f>
        <v/>
      </c>
      <c r="W801" s="359" t="str">
        <f>IFERROR(VLOOKUP($A801,#REF!,17,0),"")</f>
        <v/>
      </c>
      <c r="X801" s="359" t="str">
        <f>IFERROR(VLOOKUP($A801,#REF!,18,0),"")</f>
        <v/>
      </c>
      <c r="Y801" s="359" t="str">
        <f>IFERROR(VLOOKUP($A801,#REF!,19,0),"")</f>
        <v/>
      </c>
      <c r="Z801" s="400" t="str">
        <f>IFERROR(VLOOKUP($A801,#REF!,21,0),"")</f>
        <v/>
      </c>
      <c r="AA801" s="358"/>
      <c r="AB801" s="358"/>
      <c r="AC801" s="119"/>
      <c r="AD801" s="119"/>
      <c r="AE801" s="119"/>
      <c r="AF801" s="277"/>
      <c r="AG801" s="119"/>
      <c r="AH801" s="358"/>
      <c r="AI801" s="358"/>
      <c r="AJ801" s="380"/>
      <c r="AK801" s="380"/>
      <c r="AL801" s="380"/>
      <c r="AM801" s="380"/>
      <c r="AN801" s="120"/>
      <c r="AO801" s="120"/>
      <c r="AP801" s="120"/>
      <c r="AQ801" s="313"/>
      <c r="AR801" s="119"/>
      <c r="AS801" s="22"/>
      <c r="AT801" s="22"/>
      <c r="AU801" s="22"/>
      <c r="AV801" s="22"/>
      <c r="AW801" s="82"/>
      <c r="AX801" s="82"/>
      <c r="AY801" s="82"/>
      <c r="AZ801" s="82"/>
      <c r="BA801" s="82"/>
      <c r="BB801" s="82"/>
      <c r="BC801" s="82"/>
      <c r="BD801" s="82"/>
      <c r="BE801" s="82"/>
      <c r="BF801" s="82"/>
      <c r="BG801" s="112"/>
      <c r="BH801" s="112"/>
      <c r="BI801" s="112"/>
      <c r="BJ801" s="112"/>
      <c r="BK801" s="82"/>
      <c r="BL801" s="82"/>
      <c r="BN801" s="412"/>
      <c r="BO801" s="412"/>
      <c r="BP801" s="412"/>
      <c r="BQ801" s="412"/>
      <c r="BR801" s="412"/>
      <c r="BZ801" t="str">
        <f t="shared" si="72"/>
        <v/>
      </c>
    </row>
    <row r="802" spans="1:78" ht="15.6" hidden="1" customHeight="1">
      <c r="A802" s="35" t="str">
        <f t="shared" si="71"/>
        <v/>
      </c>
      <c r="C802" s="358" t="s">
        <v>24</v>
      </c>
      <c r="D802" s="358">
        <v>798</v>
      </c>
      <c r="E802" s="119"/>
      <c r="F802" s="119"/>
      <c r="G802" s="266"/>
      <c r="H802" s="119"/>
      <c r="I802" s="358"/>
      <c r="J802" s="359" t="str">
        <f>IFERROR(VLOOKUP($A802,#REF!,3,0),"")</f>
        <v/>
      </c>
      <c r="K802" s="359">
        <f>IFERROR(VLOOKUP($A802,#REF!,4,0),AF802)</f>
        <v>0</v>
      </c>
      <c r="L802" s="359" t="str">
        <f>IFERROR(VLOOKUP($A802,#REF!,5,0),"")</f>
        <v/>
      </c>
      <c r="M802" s="359" t="str">
        <f>IFERROR(VLOOKUP($A802,#REF!,7,0),"")</f>
        <v/>
      </c>
      <c r="N802" s="359"/>
      <c r="O802" s="359" t="str">
        <f>IFERROR(VLOOKUP($A802,#REF!,6,0),"")</f>
        <v/>
      </c>
      <c r="P802" s="359" t="str">
        <f>IFERROR(VLOOKUP($A802,#REF!,9,0),"")</f>
        <v/>
      </c>
      <c r="Q802" s="359" t="str">
        <f>IFERROR(VLOOKUP($A802,#REF!,10,0),"")</f>
        <v/>
      </c>
      <c r="R802" s="359" t="str">
        <f>IFERROR(VLOOKUP($A802,#REF!,11,0),"")</f>
        <v/>
      </c>
      <c r="S802" s="359" t="str">
        <f>IFERROR(VLOOKUP($A802,#REF!,13,0),"")</f>
        <v/>
      </c>
      <c r="T802" s="359" t="str">
        <f>IFERROR(VLOOKUP($A802,#REF!,14,0),"")</f>
        <v/>
      </c>
      <c r="U802" s="359" t="str">
        <f>IFERROR(VLOOKUP($A802,#REF!,15,0),"")</f>
        <v/>
      </c>
      <c r="V802" s="359" t="str">
        <f>IFERROR(VLOOKUP($A802,#REF!,16,0),"")</f>
        <v/>
      </c>
      <c r="W802" s="359" t="str">
        <f>IFERROR(VLOOKUP($A802,#REF!,17,0),"")</f>
        <v/>
      </c>
      <c r="X802" s="359" t="str">
        <f>IFERROR(VLOOKUP($A802,#REF!,18,0),"")</f>
        <v/>
      </c>
      <c r="Y802" s="359" t="str">
        <f>IFERROR(VLOOKUP($A802,#REF!,19,0),"")</f>
        <v/>
      </c>
      <c r="Z802" s="400" t="str">
        <f>IFERROR(VLOOKUP($A802,#REF!,21,0),"")</f>
        <v/>
      </c>
      <c r="AA802" s="358"/>
      <c r="AB802" s="358"/>
      <c r="AC802" s="119"/>
      <c r="AD802" s="119"/>
      <c r="AE802" s="119"/>
      <c r="AF802" s="277"/>
      <c r="AG802" s="119"/>
      <c r="AH802" s="358"/>
      <c r="AI802" s="358"/>
      <c r="AJ802" s="380"/>
      <c r="AK802" s="380"/>
      <c r="AL802" s="380"/>
      <c r="AM802" s="380"/>
      <c r="AN802" s="120"/>
      <c r="AO802" s="120"/>
      <c r="AP802" s="120"/>
      <c r="AQ802" s="313"/>
      <c r="AR802" s="119"/>
      <c r="AS802" s="22"/>
      <c r="AT802" s="22"/>
      <c r="AU802" s="22"/>
      <c r="AV802" s="22"/>
      <c r="AW802" s="82"/>
      <c r="AX802" s="82"/>
      <c r="AY802" s="82"/>
      <c r="AZ802" s="82"/>
      <c r="BA802" s="82"/>
      <c r="BB802" s="82"/>
      <c r="BC802" s="82"/>
      <c r="BD802" s="82"/>
      <c r="BE802" s="82"/>
      <c r="BF802" s="82"/>
      <c r="BG802" s="112"/>
      <c r="BH802" s="112"/>
      <c r="BI802" s="112"/>
      <c r="BJ802" s="112"/>
      <c r="BK802" s="82"/>
      <c r="BL802" s="82"/>
      <c r="BN802" s="412"/>
      <c r="BO802" s="412"/>
      <c r="BP802" s="412"/>
      <c r="BQ802" s="412"/>
      <c r="BR802" s="412"/>
      <c r="BZ802" t="str">
        <f t="shared" si="72"/>
        <v/>
      </c>
    </row>
    <row r="803" spans="1:78" ht="15.6" hidden="1" customHeight="1">
      <c r="A803" s="35" t="str">
        <f t="shared" si="71"/>
        <v/>
      </c>
      <c r="C803" s="358" t="s">
        <v>24</v>
      </c>
      <c r="D803" s="358">
        <v>799</v>
      </c>
      <c r="E803" s="119"/>
      <c r="F803" s="119"/>
      <c r="G803" s="266"/>
      <c r="H803" s="119"/>
      <c r="I803" s="358"/>
      <c r="J803" s="359" t="str">
        <f>IFERROR(VLOOKUP($A803,#REF!,3,0),"")</f>
        <v/>
      </c>
      <c r="K803" s="359">
        <f>IFERROR(VLOOKUP($A803,#REF!,4,0),AF803)</f>
        <v>0</v>
      </c>
      <c r="L803" s="359" t="str">
        <f>IFERROR(VLOOKUP($A803,#REF!,5,0),"")</f>
        <v/>
      </c>
      <c r="M803" s="359" t="str">
        <f>IFERROR(VLOOKUP($A803,#REF!,7,0),"")</f>
        <v/>
      </c>
      <c r="N803" s="359"/>
      <c r="O803" s="359" t="str">
        <f>IFERROR(VLOOKUP($A803,#REF!,6,0),"")</f>
        <v/>
      </c>
      <c r="P803" s="359" t="str">
        <f>IFERROR(VLOOKUP($A803,#REF!,9,0),"")</f>
        <v/>
      </c>
      <c r="Q803" s="359" t="str">
        <f>IFERROR(VLOOKUP($A803,#REF!,10,0),"")</f>
        <v/>
      </c>
      <c r="R803" s="359" t="str">
        <f>IFERROR(VLOOKUP($A803,#REF!,11,0),"")</f>
        <v/>
      </c>
      <c r="S803" s="359" t="str">
        <f>IFERROR(VLOOKUP($A803,#REF!,13,0),"")</f>
        <v/>
      </c>
      <c r="T803" s="359" t="str">
        <f>IFERROR(VLOOKUP($A803,#REF!,14,0),"")</f>
        <v/>
      </c>
      <c r="U803" s="359" t="str">
        <f>IFERROR(VLOOKUP($A803,#REF!,15,0),"")</f>
        <v/>
      </c>
      <c r="V803" s="359" t="str">
        <f>IFERROR(VLOOKUP($A803,#REF!,16,0),"")</f>
        <v/>
      </c>
      <c r="W803" s="359" t="str">
        <f>IFERROR(VLOOKUP($A803,#REF!,17,0),"")</f>
        <v/>
      </c>
      <c r="X803" s="359" t="str">
        <f>IFERROR(VLOOKUP($A803,#REF!,18,0),"")</f>
        <v/>
      </c>
      <c r="Y803" s="359" t="str">
        <f>IFERROR(VLOOKUP($A803,#REF!,19,0),"")</f>
        <v/>
      </c>
      <c r="Z803" s="400" t="str">
        <f>IFERROR(VLOOKUP($A803,#REF!,21,0),"")</f>
        <v/>
      </c>
      <c r="AA803" s="358"/>
      <c r="AB803" s="358"/>
      <c r="AC803" s="119"/>
      <c r="AD803" s="119"/>
      <c r="AE803" s="119"/>
      <c r="AF803" s="277"/>
      <c r="AG803" s="119"/>
      <c r="AH803" s="358"/>
      <c r="AI803" s="358"/>
      <c r="AJ803" s="380"/>
      <c r="AK803" s="380"/>
      <c r="AL803" s="380"/>
      <c r="AM803" s="380"/>
      <c r="AN803" s="120"/>
      <c r="AO803" s="120"/>
      <c r="AP803" s="120"/>
      <c r="AQ803" s="313"/>
      <c r="AR803" s="119"/>
      <c r="AS803" s="22"/>
      <c r="AT803" s="22"/>
      <c r="AU803" s="22"/>
      <c r="AV803" s="22"/>
      <c r="AW803" s="82"/>
      <c r="AX803" s="82"/>
      <c r="AY803" s="82"/>
      <c r="AZ803" s="82"/>
      <c r="BA803" s="82"/>
      <c r="BB803" s="82"/>
      <c r="BC803" s="82"/>
      <c r="BD803" s="82"/>
      <c r="BE803" s="82"/>
      <c r="BF803" s="82"/>
      <c r="BG803" s="112"/>
      <c r="BH803" s="112"/>
      <c r="BI803" s="112"/>
      <c r="BJ803" s="112"/>
      <c r="BK803" s="82"/>
      <c r="BL803" s="82"/>
      <c r="BN803" s="412"/>
      <c r="BO803" s="412"/>
      <c r="BP803" s="412"/>
      <c r="BQ803" s="412"/>
      <c r="BR803" s="412"/>
      <c r="BZ803" t="str">
        <f t="shared" si="72"/>
        <v/>
      </c>
    </row>
    <row r="804" spans="1:78" ht="15.6" hidden="1" customHeight="1">
      <c r="A804" s="35" t="str">
        <f t="shared" si="71"/>
        <v/>
      </c>
      <c r="C804" s="358" t="s">
        <v>24</v>
      </c>
      <c r="D804" s="358">
        <v>800</v>
      </c>
      <c r="E804" s="119"/>
      <c r="F804" s="119"/>
      <c r="G804" s="266"/>
      <c r="H804" s="119"/>
      <c r="I804" s="358"/>
      <c r="J804" s="359" t="str">
        <f>IFERROR(VLOOKUP($A804,#REF!,3,0),"")</f>
        <v/>
      </c>
      <c r="K804" s="359">
        <f>IFERROR(VLOOKUP($A804,#REF!,4,0),AF804)</f>
        <v>0</v>
      </c>
      <c r="L804" s="359" t="str">
        <f>IFERROR(VLOOKUP($A804,#REF!,5,0),"")</f>
        <v/>
      </c>
      <c r="M804" s="359" t="str">
        <f>IFERROR(VLOOKUP($A804,#REF!,7,0),"")</f>
        <v/>
      </c>
      <c r="N804" s="359"/>
      <c r="O804" s="359" t="str">
        <f>IFERROR(VLOOKUP($A804,#REF!,6,0),"")</f>
        <v/>
      </c>
      <c r="P804" s="359" t="str">
        <f>IFERROR(VLOOKUP($A804,#REF!,9,0),"")</f>
        <v/>
      </c>
      <c r="Q804" s="359" t="str">
        <f>IFERROR(VLOOKUP($A804,#REF!,10,0),"")</f>
        <v/>
      </c>
      <c r="R804" s="359" t="str">
        <f>IFERROR(VLOOKUP($A804,#REF!,11,0),"")</f>
        <v/>
      </c>
      <c r="S804" s="359" t="str">
        <f>IFERROR(VLOOKUP($A804,#REF!,13,0),"")</f>
        <v/>
      </c>
      <c r="T804" s="359" t="str">
        <f>IFERROR(VLOOKUP($A804,#REF!,14,0),"")</f>
        <v/>
      </c>
      <c r="U804" s="359" t="str">
        <f>IFERROR(VLOOKUP($A804,#REF!,15,0),"")</f>
        <v/>
      </c>
      <c r="V804" s="359" t="str">
        <f>IFERROR(VLOOKUP($A804,#REF!,16,0),"")</f>
        <v/>
      </c>
      <c r="W804" s="359" t="str">
        <f>IFERROR(VLOOKUP($A804,#REF!,17,0),"")</f>
        <v/>
      </c>
      <c r="X804" s="359" t="str">
        <f>IFERROR(VLOOKUP($A804,#REF!,18,0),"")</f>
        <v/>
      </c>
      <c r="Y804" s="359" t="str">
        <f>IFERROR(VLOOKUP($A804,#REF!,19,0),"")</f>
        <v/>
      </c>
      <c r="Z804" s="400" t="str">
        <f>IFERROR(VLOOKUP($A804,#REF!,21,0),"")</f>
        <v/>
      </c>
      <c r="AA804" s="358"/>
      <c r="AB804" s="358"/>
      <c r="AC804" s="119"/>
      <c r="AD804" s="119"/>
      <c r="AE804" s="119"/>
      <c r="AF804" s="277"/>
      <c r="AG804" s="119"/>
      <c r="AH804" s="358"/>
      <c r="AI804" s="358"/>
      <c r="AJ804" s="380"/>
      <c r="AK804" s="380"/>
      <c r="AL804" s="380"/>
      <c r="AM804" s="380"/>
      <c r="AN804" s="120"/>
      <c r="AO804" s="120"/>
      <c r="AP804" s="120"/>
      <c r="AQ804" s="313"/>
      <c r="AR804" s="119"/>
      <c r="AS804" s="22"/>
      <c r="AT804" s="22"/>
      <c r="AU804" s="22"/>
      <c r="AV804" s="22"/>
      <c r="AW804" s="82"/>
      <c r="AX804" s="82"/>
      <c r="AY804" s="82"/>
      <c r="AZ804" s="82"/>
      <c r="BA804" s="82"/>
      <c r="BB804" s="82"/>
      <c r="BC804" s="82"/>
      <c r="BD804" s="82"/>
      <c r="BE804" s="82"/>
      <c r="BF804" s="82"/>
      <c r="BG804" s="112"/>
      <c r="BH804" s="112"/>
      <c r="BI804" s="112"/>
      <c r="BJ804" s="112"/>
      <c r="BK804" s="82"/>
      <c r="BL804" s="82"/>
      <c r="BN804" s="412"/>
      <c r="BO804" s="412"/>
      <c r="BP804" s="412"/>
      <c r="BQ804" s="412"/>
      <c r="BR804" s="412"/>
      <c r="BZ804" t="str">
        <f t="shared" si="72"/>
        <v/>
      </c>
    </row>
    <row r="805" spans="1:78" ht="15.6" hidden="1" customHeight="1">
      <c r="A805" s="35" t="str">
        <f t="shared" si="71"/>
        <v/>
      </c>
      <c r="C805" s="358"/>
      <c r="D805" s="358">
        <v>801</v>
      </c>
      <c r="E805" s="358"/>
      <c r="F805" s="119"/>
      <c r="G805" s="266"/>
      <c r="H805" s="119"/>
      <c r="I805" s="358"/>
      <c r="J805" s="359" t="str">
        <f>IFERROR(VLOOKUP($A805,#REF!,3,0),"")</f>
        <v/>
      </c>
      <c r="K805" s="359">
        <f>IFERROR(VLOOKUP($A805,#REF!,4,0),AF805)</f>
        <v>0</v>
      </c>
      <c r="L805" s="359" t="str">
        <f>IFERROR(VLOOKUP($A805,#REF!,5,0),"")</f>
        <v/>
      </c>
      <c r="M805" s="359" t="str">
        <f>IFERROR(VLOOKUP($A805,#REF!,7,0),"")</f>
        <v/>
      </c>
      <c r="N805" s="359"/>
      <c r="O805" s="359" t="str">
        <f>IFERROR(VLOOKUP($A805,#REF!,6,0),"")</f>
        <v/>
      </c>
      <c r="P805" s="359" t="str">
        <f>IFERROR(VLOOKUP($A805,#REF!,9,0),"")</f>
        <v/>
      </c>
      <c r="Q805" s="359" t="str">
        <f>IFERROR(VLOOKUP($A805,#REF!,10,0),"")</f>
        <v/>
      </c>
      <c r="R805" s="359" t="str">
        <f>IFERROR(VLOOKUP($A805,#REF!,11,0),"")</f>
        <v/>
      </c>
      <c r="S805" s="359" t="str">
        <f>IFERROR(VLOOKUP($A805,#REF!,13,0),"")</f>
        <v/>
      </c>
      <c r="T805" s="359" t="str">
        <f>IFERROR(VLOOKUP($A805,#REF!,14,0),"")</f>
        <v/>
      </c>
      <c r="U805" s="359" t="str">
        <f>IFERROR(VLOOKUP($A805,#REF!,15,0),"")</f>
        <v/>
      </c>
      <c r="V805" s="359" t="str">
        <f>IFERROR(VLOOKUP($A805,#REF!,16,0),"")</f>
        <v/>
      </c>
      <c r="W805" s="359" t="str">
        <f>IFERROR(VLOOKUP($A805,#REF!,17,0),"")</f>
        <v/>
      </c>
      <c r="X805" s="359" t="str">
        <f>IFERROR(VLOOKUP($A805,#REF!,18,0),"")</f>
        <v/>
      </c>
      <c r="Y805" s="359" t="str">
        <f>IFERROR(VLOOKUP($A805,#REF!,19,0),"")</f>
        <v/>
      </c>
      <c r="Z805" s="400" t="str">
        <f>IFERROR(VLOOKUP($A805,#REF!,21,0),"")</f>
        <v/>
      </c>
      <c r="AA805" s="358"/>
      <c r="AB805" s="358"/>
      <c r="AC805" s="119"/>
      <c r="AD805" s="119"/>
      <c r="AE805" s="119"/>
      <c r="AF805" s="277"/>
      <c r="AG805" s="119"/>
      <c r="AH805" s="358"/>
      <c r="AI805" s="358"/>
      <c r="AJ805" s="380"/>
      <c r="AK805" s="380"/>
      <c r="AL805" s="380"/>
      <c r="AM805" s="380"/>
      <c r="AN805" s="120"/>
      <c r="AO805" s="120"/>
      <c r="AP805" s="120"/>
      <c r="AQ805" s="313"/>
      <c r="AR805" s="119"/>
      <c r="AS805" s="22"/>
      <c r="AT805" s="22"/>
      <c r="AU805" s="22"/>
      <c r="AV805" s="22"/>
      <c r="AW805" s="82"/>
      <c r="AX805" s="82"/>
      <c r="AY805" s="82"/>
      <c r="AZ805" s="82"/>
      <c r="BA805" s="82"/>
      <c r="BB805" s="82"/>
      <c r="BC805" s="82"/>
      <c r="BD805" s="82"/>
      <c r="BE805" s="82"/>
      <c r="BF805" s="82"/>
      <c r="BG805" s="112"/>
      <c r="BH805" s="112"/>
      <c r="BI805" s="112"/>
      <c r="BJ805" s="112"/>
      <c r="BK805" s="82"/>
      <c r="BL805" s="82"/>
      <c r="BN805" s="412"/>
      <c r="BO805" s="412"/>
      <c r="BP805" s="412"/>
      <c r="BQ805" s="412"/>
      <c r="BR805" s="412"/>
      <c r="BZ805" t="str">
        <f t="shared" si="72"/>
        <v/>
      </c>
    </row>
    <row r="806" spans="1:78" ht="15.6" hidden="1" customHeight="1">
      <c r="A806" s="35" t="str">
        <f t="shared" si="71"/>
        <v/>
      </c>
      <c r="C806" s="358"/>
      <c r="D806" s="358">
        <v>802</v>
      </c>
      <c r="E806" s="119"/>
      <c r="F806" s="119"/>
      <c r="G806" s="266"/>
      <c r="H806" s="119"/>
      <c r="I806" s="358"/>
      <c r="J806" s="359" t="str">
        <f>IFERROR(VLOOKUP($A806,#REF!,3,0),"")</f>
        <v/>
      </c>
      <c r="K806" s="359">
        <f>IFERROR(VLOOKUP($A806,#REF!,4,0),AF806)</f>
        <v>0</v>
      </c>
      <c r="L806" s="359" t="str">
        <f>IFERROR(VLOOKUP($A806,#REF!,5,0),"")</f>
        <v/>
      </c>
      <c r="M806" s="359" t="str">
        <f>IFERROR(VLOOKUP($A806,#REF!,7,0),"")</f>
        <v/>
      </c>
      <c r="N806" s="359"/>
      <c r="O806" s="359" t="str">
        <f>IFERROR(VLOOKUP($A806,#REF!,6,0),"")</f>
        <v/>
      </c>
      <c r="P806" s="359" t="str">
        <f>IFERROR(VLOOKUP($A806,#REF!,9,0),"")</f>
        <v/>
      </c>
      <c r="Q806" s="359" t="str">
        <f>IFERROR(VLOOKUP($A806,#REF!,10,0),"")</f>
        <v/>
      </c>
      <c r="R806" s="359" t="str">
        <f>IFERROR(VLOOKUP($A806,#REF!,11,0),"")</f>
        <v/>
      </c>
      <c r="S806" s="359" t="str">
        <f>IFERROR(VLOOKUP($A806,#REF!,13,0),"")</f>
        <v/>
      </c>
      <c r="T806" s="359" t="str">
        <f>IFERROR(VLOOKUP($A806,#REF!,14,0),"")</f>
        <v/>
      </c>
      <c r="U806" s="359" t="str">
        <f>IFERROR(VLOOKUP($A806,#REF!,15,0),"")</f>
        <v/>
      </c>
      <c r="V806" s="359" t="str">
        <f>IFERROR(VLOOKUP($A806,#REF!,16,0),"")</f>
        <v/>
      </c>
      <c r="W806" s="359" t="str">
        <f>IFERROR(VLOOKUP($A806,#REF!,17,0),"")</f>
        <v/>
      </c>
      <c r="X806" s="359" t="str">
        <f>IFERROR(VLOOKUP($A806,#REF!,18,0),"")</f>
        <v/>
      </c>
      <c r="Y806" s="359" t="str">
        <f>IFERROR(VLOOKUP($A806,#REF!,19,0),"")</f>
        <v/>
      </c>
      <c r="Z806" s="400" t="str">
        <f>IFERROR(VLOOKUP($A806,#REF!,21,0),"")</f>
        <v/>
      </c>
      <c r="AA806" s="358"/>
      <c r="AB806" s="358"/>
      <c r="AC806" s="119"/>
      <c r="AD806" s="119"/>
      <c r="AE806" s="119"/>
      <c r="AF806" s="277"/>
      <c r="AG806" s="119"/>
      <c r="AH806" s="358"/>
      <c r="AI806" s="358"/>
      <c r="AJ806" s="380"/>
      <c r="AK806" s="380"/>
      <c r="AL806" s="380"/>
      <c r="AM806" s="380"/>
      <c r="AN806" s="120"/>
      <c r="AO806" s="120"/>
      <c r="AP806" s="120"/>
      <c r="AQ806" s="313"/>
      <c r="AR806" s="119"/>
      <c r="AS806" s="22"/>
      <c r="AT806" s="22"/>
      <c r="AU806" s="22"/>
      <c r="AV806" s="22"/>
      <c r="AW806" s="82"/>
      <c r="AX806" s="82"/>
      <c r="AY806" s="82"/>
      <c r="AZ806" s="82"/>
      <c r="BA806" s="82"/>
      <c r="BB806" s="82"/>
      <c r="BC806" s="82"/>
      <c r="BD806" s="82"/>
      <c r="BE806" s="82"/>
      <c r="BF806" s="82"/>
      <c r="BG806" s="112"/>
      <c r="BH806" s="112"/>
      <c r="BI806" s="112"/>
      <c r="BJ806" s="112"/>
      <c r="BK806" s="82"/>
      <c r="BL806" s="82"/>
      <c r="BN806" s="412"/>
      <c r="BO806" s="412"/>
      <c r="BP806" s="412"/>
      <c r="BQ806" s="412"/>
      <c r="BR806" s="412"/>
      <c r="BZ806" t="str">
        <f t="shared" si="72"/>
        <v/>
      </c>
    </row>
    <row r="807" spans="1:78" ht="15.6" hidden="1" customHeight="1">
      <c r="A807" s="35" t="str">
        <f t="shared" si="71"/>
        <v/>
      </c>
      <c r="C807" s="358"/>
      <c r="D807" s="358">
        <v>803</v>
      </c>
      <c r="E807" s="119"/>
      <c r="F807" s="119"/>
      <c r="G807" s="266"/>
      <c r="H807" s="119"/>
      <c r="I807" s="358"/>
      <c r="J807" s="359" t="str">
        <f>IFERROR(VLOOKUP($A807,#REF!,3,0),"")</f>
        <v/>
      </c>
      <c r="K807" s="359">
        <f>IFERROR(VLOOKUP($A807,#REF!,4,0),AF807)</f>
        <v>0</v>
      </c>
      <c r="L807" s="359" t="str">
        <f>IFERROR(VLOOKUP($A807,#REF!,5,0),"")</f>
        <v/>
      </c>
      <c r="M807" s="359" t="str">
        <f>IFERROR(VLOOKUP($A807,#REF!,7,0),"")</f>
        <v/>
      </c>
      <c r="N807" s="359"/>
      <c r="O807" s="359" t="str">
        <f>IFERROR(VLOOKUP($A807,#REF!,6,0),"")</f>
        <v/>
      </c>
      <c r="P807" s="359" t="str">
        <f>IFERROR(VLOOKUP($A807,#REF!,9,0),"")</f>
        <v/>
      </c>
      <c r="Q807" s="359" t="str">
        <f>IFERROR(VLOOKUP($A807,#REF!,10,0),"")</f>
        <v/>
      </c>
      <c r="R807" s="359" t="str">
        <f>IFERROR(VLOOKUP($A807,#REF!,11,0),"")</f>
        <v/>
      </c>
      <c r="S807" s="359" t="str">
        <f>IFERROR(VLOOKUP($A807,#REF!,13,0),"")</f>
        <v/>
      </c>
      <c r="T807" s="359" t="str">
        <f>IFERROR(VLOOKUP($A807,#REF!,14,0),"")</f>
        <v/>
      </c>
      <c r="U807" s="359" t="str">
        <f>IFERROR(VLOOKUP($A807,#REF!,15,0),"")</f>
        <v/>
      </c>
      <c r="V807" s="359" t="str">
        <f>IFERROR(VLOOKUP($A807,#REF!,16,0),"")</f>
        <v/>
      </c>
      <c r="W807" s="359" t="str">
        <f>IFERROR(VLOOKUP($A807,#REF!,17,0),"")</f>
        <v/>
      </c>
      <c r="X807" s="359" t="str">
        <f>IFERROR(VLOOKUP($A807,#REF!,18,0),"")</f>
        <v/>
      </c>
      <c r="Y807" s="359" t="str">
        <f>IFERROR(VLOOKUP($A807,#REF!,19,0),"")</f>
        <v/>
      </c>
      <c r="Z807" s="400" t="str">
        <f>IFERROR(VLOOKUP($A807,#REF!,21,0),"")</f>
        <v/>
      </c>
      <c r="AA807" s="358"/>
      <c r="AB807" s="358"/>
      <c r="AC807" s="119"/>
      <c r="AD807" s="119"/>
      <c r="AE807" s="119"/>
      <c r="AF807" s="277"/>
      <c r="AG807" s="119"/>
      <c r="AH807" s="358"/>
      <c r="AI807" s="358"/>
      <c r="AJ807" s="380"/>
      <c r="AK807" s="380"/>
      <c r="AL807" s="380"/>
      <c r="AM807" s="380"/>
      <c r="AN807" s="120"/>
      <c r="AO807" s="120"/>
      <c r="AP807" s="120"/>
      <c r="AQ807" s="313"/>
      <c r="AR807" s="119"/>
      <c r="AS807" s="22"/>
      <c r="AT807" s="22"/>
      <c r="AU807" s="22"/>
      <c r="AV807" s="2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112"/>
      <c r="BH807" s="112"/>
      <c r="BI807" s="112"/>
      <c r="BJ807" s="112"/>
      <c r="BK807" s="82"/>
      <c r="BL807" s="82"/>
      <c r="BN807" s="412"/>
      <c r="BO807" s="412"/>
      <c r="BP807" s="412"/>
      <c r="BQ807" s="412"/>
      <c r="BR807" s="412"/>
      <c r="BZ807" t="str">
        <f t="shared" si="72"/>
        <v/>
      </c>
    </row>
    <row r="808" spans="1:78" ht="15.6" hidden="1" customHeight="1">
      <c r="A808" s="35" t="str">
        <f t="shared" si="71"/>
        <v/>
      </c>
      <c r="C808" s="358"/>
      <c r="D808" s="358">
        <v>804</v>
      </c>
      <c r="E808" s="119"/>
      <c r="F808" s="119"/>
      <c r="G808" s="266"/>
      <c r="H808" s="119"/>
      <c r="I808" s="358"/>
      <c r="J808" s="359" t="str">
        <f>IFERROR(VLOOKUP($A808,#REF!,3,0),"")</f>
        <v/>
      </c>
      <c r="K808" s="359">
        <f>IFERROR(VLOOKUP($A808,#REF!,4,0),AF808)</f>
        <v>0</v>
      </c>
      <c r="L808" s="359" t="str">
        <f>IFERROR(VLOOKUP($A808,#REF!,5,0),"")</f>
        <v/>
      </c>
      <c r="M808" s="359" t="str">
        <f>IFERROR(VLOOKUP($A808,#REF!,7,0),"")</f>
        <v/>
      </c>
      <c r="N808" s="359"/>
      <c r="O808" s="359" t="str">
        <f>IFERROR(VLOOKUP($A808,#REF!,6,0),"")</f>
        <v/>
      </c>
      <c r="P808" s="359" t="str">
        <f>IFERROR(VLOOKUP($A808,#REF!,9,0),"")</f>
        <v/>
      </c>
      <c r="Q808" s="359" t="str">
        <f>IFERROR(VLOOKUP($A808,#REF!,10,0),"")</f>
        <v/>
      </c>
      <c r="R808" s="359" t="str">
        <f>IFERROR(VLOOKUP($A808,#REF!,11,0),"")</f>
        <v/>
      </c>
      <c r="S808" s="359" t="str">
        <f>IFERROR(VLOOKUP($A808,#REF!,13,0),"")</f>
        <v/>
      </c>
      <c r="T808" s="359" t="str">
        <f>IFERROR(VLOOKUP($A808,#REF!,14,0),"")</f>
        <v/>
      </c>
      <c r="U808" s="359" t="str">
        <f>IFERROR(VLOOKUP($A808,#REF!,15,0),"")</f>
        <v/>
      </c>
      <c r="V808" s="359" t="str">
        <f>IFERROR(VLOOKUP($A808,#REF!,16,0),"")</f>
        <v/>
      </c>
      <c r="W808" s="359" t="str">
        <f>IFERROR(VLOOKUP($A808,#REF!,17,0),"")</f>
        <v/>
      </c>
      <c r="X808" s="359" t="str">
        <f>IFERROR(VLOOKUP($A808,#REF!,18,0),"")</f>
        <v/>
      </c>
      <c r="Y808" s="359" t="str">
        <f>IFERROR(VLOOKUP($A808,#REF!,19,0),"")</f>
        <v/>
      </c>
      <c r="Z808" s="400" t="str">
        <f>IFERROR(VLOOKUP($A808,#REF!,21,0),"")</f>
        <v/>
      </c>
      <c r="AA808" s="358"/>
      <c r="AB808" s="358"/>
      <c r="AC808" s="119"/>
      <c r="AD808" s="119"/>
      <c r="AE808" s="119"/>
      <c r="AF808" s="277"/>
      <c r="AG808" s="119"/>
      <c r="AH808" s="358"/>
      <c r="AI808" s="358"/>
      <c r="AJ808" s="380"/>
      <c r="AK808" s="380"/>
      <c r="AL808" s="380"/>
      <c r="AM808" s="380"/>
      <c r="AN808" s="120"/>
      <c r="AO808" s="120"/>
      <c r="AP808" s="120"/>
      <c r="AQ808" s="313"/>
      <c r="AR808" s="119"/>
      <c r="AS808" s="22"/>
      <c r="AT808" s="22"/>
      <c r="AU808" s="22"/>
      <c r="AV808" s="22"/>
      <c r="AW808" s="82"/>
      <c r="AX808" s="82"/>
      <c r="AY808" s="82"/>
      <c r="AZ808" s="82"/>
      <c r="BA808" s="82"/>
      <c r="BB808" s="82"/>
      <c r="BC808" s="82"/>
      <c r="BD808" s="82"/>
      <c r="BE808" s="82"/>
      <c r="BF808" s="82"/>
      <c r="BG808" s="112"/>
      <c r="BH808" s="112"/>
      <c r="BI808" s="112"/>
      <c r="BJ808" s="112"/>
      <c r="BK808" s="82"/>
      <c r="BL808" s="82"/>
      <c r="BN808" s="412"/>
      <c r="BO808" s="412"/>
      <c r="BP808" s="412"/>
      <c r="BQ808" s="412"/>
      <c r="BR808" s="412"/>
      <c r="BZ808" t="str">
        <f t="shared" si="72"/>
        <v/>
      </c>
    </row>
    <row r="809" spans="1:78" ht="15.6" hidden="1" customHeight="1">
      <c r="A809" s="35" t="str">
        <f t="shared" si="71"/>
        <v/>
      </c>
      <c r="C809" s="358"/>
      <c r="D809" s="358">
        <v>805</v>
      </c>
      <c r="E809" s="119"/>
      <c r="F809" s="119"/>
      <c r="G809" s="266"/>
      <c r="H809" s="119"/>
      <c r="I809" s="358"/>
      <c r="J809" s="359" t="str">
        <f>IFERROR(VLOOKUP($A809,#REF!,3,0),"")</f>
        <v/>
      </c>
      <c r="K809" s="359">
        <f>IFERROR(VLOOKUP($A809,#REF!,4,0),AF809)</f>
        <v>0</v>
      </c>
      <c r="L809" s="359" t="str">
        <f>IFERROR(VLOOKUP($A809,#REF!,5,0),"")</f>
        <v/>
      </c>
      <c r="M809" s="359" t="str">
        <f>IFERROR(VLOOKUP($A809,#REF!,7,0),"")</f>
        <v/>
      </c>
      <c r="N809" s="359"/>
      <c r="O809" s="359" t="str">
        <f>IFERROR(VLOOKUP($A809,#REF!,6,0),"")</f>
        <v/>
      </c>
      <c r="P809" s="359" t="str">
        <f>IFERROR(VLOOKUP($A809,#REF!,9,0),"")</f>
        <v/>
      </c>
      <c r="Q809" s="359" t="str">
        <f>IFERROR(VLOOKUP($A809,#REF!,10,0),"")</f>
        <v/>
      </c>
      <c r="R809" s="359" t="str">
        <f>IFERROR(VLOOKUP($A809,#REF!,11,0),"")</f>
        <v/>
      </c>
      <c r="S809" s="359" t="str">
        <f>IFERROR(VLOOKUP($A809,#REF!,13,0),"")</f>
        <v/>
      </c>
      <c r="T809" s="359" t="str">
        <f>IFERROR(VLOOKUP($A809,#REF!,14,0),"")</f>
        <v/>
      </c>
      <c r="U809" s="359" t="str">
        <f>IFERROR(VLOOKUP($A809,#REF!,15,0),"")</f>
        <v/>
      </c>
      <c r="V809" s="359" t="str">
        <f>IFERROR(VLOOKUP($A809,#REF!,16,0),"")</f>
        <v/>
      </c>
      <c r="W809" s="359" t="str">
        <f>IFERROR(VLOOKUP($A809,#REF!,17,0),"")</f>
        <v/>
      </c>
      <c r="X809" s="359" t="str">
        <f>IFERROR(VLOOKUP($A809,#REF!,18,0),"")</f>
        <v/>
      </c>
      <c r="Y809" s="359" t="str">
        <f>IFERROR(VLOOKUP($A809,#REF!,19,0),"")</f>
        <v/>
      </c>
      <c r="Z809" s="400" t="str">
        <f>IFERROR(VLOOKUP($A809,#REF!,21,0),"")</f>
        <v/>
      </c>
      <c r="AA809" s="358"/>
      <c r="AB809" s="358"/>
      <c r="AC809" s="119"/>
      <c r="AD809" s="119"/>
      <c r="AE809" s="119"/>
      <c r="AF809" s="277"/>
      <c r="AG809" s="119"/>
      <c r="AH809" s="358"/>
      <c r="AI809" s="358"/>
      <c r="AJ809" s="380"/>
      <c r="AK809" s="380"/>
      <c r="AL809" s="380"/>
      <c r="AM809" s="380"/>
      <c r="AN809" s="120"/>
      <c r="AO809" s="120"/>
      <c r="AP809" s="120"/>
      <c r="AQ809" s="313"/>
      <c r="AR809" s="119"/>
      <c r="AS809" s="22"/>
      <c r="AT809" s="22"/>
      <c r="AU809" s="22"/>
      <c r="AV809" s="22"/>
      <c r="AW809" s="82"/>
      <c r="AX809" s="82"/>
      <c r="AY809" s="82"/>
      <c r="AZ809" s="82"/>
      <c r="BA809" s="82"/>
      <c r="BB809" s="82"/>
      <c r="BC809" s="82"/>
      <c r="BD809" s="82"/>
      <c r="BE809" s="82"/>
      <c r="BF809" s="82"/>
      <c r="BG809" s="112"/>
      <c r="BH809" s="112"/>
      <c r="BI809" s="112"/>
      <c r="BJ809" s="112"/>
      <c r="BK809" s="82"/>
      <c r="BL809" s="82"/>
      <c r="BN809" s="412"/>
      <c r="BO809" s="412"/>
      <c r="BP809" s="412"/>
      <c r="BQ809" s="412"/>
      <c r="BR809" s="412"/>
      <c r="BZ809" t="str">
        <f t="shared" si="72"/>
        <v/>
      </c>
    </row>
    <row r="810" spans="1:78" ht="15.6" hidden="1" customHeight="1">
      <c r="A810" s="35" t="str">
        <f t="shared" si="71"/>
        <v/>
      </c>
      <c r="C810" s="358"/>
      <c r="D810" s="358">
        <v>806</v>
      </c>
      <c r="E810" s="119"/>
      <c r="F810" s="119"/>
      <c r="G810" s="266"/>
      <c r="H810" s="119"/>
      <c r="I810" s="358"/>
      <c r="J810" s="359" t="str">
        <f>IFERROR(VLOOKUP($A810,#REF!,3,0),"")</f>
        <v/>
      </c>
      <c r="K810" s="359">
        <f>IFERROR(VLOOKUP($A810,#REF!,4,0),AF810)</f>
        <v>0</v>
      </c>
      <c r="L810" s="359" t="str">
        <f>IFERROR(VLOOKUP($A810,#REF!,5,0),"")</f>
        <v/>
      </c>
      <c r="M810" s="359" t="str">
        <f>IFERROR(VLOOKUP($A810,#REF!,7,0),"")</f>
        <v/>
      </c>
      <c r="N810" s="359"/>
      <c r="O810" s="359" t="str">
        <f>IFERROR(VLOOKUP($A810,#REF!,6,0),"")</f>
        <v/>
      </c>
      <c r="P810" s="359" t="str">
        <f>IFERROR(VLOOKUP($A810,#REF!,9,0),"")</f>
        <v/>
      </c>
      <c r="Q810" s="359" t="str">
        <f>IFERROR(VLOOKUP($A810,#REF!,10,0),"")</f>
        <v/>
      </c>
      <c r="R810" s="359" t="str">
        <f>IFERROR(VLOOKUP($A810,#REF!,11,0),"")</f>
        <v/>
      </c>
      <c r="S810" s="359" t="str">
        <f>IFERROR(VLOOKUP($A810,#REF!,13,0),"")</f>
        <v/>
      </c>
      <c r="T810" s="359" t="str">
        <f>IFERROR(VLOOKUP($A810,#REF!,14,0),"")</f>
        <v/>
      </c>
      <c r="U810" s="359" t="str">
        <f>IFERROR(VLOOKUP($A810,#REF!,15,0),"")</f>
        <v/>
      </c>
      <c r="V810" s="359" t="str">
        <f>IFERROR(VLOOKUP($A810,#REF!,16,0),"")</f>
        <v/>
      </c>
      <c r="W810" s="359" t="str">
        <f>IFERROR(VLOOKUP($A810,#REF!,17,0),"")</f>
        <v/>
      </c>
      <c r="X810" s="359" t="str">
        <f>IFERROR(VLOOKUP($A810,#REF!,18,0),"")</f>
        <v/>
      </c>
      <c r="Y810" s="359" t="str">
        <f>IFERROR(VLOOKUP($A810,#REF!,19,0),"")</f>
        <v/>
      </c>
      <c r="Z810" s="400" t="str">
        <f>IFERROR(VLOOKUP($A810,#REF!,21,0),"")</f>
        <v/>
      </c>
      <c r="AA810" s="358"/>
      <c r="AB810" s="358"/>
      <c r="AC810" s="119"/>
      <c r="AD810" s="119"/>
      <c r="AE810" s="119"/>
      <c r="AF810" s="277"/>
      <c r="AG810" s="119"/>
      <c r="AH810" s="358"/>
      <c r="AI810" s="358"/>
      <c r="AJ810" s="380"/>
      <c r="AK810" s="380"/>
      <c r="AL810" s="380"/>
      <c r="AM810" s="380"/>
      <c r="AN810" s="120"/>
      <c r="AO810" s="120"/>
      <c r="AP810" s="120"/>
      <c r="AQ810" s="313"/>
      <c r="AR810" s="119"/>
      <c r="AS810" s="22"/>
      <c r="AT810" s="22"/>
      <c r="AU810" s="22"/>
      <c r="AV810" s="2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112"/>
      <c r="BH810" s="112"/>
      <c r="BI810" s="112"/>
      <c r="BJ810" s="112"/>
      <c r="BK810" s="82"/>
      <c r="BL810" s="82"/>
      <c r="BN810" s="412"/>
      <c r="BO810" s="412"/>
      <c r="BP810" s="412"/>
      <c r="BQ810" s="412"/>
      <c r="BR810" s="412"/>
      <c r="BZ810" t="str">
        <f t="shared" si="72"/>
        <v/>
      </c>
    </row>
    <row r="811" spans="1:78" ht="15.6" hidden="1" customHeight="1">
      <c r="A811" s="35" t="str">
        <f t="shared" si="71"/>
        <v/>
      </c>
      <c r="C811" s="358"/>
      <c r="D811" s="358">
        <v>807</v>
      </c>
      <c r="E811" s="119"/>
      <c r="F811" s="119"/>
      <c r="G811" s="266"/>
      <c r="H811" s="119"/>
      <c r="I811" s="358"/>
      <c r="J811" s="359" t="str">
        <f>IFERROR(VLOOKUP($A811,#REF!,3,0),"")</f>
        <v/>
      </c>
      <c r="K811" s="359">
        <f>IFERROR(VLOOKUP($A811,#REF!,4,0),AF811)</f>
        <v>0</v>
      </c>
      <c r="L811" s="359" t="str">
        <f>IFERROR(VLOOKUP($A811,#REF!,5,0),"")</f>
        <v/>
      </c>
      <c r="M811" s="359" t="str">
        <f>IFERROR(VLOOKUP($A811,#REF!,7,0),"")</f>
        <v/>
      </c>
      <c r="N811" s="359"/>
      <c r="O811" s="359" t="str">
        <f>IFERROR(VLOOKUP($A811,#REF!,6,0),"")</f>
        <v/>
      </c>
      <c r="P811" s="359" t="str">
        <f>IFERROR(VLOOKUP($A811,#REF!,9,0),"")</f>
        <v/>
      </c>
      <c r="Q811" s="359" t="str">
        <f>IFERROR(VLOOKUP($A811,#REF!,10,0),"")</f>
        <v/>
      </c>
      <c r="R811" s="359" t="str">
        <f>IFERROR(VLOOKUP($A811,#REF!,11,0),"")</f>
        <v/>
      </c>
      <c r="S811" s="359" t="str">
        <f>IFERROR(VLOOKUP($A811,#REF!,13,0),"")</f>
        <v/>
      </c>
      <c r="T811" s="359" t="str">
        <f>IFERROR(VLOOKUP($A811,#REF!,14,0),"")</f>
        <v/>
      </c>
      <c r="U811" s="359" t="str">
        <f>IFERROR(VLOOKUP($A811,#REF!,15,0),"")</f>
        <v/>
      </c>
      <c r="V811" s="359" t="str">
        <f>IFERROR(VLOOKUP($A811,#REF!,16,0),"")</f>
        <v/>
      </c>
      <c r="W811" s="359" t="str">
        <f>IFERROR(VLOOKUP($A811,#REF!,17,0),"")</f>
        <v/>
      </c>
      <c r="X811" s="359" t="str">
        <f>IFERROR(VLOOKUP($A811,#REF!,18,0),"")</f>
        <v/>
      </c>
      <c r="Y811" s="359" t="str">
        <f>IFERROR(VLOOKUP($A811,#REF!,19,0),"")</f>
        <v/>
      </c>
      <c r="Z811" s="400" t="str">
        <f>IFERROR(VLOOKUP($A811,#REF!,21,0),"")</f>
        <v/>
      </c>
      <c r="AA811" s="358"/>
      <c r="AB811" s="358"/>
      <c r="AC811" s="119"/>
      <c r="AD811" s="119"/>
      <c r="AE811" s="119"/>
      <c r="AF811" s="277"/>
      <c r="AG811" s="119"/>
      <c r="AH811" s="358"/>
      <c r="AI811" s="358"/>
      <c r="AJ811" s="380"/>
      <c r="AK811" s="380"/>
      <c r="AL811" s="380"/>
      <c r="AM811" s="380"/>
      <c r="AN811" s="120"/>
      <c r="AO811" s="120"/>
      <c r="AP811" s="120"/>
      <c r="AQ811" s="313"/>
      <c r="AR811" s="119"/>
      <c r="AS811" s="22"/>
      <c r="AT811" s="22"/>
      <c r="AU811" s="22"/>
      <c r="AV811" s="2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112"/>
      <c r="BH811" s="112"/>
      <c r="BI811" s="112"/>
      <c r="BJ811" s="112"/>
      <c r="BK811" s="82"/>
      <c r="BL811" s="82"/>
      <c r="BN811" s="412"/>
      <c r="BO811" s="412"/>
      <c r="BP811" s="412"/>
      <c r="BQ811" s="412"/>
      <c r="BR811" s="412"/>
      <c r="BZ811" t="str">
        <f t="shared" si="72"/>
        <v/>
      </c>
    </row>
    <row r="812" spans="1:78" ht="15.6" hidden="1" customHeight="1">
      <c r="A812" s="35" t="str">
        <f t="shared" si="71"/>
        <v/>
      </c>
      <c r="C812" s="358"/>
      <c r="D812" s="358">
        <v>808</v>
      </c>
      <c r="E812" s="119"/>
      <c r="F812" s="119"/>
      <c r="G812" s="266"/>
      <c r="H812" s="119"/>
      <c r="I812" s="358"/>
      <c r="J812" s="359" t="str">
        <f>IFERROR(VLOOKUP($A812,#REF!,3,0),"")</f>
        <v/>
      </c>
      <c r="K812" s="359">
        <f>IFERROR(VLOOKUP($A812,#REF!,4,0),AF812)</f>
        <v>0</v>
      </c>
      <c r="L812" s="359" t="str">
        <f>IFERROR(VLOOKUP($A812,#REF!,5,0),"")</f>
        <v/>
      </c>
      <c r="M812" s="359" t="str">
        <f>IFERROR(VLOOKUP($A812,#REF!,7,0),"")</f>
        <v/>
      </c>
      <c r="N812" s="359"/>
      <c r="O812" s="359" t="str">
        <f>IFERROR(VLOOKUP($A812,#REF!,6,0),"")</f>
        <v/>
      </c>
      <c r="P812" s="359" t="str">
        <f>IFERROR(VLOOKUP($A812,#REF!,9,0),"")</f>
        <v/>
      </c>
      <c r="Q812" s="359" t="str">
        <f>IFERROR(VLOOKUP($A812,#REF!,10,0),"")</f>
        <v/>
      </c>
      <c r="R812" s="359" t="str">
        <f>IFERROR(VLOOKUP($A812,#REF!,11,0),"")</f>
        <v/>
      </c>
      <c r="S812" s="359" t="str">
        <f>IFERROR(VLOOKUP($A812,#REF!,13,0),"")</f>
        <v/>
      </c>
      <c r="T812" s="359" t="str">
        <f>IFERROR(VLOOKUP($A812,#REF!,14,0),"")</f>
        <v/>
      </c>
      <c r="U812" s="359" t="str">
        <f>IFERROR(VLOOKUP($A812,#REF!,15,0),"")</f>
        <v/>
      </c>
      <c r="V812" s="359" t="str">
        <f>IFERROR(VLOOKUP($A812,#REF!,16,0),"")</f>
        <v/>
      </c>
      <c r="W812" s="359" t="str">
        <f>IFERROR(VLOOKUP($A812,#REF!,17,0),"")</f>
        <v/>
      </c>
      <c r="X812" s="359" t="str">
        <f>IFERROR(VLOOKUP($A812,#REF!,18,0),"")</f>
        <v/>
      </c>
      <c r="Y812" s="359" t="str">
        <f>IFERROR(VLOOKUP($A812,#REF!,19,0),"")</f>
        <v/>
      </c>
      <c r="Z812" s="400" t="str">
        <f>IFERROR(VLOOKUP($A812,#REF!,21,0),"")</f>
        <v/>
      </c>
      <c r="AA812" s="358"/>
      <c r="AB812" s="358"/>
      <c r="AC812" s="119"/>
      <c r="AD812" s="119"/>
      <c r="AE812" s="119"/>
      <c r="AF812" s="277"/>
      <c r="AG812" s="119"/>
      <c r="AH812" s="358"/>
      <c r="AI812" s="358"/>
      <c r="AJ812" s="380"/>
      <c r="AK812" s="380"/>
      <c r="AL812" s="380"/>
      <c r="AM812" s="380"/>
      <c r="AN812" s="120"/>
      <c r="AO812" s="120"/>
      <c r="AP812" s="120"/>
      <c r="AQ812" s="313"/>
      <c r="AR812" s="119"/>
      <c r="AS812" s="22"/>
      <c r="AT812" s="22"/>
      <c r="AU812" s="22"/>
      <c r="AV812" s="2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112"/>
      <c r="BH812" s="112"/>
      <c r="BI812" s="112"/>
      <c r="BJ812" s="112"/>
      <c r="BK812" s="82"/>
      <c r="BL812" s="82"/>
      <c r="BN812" s="412"/>
      <c r="BO812" s="412"/>
      <c r="BP812" s="412"/>
      <c r="BQ812" s="412"/>
      <c r="BR812" s="412"/>
      <c r="BZ812" t="str">
        <f t="shared" si="72"/>
        <v/>
      </c>
    </row>
    <row r="813" spans="1:78" ht="15.6" hidden="1" customHeight="1">
      <c r="A813" s="35" t="str">
        <f t="shared" si="71"/>
        <v/>
      </c>
      <c r="C813" s="358"/>
      <c r="D813" s="358">
        <v>809</v>
      </c>
      <c r="E813" s="119"/>
      <c r="F813" s="119"/>
      <c r="G813" s="266"/>
      <c r="H813" s="119"/>
      <c r="I813" s="358"/>
      <c r="J813" s="359" t="str">
        <f>IFERROR(VLOOKUP($A813,#REF!,3,0),"")</f>
        <v/>
      </c>
      <c r="K813" s="359">
        <f>IFERROR(VLOOKUP($A813,#REF!,4,0),AF813)</f>
        <v>0</v>
      </c>
      <c r="L813" s="359" t="str">
        <f>IFERROR(VLOOKUP($A813,#REF!,5,0),"")</f>
        <v/>
      </c>
      <c r="M813" s="359" t="str">
        <f>IFERROR(VLOOKUP($A813,#REF!,7,0),"")</f>
        <v/>
      </c>
      <c r="N813" s="359"/>
      <c r="O813" s="359" t="str">
        <f>IFERROR(VLOOKUP($A813,#REF!,6,0),"")</f>
        <v/>
      </c>
      <c r="P813" s="359" t="str">
        <f>IFERROR(VLOOKUP($A813,#REF!,9,0),"")</f>
        <v/>
      </c>
      <c r="Q813" s="359" t="str">
        <f>IFERROR(VLOOKUP($A813,#REF!,10,0),"")</f>
        <v/>
      </c>
      <c r="R813" s="359" t="str">
        <f>IFERROR(VLOOKUP($A813,#REF!,11,0),"")</f>
        <v/>
      </c>
      <c r="S813" s="359" t="str">
        <f>IFERROR(VLOOKUP($A813,#REF!,13,0),"")</f>
        <v/>
      </c>
      <c r="T813" s="359" t="str">
        <f>IFERROR(VLOOKUP($A813,#REF!,14,0),"")</f>
        <v/>
      </c>
      <c r="U813" s="359" t="str">
        <f>IFERROR(VLOOKUP($A813,#REF!,15,0),"")</f>
        <v/>
      </c>
      <c r="V813" s="359" t="str">
        <f>IFERROR(VLOOKUP($A813,#REF!,16,0),"")</f>
        <v/>
      </c>
      <c r="W813" s="359" t="str">
        <f>IFERROR(VLOOKUP($A813,#REF!,17,0),"")</f>
        <v/>
      </c>
      <c r="X813" s="359" t="str">
        <f>IFERROR(VLOOKUP($A813,#REF!,18,0),"")</f>
        <v/>
      </c>
      <c r="Y813" s="359" t="str">
        <f>IFERROR(VLOOKUP($A813,#REF!,19,0),"")</f>
        <v/>
      </c>
      <c r="Z813" s="400" t="str">
        <f>IFERROR(VLOOKUP($A813,#REF!,21,0),"")</f>
        <v/>
      </c>
      <c r="AA813" s="358"/>
      <c r="AB813" s="358"/>
      <c r="AC813" s="119"/>
      <c r="AD813" s="119"/>
      <c r="AE813" s="119"/>
      <c r="AF813" s="277"/>
      <c r="AG813" s="119"/>
      <c r="AH813" s="358"/>
      <c r="AI813" s="358"/>
      <c r="AJ813" s="380"/>
      <c r="AK813" s="380"/>
      <c r="AL813" s="380"/>
      <c r="AM813" s="380"/>
      <c r="AN813" s="120"/>
      <c r="AO813" s="120"/>
      <c r="AP813" s="120"/>
      <c r="AQ813" s="313"/>
      <c r="AR813" s="119"/>
      <c r="AS813" s="22"/>
      <c r="AT813" s="22"/>
      <c r="AU813" s="22"/>
      <c r="AV813" s="2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112"/>
      <c r="BH813" s="112"/>
      <c r="BI813" s="112"/>
      <c r="BJ813" s="112"/>
      <c r="BK813" s="82"/>
      <c r="BL813" s="82"/>
      <c r="BN813" s="412"/>
      <c r="BO813" s="412"/>
      <c r="BP813" s="412"/>
      <c r="BQ813" s="412"/>
      <c r="BR813" s="412"/>
      <c r="BZ813" t="str">
        <f t="shared" si="72"/>
        <v/>
      </c>
    </row>
    <row r="814" spans="1:78" ht="15.6" hidden="1" customHeight="1">
      <c r="A814" s="35" t="str">
        <f t="shared" si="71"/>
        <v/>
      </c>
      <c r="C814" s="358"/>
      <c r="D814" s="358">
        <v>810</v>
      </c>
      <c r="E814" s="119"/>
      <c r="F814" s="119"/>
      <c r="G814" s="266"/>
      <c r="H814" s="119"/>
      <c r="I814" s="358"/>
      <c r="J814" s="359" t="str">
        <f>IFERROR(VLOOKUP($A814,#REF!,3,0),"")</f>
        <v/>
      </c>
      <c r="K814" s="359">
        <f>IFERROR(VLOOKUP($A814,#REF!,4,0),AF814)</f>
        <v>0</v>
      </c>
      <c r="L814" s="359" t="str">
        <f>IFERROR(VLOOKUP($A814,#REF!,5,0),"")</f>
        <v/>
      </c>
      <c r="M814" s="359" t="str">
        <f>IFERROR(VLOOKUP($A814,#REF!,7,0),"")</f>
        <v/>
      </c>
      <c r="N814" s="359"/>
      <c r="O814" s="359" t="str">
        <f>IFERROR(VLOOKUP($A814,#REF!,6,0),"")</f>
        <v/>
      </c>
      <c r="P814" s="359" t="str">
        <f>IFERROR(VLOOKUP($A814,#REF!,9,0),"")</f>
        <v/>
      </c>
      <c r="Q814" s="359" t="str">
        <f>IFERROR(VLOOKUP($A814,#REF!,10,0),"")</f>
        <v/>
      </c>
      <c r="R814" s="359" t="str">
        <f>IFERROR(VLOOKUP($A814,#REF!,11,0),"")</f>
        <v/>
      </c>
      <c r="S814" s="359" t="str">
        <f>IFERROR(VLOOKUP($A814,#REF!,13,0),"")</f>
        <v/>
      </c>
      <c r="T814" s="359" t="str">
        <f>IFERROR(VLOOKUP($A814,#REF!,14,0),"")</f>
        <v/>
      </c>
      <c r="U814" s="359" t="str">
        <f>IFERROR(VLOOKUP($A814,#REF!,15,0),"")</f>
        <v/>
      </c>
      <c r="V814" s="359" t="str">
        <f>IFERROR(VLOOKUP($A814,#REF!,16,0),"")</f>
        <v/>
      </c>
      <c r="W814" s="359" t="str">
        <f>IFERROR(VLOOKUP($A814,#REF!,17,0),"")</f>
        <v/>
      </c>
      <c r="X814" s="359" t="str">
        <f>IFERROR(VLOOKUP($A814,#REF!,18,0),"")</f>
        <v/>
      </c>
      <c r="Y814" s="359" t="str">
        <f>IFERROR(VLOOKUP($A814,#REF!,19,0),"")</f>
        <v/>
      </c>
      <c r="Z814" s="400" t="str">
        <f>IFERROR(VLOOKUP($A814,#REF!,21,0),"")</f>
        <v/>
      </c>
      <c r="AA814" s="358"/>
      <c r="AB814" s="358"/>
      <c r="AC814" s="119"/>
      <c r="AD814" s="119"/>
      <c r="AE814" s="119"/>
      <c r="AF814" s="277"/>
      <c r="AG814" s="119"/>
      <c r="AH814" s="358"/>
      <c r="AI814" s="358"/>
      <c r="AJ814" s="380"/>
      <c r="AK814" s="380"/>
      <c r="AL814" s="380"/>
      <c r="AM814" s="380"/>
      <c r="AN814" s="120"/>
      <c r="AO814" s="120"/>
      <c r="AP814" s="120"/>
      <c r="AQ814" s="313"/>
      <c r="AR814" s="119"/>
      <c r="AS814" s="22"/>
      <c r="AT814" s="22"/>
      <c r="AU814" s="22"/>
      <c r="AV814" s="2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112"/>
      <c r="BH814" s="112"/>
      <c r="BI814" s="112"/>
      <c r="BJ814" s="112"/>
      <c r="BK814" s="82"/>
      <c r="BL814" s="82"/>
      <c r="BN814" s="412"/>
      <c r="BO814" s="412"/>
      <c r="BP814" s="412"/>
      <c r="BQ814" s="412"/>
      <c r="BR814" s="412"/>
      <c r="BZ814" t="str">
        <f t="shared" si="72"/>
        <v/>
      </c>
    </row>
    <row r="815" spans="1:78" ht="15.6" hidden="1" customHeight="1">
      <c r="A815" s="35" t="str">
        <f t="shared" si="71"/>
        <v/>
      </c>
      <c r="C815" s="358"/>
      <c r="D815" s="358">
        <v>811</v>
      </c>
      <c r="E815" s="119"/>
      <c r="F815" s="119"/>
      <c r="G815" s="266"/>
      <c r="H815" s="119"/>
      <c r="I815" s="358"/>
      <c r="J815" s="359" t="str">
        <f>IFERROR(VLOOKUP($A815,#REF!,3,0),"")</f>
        <v/>
      </c>
      <c r="K815" s="359">
        <f>IFERROR(VLOOKUP($A815,#REF!,4,0),AF815)</f>
        <v>0</v>
      </c>
      <c r="L815" s="359" t="str">
        <f>IFERROR(VLOOKUP($A815,#REF!,5,0),"")</f>
        <v/>
      </c>
      <c r="M815" s="359" t="str">
        <f>IFERROR(VLOOKUP($A815,#REF!,7,0),"")</f>
        <v/>
      </c>
      <c r="N815" s="359"/>
      <c r="O815" s="359" t="str">
        <f>IFERROR(VLOOKUP($A815,#REF!,6,0),"")</f>
        <v/>
      </c>
      <c r="P815" s="359" t="str">
        <f>IFERROR(VLOOKUP($A815,#REF!,9,0),"")</f>
        <v/>
      </c>
      <c r="Q815" s="359" t="str">
        <f>IFERROR(VLOOKUP($A815,#REF!,10,0),"")</f>
        <v/>
      </c>
      <c r="R815" s="359" t="str">
        <f>IFERROR(VLOOKUP($A815,#REF!,11,0),"")</f>
        <v/>
      </c>
      <c r="S815" s="359" t="str">
        <f>IFERROR(VLOOKUP($A815,#REF!,13,0),"")</f>
        <v/>
      </c>
      <c r="T815" s="359" t="str">
        <f>IFERROR(VLOOKUP($A815,#REF!,14,0),"")</f>
        <v/>
      </c>
      <c r="U815" s="359" t="str">
        <f>IFERROR(VLOOKUP($A815,#REF!,15,0),"")</f>
        <v/>
      </c>
      <c r="V815" s="359" t="str">
        <f>IFERROR(VLOOKUP($A815,#REF!,16,0),"")</f>
        <v/>
      </c>
      <c r="W815" s="359" t="str">
        <f>IFERROR(VLOOKUP($A815,#REF!,17,0),"")</f>
        <v/>
      </c>
      <c r="X815" s="359" t="str">
        <f>IFERROR(VLOOKUP($A815,#REF!,18,0),"")</f>
        <v/>
      </c>
      <c r="Y815" s="359" t="str">
        <f>IFERROR(VLOOKUP($A815,#REF!,19,0),"")</f>
        <v/>
      </c>
      <c r="Z815" s="400" t="str">
        <f>IFERROR(VLOOKUP($A815,#REF!,21,0),"")</f>
        <v/>
      </c>
      <c r="AA815" s="358"/>
      <c r="AB815" s="358"/>
      <c r="AC815" s="119"/>
      <c r="AD815" s="119"/>
      <c r="AE815" s="119"/>
      <c r="AF815" s="277"/>
      <c r="AG815" s="119"/>
      <c r="AH815" s="358"/>
      <c r="AI815" s="358"/>
      <c r="AJ815" s="380"/>
      <c r="AK815" s="380"/>
      <c r="AL815" s="380"/>
      <c r="AM815" s="380"/>
      <c r="AN815" s="120"/>
      <c r="AO815" s="120"/>
      <c r="AP815" s="120"/>
      <c r="AQ815" s="313"/>
      <c r="AR815" s="119"/>
      <c r="AS815" s="22"/>
      <c r="AT815" s="22"/>
      <c r="AU815" s="22"/>
      <c r="AV815" s="2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112"/>
      <c r="BH815" s="112"/>
      <c r="BI815" s="112"/>
      <c r="BJ815" s="112"/>
      <c r="BK815" s="82"/>
      <c r="BL815" s="82"/>
      <c r="BN815" s="412"/>
      <c r="BO815" s="412"/>
      <c r="BP815" s="412"/>
      <c r="BQ815" s="412"/>
      <c r="BR815" s="412"/>
      <c r="BZ815" t="str">
        <f t="shared" si="72"/>
        <v/>
      </c>
    </row>
    <row r="816" spans="1:78" ht="15.6" hidden="1" customHeight="1">
      <c r="A816" s="35" t="str">
        <f t="shared" si="71"/>
        <v/>
      </c>
      <c r="C816" s="358"/>
      <c r="D816" s="358">
        <v>812</v>
      </c>
      <c r="E816" s="119"/>
      <c r="F816" s="119"/>
      <c r="G816" s="266"/>
      <c r="H816" s="119"/>
      <c r="I816" s="358"/>
      <c r="J816" s="359" t="str">
        <f>IFERROR(VLOOKUP($A816,#REF!,3,0),"")</f>
        <v/>
      </c>
      <c r="K816" s="359">
        <f>IFERROR(VLOOKUP($A816,#REF!,4,0),AF816)</f>
        <v>0</v>
      </c>
      <c r="L816" s="359" t="str">
        <f>IFERROR(VLOOKUP($A816,#REF!,5,0),"")</f>
        <v/>
      </c>
      <c r="M816" s="359" t="str">
        <f>IFERROR(VLOOKUP($A816,#REF!,7,0),"")</f>
        <v/>
      </c>
      <c r="N816" s="359"/>
      <c r="O816" s="359" t="str">
        <f>IFERROR(VLOOKUP($A816,#REF!,6,0),"")</f>
        <v/>
      </c>
      <c r="P816" s="359" t="str">
        <f>IFERROR(VLOOKUP($A816,#REF!,9,0),"")</f>
        <v/>
      </c>
      <c r="Q816" s="359" t="str">
        <f>IFERROR(VLOOKUP($A816,#REF!,10,0),"")</f>
        <v/>
      </c>
      <c r="R816" s="359" t="str">
        <f>IFERROR(VLOOKUP($A816,#REF!,11,0),"")</f>
        <v/>
      </c>
      <c r="S816" s="359" t="str">
        <f>IFERROR(VLOOKUP($A816,#REF!,13,0),"")</f>
        <v/>
      </c>
      <c r="T816" s="359" t="str">
        <f>IFERROR(VLOOKUP($A816,#REF!,14,0),"")</f>
        <v/>
      </c>
      <c r="U816" s="359" t="str">
        <f>IFERROR(VLOOKUP($A816,#REF!,15,0),"")</f>
        <v/>
      </c>
      <c r="V816" s="359" t="str">
        <f>IFERROR(VLOOKUP($A816,#REF!,16,0),"")</f>
        <v/>
      </c>
      <c r="W816" s="359" t="str">
        <f>IFERROR(VLOOKUP($A816,#REF!,17,0),"")</f>
        <v/>
      </c>
      <c r="X816" s="359" t="str">
        <f>IFERROR(VLOOKUP($A816,#REF!,18,0),"")</f>
        <v/>
      </c>
      <c r="Y816" s="359" t="str">
        <f>IFERROR(VLOOKUP($A816,#REF!,19,0),"")</f>
        <v/>
      </c>
      <c r="Z816" s="400" t="str">
        <f>IFERROR(VLOOKUP($A816,#REF!,21,0),"")</f>
        <v/>
      </c>
      <c r="AA816" s="358"/>
      <c r="AB816" s="358"/>
      <c r="AC816" s="119"/>
      <c r="AD816" s="119"/>
      <c r="AE816" s="119"/>
      <c r="AF816" s="277"/>
      <c r="AG816" s="119"/>
      <c r="AH816" s="358"/>
      <c r="AI816" s="358"/>
      <c r="AJ816" s="380"/>
      <c r="AK816" s="380"/>
      <c r="AL816" s="380"/>
      <c r="AM816" s="380"/>
      <c r="AN816" s="120"/>
      <c r="AO816" s="120"/>
      <c r="AP816" s="120"/>
      <c r="AQ816" s="313"/>
      <c r="AR816" s="119"/>
      <c r="AS816" s="22"/>
      <c r="AT816" s="22"/>
      <c r="AU816" s="22"/>
      <c r="AV816" s="2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112"/>
      <c r="BH816" s="112"/>
      <c r="BI816" s="112"/>
      <c r="BJ816" s="112"/>
      <c r="BK816" s="82"/>
      <c r="BL816" s="82"/>
      <c r="BN816" s="412"/>
      <c r="BO816" s="412"/>
      <c r="BP816" s="412"/>
      <c r="BQ816" s="412"/>
      <c r="BR816" s="412"/>
      <c r="BZ816" t="str">
        <f t="shared" si="72"/>
        <v/>
      </c>
    </row>
    <row r="817" spans="1:78" ht="15.6" hidden="1" customHeight="1">
      <c r="A817" s="35" t="str">
        <f t="shared" si="71"/>
        <v/>
      </c>
      <c r="C817" s="358"/>
      <c r="D817" s="358">
        <v>813</v>
      </c>
      <c r="E817" s="119"/>
      <c r="F817" s="119"/>
      <c r="G817" s="266"/>
      <c r="H817" s="119"/>
      <c r="I817" s="358"/>
      <c r="J817" s="359" t="str">
        <f>IFERROR(VLOOKUP($A817,#REF!,3,0),"")</f>
        <v/>
      </c>
      <c r="K817" s="359">
        <f>IFERROR(VLOOKUP($A817,#REF!,4,0),AF817)</f>
        <v>0</v>
      </c>
      <c r="L817" s="359" t="str">
        <f>IFERROR(VLOOKUP($A817,#REF!,5,0),"")</f>
        <v/>
      </c>
      <c r="M817" s="359" t="str">
        <f>IFERROR(VLOOKUP($A817,#REF!,7,0),"")</f>
        <v/>
      </c>
      <c r="N817" s="359"/>
      <c r="O817" s="359" t="str">
        <f>IFERROR(VLOOKUP($A817,#REF!,6,0),"")</f>
        <v/>
      </c>
      <c r="P817" s="359" t="str">
        <f>IFERROR(VLOOKUP($A817,#REF!,9,0),"")</f>
        <v/>
      </c>
      <c r="Q817" s="359" t="str">
        <f>IFERROR(VLOOKUP($A817,#REF!,10,0),"")</f>
        <v/>
      </c>
      <c r="R817" s="359" t="str">
        <f>IFERROR(VLOOKUP($A817,#REF!,11,0),"")</f>
        <v/>
      </c>
      <c r="S817" s="359" t="str">
        <f>IFERROR(VLOOKUP($A817,#REF!,13,0),"")</f>
        <v/>
      </c>
      <c r="T817" s="359" t="str">
        <f>IFERROR(VLOOKUP($A817,#REF!,14,0),"")</f>
        <v/>
      </c>
      <c r="U817" s="359" t="str">
        <f>IFERROR(VLOOKUP($A817,#REF!,15,0),"")</f>
        <v/>
      </c>
      <c r="V817" s="359" t="str">
        <f>IFERROR(VLOOKUP($A817,#REF!,16,0),"")</f>
        <v/>
      </c>
      <c r="W817" s="359" t="str">
        <f>IFERROR(VLOOKUP($A817,#REF!,17,0),"")</f>
        <v/>
      </c>
      <c r="X817" s="359" t="str">
        <f>IFERROR(VLOOKUP($A817,#REF!,18,0),"")</f>
        <v/>
      </c>
      <c r="Y817" s="359" t="str">
        <f>IFERROR(VLOOKUP($A817,#REF!,19,0),"")</f>
        <v/>
      </c>
      <c r="Z817" s="400" t="str">
        <f>IFERROR(VLOOKUP($A817,#REF!,21,0),"")</f>
        <v/>
      </c>
      <c r="AA817" s="358"/>
      <c r="AB817" s="358"/>
      <c r="AC817" s="119"/>
      <c r="AD817" s="119"/>
      <c r="AE817" s="119"/>
      <c r="AF817" s="277"/>
      <c r="AG817" s="119"/>
      <c r="AH817" s="358"/>
      <c r="AI817" s="358"/>
      <c r="AJ817" s="380"/>
      <c r="AK817" s="380"/>
      <c r="AL817" s="380"/>
      <c r="AM817" s="380"/>
      <c r="AN817" s="120"/>
      <c r="AO817" s="120"/>
      <c r="AP817" s="120"/>
      <c r="AQ817" s="313"/>
      <c r="AR817" s="119"/>
      <c r="AS817" s="22"/>
      <c r="AT817" s="22"/>
      <c r="AU817" s="22"/>
      <c r="AV817" s="2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112"/>
      <c r="BH817" s="112"/>
      <c r="BI817" s="112"/>
      <c r="BJ817" s="112"/>
      <c r="BK817" s="82"/>
      <c r="BL817" s="82"/>
      <c r="BN817" s="412"/>
      <c r="BO817" s="412"/>
      <c r="BP817" s="412"/>
      <c r="BQ817" s="412"/>
      <c r="BR817" s="412"/>
      <c r="BZ817" t="str">
        <f t="shared" si="72"/>
        <v/>
      </c>
    </row>
    <row r="818" spans="1:78" ht="15.6" hidden="1" customHeight="1">
      <c r="A818" s="35" t="str">
        <f t="shared" si="71"/>
        <v/>
      </c>
      <c r="C818" s="358"/>
      <c r="D818" s="358">
        <v>814</v>
      </c>
      <c r="E818" s="119"/>
      <c r="F818" s="119"/>
      <c r="G818" s="266"/>
      <c r="H818" s="119"/>
      <c r="I818" s="358"/>
      <c r="J818" s="359" t="str">
        <f>IFERROR(VLOOKUP($A818,#REF!,3,0),"")</f>
        <v/>
      </c>
      <c r="K818" s="359">
        <f>IFERROR(VLOOKUP($A818,#REF!,4,0),AF818)</f>
        <v>0</v>
      </c>
      <c r="L818" s="359" t="str">
        <f>IFERROR(VLOOKUP($A818,#REF!,5,0),"")</f>
        <v/>
      </c>
      <c r="M818" s="359" t="str">
        <f>IFERROR(VLOOKUP($A818,#REF!,7,0),"")</f>
        <v/>
      </c>
      <c r="N818" s="359"/>
      <c r="O818" s="359" t="str">
        <f>IFERROR(VLOOKUP($A818,#REF!,6,0),"")</f>
        <v/>
      </c>
      <c r="P818" s="359" t="str">
        <f>IFERROR(VLOOKUP($A818,#REF!,9,0),"")</f>
        <v/>
      </c>
      <c r="Q818" s="359" t="str">
        <f>IFERROR(VLOOKUP($A818,#REF!,10,0),"")</f>
        <v/>
      </c>
      <c r="R818" s="359" t="str">
        <f>IFERROR(VLOOKUP($A818,#REF!,11,0),"")</f>
        <v/>
      </c>
      <c r="S818" s="359" t="str">
        <f>IFERROR(VLOOKUP($A818,#REF!,13,0),"")</f>
        <v/>
      </c>
      <c r="T818" s="359" t="str">
        <f>IFERROR(VLOOKUP($A818,#REF!,14,0),"")</f>
        <v/>
      </c>
      <c r="U818" s="359" t="str">
        <f>IFERROR(VLOOKUP($A818,#REF!,15,0),"")</f>
        <v/>
      </c>
      <c r="V818" s="359" t="str">
        <f>IFERROR(VLOOKUP($A818,#REF!,16,0),"")</f>
        <v/>
      </c>
      <c r="W818" s="359" t="str">
        <f>IFERROR(VLOOKUP($A818,#REF!,17,0),"")</f>
        <v/>
      </c>
      <c r="X818" s="359" t="str">
        <f>IFERROR(VLOOKUP($A818,#REF!,18,0),"")</f>
        <v/>
      </c>
      <c r="Y818" s="359" t="str">
        <f>IFERROR(VLOOKUP($A818,#REF!,19,0),"")</f>
        <v/>
      </c>
      <c r="Z818" s="400" t="str">
        <f>IFERROR(VLOOKUP($A818,#REF!,21,0),"")</f>
        <v/>
      </c>
      <c r="AA818" s="358"/>
      <c r="AB818" s="358"/>
      <c r="AC818" s="119"/>
      <c r="AD818" s="119"/>
      <c r="AE818" s="119"/>
      <c r="AF818" s="277"/>
      <c r="AG818" s="119"/>
      <c r="AH818" s="358"/>
      <c r="AI818" s="358"/>
      <c r="AJ818" s="380"/>
      <c r="AK818" s="380"/>
      <c r="AL818" s="380"/>
      <c r="AM818" s="380"/>
      <c r="AN818" s="120"/>
      <c r="AO818" s="120"/>
      <c r="AP818" s="120"/>
      <c r="AQ818" s="313"/>
      <c r="AR818" s="119"/>
      <c r="AS818" s="22"/>
      <c r="AT818" s="22"/>
      <c r="AU818" s="22"/>
      <c r="AV818" s="2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112"/>
      <c r="BH818" s="112"/>
      <c r="BI818" s="112"/>
      <c r="BJ818" s="112"/>
      <c r="BK818" s="82"/>
      <c r="BL818" s="82"/>
      <c r="BN818" s="412"/>
      <c r="BO818" s="412"/>
      <c r="BP818" s="412"/>
      <c r="BQ818" s="412"/>
      <c r="BR818" s="412"/>
      <c r="BZ818" t="str">
        <f t="shared" si="72"/>
        <v/>
      </c>
    </row>
    <row r="819" spans="1:78" ht="15.6" hidden="1" customHeight="1">
      <c r="A819" s="35" t="str">
        <f t="shared" si="71"/>
        <v/>
      </c>
      <c r="C819" s="358"/>
      <c r="D819" s="358">
        <v>815</v>
      </c>
      <c r="E819" s="119"/>
      <c r="F819" s="119"/>
      <c r="G819" s="266"/>
      <c r="H819" s="119"/>
      <c r="I819" s="358"/>
      <c r="J819" s="359" t="str">
        <f>IFERROR(VLOOKUP($A819,#REF!,3,0),"")</f>
        <v/>
      </c>
      <c r="K819" s="359">
        <f>IFERROR(VLOOKUP($A819,#REF!,4,0),AF819)</f>
        <v>0</v>
      </c>
      <c r="L819" s="359" t="str">
        <f>IFERROR(VLOOKUP($A819,#REF!,5,0),"")</f>
        <v/>
      </c>
      <c r="M819" s="359" t="str">
        <f>IFERROR(VLOOKUP($A819,#REF!,7,0),"")</f>
        <v/>
      </c>
      <c r="N819" s="359"/>
      <c r="O819" s="359" t="str">
        <f>IFERROR(VLOOKUP($A819,#REF!,6,0),"")</f>
        <v/>
      </c>
      <c r="P819" s="359" t="str">
        <f>IFERROR(VLOOKUP($A819,#REF!,9,0),"")</f>
        <v/>
      </c>
      <c r="Q819" s="359" t="str">
        <f>IFERROR(VLOOKUP($A819,#REF!,10,0),"")</f>
        <v/>
      </c>
      <c r="R819" s="359" t="str">
        <f>IFERROR(VLOOKUP($A819,#REF!,11,0),"")</f>
        <v/>
      </c>
      <c r="S819" s="359" t="str">
        <f>IFERROR(VLOOKUP($A819,#REF!,13,0),"")</f>
        <v/>
      </c>
      <c r="T819" s="359" t="str">
        <f>IFERROR(VLOOKUP($A819,#REF!,14,0),"")</f>
        <v/>
      </c>
      <c r="U819" s="359" t="str">
        <f>IFERROR(VLOOKUP($A819,#REF!,15,0),"")</f>
        <v/>
      </c>
      <c r="V819" s="359" t="str">
        <f>IFERROR(VLOOKUP($A819,#REF!,16,0),"")</f>
        <v/>
      </c>
      <c r="W819" s="359" t="str">
        <f>IFERROR(VLOOKUP($A819,#REF!,17,0),"")</f>
        <v/>
      </c>
      <c r="X819" s="359" t="str">
        <f>IFERROR(VLOOKUP($A819,#REF!,18,0),"")</f>
        <v/>
      </c>
      <c r="Y819" s="359" t="str">
        <f>IFERROR(VLOOKUP($A819,#REF!,19,0),"")</f>
        <v/>
      </c>
      <c r="Z819" s="400" t="str">
        <f>IFERROR(VLOOKUP($A819,#REF!,21,0),"")</f>
        <v/>
      </c>
      <c r="AA819" s="358"/>
      <c r="AB819" s="358"/>
      <c r="AC819" s="119"/>
      <c r="AD819" s="119"/>
      <c r="AE819" s="119"/>
      <c r="AF819" s="277"/>
      <c r="AG819" s="119"/>
      <c r="AH819" s="358"/>
      <c r="AI819" s="358"/>
      <c r="AJ819" s="380"/>
      <c r="AK819" s="380"/>
      <c r="AL819" s="380"/>
      <c r="AM819" s="380"/>
      <c r="AN819" s="120"/>
      <c r="AO819" s="120"/>
      <c r="AP819" s="120"/>
      <c r="AQ819" s="313"/>
      <c r="AR819" s="119"/>
      <c r="AS819" s="22"/>
      <c r="AT819" s="22"/>
      <c r="AU819" s="22"/>
      <c r="AV819" s="2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112"/>
      <c r="BH819" s="112"/>
      <c r="BI819" s="112"/>
      <c r="BJ819" s="112"/>
      <c r="BK819" s="82"/>
      <c r="BL819" s="82"/>
      <c r="BN819" s="412"/>
      <c r="BO819" s="412"/>
      <c r="BP819" s="412"/>
      <c r="BQ819" s="412"/>
      <c r="BR819" s="412"/>
      <c r="BZ819" t="str">
        <f t="shared" si="72"/>
        <v/>
      </c>
    </row>
    <row r="820" spans="1:78" ht="15.6" hidden="1" customHeight="1">
      <c r="A820" s="35" t="str">
        <f t="shared" si="71"/>
        <v/>
      </c>
      <c r="C820" s="358"/>
      <c r="D820" s="358">
        <v>816</v>
      </c>
      <c r="E820" s="119"/>
      <c r="F820" s="119"/>
      <c r="G820" s="266"/>
      <c r="H820" s="119"/>
      <c r="I820" s="358"/>
      <c r="J820" s="359" t="str">
        <f>IFERROR(VLOOKUP($A820,#REF!,3,0),"")</f>
        <v/>
      </c>
      <c r="K820" s="359">
        <f>IFERROR(VLOOKUP($A820,#REF!,4,0),AF820)</f>
        <v>0</v>
      </c>
      <c r="L820" s="359" t="str">
        <f>IFERROR(VLOOKUP($A820,#REF!,5,0),"")</f>
        <v/>
      </c>
      <c r="M820" s="359" t="str">
        <f>IFERROR(VLOOKUP($A820,#REF!,7,0),"")</f>
        <v/>
      </c>
      <c r="N820" s="359"/>
      <c r="O820" s="359" t="str">
        <f>IFERROR(VLOOKUP($A820,#REF!,6,0),"")</f>
        <v/>
      </c>
      <c r="P820" s="359" t="str">
        <f>IFERROR(VLOOKUP($A820,#REF!,9,0),"")</f>
        <v/>
      </c>
      <c r="Q820" s="359" t="str">
        <f>IFERROR(VLOOKUP($A820,#REF!,10,0),"")</f>
        <v/>
      </c>
      <c r="R820" s="359" t="str">
        <f>IFERROR(VLOOKUP($A820,#REF!,11,0),"")</f>
        <v/>
      </c>
      <c r="S820" s="359" t="str">
        <f>IFERROR(VLOOKUP($A820,#REF!,13,0),"")</f>
        <v/>
      </c>
      <c r="T820" s="359" t="str">
        <f>IFERROR(VLOOKUP($A820,#REF!,14,0),"")</f>
        <v/>
      </c>
      <c r="U820" s="359" t="str">
        <f>IFERROR(VLOOKUP($A820,#REF!,15,0),"")</f>
        <v/>
      </c>
      <c r="V820" s="359" t="str">
        <f>IFERROR(VLOOKUP($A820,#REF!,16,0),"")</f>
        <v/>
      </c>
      <c r="W820" s="359" t="str">
        <f>IFERROR(VLOOKUP($A820,#REF!,17,0),"")</f>
        <v/>
      </c>
      <c r="X820" s="359" t="str">
        <f>IFERROR(VLOOKUP($A820,#REF!,18,0),"")</f>
        <v/>
      </c>
      <c r="Y820" s="359" t="str">
        <f>IFERROR(VLOOKUP($A820,#REF!,19,0),"")</f>
        <v/>
      </c>
      <c r="Z820" s="400" t="str">
        <f>IFERROR(VLOOKUP($A820,#REF!,21,0),"")</f>
        <v/>
      </c>
      <c r="AA820" s="358"/>
      <c r="AB820" s="358"/>
      <c r="AC820" s="119"/>
      <c r="AD820" s="119"/>
      <c r="AE820" s="119"/>
      <c r="AF820" s="277"/>
      <c r="AG820" s="119"/>
      <c r="AH820" s="358"/>
      <c r="AI820" s="358"/>
      <c r="AJ820" s="380"/>
      <c r="AK820" s="380"/>
      <c r="AL820" s="380"/>
      <c r="AM820" s="380"/>
      <c r="AN820" s="120"/>
      <c r="AO820" s="120"/>
      <c r="AP820" s="120"/>
      <c r="AQ820" s="313"/>
      <c r="AR820" s="119"/>
      <c r="AS820" s="22"/>
      <c r="AT820" s="22"/>
      <c r="AU820" s="22"/>
      <c r="AV820" s="22"/>
      <c r="AW820" s="82"/>
      <c r="AX820" s="82"/>
      <c r="AY820" s="82"/>
      <c r="AZ820" s="82"/>
      <c r="BA820" s="82"/>
      <c r="BB820" s="82"/>
      <c r="BC820" s="82"/>
      <c r="BD820" s="82"/>
      <c r="BE820" s="82"/>
      <c r="BF820" s="82"/>
      <c r="BG820" s="112"/>
      <c r="BH820" s="112"/>
      <c r="BI820" s="112"/>
      <c r="BJ820" s="112"/>
      <c r="BK820" s="82"/>
      <c r="BL820" s="82"/>
      <c r="BN820" s="412"/>
      <c r="BO820" s="412"/>
      <c r="BP820" s="412"/>
      <c r="BQ820" s="412"/>
      <c r="BR820" s="412"/>
      <c r="BZ820" t="str">
        <f t="shared" si="72"/>
        <v/>
      </c>
    </row>
    <row r="821" spans="1:78" ht="15.6" hidden="1" customHeight="1">
      <c r="A821" s="35" t="str">
        <f t="shared" si="71"/>
        <v/>
      </c>
      <c r="C821" s="358"/>
      <c r="D821" s="358">
        <v>817</v>
      </c>
      <c r="E821" s="119"/>
      <c r="F821" s="119"/>
      <c r="G821" s="266"/>
      <c r="H821" s="119"/>
      <c r="I821" s="358"/>
      <c r="J821" s="359" t="str">
        <f>IFERROR(VLOOKUP($A821,#REF!,3,0),"")</f>
        <v/>
      </c>
      <c r="K821" s="359">
        <f>IFERROR(VLOOKUP($A821,#REF!,4,0),AF821)</f>
        <v>0</v>
      </c>
      <c r="L821" s="359" t="str">
        <f>IFERROR(VLOOKUP($A821,#REF!,5,0),"")</f>
        <v/>
      </c>
      <c r="M821" s="359" t="str">
        <f>IFERROR(VLOOKUP($A821,#REF!,7,0),"")</f>
        <v/>
      </c>
      <c r="N821" s="359"/>
      <c r="O821" s="359" t="str">
        <f>IFERROR(VLOOKUP($A821,#REF!,6,0),"")</f>
        <v/>
      </c>
      <c r="P821" s="359" t="str">
        <f>IFERROR(VLOOKUP($A821,#REF!,9,0),"")</f>
        <v/>
      </c>
      <c r="Q821" s="359" t="str">
        <f>IFERROR(VLOOKUP($A821,#REF!,10,0),"")</f>
        <v/>
      </c>
      <c r="R821" s="359" t="str">
        <f>IFERROR(VLOOKUP($A821,#REF!,11,0),"")</f>
        <v/>
      </c>
      <c r="S821" s="359" t="str">
        <f>IFERROR(VLOOKUP($A821,#REF!,13,0),"")</f>
        <v/>
      </c>
      <c r="T821" s="359" t="str">
        <f>IFERROR(VLOOKUP($A821,#REF!,14,0),"")</f>
        <v/>
      </c>
      <c r="U821" s="359" t="str">
        <f>IFERROR(VLOOKUP($A821,#REF!,15,0),"")</f>
        <v/>
      </c>
      <c r="V821" s="359" t="str">
        <f>IFERROR(VLOOKUP($A821,#REF!,16,0),"")</f>
        <v/>
      </c>
      <c r="W821" s="359" t="str">
        <f>IFERROR(VLOOKUP($A821,#REF!,17,0),"")</f>
        <v/>
      </c>
      <c r="X821" s="359" t="str">
        <f>IFERROR(VLOOKUP($A821,#REF!,18,0),"")</f>
        <v/>
      </c>
      <c r="Y821" s="359" t="str">
        <f>IFERROR(VLOOKUP($A821,#REF!,19,0),"")</f>
        <v/>
      </c>
      <c r="Z821" s="400" t="str">
        <f>IFERROR(VLOOKUP($A821,#REF!,21,0),"")</f>
        <v/>
      </c>
      <c r="AA821" s="358"/>
      <c r="AB821" s="358"/>
      <c r="AC821" s="119"/>
      <c r="AD821" s="119"/>
      <c r="AE821" s="119"/>
      <c r="AF821" s="277"/>
      <c r="AG821" s="119"/>
      <c r="AH821" s="358"/>
      <c r="AI821" s="358"/>
      <c r="AJ821" s="380"/>
      <c r="AK821" s="380"/>
      <c r="AL821" s="380"/>
      <c r="AM821" s="380"/>
      <c r="AN821" s="120"/>
      <c r="AO821" s="120"/>
      <c r="AP821" s="120"/>
      <c r="AQ821" s="313"/>
      <c r="AR821" s="119"/>
      <c r="AS821" s="22"/>
      <c r="AT821" s="22"/>
      <c r="AU821" s="22"/>
      <c r="AV821" s="22"/>
      <c r="AW821" s="82"/>
      <c r="AX821" s="82"/>
      <c r="AY821" s="82"/>
      <c r="AZ821" s="82"/>
      <c r="BA821" s="82"/>
      <c r="BB821" s="82"/>
      <c r="BC821" s="82"/>
      <c r="BD821" s="82"/>
      <c r="BE821" s="82"/>
      <c r="BF821" s="82"/>
      <c r="BG821" s="112"/>
      <c r="BH821" s="112"/>
      <c r="BI821" s="112"/>
      <c r="BJ821" s="112"/>
      <c r="BK821" s="82"/>
      <c r="BL821" s="82"/>
      <c r="BN821" s="412"/>
      <c r="BO821" s="412"/>
      <c r="BP821" s="412"/>
      <c r="BQ821" s="412"/>
      <c r="BR821" s="412"/>
      <c r="BZ821" t="str">
        <f t="shared" si="72"/>
        <v/>
      </c>
    </row>
    <row r="822" spans="1:78" ht="15.6" hidden="1" customHeight="1">
      <c r="A822" s="35" t="str">
        <f t="shared" si="71"/>
        <v/>
      </c>
      <c r="C822" s="358"/>
      <c r="D822" s="358">
        <v>818</v>
      </c>
      <c r="E822" s="119"/>
      <c r="F822" s="119"/>
      <c r="G822" s="266"/>
      <c r="H822" s="119"/>
      <c r="I822" s="358"/>
      <c r="J822" s="359" t="str">
        <f>IFERROR(VLOOKUP($A822,#REF!,3,0),"")</f>
        <v/>
      </c>
      <c r="K822" s="359">
        <f>IFERROR(VLOOKUP($A822,#REF!,4,0),AF822)</f>
        <v>0</v>
      </c>
      <c r="L822" s="359" t="str">
        <f>IFERROR(VLOOKUP($A822,#REF!,5,0),"")</f>
        <v/>
      </c>
      <c r="M822" s="359" t="str">
        <f>IFERROR(VLOOKUP($A822,#REF!,7,0),"")</f>
        <v/>
      </c>
      <c r="N822" s="359"/>
      <c r="O822" s="359" t="str">
        <f>IFERROR(VLOOKUP($A822,#REF!,6,0),"")</f>
        <v/>
      </c>
      <c r="P822" s="359" t="str">
        <f>IFERROR(VLOOKUP($A822,#REF!,9,0),"")</f>
        <v/>
      </c>
      <c r="Q822" s="359" t="str">
        <f>IFERROR(VLOOKUP($A822,#REF!,10,0),"")</f>
        <v/>
      </c>
      <c r="R822" s="359" t="str">
        <f>IFERROR(VLOOKUP($A822,#REF!,11,0),"")</f>
        <v/>
      </c>
      <c r="S822" s="359" t="str">
        <f>IFERROR(VLOOKUP($A822,#REF!,13,0),"")</f>
        <v/>
      </c>
      <c r="T822" s="359" t="str">
        <f>IFERROR(VLOOKUP($A822,#REF!,14,0),"")</f>
        <v/>
      </c>
      <c r="U822" s="359" t="str">
        <f>IFERROR(VLOOKUP($A822,#REF!,15,0),"")</f>
        <v/>
      </c>
      <c r="V822" s="359" t="str">
        <f>IFERROR(VLOOKUP($A822,#REF!,16,0),"")</f>
        <v/>
      </c>
      <c r="W822" s="359" t="str">
        <f>IFERROR(VLOOKUP($A822,#REF!,17,0),"")</f>
        <v/>
      </c>
      <c r="X822" s="359" t="str">
        <f>IFERROR(VLOOKUP($A822,#REF!,18,0),"")</f>
        <v/>
      </c>
      <c r="Y822" s="359" t="str">
        <f>IFERROR(VLOOKUP($A822,#REF!,19,0),"")</f>
        <v/>
      </c>
      <c r="Z822" s="400" t="str">
        <f>IFERROR(VLOOKUP($A822,#REF!,21,0),"")</f>
        <v/>
      </c>
      <c r="AA822" s="358"/>
      <c r="AB822" s="358"/>
      <c r="AC822" s="119"/>
      <c r="AD822" s="119"/>
      <c r="AE822" s="119"/>
      <c r="AF822" s="277"/>
      <c r="AG822" s="119"/>
      <c r="AH822" s="358"/>
      <c r="AI822" s="358"/>
      <c r="AJ822" s="380"/>
      <c r="AK822" s="380"/>
      <c r="AL822" s="380"/>
      <c r="AM822" s="380"/>
      <c r="AN822" s="120"/>
      <c r="AO822" s="120"/>
      <c r="AP822" s="120"/>
      <c r="AQ822" s="313"/>
      <c r="AR822" s="119"/>
      <c r="AS822" s="22"/>
      <c r="AT822" s="22"/>
      <c r="AU822" s="22"/>
      <c r="AV822" s="22"/>
      <c r="AW822" s="82"/>
      <c r="AX822" s="82"/>
      <c r="AY822" s="82"/>
      <c r="AZ822" s="82"/>
      <c r="BA822" s="82"/>
      <c r="BB822" s="82"/>
      <c r="BC822" s="82"/>
      <c r="BD822" s="82"/>
      <c r="BE822" s="82"/>
      <c r="BF822" s="82"/>
      <c r="BG822" s="112"/>
      <c r="BH822" s="112"/>
      <c r="BI822" s="112"/>
      <c r="BJ822" s="112"/>
      <c r="BK822" s="82"/>
      <c r="BL822" s="82"/>
      <c r="BN822" s="412"/>
      <c r="BO822" s="412"/>
      <c r="BP822" s="412"/>
      <c r="BQ822" s="412"/>
      <c r="BR822" s="412"/>
      <c r="BZ822" t="str">
        <f t="shared" si="72"/>
        <v/>
      </c>
    </row>
    <row r="823" spans="1:78" ht="15.6" hidden="1" customHeight="1">
      <c r="A823" s="35" t="str">
        <f t="shared" si="71"/>
        <v/>
      </c>
      <c r="C823" s="358"/>
      <c r="D823" s="358">
        <v>819</v>
      </c>
      <c r="E823" s="119"/>
      <c r="F823" s="119"/>
      <c r="G823" s="266"/>
      <c r="H823" s="119"/>
      <c r="I823" s="358"/>
      <c r="J823" s="359" t="str">
        <f>IFERROR(VLOOKUP($A823,#REF!,3,0),"")</f>
        <v/>
      </c>
      <c r="K823" s="359">
        <f>IFERROR(VLOOKUP($A823,#REF!,4,0),AF823)</f>
        <v>0</v>
      </c>
      <c r="L823" s="359" t="str">
        <f>IFERROR(VLOOKUP($A823,#REF!,5,0),"")</f>
        <v/>
      </c>
      <c r="M823" s="359" t="str">
        <f>IFERROR(VLOOKUP($A823,#REF!,7,0),"")</f>
        <v/>
      </c>
      <c r="N823" s="359"/>
      <c r="O823" s="359" t="str">
        <f>IFERROR(VLOOKUP($A823,#REF!,6,0),"")</f>
        <v/>
      </c>
      <c r="P823" s="359" t="str">
        <f>IFERROR(VLOOKUP($A823,#REF!,9,0),"")</f>
        <v/>
      </c>
      <c r="Q823" s="359" t="str">
        <f>IFERROR(VLOOKUP($A823,#REF!,10,0),"")</f>
        <v/>
      </c>
      <c r="R823" s="359" t="str">
        <f>IFERROR(VLOOKUP($A823,#REF!,11,0),"")</f>
        <v/>
      </c>
      <c r="S823" s="359" t="str">
        <f>IFERROR(VLOOKUP($A823,#REF!,13,0),"")</f>
        <v/>
      </c>
      <c r="T823" s="359" t="str">
        <f>IFERROR(VLOOKUP($A823,#REF!,14,0),"")</f>
        <v/>
      </c>
      <c r="U823" s="359" t="str">
        <f>IFERROR(VLOOKUP($A823,#REF!,15,0),"")</f>
        <v/>
      </c>
      <c r="V823" s="359" t="str">
        <f>IFERROR(VLOOKUP($A823,#REF!,16,0),"")</f>
        <v/>
      </c>
      <c r="W823" s="359" t="str">
        <f>IFERROR(VLOOKUP($A823,#REF!,17,0),"")</f>
        <v/>
      </c>
      <c r="X823" s="359" t="str">
        <f>IFERROR(VLOOKUP($A823,#REF!,18,0),"")</f>
        <v/>
      </c>
      <c r="Y823" s="359" t="str">
        <f>IFERROR(VLOOKUP($A823,#REF!,19,0),"")</f>
        <v/>
      </c>
      <c r="Z823" s="400" t="str">
        <f>IFERROR(VLOOKUP($A823,#REF!,21,0),"")</f>
        <v/>
      </c>
      <c r="AA823" s="358"/>
      <c r="AB823" s="358"/>
      <c r="AC823" s="119"/>
      <c r="AD823" s="119"/>
      <c r="AE823" s="119"/>
      <c r="AF823" s="277"/>
      <c r="AG823" s="119"/>
      <c r="AH823" s="358"/>
      <c r="AI823" s="358"/>
      <c r="AJ823" s="380"/>
      <c r="AK823" s="380"/>
      <c r="AL823" s="380"/>
      <c r="AM823" s="380"/>
      <c r="AN823" s="120"/>
      <c r="AO823" s="120"/>
      <c r="AP823" s="120"/>
      <c r="AQ823" s="313"/>
      <c r="AR823" s="119"/>
      <c r="AS823" s="22"/>
      <c r="AT823" s="22"/>
      <c r="AU823" s="22"/>
      <c r="AV823" s="22"/>
      <c r="AW823" s="82"/>
      <c r="AX823" s="82"/>
      <c r="AY823" s="82"/>
      <c r="AZ823" s="82"/>
      <c r="BA823" s="82"/>
      <c r="BB823" s="82"/>
      <c r="BC823" s="82"/>
      <c r="BD823" s="82"/>
      <c r="BE823" s="82"/>
      <c r="BF823" s="82"/>
      <c r="BG823" s="112"/>
      <c r="BH823" s="112"/>
      <c r="BI823" s="112"/>
      <c r="BJ823" s="112"/>
      <c r="BK823" s="82"/>
      <c r="BL823" s="82"/>
      <c r="BN823" s="412"/>
      <c r="BO823" s="412"/>
      <c r="BP823" s="412"/>
      <c r="BQ823" s="412"/>
      <c r="BR823" s="412"/>
      <c r="BZ823" t="str">
        <f t="shared" si="72"/>
        <v/>
      </c>
    </row>
    <row r="824" spans="1:78" ht="15.6" hidden="1" customHeight="1">
      <c r="A824" s="35" t="str">
        <f t="shared" si="71"/>
        <v/>
      </c>
      <c r="C824" s="358"/>
      <c r="D824" s="358">
        <v>820</v>
      </c>
      <c r="E824" s="119"/>
      <c r="F824" s="119"/>
      <c r="G824" s="266"/>
      <c r="H824" s="119"/>
      <c r="I824" s="358"/>
      <c r="J824" s="359" t="str">
        <f>IFERROR(VLOOKUP($A824,#REF!,3,0),"")</f>
        <v/>
      </c>
      <c r="K824" s="359">
        <f>IFERROR(VLOOKUP($A824,#REF!,4,0),AF824)</f>
        <v>0</v>
      </c>
      <c r="L824" s="359" t="str">
        <f>IFERROR(VLOOKUP($A824,#REF!,5,0),"")</f>
        <v/>
      </c>
      <c r="M824" s="359" t="str">
        <f>IFERROR(VLOOKUP($A824,#REF!,7,0),"")</f>
        <v/>
      </c>
      <c r="N824" s="359"/>
      <c r="O824" s="359" t="str">
        <f>IFERROR(VLOOKUP($A824,#REF!,6,0),"")</f>
        <v/>
      </c>
      <c r="P824" s="359" t="str">
        <f>IFERROR(VLOOKUP($A824,#REF!,9,0),"")</f>
        <v/>
      </c>
      <c r="Q824" s="359" t="str">
        <f>IFERROR(VLOOKUP($A824,#REF!,10,0),"")</f>
        <v/>
      </c>
      <c r="R824" s="359" t="str">
        <f>IFERROR(VLOOKUP($A824,#REF!,11,0),"")</f>
        <v/>
      </c>
      <c r="S824" s="359" t="str">
        <f>IFERROR(VLOOKUP($A824,#REF!,13,0),"")</f>
        <v/>
      </c>
      <c r="T824" s="359" t="str">
        <f>IFERROR(VLOOKUP($A824,#REF!,14,0),"")</f>
        <v/>
      </c>
      <c r="U824" s="359" t="str">
        <f>IFERROR(VLOOKUP($A824,#REF!,15,0),"")</f>
        <v/>
      </c>
      <c r="V824" s="359" t="str">
        <f>IFERROR(VLOOKUP($A824,#REF!,16,0),"")</f>
        <v/>
      </c>
      <c r="W824" s="359" t="str">
        <f>IFERROR(VLOOKUP($A824,#REF!,17,0),"")</f>
        <v/>
      </c>
      <c r="X824" s="359" t="str">
        <f>IFERROR(VLOOKUP($A824,#REF!,18,0),"")</f>
        <v/>
      </c>
      <c r="Y824" s="359" t="str">
        <f>IFERROR(VLOOKUP($A824,#REF!,19,0),"")</f>
        <v/>
      </c>
      <c r="Z824" s="400" t="str">
        <f>IFERROR(VLOOKUP($A824,#REF!,21,0),"")</f>
        <v/>
      </c>
      <c r="AA824" s="358"/>
      <c r="AB824" s="358"/>
      <c r="AC824" s="119"/>
      <c r="AD824" s="119"/>
      <c r="AE824" s="119"/>
      <c r="AF824" s="277"/>
      <c r="AG824" s="119"/>
      <c r="AH824" s="358"/>
      <c r="AI824" s="358"/>
      <c r="AJ824" s="380"/>
      <c r="AK824" s="380"/>
      <c r="AL824" s="380"/>
      <c r="AM824" s="380"/>
      <c r="AN824" s="120"/>
      <c r="AO824" s="120"/>
      <c r="AP824" s="120"/>
      <c r="AQ824" s="313"/>
      <c r="AR824" s="119"/>
      <c r="AS824" s="22"/>
      <c r="AT824" s="22"/>
      <c r="AU824" s="22"/>
      <c r="AV824" s="22"/>
      <c r="AW824" s="82"/>
      <c r="AX824" s="82"/>
      <c r="AY824" s="82"/>
      <c r="AZ824" s="82"/>
      <c r="BA824" s="82"/>
      <c r="BB824" s="82"/>
      <c r="BC824" s="82"/>
      <c r="BD824" s="82"/>
      <c r="BE824" s="82"/>
      <c r="BF824" s="82"/>
      <c r="BG824" s="112"/>
      <c r="BH824" s="112"/>
      <c r="BI824" s="112"/>
      <c r="BJ824" s="112"/>
      <c r="BK824" s="82"/>
      <c r="BL824" s="82"/>
      <c r="BN824" s="412"/>
      <c r="BO824" s="412"/>
      <c r="BP824" s="412"/>
      <c r="BQ824" s="412"/>
      <c r="BR824" s="412"/>
      <c r="BZ824" t="str">
        <f t="shared" si="72"/>
        <v/>
      </c>
    </row>
    <row r="825" spans="1:78" ht="15.6" hidden="1" customHeight="1">
      <c r="A825" s="35" t="str">
        <f t="shared" si="71"/>
        <v/>
      </c>
      <c r="C825" s="358"/>
      <c r="D825" s="358">
        <v>821</v>
      </c>
      <c r="E825" s="119"/>
      <c r="F825" s="119"/>
      <c r="G825" s="266"/>
      <c r="H825" s="119"/>
      <c r="I825" s="358"/>
      <c r="J825" s="359" t="str">
        <f>IFERROR(VLOOKUP($A825,#REF!,3,0),"")</f>
        <v/>
      </c>
      <c r="K825" s="359">
        <f>IFERROR(VLOOKUP($A825,#REF!,4,0),AF825)</f>
        <v>0</v>
      </c>
      <c r="L825" s="359" t="str">
        <f>IFERROR(VLOOKUP($A825,#REF!,5,0),"")</f>
        <v/>
      </c>
      <c r="M825" s="359" t="str">
        <f>IFERROR(VLOOKUP($A825,#REF!,7,0),"")</f>
        <v/>
      </c>
      <c r="N825" s="359"/>
      <c r="O825" s="359" t="str">
        <f>IFERROR(VLOOKUP($A825,#REF!,6,0),"")</f>
        <v/>
      </c>
      <c r="P825" s="359" t="str">
        <f>IFERROR(VLOOKUP($A825,#REF!,9,0),"")</f>
        <v/>
      </c>
      <c r="Q825" s="359" t="str">
        <f>IFERROR(VLOOKUP($A825,#REF!,10,0),"")</f>
        <v/>
      </c>
      <c r="R825" s="359" t="str">
        <f>IFERROR(VLOOKUP($A825,#REF!,11,0),"")</f>
        <v/>
      </c>
      <c r="S825" s="359" t="str">
        <f>IFERROR(VLOOKUP($A825,#REF!,13,0),"")</f>
        <v/>
      </c>
      <c r="T825" s="359" t="str">
        <f>IFERROR(VLOOKUP($A825,#REF!,14,0),"")</f>
        <v/>
      </c>
      <c r="U825" s="359" t="str">
        <f>IFERROR(VLOOKUP($A825,#REF!,15,0),"")</f>
        <v/>
      </c>
      <c r="V825" s="359" t="str">
        <f>IFERROR(VLOOKUP($A825,#REF!,16,0),"")</f>
        <v/>
      </c>
      <c r="W825" s="359" t="str">
        <f>IFERROR(VLOOKUP($A825,#REF!,17,0),"")</f>
        <v/>
      </c>
      <c r="X825" s="359" t="str">
        <f>IFERROR(VLOOKUP($A825,#REF!,18,0),"")</f>
        <v/>
      </c>
      <c r="Y825" s="359" t="str">
        <f>IFERROR(VLOOKUP($A825,#REF!,19,0),"")</f>
        <v/>
      </c>
      <c r="Z825" s="400" t="str">
        <f>IFERROR(VLOOKUP($A825,#REF!,21,0),"")</f>
        <v/>
      </c>
      <c r="AA825" s="358"/>
      <c r="AB825" s="358"/>
      <c r="AC825" s="119"/>
      <c r="AD825" s="119"/>
      <c r="AE825" s="119"/>
      <c r="AF825" s="277"/>
      <c r="AG825" s="119"/>
      <c r="AH825" s="358"/>
      <c r="AI825" s="358"/>
      <c r="AJ825" s="380"/>
      <c r="AK825" s="380"/>
      <c r="AL825" s="380"/>
      <c r="AM825" s="380"/>
      <c r="AN825" s="120"/>
      <c r="AO825" s="120"/>
      <c r="AP825" s="120"/>
      <c r="AQ825" s="313"/>
      <c r="AR825" s="119"/>
      <c r="AS825" s="22"/>
      <c r="AT825" s="22"/>
      <c r="AU825" s="22"/>
      <c r="AV825" s="22"/>
      <c r="AW825" s="82"/>
      <c r="AX825" s="82"/>
      <c r="AY825" s="82"/>
      <c r="AZ825" s="82"/>
      <c r="BA825" s="82"/>
      <c r="BB825" s="82"/>
      <c r="BC825" s="82"/>
      <c r="BD825" s="82"/>
      <c r="BE825" s="82"/>
      <c r="BF825" s="82"/>
      <c r="BG825" s="112"/>
      <c r="BH825" s="112"/>
      <c r="BI825" s="112"/>
      <c r="BJ825" s="112"/>
      <c r="BK825" s="82"/>
      <c r="BL825" s="82"/>
      <c r="BN825" s="412"/>
      <c r="BO825" s="412"/>
      <c r="BP825" s="412"/>
      <c r="BQ825" s="412"/>
      <c r="BR825" s="412"/>
      <c r="BZ825" t="str">
        <f t="shared" si="72"/>
        <v/>
      </c>
    </row>
    <row r="826" spans="1:78" ht="15.6" hidden="1" customHeight="1">
      <c r="A826" s="35" t="str">
        <f t="shared" si="71"/>
        <v/>
      </c>
      <c r="C826" s="358"/>
      <c r="D826" s="358">
        <v>822</v>
      </c>
      <c r="E826" s="119"/>
      <c r="F826" s="119"/>
      <c r="G826" s="266"/>
      <c r="H826" s="119"/>
      <c r="I826" s="358"/>
      <c r="J826" s="359" t="str">
        <f>IFERROR(VLOOKUP($A826,#REF!,3,0),"")</f>
        <v/>
      </c>
      <c r="K826" s="359">
        <f>IFERROR(VLOOKUP($A826,#REF!,4,0),AF826)</f>
        <v>0</v>
      </c>
      <c r="L826" s="359" t="str">
        <f>IFERROR(VLOOKUP($A826,#REF!,5,0),"")</f>
        <v/>
      </c>
      <c r="M826" s="359" t="str">
        <f>IFERROR(VLOOKUP($A826,#REF!,7,0),"")</f>
        <v/>
      </c>
      <c r="N826" s="359"/>
      <c r="O826" s="359" t="str">
        <f>IFERROR(VLOOKUP($A826,#REF!,6,0),"")</f>
        <v/>
      </c>
      <c r="P826" s="359" t="str">
        <f>IFERROR(VLOOKUP($A826,#REF!,9,0),"")</f>
        <v/>
      </c>
      <c r="Q826" s="359" t="str">
        <f>IFERROR(VLOOKUP($A826,#REF!,10,0),"")</f>
        <v/>
      </c>
      <c r="R826" s="359" t="str">
        <f>IFERROR(VLOOKUP($A826,#REF!,11,0),"")</f>
        <v/>
      </c>
      <c r="S826" s="359" t="str">
        <f>IFERROR(VLOOKUP($A826,#REF!,13,0),"")</f>
        <v/>
      </c>
      <c r="T826" s="359" t="str">
        <f>IFERROR(VLOOKUP($A826,#REF!,14,0),"")</f>
        <v/>
      </c>
      <c r="U826" s="359" t="str">
        <f>IFERROR(VLOOKUP($A826,#REF!,15,0),"")</f>
        <v/>
      </c>
      <c r="V826" s="359" t="str">
        <f>IFERROR(VLOOKUP($A826,#REF!,16,0),"")</f>
        <v/>
      </c>
      <c r="W826" s="359" t="str">
        <f>IFERROR(VLOOKUP($A826,#REF!,17,0),"")</f>
        <v/>
      </c>
      <c r="X826" s="359" t="str">
        <f>IFERROR(VLOOKUP($A826,#REF!,18,0),"")</f>
        <v/>
      </c>
      <c r="Y826" s="359" t="str">
        <f>IFERROR(VLOOKUP($A826,#REF!,19,0),"")</f>
        <v/>
      </c>
      <c r="Z826" s="400" t="str">
        <f>IFERROR(VLOOKUP($A826,#REF!,21,0),"")</f>
        <v/>
      </c>
      <c r="AA826" s="358"/>
      <c r="AB826" s="358"/>
      <c r="AC826" s="119"/>
      <c r="AD826" s="119"/>
      <c r="AE826" s="119"/>
      <c r="AF826" s="277"/>
      <c r="AG826" s="119"/>
      <c r="AH826" s="358"/>
      <c r="AI826" s="358"/>
      <c r="AJ826" s="380"/>
      <c r="AK826" s="380"/>
      <c r="AL826" s="380"/>
      <c r="AM826" s="380"/>
      <c r="AN826" s="120"/>
      <c r="AO826" s="120"/>
      <c r="AP826" s="120"/>
      <c r="AQ826" s="313"/>
      <c r="AR826" s="119"/>
      <c r="AS826" s="22"/>
      <c r="AT826" s="22"/>
      <c r="AU826" s="22"/>
      <c r="AV826" s="22"/>
      <c r="AW826" s="82"/>
      <c r="AX826" s="82"/>
      <c r="AY826" s="82"/>
      <c r="AZ826" s="82"/>
      <c r="BA826" s="82"/>
      <c r="BB826" s="82"/>
      <c r="BC826" s="82"/>
      <c r="BD826" s="82"/>
      <c r="BE826" s="82"/>
      <c r="BF826" s="82"/>
      <c r="BG826" s="112"/>
      <c r="BH826" s="112"/>
      <c r="BI826" s="112"/>
      <c r="BJ826" s="112"/>
      <c r="BK826" s="82"/>
      <c r="BL826" s="82"/>
      <c r="BN826" s="412"/>
      <c r="BO826" s="412"/>
      <c r="BP826" s="412"/>
      <c r="BQ826" s="412"/>
      <c r="BR826" s="412"/>
      <c r="BZ826" t="str">
        <f t="shared" si="72"/>
        <v/>
      </c>
    </row>
    <row r="827" spans="1:78" ht="15.6" hidden="1" customHeight="1">
      <c r="A827" s="35" t="str">
        <f t="shared" si="71"/>
        <v/>
      </c>
      <c r="C827" s="358"/>
      <c r="D827" s="358">
        <v>823</v>
      </c>
      <c r="E827" s="119"/>
      <c r="F827" s="119"/>
      <c r="G827" s="266"/>
      <c r="H827" s="119"/>
      <c r="I827" s="358"/>
      <c r="J827" s="359" t="str">
        <f>IFERROR(VLOOKUP($A827,#REF!,3,0),"")</f>
        <v/>
      </c>
      <c r="K827" s="359">
        <f>IFERROR(VLOOKUP($A827,#REF!,4,0),AF827)</f>
        <v>0</v>
      </c>
      <c r="L827" s="359" t="str">
        <f>IFERROR(VLOOKUP($A827,#REF!,5,0),"")</f>
        <v/>
      </c>
      <c r="M827" s="359" t="str">
        <f>IFERROR(VLOOKUP($A827,#REF!,7,0),"")</f>
        <v/>
      </c>
      <c r="N827" s="359"/>
      <c r="O827" s="359" t="str">
        <f>IFERROR(VLOOKUP($A827,#REF!,6,0),"")</f>
        <v/>
      </c>
      <c r="P827" s="359" t="str">
        <f>IFERROR(VLOOKUP($A827,#REF!,9,0),"")</f>
        <v/>
      </c>
      <c r="Q827" s="359" t="str">
        <f>IFERROR(VLOOKUP($A827,#REF!,10,0),"")</f>
        <v/>
      </c>
      <c r="R827" s="359" t="str">
        <f>IFERROR(VLOOKUP($A827,#REF!,11,0),"")</f>
        <v/>
      </c>
      <c r="S827" s="359" t="str">
        <f>IFERROR(VLOOKUP($A827,#REF!,13,0),"")</f>
        <v/>
      </c>
      <c r="T827" s="359" t="str">
        <f>IFERROR(VLOOKUP($A827,#REF!,14,0),"")</f>
        <v/>
      </c>
      <c r="U827" s="359" t="str">
        <f>IFERROR(VLOOKUP($A827,#REF!,15,0),"")</f>
        <v/>
      </c>
      <c r="V827" s="359" t="str">
        <f>IFERROR(VLOOKUP($A827,#REF!,16,0),"")</f>
        <v/>
      </c>
      <c r="W827" s="359" t="str">
        <f>IFERROR(VLOOKUP($A827,#REF!,17,0),"")</f>
        <v/>
      </c>
      <c r="X827" s="359" t="str">
        <f>IFERROR(VLOOKUP($A827,#REF!,18,0),"")</f>
        <v/>
      </c>
      <c r="Y827" s="359" t="str">
        <f>IFERROR(VLOOKUP($A827,#REF!,19,0),"")</f>
        <v/>
      </c>
      <c r="Z827" s="400" t="str">
        <f>IFERROR(VLOOKUP($A827,#REF!,21,0),"")</f>
        <v/>
      </c>
      <c r="AA827" s="358"/>
      <c r="AB827" s="358"/>
      <c r="AC827" s="119"/>
      <c r="AD827" s="119"/>
      <c r="AE827" s="119"/>
      <c r="AF827" s="277"/>
      <c r="AG827" s="119"/>
      <c r="AH827" s="358"/>
      <c r="AI827" s="358"/>
      <c r="AJ827" s="380"/>
      <c r="AK827" s="380"/>
      <c r="AL827" s="380"/>
      <c r="AM827" s="380"/>
      <c r="AN827" s="120"/>
      <c r="AO827" s="120"/>
      <c r="AP827" s="120"/>
      <c r="AQ827" s="313"/>
      <c r="AR827" s="119"/>
      <c r="AS827" s="22"/>
      <c r="AT827" s="22"/>
      <c r="AU827" s="22"/>
      <c r="AV827" s="22"/>
      <c r="AW827" s="82"/>
      <c r="AX827" s="82"/>
      <c r="AY827" s="82"/>
      <c r="AZ827" s="82"/>
      <c r="BA827" s="82"/>
      <c r="BB827" s="82"/>
      <c r="BC827" s="82"/>
      <c r="BD827" s="82"/>
      <c r="BE827" s="82"/>
      <c r="BF827" s="82"/>
      <c r="BG827" s="112"/>
      <c r="BH827" s="112"/>
      <c r="BI827" s="112"/>
      <c r="BJ827" s="112"/>
      <c r="BK827" s="82"/>
      <c r="BL827" s="82"/>
      <c r="BN827" s="412"/>
      <c r="BO827" s="412"/>
      <c r="BP827" s="412"/>
      <c r="BQ827" s="412"/>
      <c r="BR827" s="412"/>
      <c r="BZ827" t="str">
        <f t="shared" si="72"/>
        <v/>
      </c>
    </row>
    <row r="828" spans="1:78" ht="15.6" hidden="1" customHeight="1">
      <c r="A828" s="35" t="str">
        <f t="shared" si="71"/>
        <v/>
      </c>
      <c r="C828" s="358"/>
      <c r="D828" s="358">
        <v>824</v>
      </c>
      <c r="E828" s="119"/>
      <c r="F828" s="119"/>
      <c r="G828" s="266"/>
      <c r="H828" s="119"/>
      <c r="I828" s="358"/>
      <c r="J828" s="359" t="str">
        <f>IFERROR(VLOOKUP($A828,#REF!,3,0),"")</f>
        <v/>
      </c>
      <c r="K828" s="359">
        <f>IFERROR(VLOOKUP($A828,#REF!,4,0),AF828)</f>
        <v>0</v>
      </c>
      <c r="L828" s="359" t="str">
        <f>IFERROR(VLOOKUP($A828,#REF!,5,0),"")</f>
        <v/>
      </c>
      <c r="M828" s="359" t="str">
        <f>IFERROR(VLOOKUP($A828,#REF!,7,0),"")</f>
        <v/>
      </c>
      <c r="N828" s="359"/>
      <c r="O828" s="359" t="str">
        <f>IFERROR(VLOOKUP($A828,#REF!,6,0),"")</f>
        <v/>
      </c>
      <c r="P828" s="359" t="str">
        <f>IFERROR(VLOOKUP($A828,#REF!,9,0),"")</f>
        <v/>
      </c>
      <c r="Q828" s="359" t="str">
        <f>IFERROR(VLOOKUP($A828,#REF!,10,0),"")</f>
        <v/>
      </c>
      <c r="R828" s="359" t="str">
        <f>IFERROR(VLOOKUP($A828,#REF!,11,0),"")</f>
        <v/>
      </c>
      <c r="S828" s="359" t="str">
        <f>IFERROR(VLOOKUP($A828,#REF!,13,0),"")</f>
        <v/>
      </c>
      <c r="T828" s="359" t="str">
        <f>IFERROR(VLOOKUP($A828,#REF!,14,0),"")</f>
        <v/>
      </c>
      <c r="U828" s="359" t="str">
        <f>IFERROR(VLOOKUP($A828,#REF!,15,0),"")</f>
        <v/>
      </c>
      <c r="V828" s="359" t="str">
        <f>IFERROR(VLOOKUP($A828,#REF!,16,0),"")</f>
        <v/>
      </c>
      <c r="W828" s="359" t="str">
        <f>IFERROR(VLOOKUP($A828,#REF!,17,0),"")</f>
        <v/>
      </c>
      <c r="X828" s="359" t="str">
        <f>IFERROR(VLOOKUP($A828,#REF!,18,0),"")</f>
        <v/>
      </c>
      <c r="Y828" s="359" t="str">
        <f>IFERROR(VLOOKUP($A828,#REF!,19,0),"")</f>
        <v/>
      </c>
      <c r="Z828" s="400" t="str">
        <f>IFERROR(VLOOKUP($A828,#REF!,21,0),"")</f>
        <v/>
      </c>
      <c r="AA828" s="358"/>
      <c r="AB828" s="358"/>
      <c r="AC828" s="119"/>
      <c r="AD828" s="119"/>
      <c r="AE828" s="119"/>
      <c r="AF828" s="277"/>
      <c r="AG828" s="119"/>
      <c r="AH828" s="358"/>
      <c r="AI828" s="358"/>
      <c r="AJ828" s="380"/>
      <c r="AK828" s="380"/>
      <c r="AL828" s="380"/>
      <c r="AM828" s="380"/>
      <c r="AN828" s="120"/>
      <c r="AO828" s="120"/>
      <c r="AP828" s="120"/>
      <c r="AQ828" s="313"/>
      <c r="AR828" s="119"/>
      <c r="AS828" s="22"/>
      <c r="AT828" s="22"/>
      <c r="AU828" s="22"/>
      <c r="AV828" s="22"/>
      <c r="AW828" s="82"/>
      <c r="AX828" s="82"/>
      <c r="AY828" s="82"/>
      <c r="AZ828" s="82"/>
      <c r="BA828" s="82"/>
      <c r="BB828" s="82"/>
      <c r="BC828" s="82"/>
      <c r="BD828" s="82"/>
      <c r="BE828" s="82"/>
      <c r="BF828" s="82"/>
      <c r="BG828" s="112"/>
      <c r="BH828" s="112"/>
      <c r="BI828" s="112"/>
      <c r="BJ828" s="112"/>
      <c r="BK828" s="82"/>
      <c r="BL828" s="82"/>
      <c r="BN828" s="412"/>
      <c r="BO828" s="412"/>
      <c r="BP828" s="412"/>
      <c r="BQ828" s="412"/>
      <c r="BR828" s="412"/>
      <c r="BZ828" t="str">
        <f t="shared" si="72"/>
        <v/>
      </c>
    </row>
    <row r="829" spans="1:78" ht="15.6" hidden="1" customHeight="1">
      <c r="A829" s="35" t="str">
        <f t="shared" si="71"/>
        <v/>
      </c>
      <c r="C829" s="358"/>
      <c r="D829" s="358">
        <v>825</v>
      </c>
      <c r="E829" s="119"/>
      <c r="F829" s="119"/>
      <c r="G829" s="266"/>
      <c r="H829" s="119"/>
      <c r="I829" s="358"/>
      <c r="J829" s="359" t="str">
        <f>IFERROR(VLOOKUP($A829,#REF!,3,0),"")</f>
        <v/>
      </c>
      <c r="K829" s="359">
        <f>IFERROR(VLOOKUP($A829,#REF!,4,0),AF829)</f>
        <v>0</v>
      </c>
      <c r="L829" s="359" t="str">
        <f>IFERROR(VLOOKUP($A829,#REF!,5,0),"")</f>
        <v/>
      </c>
      <c r="M829" s="359" t="str">
        <f>IFERROR(VLOOKUP($A829,#REF!,7,0),"")</f>
        <v/>
      </c>
      <c r="N829" s="359"/>
      <c r="O829" s="359" t="str">
        <f>IFERROR(VLOOKUP($A829,#REF!,6,0),"")</f>
        <v/>
      </c>
      <c r="P829" s="359" t="str">
        <f>IFERROR(VLOOKUP($A829,#REF!,9,0),"")</f>
        <v/>
      </c>
      <c r="Q829" s="359" t="str">
        <f>IFERROR(VLOOKUP($A829,#REF!,10,0),"")</f>
        <v/>
      </c>
      <c r="R829" s="359" t="str">
        <f>IFERROR(VLOOKUP($A829,#REF!,11,0),"")</f>
        <v/>
      </c>
      <c r="S829" s="359" t="str">
        <f>IFERROR(VLOOKUP($A829,#REF!,13,0),"")</f>
        <v/>
      </c>
      <c r="T829" s="359" t="str">
        <f>IFERROR(VLOOKUP($A829,#REF!,14,0),"")</f>
        <v/>
      </c>
      <c r="U829" s="359" t="str">
        <f>IFERROR(VLOOKUP($A829,#REF!,15,0),"")</f>
        <v/>
      </c>
      <c r="V829" s="359" t="str">
        <f>IFERROR(VLOOKUP($A829,#REF!,16,0),"")</f>
        <v/>
      </c>
      <c r="W829" s="359" t="str">
        <f>IFERROR(VLOOKUP($A829,#REF!,17,0),"")</f>
        <v/>
      </c>
      <c r="X829" s="359" t="str">
        <f>IFERROR(VLOOKUP($A829,#REF!,18,0),"")</f>
        <v/>
      </c>
      <c r="Y829" s="359" t="str">
        <f>IFERROR(VLOOKUP($A829,#REF!,19,0),"")</f>
        <v/>
      </c>
      <c r="Z829" s="400" t="str">
        <f>IFERROR(VLOOKUP($A829,#REF!,21,0),"")</f>
        <v/>
      </c>
      <c r="AA829" s="358"/>
      <c r="AB829" s="358"/>
      <c r="AC829" s="119"/>
      <c r="AD829" s="119"/>
      <c r="AE829" s="119"/>
      <c r="AF829" s="277"/>
      <c r="AG829" s="119"/>
      <c r="AH829" s="358"/>
      <c r="AI829" s="358"/>
      <c r="AJ829" s="380"/>
      <c r="AK829" s="380"/>
      <c r="AL829" s="380"/>
      <c r="AM829" s="380"/>
      <c r="AN829" s="120"/>
      <c r="AO829" s="120"/>
      <c r="AP829" s="120"/>
      <c r="AQ829" s="313"/>
      <c r="AR829" s="119"/>
      <c r="AS829" s="22"/>
      <c r="AT829" s="22"/>
      <c r="AU829" s="22"/>
      <c r="AV829" s="22"/>
      <c r="AW829" s="82"/>
      <c r="AX829" s="82"/>
      <c r="AY829" s="82"/>
      <c r="AZ829" s="82"/>
      <c r="BA829" s="82"/>
      <c r="BB829" s="82"/>
      <c r="BC829" s="82"/>
      <c r="BD829" s="82"/>
      <c r="BE829" s="82"/>
      <c r="BF829" s="82"/>
      <c r="BG829" s="112"/>
      <c r="BH829" s="112"/>
      <c r="BI829" s="112"/>
      <c r="BJ829" s="112"/>
      <c r="BK829" s="82"/>
      <c r="BL829" s="82"/>
      <c r="BN829" s="412"/>
      <c r="BO829" s="412"/>
      <c r="BP829" s="412"/>
      <c r="BQ829" s="412"/>
      <c r="BR829" s="412"/>
      <c r="BZ829" t="str">
        <f t="shared" si="72"/>
        <v/>
      </c>
    </row>
    <row r="830" spans="1:78" ht="15.6" hidden="1" customHeight="1">
      <c r="A830" s="35" t="str">
        <f t="shared" si="71"/>
        <v/>
      </c>
      <c r="C830" s="358"/>
      <c r="D830" s="358">
        <v>826</v>
      </c>
      <c r="E830" s="119"/>
      <c r="F830" s="119"/>
      <c r="G830" s="266"/>
      <c r="H830" s="119"/>
      <c r="I830" s="358"/>
      <c r="J830" s="359" t="str">
        <f>IFERROR(VLOOKUP($A830,#REF!,3,0),"")</f>
        <v/>
      </c>
      <c r="K830" s="359">
        <f>IFERROR(VLOOKUP($A830,#REF!,4,0),AF830)</f>
        <v>0</v>
      </c>
      <c r="L830" s="359" t="str">
        <f>IFERROR(VLOOKUP($A830,#REF!,5,0),"")</f>
        <v/>
      </c>
      <c r="M830" s="359" t="str">
        <f>IFERROR(VLOOKUP($A830,#REF!,7,0),"")</f>
        <v/>
      </c>
      <c r="N830" s="359"/>
      <c r="O830" s="359" t="str">
        <f>IFERROR(VLOOKUP($A830,#REF!,6,0),"")</f>
        <v/>
      </c>
      <c r="P830" s="359" t="str">
        <f>IFERROR(VLOOKUP($A830,#REF!,9,0),"")</f>
        <v/>
      </c>
      <c r="Q830" s="359" t="str">
        <f>IFERROR(VLOOKUP($A830,#REF!,10,0),"")</f>
        <v/>
      </c>
      <c r="R830" s="359" t="str">
        <f>IFERROR(VLOOKUP($A830,#REF!,11,0),"")</f>
        <v/>
      </c>
      <c r="S830" s="359" t="str">
        <f>IFERROR(VLOOKUP($A830,#REF!,13,0),"")</f>
        <v/>
      </c>
      <c r="T830" s="359" t="str">
        <f>IFERROR(VLOOKUP($A830,#REF!,14,0),"")</f>
        <v/>
      </c>
      <c r="U830" s="359" t="str">
        <f>IFERROR(VLOOKUP($A830,#REF!,15,0),"")</f>
        <v/>
      </c>
      <c r="V830" s="359" t="str">
        <f>IFERROR(VLOOKUP($A830,#REF!,16,0),"")</f>
        <v/>
      </c>
      <c r="W830" s="359" t="str">
        <f>IFERROR(VLOOKUP($A830,#REF!,17,0),"")</f>
        <v/>
      </c>
      <c r="X830" s="359" t="str">
        <f>IFERROR(VLOOKUP($A830,#REF!,18,0),"")</f>
        <v/>
      </c>
      <c r="Y830" s="359" t="str">
        <f>IFERROR(VLOOKUP($A830,#REF!,19,0),"")</f>
        <v/>
      </c>
      <c r="Z830" s="400" t="str">
        <f>IFERROR(VLOOKUP($A830,#REF!,21,0),"")</f>
        <v/>
      </c>
      <c r="AA830" s="358"/>
      <c r="AB830" s="358"/>
      <c r="AC830" s="119"/>
      <c r="AD830" s="119"/>
      <c r="AE830" s="119"/>
      <c r="AF830" s="277"/>
      <c r="AG830" s="119"/>
      <c r="AH830" s="358"/>
      <c r="AI830" s="358"/>
      <c r="AJ830" s="380"/>
      <c r="AK830" s="380"/>
      <c r="AL830" s="380"/>
      <c r="AM830" s="380"/>
      <c r="AN830" s="120"/>
      <c r="AO830" s="120"/>
      <c r="AP830" s="120"/>
      <c r="AQ830" s="313"/>
      <c r="AR830" s="119"/>
      <c r="AS830" s="22"/>
      <c r="AT830" s="22"/>
      <c r="AU830" s="22"/>
      <c r="AV830" s="22"/>
      <c r="AW830" s="82"/>
      <c r="AX830" s="82"/>
      <c r="AY830" s="82"/>
      <c r="AZ830" s="82"/>
      <c r="BA830" s="82"/>
      <c r="BB830" s="82"/>
      <c r="BC830" s="82"/>
      <c r="BD830" s="82"/>
      <c r="BE830" s="82"/>
      <c r="BF830" s="82"/>
      <c r="BG830" s="112"/>
      <c r="BH830" s="112"/>
      <c r="BI830" s="112"/>
      <c r="BJ830" s="112"/>
      <c r="BK830" s="82"/>
      <c r="BL830" s="82"/>
      <c r="BN830" s="412"/>
      <c r="BO830" s="412"/>
      <c r="BP830" s="412"/>
      <c r="BQ830" s="412"/>
      <c r="BR830" s="412"/>
      <c r="BZ830" t="str">
        <f t="shared" si="72"/>
        <v/>
      </c>
    </row>
    <row r="831" spans="1:78" ht="15.6" hidden="1" customHeight="1">
      <c r="A831" s="35" t="str">
        <f t="shared" si="71"/>
        <v/>
      </c>
      <c r="C831" s="358"/>
      <c r="D831" s="358">
        <v>827</v>
      </c>
      <c r="E831" s="119"/>
      <c r="F831" s="119"/>
      <c r="G831" s="266"/>
      <c r="H831" s="119"/>
      <c r="I831" s="358"/>
      <c r="J831" s="359" t="str">
        <f>IFERROR(VLOOKUP($A831,#REF!,3,0),"")</f>
        <v/>
      </c>
      <c r="K831" s="359">
        <f>IFERROR(VLOOKUP($A831,#REF!,4,0),AF831)</f>
        <v>0</v>
      </c>
      <c r="L831" s="359" t="str">
        <f>IFERROR(VLOOKUP($A831,#REF!,5,0),"")</f>
        <v/>
      </c>
      <c r="M831" s="359" t="str">
        <f>IFERROR(VLOOKUP($A831,#REF!,7,0),"")</f>
        <v/>
      </c>
      <c r="N831" s="359"/>
      <c r="O831" s="359" t="str">
        <f>IFERROR(VLOOKUP($A831,#REF!,6,0),"")</f>
        <v/>
      </c>
      <c r="P831" s="359" t="str">
        <f>IFERROR(VLOOKUP($A831,#REF!,9,0),"")</f>
        <v/>
      </c>
      <c r="Q831" s="359" t="str">
        <f>IFERROR(VLOOKUP($A831,#REF!,10,0),"")</f>
        <v/>
      </c>
      <c r="R831" s="359" t="str">
        <f>IFERROR(VLOOKUP($A831,#REF!,11,0),"")</f>
        <v/>
      </c>
      <c r="S831" s="359" t="str">
        <f>IFERROR(VLOOKUP($A831,#REF!,13,0),"")</f>
        <v/>
      </c>
      <c r="T831" s="359" t="str">
        <f>IFERROR(VLOOKUP($A831,#REF!,14,0),"")</f>
        <v/>
      </c>
      <c r="U831" s="359" t="str">
        <f>IFERROR(VLOOKUP($A831,#REF!,15,0),"")</f>
        <v/>
      </c>
      <c r="V831" s="359" t="str">
        <f>IFERROR(VLOOKUP($A831,#REF!,16,0),"")</f>
        <v/>
      </c>
      <c r="W831" s="359" t="str">
        <f>IFERROR(VLOOKUP($A831,#REF!,17,0),"")</f>
        <v/>
      </c>
      <c r="X831" s="359" t="str">
        <f>IFERROR(VLOOKUP($A831,#REF!,18,0),"")</f>
        <v/>
      </c>
      <c r="Y831" s="359" t="str">
        <f>IFERROR(VLOOKUP($A831,#REF!,19,0),"")</f>
        <v/>
      </c>
      <c r="Z831" s="400" t="str">
        <f>IFERROR(VLOOKUP($A831,#REF!,21,0),"")</f>
        <v/>
      </c>
      <c r="AA831" s="358"/>
      <c r="AB831" s="358"/>
      <c r="AC831" s="119"/>
      <c r="AD831" s="119"/>
      <c r="AE831" s="119"/>
      <c r="AF831" s="277"/>
      <c r="AG831" s="119"/>
      <c r="AH831" s="358"/>
      <c r="AI831" s="358"/>
      <c r="AJ831" s="380"/>
      <c r="AK831" s="380"/>
      <c r="AL831" s="380"/>
      <c r="AM831" s="380"/>
      <c r="AN831" s="120"/>
      <c r="AO831" s="120"/>
      <c r="AP831" s="120"/>
      <c r="AQ831" s="313"/>
      <c r="AR831" s="119"/>
      <c r="AS831" s="22"/>
      <c r="AT831" s="22"/>
      <c r="AU831" s="22"/>
      <c r="AV831" s="22"/>
      <c r="AW831" s="82"/>
      <c r="AX831" s="82"/>
      <c r="AY831" s="82"/>
      <c r="AZ831" s="82"/>
      <c r="BA831" s="82"/>
      <c r="BB831" s="82"/>
      <c r="BC831" s="82"/>
      <c r="BD831" s="82"/>
      <c r="BE831" s="82"/>
      <c r="BF831" s="82"/>
      <c r="BG831" s="112"/>
      <c r="BH831" s="112"/>
      <c r="BI831" s="112"/>
      <c r="BJ831" s="112"/>
      <c r="BK831" s="82"/>
      <c r="BL831" s="82"/>
      <c r="BN831" s="412"/>
      <c r="BO831" s="412"/>
      <c r="BP831" s="412"/>
      <c r="BQ831" s="412"/>
      <c r="BR831" s="412"/>
      <c r="BZ831" t="str">
        <f t="shared" si="72"/>
        <v/>
      </c>
    </row>
    <row r="832" spans="1:78" ht="15.6" hidden="1" customHeight="1">
      <c r="A832" s="35" t="str">
        <f t="shared" si="71"/>
        <v/>
      </c>
      <c r="C832" s="358"/>
      <c r="D832" s="358">
        <v>828</v>
      </c>
      <c r="E832" s="119"/>
      <c r="F832" s="119"/>
      <c r="G832" s="266"/>
      <c r="H832" s="119"/>
      <c r="I832" s="358"/>
      <c r="J832" s="359" t="str">
        <f>IFERROR(VLOOKUP($A832,#REF!,3,0),"")</f>
        <v/>
      </c>
      <c r="K832" s="359">
        <f>IFERROR(VLOOKUP($A832,#REF!,4,0),AF832)</f>
        <v>0</v>
      </c>
      <c r="L832" s="359" t="str">
        <f>IFERROR(VLOOKUP($A832,#REF!,5,0),"")</f>
        <v/>
      </c>
      <c r="M832" s="359" t="str">
        <f>IFERROR(VLOOKUP($A832,#REF!,7,0),"")</f>
        <v/>
      </c>
      <c r="N832" s="359"/>
      <c r="O832" s="359" t="str">
        <f>IFERROR(VLOOKUP($A832,#REF!,6,0),"")</f>
        <v/>
      </c>
      <c r="P832" s="359" t="str">
        <f>IFERROR(VLOOKUP($A832,#REF!,9,0),"")</f>
        <v/>
      </c>
      <c r="Q832" s="359" t="str">
        <f>IFERROR(VLOOKUP($A832,#REF!,10,0),"")</f>
        <v/>
      </c>
      <c r="R832" s="359" t="str">
        <f>IFERROR(VLOOKUP($A832,#REF!,11,0),"")</f>
        <v/>
      </c>
      <c r="S832" s="359" t="str">
        <f>IFERROR(VLOOKUP($A832,#REF!,13,0),"")</f>
        <v/>
      </c>
      <c r="T832" s="359" t="str">
        <f>IFERROR(VLOOKUP($A832,#REF!,14,0),"")</f>
        <v/>
      </c>
      <c r="U832" s="359" t="str">
        <f>IFERROR(VLOOKUP($A832,#REF!,15,0),"")</f>
        <v/>
      </c>
      <c r="V832" s="359" t="str">
        <f>IFERROR(VLOOKUP($A832,#REF!,16,0),"")</f>
        <v/>
      </c>
      <c r="W832" s="359" t="str">
        <f>IFERROR(VLOOKUP($A832,#REF!,17,0),"")</f>
        <v/>
      </c>
      <c r="X832" s="359" t="str">
        <f>IFERROR(VLOOKUP($A832,#REF!,18,0),"")</f>
        <v/>
      </c>
      <c r="Y832" s="359" t="str">
        <f>IFERROR(VLOOKUP($A832,#REF!,19,0),"")</f>
        <v/>
      </c>
      <c r="Z832" s="400" t="str">
        <f>IFERROR(VLOOKUP($A832,#REF!,21,0),"")</f>
        <v/>
      </c>
      <c r="AA832" s="358"/>
      <c r="AB832" s="358"/>
      <c r="AC832" s="119"/>
      <c r="AD832" s="119"/>
      <c r="AE832" s="119"/>
      <c r="AF832" s="277"/>
      <c r="AG832" s="119"/>
      <c r="AH832" s="358"/>
      <c r="AI832" s="358"/>
      <c r="AJ832" s="380"/>
      <c r="AK832" s="380"/>
      <c r="AL832" s="380"/>
      <c r="AM832" s="380"/>
      <c r="AN832" s="120"/>
      <c r="AO832" s="120"/>
      <c r="AP832" s="120"/>
      <c r="AQ832" s="313"/>
      <c r="AR832" s="119"/>
      <c r="AS832" s="22"/>
      <c r="AT832" s="22"/>
      <c r="AU832" s="22"/>
      <c r="AV832" s="22"/>
      <c r="AW832" s="82"/>
      <c r="AX832" s="82"/>
      <c r="AY832" s="82"/>
      <c r="AZ832" s="82"/>
      <c r="BA832" s="82"/>
      <c r="BB832" s="82"/>
      <c r="BC832" s="82"/>
      <c r="BD832" s="82"/>
      <c r="BE832" s="82"/>
      <c r="BF832" s="82"/>
      <c r="BG832" s="112"/>
      <c r="BH832" s="112"/>
      <c r="BI832" s="112"/>
      <c r="BJ832" s="112"/>
      <c r="BK832" s="82"/>
      <c r="BL832" s="82"/>
      <c r="BN832" s="412"/>
      <c r="BO832" s="412"/>
      <c r="BP832" s="412"/>
      <c r="BQ832" s="412"/>
      <c r="BR832" s="412"/>
      <c r="BZ832" t="str">
        <f t="shared" si="72"/>
        <v/>
      </c>
    </row>
    <row r="833" spans="1:78" ht="15.6" hidden="1" customHeight="1">
      <c r="A833" s="35" t="str">
        <f t="shared" si="71"/>
        <v/>
      </c>
      <c r="C833" s="358"/>
      <c r="D833" s="358">
        <v>829</v>
      </c>
      <c r="E833" s="119"/>
      <c r="F833" s="119"/>
      <c r="G833" s="266"/>
      <c r="H833" s="119"/>
      <c r="I833" s="358"/>
      <c r="J833" s="359" t="str">
        <f>IFERROR(VLOOKUP($A833,#REF!,3,0),"")</f>
        <v/>
      </c>
      <c r="K833" s="359">
        <f>IFERROR(VLOOKUP($A833,#REF!,4,0),AF833)</f>
        <v>0</v>
      </c>
      <c r="L833" s="359" t="str">
        <f>IFERROR(VLOOKUP($A833,#REF!,5,0),"")</f>
        <v/>
      </c>
      <c r="M833" s="359" t="str">
        <f>IFERROR(VLOOKUP($A833,#REF!,7,0),"")</f>
        <v/>
      </c>
      <c r="N833" s="359"/>
      <c r="O833" s="359" t="str">
        <f>IFERROR(VLOOKUP($A833,#REF!,6,0),"")</f>
        <v/>
      </c>
      <c r="P833" s="359" t="str">
        <f>IFERROR(VLOOKUP($A833,#REF!,9,0),"")</f>
        <v/>
      </c>
      <c r="Q833" s="359" t="str">
        <f>IFERROR(VLOOKUP($A833,#REF!,10,0),"")</f>
        <v/>
      </c>
      <c r="R833" s="359" t="str">
        <f>IFERROR(VLOOKUP($A833,#REF!,11,0),"")</f>
        <v/>
      </c>
      <c r="S833" s="359" t="str">
        <f>IFERROR(VLOOKUP($A833,#REF!,13,0),"")</f>
        <v/>
      </c>
      <c r="T833" s="359" t="str">
        <f>IFERROR(VLOOKUP($A833,#REF!,14,0),"")</f>
        <v/>
      </c>
      <c r="U833" s="359" t="str">
        <f>IFERROR(VLOOKUP($A833,#REF!,15,0),"")</f>
        <v/>
      </c>
      <c r="V833" s="359" t="str">
        <f>IFERROR(VLOOKUP($A833,#REF!,16,0),"")</f>
        <v/>
      </c>
      <c r="W833" s="359" t="str">
        <f>IFERROR(VLOOKUP($A833,#REF!,17,0),"")</f>
        <v/>
      </c>
      <c r="X833" s="359" t="str">
        <f>IFERROR(VLOOKUP($A833,#REF!,18,0),"")</f>
        <v/>
      </c>
      <c r="Y833" s="359" t="str">
        <f>IFERROR(VLOOKUP($A833,#REF!,19,0),"")</f>
        <v/>
      </c>
      <c r="Z833" s="400" t="str">
        <f>IFERROR(VLOOKUP($A833,#REF!,21,0),"")</f>
        <v/>
      </c>
      <c r="AA833" s="358"/>
      <c r="AB833" s="358"/>
      <c r="AC833" s="119"/>
      <c r="AD833" s="119"/>
      <c r="AE833" s="119"/>
      <c r="AF833" s="277"/>
      <c r="AG833" s="119"/>
      <c r="AH833" s="358"/>
      <c r="AI833" s="358"/>
      <c r="AJ833" s="380"/>
      <c r="AK833" s="380"/>
      <c r="AL833" s="380"/>
      <c r="AM833" s="380"/>
      <c r="AN833" s="120"/>
      <c r="AO833" s="120"/>
      <c r="AP833" s="120"/>
      <c r="AQ833" s="313"/>
      <c r="AR833" s="119"/>
      <c r="AS833" s="22"/>
      <c r="AT833" s="22"/>
      <c r="AU833" s="22"/>
      <c r="AV833" s="22"/>
      <c r="AW833" s="82"/>
      <c r="AX833" s="82"/>
      <c r="AY833" s="82"/>
      <c r="AZ833" s="82"/>
      <c r="BA833" s="82"/>
      <c r="BB833" s="82"/>
      <c r="BC833" s="82"/>
      <c r="BD833" s="82"/>
      <c r="BE833" s="82"/>
      <c r="BF833" s="82"/>
      <c r="BG833" s="112"/>
      <c r="BH833" s="112"/>
      <c r="BI833" s="112"/>
      <c r="BJ833" s="112"/>
      <c r="BK833" s="82"/>
      <c r="BL833" s="82"/>
      <c r="BN833" s="412"/>
      <c r="BO833" s="412"/>
      <c r="BP833" s="412"/>
      <c r="BQ833" s="412"/>
      <c r="BR833" s="412"/>
      <c r="BZ833" t="str">
        <f t="shared" si="72"/>
        <v/>
      </c>
    </row>
    <row r="834" spans="1:78" ht="15.6" hidden="1" customHeight="1">
      <c r="A834" s="35" t="str">
        <f t="shared" si="71"/>
        <v/>
      </c>
      <c r="C834" s="358"/>
      <c r="D834" s="358">
        <v>830</v>
      </c>
      <c r="E834" s="119"/>
      <c r="F834" s="119"/>
      <c r="G834" s="266"/>
      <c r="H834" s="119"/>
      <c r="I834" s="358"/>
      <c r="J834" s="359" t="str">
        <f>IFERROR(VLOOKUP($A834,#REF!,3,0),"")</f>
        <v/>
      </c>
      <c r="K834" s="359">
        <f>IFERROR(VLOOKUP($A834,#REF!,4,0),AF834)</f>
        <v>0</v>
      </c>
      <c r="L834" s="359" t="str">
        <f>IFERROR(VLOOKUP($A834,#REF!,5,0),"")</f>
        <v/>
      </c>
      <c r="M834" s="359" t="str">
        <f>IFERROR(VLOOKUP($A834,#REF!,7,0),"")</f>
        <v/>
      </c>
      <c r="N834" s="359"/>
      <c r="O834" s="359" t="str">
        <f>IFERROR(VLOOKUP($A834,#REF!,6,0),"")</f>
        <v/>
      </c>
      <c r="P834" s="359" t="str">
        <f>IFERROR(VLOOKUP($A834,#REF!,9,0),"")</f>
        <v/>
      </c>
      <c r="Q834" s="359" t="str">
        <f>IFERROR(VLOOKUP($A834,#REF!,10,0),"")</f>
        <v/>
      </c>
      <c r="R834" s="359" t="str">
        <f>IFERROR(VLOOKUP($A834,#REF!,11,0),"")</f>
        <v/>
      </c>
      <c r="S834" s="359" t="str">
        <f>IFERROR(VLOOKUP($A834,#REF!,13,0),"")</f>
        <v/>
      </c>
      <c r="T834" s="359" t="str">
        <f>IFERROR(VLOOKUP($A834,#REF!,14,0),"")</f>
        <v/>
      </c>
      <c r="U834" s="359" t="str">
        <f>IFERROR(VLOOKUP($A834,#REF!,15,0),"")</f>
        <v/>
      </c>
      <c r="V834" s="359" t="str">
        <f>IFERROR(VLOOKUP($A834,#REF!,16,0),"")</f>
        <v/>
      </c>
      <c r="W834" s="359" t="str">
        <f>IFERROR(VLOOKUP($A834,#REF!,17,0),"")</f>
        <v/>
      </c>
      <c r="X834" s="359" t="str">
        <f>IFERROR(VLOOKUP($A834,#REF!,18,0),"")</f>
        <v/>
      </c>
      <c r="Y834" s="359" t="str">
        <f>IFERROR(VLOOKUP($A834,#REF!,19,0),"")</f>
        <v/>
      </c>
      <c r="Z834" s="400" t="str">
        <f>IFERROR(VLOOKUP($A834,#REF!,21,0),"")</f>
        <v/>
      </c>
      <c r="AA834" s="358"/>
      <c r="AB834" s="358"/>
      <c r="AC834" s="119"/>
      <c r="AD834" s="119"/>
      <c r="AE834" s="119"/>
      <c r="AF834" s="277"/>
      <c r="AG834" s="119"/>
      <c r="AH834" s="358"/>
      <c r="AI834" s="358"/>
      <c r="AJ834" s="380"/>
      <c r="AK834" s="380"/>
      <c r="AL834" s="380"/>
      <c r="AM834" s="380"/>
      <c r="AN834" s="120"/>
      <c r="AO834" s="120"/>
      <c r="AP834" s="120"/>
      <c r="AQ834" s="313"/>
      <c r="AR834" s="119"/>
      <c r="AS834" s="22"/>
      <c r="AT834" s="22"/>
      <c r="AU834" s="22"/>
      <c r="AV834" s="22"/>
      <c r="AW834" s="82"/>
      <c r="AX834" s="82"/>
      <c r="AY834" s="82"/>
      <c r="AZ834" s="82"/>
      <c r="BA834" s="82"/>
      <c r="BB834" s="82"/>
      <c r="BC834" s="82"/>
      <c r="BD834" s="82"/>
      <c r="BE834" s="82"/>
      <c r="BF834" s="82"/>
      <c r="BG834" s="112"/>
      <c r="BH834" s="112"/>
      <c r="BI834" s="112"/>
      <c r="BJ834" s="112"/>
      <c r="BK834" s="82"/>
      <c r="BL834" s="82"/>
      <c r="BN834" s="412"/>
      <c r="BO834" s="412"/>
      <c r="BP834" s="412"/>
      <c r="BQ834" s="412"/>
      <c r="BR834" s="412"/>
      <c r="BZ834" t="str">
        <f t="shared" si="72"/>
        <v/>
      </c>
    </row>
    <row r="835" spans="1:78" ht="15.6" hidden="1" customHeight="1">
      <c r="A835" s="35" t="str">
        <f t="shared" si="71"/>
        <v/>
      </c>
      <c r="C835" s="358"/>
      <c r="D835" s="358">
        <v>831</v>
      </c>
      <c r="E835" s="119"/>
      <c r="F835" s="119"/>
      <c r="G835" s="266"/>
      <c r="H835" s="119"/>
      <c r="I835" s="358"/>
      <c r="J835" s="359" t="str">
        <f>IFERROR(VLOOKUP($A835,#REF!,3,0),"")</f>
        <v/>
      </c>
      <c r="K835" s="359">
        <f>IFERROR(VLOOKUP($A835,#REF!,4,0),AF835)</f>
        <v>0</v>
      </c>
      <c r="L835" s="359" t="str">
        <f>IFERROR(VLOOKUP($A835,#REF!,5,0),"")</f>
        <v/>
      </c>
      <c r="M835" s="359" t="str">
        <f>IFERROR(VLOOKUP($A835,#REF!,7,0),"")</f>
        <v/>
      </c>
      <c r="N835" s="359"/>
      <c r="O835" s="359" t="str">
        <f>IFERROR(VLOOKUP($A835,#REF!,6,0),"")</f>
        <v/>
      </c>
      <c r="P835" s="359" t="str">
        <f>IFERROR(VLOOKUP($A835,#REF!,9,0),"")</f>
        <v/>
      </c>
      <c r="Q835" s="359" t="str">
        <f>IFERROR(VLOOKUP($A835,#REF!,10,0),"")</f>
        <v/>
      </c>
      <c r="R835" s="359" t="str">
        <f>IFERROR(VLOOKUP($A835,#REF!,11,0),"")</f>
        <v/>
      </c>
      <c r="S835" s="359" t="str">
        <f>IFERROR(VLOOKUP($A835,#REF!,13,0),"")</f>
        <v/>
      </c>
      <c r="T835" s="359" t="str">
        <f>IFERROR(VLOOKUP($A835,#REF!,14,0),"")</f>
        <v/>
      </c>
      <c r="U835" s="359" t="str">
        <f>IFERROR(VLOOKUP($A835,#REF!,15,0),"")</f>
        <v/>
      </c>
      <c r="V835" s="359" t="str">
        <f>IFERROR(VLOOKUP($A835,#REF!,16,0),"")</f>
        <v/>
      </c>
      <c r="W835" s="359" t="str">
        <f>IFERROR(VLOOKUP($A835,#REF!,17,0),"")</f>
        <v/>
      </c>
      <c r="X835" s="359" t="str">
        <f>IFERROR(VLOOKUP($A835,#REF!,18,0),"")</f>
        <v/>
      </c>
      <c r="Y835" s="359" t="str">
        <f>IFERROR(VLOOKUP($A835,#REF!,19,0),"")</f>
        <v/>
      </c>
      <c r="Z835" s="400" t="str">
        <f>IFERROR(VLOOKUP($A835,#REF!,21,0),"")</f>
        <v/>
      </c>
      <c r="AA835" s="358"/>
      <c r="AB835" s="358"/>
      <c r="AC835" s="119"/>
      <c r="AD835" s="119"/>
      <c r="AE835" s="119"/>
      <c r="AF835" s="277"/>
      <c r="AG835" s="119"/>
      <c r="AH835" s="358"/>
      <c r="AI835" s="358"/>
      <c r="AJ835" s="380"/>
      <c r="AK835" s="380"/>
      <c r="AL835" s="380"/>
      <c r="AM835" s="380"/>
      <c r="AN835" s="120"/>
      <c r="AO835" s="120"/>
      <c r="AP835" s="120"/>
      <c r="AQ835" s="313"/>
      <c r="AR835" s="119"/>
      <c r="AS835" s="22"/>
      <c r="AT835" s="22"/>
      <c r="AU835" s="22"/>
      <c r="AV835" s="22"/>
      <c r="AW835" s="82"/>
      <c r="AX835" s="82"/>
      <c r="AY835" s="82"/>
      <c r="AZ835" s="82"/>
      <c r="BA835" s="82"/>
      <c r="BB835" s="82"/>
      <c r="BC835" s="82"/>
      <c r="BD835" s="82"/>
      <c r="BE835" s="82"/>
      <c r="BF835" s="82"/>
      <c r="BG835" s="112"/>
      <c r="BH835" s="112"/>
      <c r="BI835" s="112"/>
      <c r="BJ835" s="112"/>
      <c r="BK835" s="82"/>
      <c r="BL835" s="82"/>
      <c r="BN835" s="412"/>
      <c r="BO835" s="412"/>
      <c r="BP835" s="412"/>
      <c r="BQ835" s="412"/>
      <c r="BR835" s="412"/>
      <c r="BZ835" t="str">
        <f t="shared" si="72"/>
        <v/>
      </c>
    </row>
    <row r="836" spans="1:78" ht="15.6" hidden="1" customHeight="1">
      <c r="A836" s="35" t="str">
        <f t="shared" si="71"/>
        <v/>
      </c>
      <c r="C836" s="358"/>
      <c r="D836" s="358">
        <v>832</v>
      </c>
      <c r="E836" s="119"/>
      <c r="F836" s="119"/>
      <c r="G836" s="266"/>
      <c r="H836" s="119"/>
      <c r="I836" s="358"/>
      <c r="J836" s="359" t="str">
        <f>IFERROR(VLOOKUP($A836,#REF!,3,0),"")</f>
        <v/>
      </c>
      <c r="K836" s="359">
        <f>IFERROR(VLOOKUP($A836,#REF!,4,0),AF836)</f>
        <v>0</v>
      </c>
      <c r="L836" s="359" t="str">
        <f>IFERROR(VLOOKUP($A836,#REF!,5,0),"")</f>
        <v/>
      </c>
      <c r="M836" s="359" t="str">
        <f>IFERROR(VLOOKUP($A836,#REF!,7,0),"")</f>
        <v/>
      </c>
      <c r="N836" s="359"/>
      <c r="O836" s="359" t="str">
        <f>IFERROR(VLOOKUP($A836,#REF!,6,0),"")</f>
        <v/>
      </c>
      <c r="P836" s="359" t="str">
        <f>IFERROR(VLOOKUP($A836,#REF!,9,0),"")</f>
        <v/>
      </c>
      <c r="Q836" s="359" t="str">
        <f>IFERROR(VLOOKUP($A836,#REF!,10,0),"")</f>
        <v/>
      </c>
      <c r="R836" s="359" t="str">
        <f>IFERROR(VLOOKUP($A836,#REF!,11,0),"")</f>
        <v/>
      </c>
      <c r="S836" s="359" t="str">
        <f>IFERROR(VLOOKUP($A836,#REF!,13,0),"")</f>
        <v/>
      </c>
      <c r="T836" s="359" t="str">
        <f>IFERROR(VLOOKUP($A836,#REF!,14,0),"")</f>
        <v/>
      </c>
      <c r="U836" s="359" t="str">
        <f>IFERROR(VLOOKUP($A836,#REF!,15,0),"")</f>
        <v/>
      </c>
      <c r="V836" s="359" t="str">
        <f>IFERROR(VLOOKUP($A836,#REF!,16,0),"")</f>
        <v/>
      </c>
      <c r="W836" s="359" t="str">
        <f>IFERROR(VLOOKUP($A836,#REF!,17,0),"")</f>
        <v/>
      </c>
      <c r="X836" s="359" t="str">
        <f>IFERROR(VLOOKUP($A836,#REF!,18,0),"")</f>
        <v/>
      </c>
      <c r="Y836" s="359" t="str">
        <f>IFERROR(VLOOKUP($A836,#REF!,19,0),"")</f>
        <v/>
      </c>
      <c r="Z836" s="400" t="str">
        <f>IFERROR(VLOOKUP($A836,#REF!,21,0),"")</f>
        <v/>
      </c>
      <c r="AA836" s="358"/>
      <c r="AB836" s="358"/>
      <c r="AC836" s="119"/>
      <c r="AD836" s="119"/>
      <c r="AE836" s="119"/>
      <c r="AF836" s="277"/>
      <c r="AG836" s="119"/>
      <c r="AH836" s="358"/>
      <c r="AI836" s="358"/>
      <c r="AJ836" s="380"/>
      <c r="AK836" s="380"/>
      <c r="AL836" s="380"/>
      <c r="AM836" s="380"/>
      <c r="AN836" s="120"/>
      <c r="AO836" s="120"/>
      <c r="AP836" s="120"/>
      <c r="AQ836" s="313"/>
      <c r="AR836" s="119"/>
      <c r="AS836" s="22"/>
      <c r="AT836" s="22"/>
      <c r="AU836" s="22"/>
      <c r="AV836" s="22"/>
      <c r="AW836" s="82"/>
      <c r="AX836" s="82"/>
      <c r="AY836" s="82"/>
      <c r="AZ836" s="82"/>
      <c r="BA836" s="82"/>
      <c r="BB836" s="82"/>
      <c r="BC836" s="82"/>
      <c r="BD836" s="82"/>
      <c r="BE836" s="82"/>
      <c r="BF836" s="82"/>
      <c r="BG836" s="112"/>
      <c r="BH836" s="112"/>
      <c r="BI836" s="112"/>
      <c r="BJ836" s="112"/>
      <c r="BK836" s="82"/>
      <c r="BL836" s="82"/>
      <c r="BN836" s="412"/>
      <c r="BO836" s="412"/>
      <c r="BP836" s="412"/>
      <c r="BQ836" s="412"/>
      <c r="BR836" s="412"/>
      <c r="BZ836" t="str">
        <f t="shared" si="72"/>
        <v/>
      </c>
    </row>
    <row r="837" spans="1:78" ht="15.6" hidden="1" customHeight="1">
      <c r="A837" s="35" t="str">
        <f t="shared" ref="A837:A900" si="73">E837&amp;G837</f>
        <v/>
      </c>
      <c r="C837" s="358"/>
      <c r="D837" s="358">
        <v>833</v>
      </c>
      <c r="E837" s="119"/>
      <c r="F837" s="119"/>
      <c r="G837" s="266"/>
      <c r="H837" s="119"/>
      <c r="I837" s="358"/>
      <c r="J837" s="359" t="str">
        <f>IFERROR(VLOOKUP($A837,#REF!,3,0),"")</f>
        <v/>
      </c>
      <c r="K837" s="359">
        <f>IFERROR(VLOOKUP($A837,#REF!,4,0),AF837)</f>
        <v>0</v>
      </c>
      <c r="L837" s="359" t="str">
        <f>IFERROR(VLOOKUP($A837,#REF!,5,0),"")</f>
        <v/>
      </c>
      <c r="M837" s="359" t="str">
        <f>IFERROR(VLOOKUP($A837,#REF!,7,0),"")</f>
        <v/>
      </c>
      <c r="N837" s="359"/>
      <c r="O837" s="359" t="str">
        <f>IFERROR(VLOOKUP($A837,#REF!,6,0),"")</f>
        <v/>
      </c>
      <c r="P837" s="359" t="str">
        <f>IFERROR(VLOOKUP($A837,#REF!,9,0),"")</f>
        <v/>
      </c>
      <c r="Q837" s="359" t="str">
        <f>IFERROR(VLOOKUP($A837,#REF!,10,0),"")</f>
        <v/>
      </c>
      <c r="R837" s="359" t="str">
        <f>IFERROR(VLOOKUP($A837,#REF!,11,0),"")</f>
        <v/>
      </c>
      <c r="S837" s="359" t="str">
        <f>IFERROR(VLOOKUP($A837,#REF!,13,0),"")</f>
        <v/>
      </c>
      <c r="T837" s="359" t="str">
        <f>IFERROR(VLOOKUP($A837,#REF!,14,0),"")</f>
        <v/>
      </c>
      <c r="U837" s="359" t="str">
        <f>IFERROR(VLOOKUP($A837,#REF!,15,0),"")</f>
        <v/>
      </c>
      <c r="V837" s="359" t="str">
        <f>IFERROR(VLOOKUP($A837,#REF!,16,0),"")</f>
        <v/>
      </c>
      <c r="W837" s="359" t="str">
        <f>IFERROR(VLOOKUP($A837,#REF!,17,0),"")</f>
        <v/>
      </c>
      <c r="X837" s="359" t="str">
        <f>IFERROR(VLOOKUP($A837,#REF!,18,0),"")</f>
        <v/>
      </c>
      <c r="Y837" s="359" t="str">
        <f>IFERROR(VLOOKUP($A837,#REF!,19,0),"")</f>
        <v/>
      </c>
      <c r="Z837" s="400" t="str">
        <f>IFERROR(VLOOKUP($A837,#REF!,21,0),"")</f>
        <v/>
      </c>
      <c r="AA837" s="358"/>
      <c r="AB837" s="358"/>
      <c r="AC837" s="119"/>
      <c r="AD837" s="119"/>
      <c r="AE837" s="119"/>
      <c r="AF837" s="277"/>
      <c r="AG837" s="119"/>
      <c r="AH837" s="358"/>
      <c r="AI837" s="358"/>
      <c r="AJ837" s="380"/>
      <c r="AK837" s="380"/>
      <c r="AL837" s="380"/>
      <c r="AM837" s="380"/>
      <c r="AN837" s="120"/>
      <c r="AO837" s="120"/>
      <c r="AP837" s="120"/>
      <c r="AQ837" s="313"/>
      <c r="AR837" s="119"/>
      <c r="AS837" s="22"/>
      <c r="AT837" s="22"/>
      <c r="AU837" s="22"/>
      <c r="AV837" s="22"/>
      <c r="AW837" s="82"/>
      <c r="AX837" s="82"/>
      <c r="AY837" s="82"/>
      <c r="AZ837" s="82"/>
      <c r="BA837" s="82"/>
      <c r="BB837" s="82"/>
      <c r="BC837" s="82"/>
      <c r="BD837" s="82"/>
      <c r="BE837" s="82"/>
      <c r="BF837" s="82"/>
      <c r="BG837" s="112"/>
      <c r="BH837" s="112"/>
      <c r="BI837" s="112"/>
      <c r="BJ837" s="112"/>
      <c r="BK837" s="82"/>
      <c r="BL837" s="82"/>
      <c r="BN837" s="412"/>
      <c r="BO837" s="412"/>
      <c r="BP837" s="412"/>
      <c r="BQ837" s="412"/>
      <c r="BR837" s="412"/>
      <c r="BZ837" t="str">
        <f t="shared" si="72"/>
        <v/>
      </c>
    </row>
    <row r="838" spans="1:78" ht="15.6" hidden="1" customHeight="1">
      <c r="A838" s="35" t="str">
        <f t="shared" si="73"/>
        <v/>
      </c>
      <c r="C838" s="358"/>
      <c r="D838" s="358">
        <v>834</v>
      </c>
      <c r="E838" s="119"/>
      <c r="F838" s="119"/>
      <c r="G838" s="266"/>
      <c r="H838" s="119"/>
      <c r="I838" s="358"/>
      <c r="J838" s="359" t="str">
        <f>IFERROR(VLOOKUP($A838,#REF!,3,0),"")</f>
        <v/>
      </c>
      <c r="K838" s="359">
        <f>IFERROR(VLOOKUP($A838,#REF!,4,0),AF838)</f>
        <v>0</v>
      </c>
      <c r="L838" s="359" t="str">
        <f>IFERROR(VLOOKUP($A838,#REF!,5,0),"")</f>
        <v/>
      </c>
      <c r="M838" s="359" t="str">
        <f>IFERROR(VLOOKUP($A838,#REF!,7,0),"")</f>
        <v/>
      </c>
      <c r="N838" s="359"/>
      <c r="O838" s="359" t="str">
        <f>IFERROR(VLOOKUP($A838,#REF!,6,0),"")</f>
        <v/>
      </c>
      <c r="P838" s="359" t="str">
        <f>IFERROR(VLOOKUP($A838,#REF!,9,0),"")</f>
        <v/>
      </c>
      <c r="Q838" s="359" t="str">
        <f>IFERROR(VLOOKUP($A838,#REF!,10,0),"")</f>
        <v/>
      </c>
      <c r="R838" s="359" t="str">
        <f>IFERROR(VLOOKUP($A838,#REF!,11,0),"")</f>
        <v/>
      </c>
      <c r="S838" s="359" t="str">
        <f>IFERROR(VLOOKUP($A838,#REF!,13,0),"")</f>
        <v/>
      </c>
      <c r="T838" s="359" t="str">
        <f>IFERROR(VLOOKUP($A838,#REF!,14,0),"")</f>
        <v/>
      </c>
      <c r="U838" s="359" t="str">
        <f>IFERROR(VLOOKUP($A838,#REF!,15,0),"")</f>
        <v/>
      </c>
      <c r="V838" s="359" t="str">
        <f>IFERROR(VLOOKUP($A838,#REF!,16,0),"")</f>
        <v/>
      </c>
      <c r="W838" s="359" t="str">
        <f>IFERROR(VLOOKUP($A838,#REF!,17,0),"")</f>
        <v/>
      </c>
      <c r="X838" s="359" t="str">
        <f>IFERROR(VLOOKUP($A838,#REF!,18,0),"")</f>
        <v/>
      </c>
      <c r="Y838" s="359" t="str">
        <f>IFERROR(VLOOKUP($A838,#REF!,19,0),"")</f>
        <v/>
      </c>
      <c r="Z838" s="400" t="str">
        <f>IFERROR(VLOOKUP($A838,#REF!,21,0),"")</f>
        <v/>
      </c>
      <c r="AA838" s="358"/>
      <c r="AB838" s="358"/>
      <c r="AC838" s="119"/>
      <c r="AD838" s="119"/>
      <c r="AE838" s="119"/>
      <c r="AF838" s="277"/>
      <c r="AG838" s="119"/>
      <c r="AH838" s="358"/>
      <c r="AI838" s="358"/>
      <c r="AJ838" s="380"/>
      <c r="AK838" s="380"/>
      <c r="AL838" s="380"/>
      <c r="AM838" s="380"/>
      <c r="AN838" s="120"/>
      <c r="AO838" s="120"/>
      <c r="AP838" s="120"/>
      <c r="AQ838" s="313"/>
      <c r="AR838" s="119"/>
      <c r="AS838" s="22"/>
      <c r="AT838" s="22"/>
      <c r="AU838" s="22"/>
      <c r="AV838" s="22"/>
      <c r="AW838" s="82"/>
      <c r="AX838" s="82"/>
      <c r="AY838" s="82"/>
      <c r="AZ838" s="82"/>
      <c r="BA838" s="82"/>
      <c r="BB838" s="82"/>
      <c r="BC838" s="82"/>
      <c r="BD838" s="82"/>
      <c r="BE838" s="82"/>
      <c r="BF838" s="82"/>
      <c r="BG838" s="112"/>
      <c r="BH838" s="112"/>
      <c r="BI838" s="112"/>
      <c r="BJ838" s="112"/>
      <c r="BK838" s="82"/>
      <c r="BL838" s="82"/>
      <c r="BN838" s="412"/>
      <c r="BO838" s="412"/>
      <c r="BP838" s="412"/>
      <c r="BQ838" s="412"/>
      <c r="BR838" s="412"/>
      <c r="BZ838" t="str">
        <f t="shared" si="72"/>
        <v/>
      </c>
    </row>
    <row r="839" spans="1:78" ht="15.6" hidden="1" customHeight="1">
      <c r="A839" s="35" t="str">
        <f t="shared" si="73"/>
        <v/>
      </c>
      <c r="C839" s="358"/>
      <c r="D839" s="358">
        <v>835</v>
      </c>
      <c r="E839" s="119"/>
      <c r="F839" s="119"/>
      <c r="G839" s="266"/>
      <c r="H839" s="119"/>
      <c r="I839" s="358"/>
      <c r="J839" s="359" t="str">
        <f>IFERROR(VLOOKUP($A839,#REF!,3,0),"")</f>
        <v/>
      </c>
      <c r="K839" s="359">
        <f>IFERROR(VLOOKUP($A839,#REF!,4,0),AF839)</f>
        <v>0</v>
      </c>
      <c r="L839" s="359" t="str">
        <f>IFERROR(VLOOKUP($A839,#REF!,5,0),"")</f>
        <v/>
      </c>
      <c r="M839" s="359" t="str">
        <f>IFERROR(VLOOKUP($A839,#REF!,7,0),"")</f>
        <v/>
      </c>
      <c r="N839" s="359"/>
      <c r="O839" s="359" t="str">
        <f>IFERROR(VLOOKUP($A839,#REF!,6,0),"")</f>
        <v/>
      </c>
      <c r="P839" s="359" t="str">
        <f>IFERROR(VLOOKUP($A839,#REF!,9,0),"")</f>
        <v/>
      </c>
      <c r="Q839" s="359" t="str">
        <f>IFERROR(VLOOKUP($A839,#REF!,10,0),"")</f>
        <v/>
      </c>
      <c r="R839" s="359" t="str">
        <f>IFERROR(VLOOKUP($A839,#REF!,11,0),"")</f>
        <v/>
      </c>
      <c r="S839" s="359" t="str">
        <f>IFERROR(VLOOKUP($A839,#REF!,13,0),"")</f>
        <v/>
      </c>
      <c r="T839" s="359" t="str">
        <f>IFERROR(VLOOKUP($A839,#REF!,14,0),"")</f>
        <v/>
      </c>
      <c r="U839" s="359" t="str">
        <f>IFERROR(VLOOKUP($A839,#REF!,15,0),"")</f>
        <v/>
      </c>
      <c r="V839" s="359" t="str">
        <f>IFERROR(VLOOKUP($A839,#REF!,16,0),"")</f>
        <v/>
      </c>
      <c r="W839" s="359" t="str">
        <f>IFERROR(VLOOKUP($A839,#REF!,17,0),"")</f>
        <v/>
      </c>
      <c r="X839" s="359" t="str">
        <f>IFERROR(VLOOKUP($A839,#REF!,18,0),"")</f>
        <v/>
      </c>
      <c r="Y839" s="359" t="str">
        <f>IFERROR(VLOOKUP($A839,#REF!,19,0),"")</f>
        <v/>
      </c>
      <c r="Z839" s="400" t="str">
        <f>IFERROR(VLOOKUP($A839,#REF!,21,0),"")</f>
        <v/>
      </c>
      <c r="AA839" s="358"/>
      <c r="AB839" s="358"/>
      <c r="AC839" s="119"/>
      <c r="AD839" s="119"/>
      <c r="AE839" s="119"/>
      <c r="AF839" s="277"/>
      <c r="AG839" s="119"/>
      <c r="AH839" s="358"/>
      <c r="AI839" s="358"/>
      <c r="AJ839" s="380"/>
      <c r="AK839" s="380"/>
      <c r="AL839" s="380"/>
      <c r="AM839" s="380"/>
      <c r="AN839" s="120"/>
      <c r="AO839" s="120"/>
      <c r="AP839" s="120"/>
      <c r="AQ839" s="313"/>
      <c r="AR839" s="119"/>
      <c r="AS839" s="22"/>
      <c r="AT839" s="22"/>
      <c r="AU839" s="22"/>
      <c r="AV839" s="22"/>
      <c r="AW839" s="82"/>
      <c r="AX839" s="82"/>
      <c r="AY839" s="82"/>
      <c r="AZ839" s="82"/>
      <c r="BA839" s="82"/>
      <c r="BB839" s="82"/>
      <c r="BC839" s="82"/>
      <c r="BD839" s="82"/>
      <c r="BE839" s="82"/>
      <c r="BF839" s="82"/>
      <c r="BG839" s="112"/>
      <c r="BH839" s="112"/>
      <c r="BI839" s="112"/>
      <c r="BJ839" s="112"/>
      <c r="BK839" s="82"/>
      <c r="BL839" s="82"/>
      <c r="BN839" s="412"/>
      <c r="BO839" s="412"/>
      <c r="BP839" s="412"/>
      <c r="BQ839" s="412"/>
      <c r="BR839" s="412"/>
      <c r="BZ839" t="str">
        <f t="shared" si="72"/>
        <v/>
      </c>
    </row>
    <row r="840" spans="1:78" ht="15.6" hidden="1" customHeight="1">
      <c r="A840" s="35" t="str">
        <f t="shared" si="73"/>
        <v/>
      </c>
      <c r="C840" s="358"/>
      <c r="D840" s="358">
        <v>836</v>
      </c>
      <c r="E840" s="119"/>
      <c r="F840" s="119"/>
      <c r="G840" s="266"/>
      <c r="H840" s="119"/>
      <c r="I840" s="358"/>
      <c r="J840" s="359" t="str">
        <f>IFERROR(VLOOKUP($A840,#REF!,3,0),"")</f>
        <v/>
      </c>
      <c r="K840" s="359">
        <f>IFERROR(VLOOKUP($A840,#REF!,4,0),AF840)</f>
        <v>0</v>
      </c>
      <c r="L840" s="359" t="str">
        <f>IFERROR(VLOOKUP($A840,#REF!,5,0),"")</f>
        <v/>
      </c>
      <c r="M840" s="359" t="str">
        <f>IFERROR(VLOOKUP($A840,#REF!,7,0),"")</f>
        <v/>
      </c>
      <c r="N840" s="359"/>
      <c r="O840" s="359" t="str">
        <f>IFERROR(VLOOKUP($A840,#REF!,6,0),"")</f>
        <v/>
      </c>
      <c r="P840" s="359" t="str">
        <f>IFERROR(VLOOKUP($A840,#REF!,9,0),"")</f>
        <v/>
      </c>
      <c r="Q840" s="359" t="str">
        <f>IFERROR(VLOOKUP($A840,#REF!,10,0),"")</f>
        <v/>
      </c>
      <c r="R840" s="359" t="str">
        <f>IFERROR(VLOOKUP($A840,#REF!,11,0),"")</f>
        <v/>
      </c>
      <c r="S840" s="359" t="str">
        <f>IFERROR(VLOOKUP($A840,#REF!,13,0),"")</f>
        <v/>
      </c>
      <c r="T840" s="359" t="str">
        <f>IFERROR(VLOOKUP($A840,#REF!,14,0),"")</f>
        <v/>
      </c>
      <c r="U840" s="359" t="str">
        <f>IFERROR(VLOOKUP($A840,#REF!,15,0),"")</f>
        <v/>
      </c>
      <c r="V840" s="359" t="str">
        <f>IFERROR(VLOOKUP($A840,#REF!,16,0),"")</f>
        <v/>
      </c>
      <c r="W840" s="359" t="str">
        <f>IFERROR(VLOOKUP($A840,#REF!,17,0),"")</f>
        <v/>
      </c>
      <c r="X840" s="359" t="str">
        <f>IFERROR(VLOOKUP($A840,#REF!,18,0),"")</f>
        <v/>
      </c>
      <c r="Y840" s="359" t="str">
        <f>IFERROR(VLOOKUP($A840,#REF!,19,0),"")</f>
        <v/>
      </c>
      <c r="Z840" s="400" t="str">
        <f>IFERROR(VLOOKUP($A840,#REF!,21,0),"")</f>
        <v/>
      </c>
      <c r="AA840" s="358"/>
      <c r="AB840" s="358"/>
      <c r="AC840" s="119"/>
      <c r="AD840" s="119"/>
      <c r="AE840" s="119"/>
      <c r="AF840" s="277"/>
      <c r="AG840" s="119"/>
      <c r="AH840" s="358"/>
      <c r="AI840" s="358"/>
      <c r="AJ840" s="380"/>
      <c r="AK840" s="380"/>
      <c r="AL840" s="380"/>
      <c r="AM840" s="380"/>
      <c r="AN840" s="120"/>
      <c r="AO840" s="120"/>
      <c r="AP840" s="120"/>
      <c r="AQ840" s="313"/>
      <c r="AR840" s="119"/>
      <c r="AS840" s="22"/>
      <c r="AT840" s="22"/>
      <c r="AU840" s="22"/>
      <c r="AV840" s="22"/>
      <c r="AW840" s="82"/>
      <c r="AX840" s="82"/>
      <c r="AY840" s="82"/>
      <c r="AZ840" s="82"/>
      <c r="BA840" s="82"/>
      <c r="BB840" s="82"/>
      <c r="BC840" s="82"/>
      <c r="BD840" s="82"/>
      <c r="BE840" s="82"/>
      <c r="BF840" s="82"/>
      <c r="BG840" s="112"/>
      <c r="BH840" s="112"/>
      <c r="BI840" s="112"/>
      <c r="BJ840" s="112"/>
      <c r="BK840" s="82"/>
      <c r="BL840" s="82"/>
      <c r="BN840" s="412"/>
      <c r="BO840" s="412"/>
      <c r="BP840" s="412"/>
      <c r="BQ840" s="412"/>
      <c r="BR840" s="412"/>
      <c r="BZ840" t="str">
        <f t="shared" si="72"/>
        <v/>
      </c>
    </row>
    <row r="841" spans="1:78" ht="15.6" hidden="1" customHeight="1">
      <c r="A841" s="35" t="str">
        <f t="shared" si="73"/>
        <v/>
      </c>
      <c r="C841" s="358"/>
      <c r="D841" s="358">
        <v>837</v>
      </c>
      <c r="E841" s="119"/>
      <c r="F841" s="119"/>
      <c r="G841" s="266"/>
      <c r="H841" s="119"/>
      <c r="I841" s="358"/>
      <c r="J841" s="359" t="str">
        <f>IFERROR(VLOOKUP($A841,#REF!,3,0),"")</f>
        <v/>
      </c>
      <c r="K841" s="359">
        <f>IFERROR(VLOOKUP($A841,#REF!,4,0),AF841)</f>
        <v>0</v>
      </c>
      <c r="L841" s="359" t="str">
        <f>IFERROR(VLOOKUP($A841,#REF!,5,0),"")</f>
        <v/>
      </c>
      <c r="M841" s="359" t="str">
        <f>IFERROR(VLOOKUP($A841,#REF!,7,0),"")</f>
        <v/>
      </c>
      <c r="N841" s="359"/>
      <c r="O841" s="359" t="str">
        <f>IFERROR(VLOOKUP($A841,#REF!,6,0),"")</f>
        <v/>
      </c>
      <c r="P841" s="359" t="str">
        <f>IFERROR(VLOOKUP($A841,#REF!,9,0),"")</f>
        <v/>
      </c>
      <c r="Q841" s="359" t="str">
        <f>IFERROR(VLOOKUP($A841,#REF!,10,0),"")</f>
        <v/>
      </c>
      <c r="R841" s="359" t="str">
        <f>IFERROR(VLOOKUP($A841,#REF!,11,0),"")</f>
        <v/>
      </c>
      <c r="S841" s="359" t="str">
        <f>IFERROR(VLOOKUP($A841,#REF!,13,0),"")</f>
        <v/>
      </c>
      <c r="T841" s="359" t="str">
        <f>IFERROR(VLOOKUP($A841,#REF!,14,0),"")</f>
        <v/>
      </c>
      <c r="U841" s="359" t="str">
        <f>IFERROR(VLOOKUP($A841,#REF!,15,0),"")</f>
        <v/>
      </c>
      <c r="V841" s="359" t="str">
        <f>IFERROR(VLOOKUP($A841,#REF!,16,0),"")</f>
        <v/>
      </c>
      <c r="W841" s="359" t="str">
        <f>IFERROR(VLOOKUP($A841,#REF!,17,0),"")</f>
        <v/>
      </c>
      <c r="X841" s="359" t="str">
        <f>IFERROR(VLOOKUP($A841,#REF!,18,0),"")</f>
        <v/>
      </c>
      <c r="Y841" s="359" t="str">
        <f>IFERROR(VLOOKUP($A841,#REF!,19,0),"")</f>
        <v/>
      </c>
      <c r="Z841" s="400" t="str">
        <f>IFERROR(VLOOKUP($A841,#REF!,21,0),"")</f>
        <v/>
      </c>
      <c r="AA841" s="358"/>
      <c r="AB841" s="358"/>
      <c r="AC841" s="119"/>
      <c r="AD841" s="119"/>
      <c r="AE841" s="119"/>
      <c r="AF841" s="277"/>
      <c r="AG841" s="119"/>
      <c r="AH841" s="358"/>
      <c r="AI841" s="358"/>
      <c r="AJ841" s="380"/>
      <c r="AK841" s="380"/>
      <c r="AL841" s="380"/>
      <c r="AM841" s="380"/>
      <c r="AN841" s="120"/>
      <c r="AO841" s="120"/>
      <c r="AP841" s="120"/>
      <c r="AQ841" s="313"/>
      <c r="AR841" s="119"/>
      <c r="AS841" s="22"/>
      <c r="AT841" s="22"/>
      <c r="AU841" s="22"/>
      <c r="AV841" s="22"/>
      <c r="AW841" s="82"/>
      <c r="AX841" s="82"/>
      <c r="AY841" s="82"/>
      <c r="AZ841" s="82"/>
      <c r="BA841" s="82"/>
      <c r="BB841" s="82"/>
      <c r="BC841" s="82"/>
      <c r="BD841" s="82"/>
      <c r="BE841" s="82"/>
      <c r="BF841" s="82"/>
      <c r="BG841" s="112"/>
      <c r="BH841" s="112"/>
      <c r="BI841" s="112"/>
      <c r="BJ841" s="112"/>
      <c r="BK841" s="82"/>
      <c r="BL841" s="82"/>
      <c r="BN841" s="412"/>
      <c r="BO841" s="412"/>
      <c r="BP841" s="412"/>
      <c r="BQ841" s="412"/>
      <c r="BR841" s="412"/>
      <c r="BZ841" t="str">
        <f t="shared" si="72"/>
        <v/>
      </c>
    </row>
    <row r="842" spans="1:78" ht="15.6" hidden="1" customHeight="1">
      <c r="A842" s="35" t="str">
        <f t="shared" si="73"/>
        <v/>
      </c>
      <c r="C842" s="358"/>
      <c r="D842" s="358">
        <v>838</v>
      </c>
      <c r="E842" s="119"/>
      <c r="F842" s="119"/>
      <c r="G842" s="266"/>
      <c r="H842" s="119"/>
      <c r="I842" s="358"/>
      <c r="J842" s="359" t="str">
        <f>IFERROR(VLOOKUP($A842,#REF!,3,0),"")</f>
        <v/>
      </c>
      <c r="K842" s="359">
        <f>IFERROR(VLOOKUP($A842,#REF!,4,0),AF842)</f>
        <v>0</v>
      </c>
      <c r="L842" s="359" t="str">
        <f>IFERROR(VLOOKUP($A842,#REF!,5,0),"")</f>
        <v/>
      </c>
      <c r="M842" s="359" t="str">
        <f>IFERROR(VLOOKUP($A842,#REF!,7,0),"")</f>
        <v/>
      </c>
      <c r="N842" s="359"/>
      <c r="O842" s="359" t="str">
        <f>IFERROR(VLOOKUP($A842,#REF!,6,0),"")</f>
        <v/>
      </c>
      <c r="P842" s="359" t="str">
        <f>IFERROR(VLOOKUP($A842,#REF!,9,0),"")</f>
        <v/>
      </c>
      <c r="Q842" s="359" t="str">
        <f>IFERROR(VLOOKUP($A842,#REF!,10,0),"")</f>
        <v/>
      </c>
      <c r="R842" s="359" t="str">
        <f>IFERROR(VLOOKUP($A842,#REF!,11,0),"")</f>
        <v/>
      </c>
      <c r="S842" s="359" t="str">
        <f>IFERROR(VLOOKUP($A842,#REF!,13,0),"")</f>
        <v/>
      </c>
      <c r="T842" s="359" t="str">
        <f>IFERROR(VLOOKUP($A842,#REF!,14,0),"")</f>
        <v/>
      </c>
      <c r="U842" s="359" t="str">
        <f>IFERROR(VLOOKUP($A842,#REF!,15,0),"")</f>
        <v/>
      </c>
      <c r="V842" s="359" t="str">
        <f>IFERROR(VLOOKUP($A842,#REF!,16,0),"")</f>
        <v/>
      </c>
      <c r="W842" s="359" t="str">
        <f>IFERROR(VLOOKUP($A842,#REF!,17,0),"")</f>
        <v/>
      </c>
      <c r="X842" s="359" t="str">
        <f>IFERROR(VLOOKUP($A842,#REF!,18,0),"")</f>
        <v/>
      </c>
      <c r="Y842" s="359" t="str">
        <f>IFERROR(VLOOKUP($A842,#REF!,19,0),"")</f>
        <v/>
      </c>
      <c r="Z842" s="400" t="str">
        <f>IFERROR(VLOOKUP($A842,#REF!,21,0),"")</f>
        <v/>
      </c>
      <c r="AA842" s="358"/>
      <c r="AB842" s="358"/>
      <c r="AC842" s="119"/>
      <c r="AD842" s="119"/>
      <c r="AE842" s="119"/>
      <c r="AF842" s="277"/>
      <c r="AG842" s="119"/>
      <c r="AH842" s="358"/>
      <c r="AI842" s="358"/>
      <c r="AJ842" s="380"/>
      <c r="AK842" s="380"/>
      <c r="AL842" s="380"/>
      <c r="AM842" s="380"/>
      <c r="AN842" s="120"/>
      <c r="AO842" s="120"/>
      <c r="AP842" s="120"/>
      <c r="AQ842" s="313"/>
      <c r="AR842" s="119"/>
      <c r="AS842" s="22"/>
      <c r="AT842" s="22"/>
      <c r="AU842" s="22"/>
      <c r="AV842" s="22"/>
      <c r="AW842" s="82"/>
      <c r="AX842" s="82"/>
      <c r="AY842" s="82"/>
      <c r="AZ842" s="82"/>
      <c r="BA842" s="82"/>
      <c r="BB842" s="82"/>
      <c r="BC842" s="82"/>
      <c r="BD842" s="82"/>
      <c r="BE842" s="82"/>
      <c r="BF842" s="82"/>
      <c r="BG842" s="112"/>
      <c r="BH842" s="112"/>
      <c r="BI842" s="112"/>
      <c r="BJ842" s="112"/>
      <c r="BK842" s="82"/>
      <c r="BL842" s="82"/>
      <c r="BN842" s="412"/>
      <c r="BO842" s="412"/>
      <c r="BP842" s="412"/>
      <c r="BQ842" s="412"/>
      <c r="BR842" s="412"/>
      <c r="BZ842" t="str">
        <f t="shared" si="72"/>
        <v/>
      </c>
    </row>
    <row r="843" spans="1:78" ht="15.6" hidden="1" customHeight="1">
      <c r="A843" s="35" t="str">
        <f t="shared" si="73"/>
        <v/>
      </c>
      <c r="C843" s="358"/>
      <c r="D843" s="358">
        <v>839</v>
      </c>
      <c r="E843" s="119"/>
      <c r="F843" s="119"/>
      <c r="G843" s="266"/>
      <c r="H843" s="119"/>
      <c r="I843" s="358"/>
      <c r="J843" s="359" t="str">
        <f>IFERROR(VLOOKUP($A843,#REF!,3,0),"")</f>
        <v/>
      </c>
      <c r="K843" s="359">
        <f>IFERROR(VLOOKUP($A843,#REF!,4,0),AF843)</f>
        <v>0</v>
      </c>
      <c r="L843" s="359" t="str">
        <f>IFERROR(VLOOKUP($A843,#REF!,5,0),"")</f>
        <v/>
      </c>
      <c r="M843" s="359" t="str">
        <f>IFERROR(VLOOKUP($A843,#REF!,7,0),"")</f>
        <v/>
      </c>
      <c r="N843" s="359"/>
      <c r="O843" s="359" t="str">
        <f>IFERROR(VLOOKUP($A843,#REF!,6,0),"")</f>
        <v/>
      </c>
      <c r="P843" s="359" t="str">
        <f>IFERROR(VLOOKUP($A843,#REF!,9,0),"")</f>
        <v/>
      </c>
      <c r="Q843" s="359" t="str">
        <f>IFERROR(VLOOKUP($A843,#REF!,10,0),"")</f>
        <v/>
      </c>
      <c r="R843" s="359" t="str">
        <f>IFERROR(VLOOKUP($A843,#REF!,11,0),"")</f>
        <v/>
      </c>
      <c r="S843" s="359" t="str">
        <f>IFERROR(VLOOKUP($A843,#REF!,13,0),"")</f>
        <v/>
      </c>
      <c r="T843" s="359" t="str">
        <f>IFERROR(VLOOKUP($A843,#REF!,14,0),"")</f>
        <v/>
      </c>
      <c r="U843" s="359" t="str">
        <f>IFERROR(VLOOKUP($A843,#REF!,15,0),"")</f>
        <v/>
      </c>
      <c r="V843" s="359" t="str">
        <f>IFERROR(VLOOKUP($A843,#REF!,16,0),"")</f>
        <v/>
      </c>
      <c r="W843" s="359" t="str">
        <f>IFERROR(VLOOKUP($A843,#REF!,17,0),"")</f>
        <v/>
      </c>
      <c r="X843" s="359" t="str">
        <f>IFERROR(VLOOKUP($A843,#REF!,18,0),"")</f>
        <v/>
      </c>
      <c r="Y843" s="359" t="str">
        <f>IFERROR(VLOOKUP($A843,#REF!,19,0),"")</f>
        <v/>
      </c>
      <c r="Z843" s="400" t="str">
        <f>IFERROR(VLOOKUP($A843,#REF!,21,0),"")</f>
        <v/>
      </c>
      <c r="AA843" s="358"/>
      <c r="AB843" s="358"/>
      <c r="AC843" s="119"/>
      <c r="AD843" s="119"/>
      <c r="AE843" s="119"/>
      <c r="AF843" s="277"/>
      <c r="AG843" s="119"/>
      <c r="AH843" s="358"/>
      <c r="AI843" s="358"/>
      <c r="AJ843" s="380"/>
      <c r="AK843" s="380"/>
      <c r="AL843" s="380"/>
      <c r="AM843" s="380"/>
      <c r="AN843" s="120"/>
      <c r="AO843" s="120"/>
      <c r="AP843" s="120"/>
      <c r="AQ843" s="313"/>
      <c r="AR843" s="119"/>
      <c r="AS843" s="22"/>
      <c r="AT843" s="22"/>
      <c r="AU843" s="22"/>
      <c r="AV843" s="22"/>
      <c r="AW843" s="82"/>
      <c r="AX843" s="82"/>
      <c r="AY843" s="82"/>
      <c r="AZ843" s="82"/>
      <c r="BA843" s="82"/>
      <c r="BB843" s="82"/>
      <c r="BC843" s="82"/>
      <c r="BD843" s="82"/>
      <c r="BE843" s="82"/>
      <c r="BF843" s="82"/>
      <c r="BG843" s="112"/>
      <c r="BH843" s="112"/>
      <c r="BI843" s="112"/>
      <c r="BJ843" s="112"/>
      <c r="BK843" s="82"/>
      <c r="BL843" s="82"/>
      <c r="BN843" s="412"/>
      <c r="BO843" s="412"/>
      <c r="BP843" s="412"/>
      <c r="BQ843" s="412"/>
      <c r="BR843" s="412"/>
      <c r="BZ843" t="str">
        <f t="shared" si="72"/>
        <v/>
      </c>
    </row>
    <row r="844" spans="1:78" ht="15.6" hidden="1" customHeight="1">
      <c r="A844" s="35" t="str">
        <f t="shared" si="73"/>
        <v/>
      </c>
      <c r="C844" s="358"/>
      <c r="D844" s="358">
        <v>840</v>
      </c>
      <c r="E844" s="119"/>
      <c r="F844" s="119"/>
      <c r="G844" s="266"/>
      <c r="H844" s="119"/>
      <c r="I844" s="358"/>
      <c r="J844" s="359" t="str">
        <f>IFERROR(VLOOKUP($A844,#REF!,3,0),"")</f>
        <v/>
      </c>
      <c r="K844" s="359">
        <f>IFERROR(VLOOKUP($A844,#REF!,4,0),AF844)</f>
        <v>0</v>
      </c>
      <c r="L844" s="359" t="str">
        <f>IFERROR(VLOOKUP($A844,#REF!,5,0),"")</f>
        <v/>
      </c>
      <c r="M844" s="359" t="str">
        <f>IFERROR(VLOOKUP($A844,#REF!,7,0),"")</f>
        <v/>
      </c>
      <c r="N844" s="359"/>
      <c r="O844" s="359" t="str">
        <f>IFERROR(VLOOKUP($A844,#REF!,6,0),"")</f>
        <v/>
      </c>
      <c r="P844" s="359" t="str">
        <f>IFERROR(VLOOKUP($A844,#REF!,9,0),"")</f>
        <v/>
      </c>
      <c r="Q844" s="359" t="str">
        <f>IFERROR(VLOOKUP($A844,#REF!,10,0),"")</f>
        <v/>
      </c>
      <c r="R844" s="359" t="str">
        <f>IFERROR(VLOOKUP($A844,#REF!,11,0),"")</f>
        <v/>
      </c>
      <c r="S844" s="359" t="str">
        <f>IFERROR(VLOOKUP($A844,#REF!,13,0),"")</f>
        <v/>
      </c>
      <c r="T844" s="359" t="str">
        <f>IFERROR(VLOOKUP($A844,#REF!,14,0),"")</f>
        <v/>
      </c>
      <c r="U844" s="359" t="str">
        <f>IFERROR(VLOOKUP($A844,#REF!,15,0),"")</f>
        <v/>
      </c>
      <c r="V844" s="359" t="str">
        <f>IFERROR(VLOOKUP($A844,#REF!,16,0),"")</f>
        <v/>
      </c>
      <c r="W844" s="359" t="str">
        <f>IFERROR(VLOOKUP($A844,#REF!,17,0),"")</f>
        <v/>
      </c>
      <c r="X844" s="359" t="str">
        <f>IFERROR(VLOOKUP($A844,#REF!,18,0),"")</f>
        <v/>
      </c>
      <c r="Y844" s="359" t="str">
        <f>IFERROR(VLOOKUP($A844,#REF!,19,0),"")</f>
        <v/>
      </c>
      <c r="Z844" s="400" t="str">
        <f>IFERROR(VLOOKUP($A844,#REF!,21,0),"")</f>
        <v/>
      </c>
      <c r="AA844" s="358"/>
      <c r="AB844" s="358"/>
      <c r="AC844" s="119"/>
      <c r="AD844" s="119"/>
      <c r="AE844" s="119"/>
      <c r="AF844" s="277"/>
      <c r="AG844" s="119"/>
      <c r="AH844" s="358"/>
      <c r="AI844" s="358"/>
      <c r="AJ844" s="380"/>
      <c r="AK844" s="380"/>
      <c r="AL844" s="380"/>
      <c r="AM844" s="380"/>
      <c r="AN844" s="120"/>
      <c r="AO844" s="120"/>
      <c r="AP844" s="120"/>
      <c r="AQ844" s="313"/>
      <c r="AR844" s="119"/>
      <c r="AS844" s="22"/>
      <c r="AT844" s="22"/>
      <c r="AU844" s="22"/>
      <c r="AV844" s="22"/>
      <c r="AW844" s="82"/>
      <c r="AX844" s="82"/>
      <c r="AY844" s="82"/>
      <c r="AZ844" s="82"/>
      <c r="BA844" s="82"/>
      <c r="BB844" s="82"/>
      <c r="BC844" s="82"/>
      <c r="BD844" s="82"/>
      <c r="BE844" s="82"/>
      <c r="BF844" s="82"/>
      <c r="BG844" s="112"/>
      <c r="BH844" s="112"/>
      <c r="BI844" s="112"/>
      <c r="BJ844" s="112"/>
      <c r="BK844" s="82"/>
      <c r="BL844" s="82"/>
      <c r="BN844" s="412"/>
      <c r="BO844" s="412"/>
      <c r="BP844" s="412"/>
      <c r="BQ844" s="412"/>
      <c r="BR844" s="412"/>
      <c r="BZ844" t="str">
        <f t="shared" si="72"/>
        <v/>
      </c>
    </row>
    <row r="845" spans="1:78" ht="15.6" hidden="1" customHeight="1">
      <c r="A845" s="35" t="str">
        <f t="shared" si="73"/>
        <v/>
      </c>
      <c r="C845" s="358"/>
      <c r="D845" s="358">
        <v>841</v>
      </c>
      <c r="E845" s="119"/>
      <c r="F845" s="119"/>
      <c r="G845" s="266"/>
      <c r="H845" s="119"/>
      <c r="I845" s="358"/>
      <c r="J845" s="359" t="str">
        <f>IFERROR(VLOOKUP($A845,#REF!,3,0),"")</f>
        <v/>
      </c>
      <c r="K845" s="359">
        <f>IFERROR(VLOOKUP($A845,#REF!,4,0),AF845)</f>
        <v>0</v>
      </c>
      <c r="L845" s="359" t="str">
        <f>IFERROR(VLOOKUP($A845,#REF!,5,0),"")</f>
        <v/>
      </c>
      <c r="M845" s="359" t="str">
        <f>IFERROR(VLOOKUP($A845,#REF!,7,0),"")</f>
        <v/>
      </c>
      <c r="N845" s="359"/>
      <c r="O845" s="359" t="str">
        <f>IFERROR(VLOOKUP($A845,#REF!,6,0),"")</f>
        <v/>
      </c>
      <c r="P845" s="359" t="str">
        <f>IFERROR(VLOOKUP($A845,#REF!,9,0),"")</f>
        <v/>
      </c>
      <c r="Q845" s="359" t="str">
        <f>IFERROR(VLOOKUP($A845,#REF!,10,0),"")</f>
        <v/>
      </c>
      <c r="R845" s="359" t="str">
        <f>IFERROR(VLOOKUP($A845,#REF!,11,0),"")</f>
        <v/>
      </c>
      <c r="S845" s="359" t="str">
        <f>IFERROR(VLOOKUP($A845,#REF!,13,0),"")</f>
        <v/>
      </c>
      <c r="T845" s="359" t="str">
        <f>IFERROR(VLOOKUP($A845,#REF!,14,0),"")</f>
        <v/>
      </c>
      <c r="U845" s="359" t="str">
        <f>IFERROR(VLOOKUP($A845,#REF!,15,0),"")</f>
        <v/>
      </c>
      <c r="V845" s="359" t="str">
        <f>IFERROR(VLOOKUP($A845,#REF!,16,0),"")</f>
        <v/>
      </c>
      <c r="W845" s="359" t="str">
        <f>IFERROR(VLOOKUP($A845,#REF!,17,0),"")</f>
        <v/>
      </c>
      <c r="X845" s="359" t="str">
        <f>IFERROR(VLOOKUP($A845,#REF!,18,0),"")</f>
        <v/>
      </c>
      <c r="Y845" s="359" t="str">
        <f>IFERROR(VLOOKUP($A845,#REF!,19,0),"")</f>
        <v/>
      </c>
      <c r="Z845" s="400" t="str">
        <f>IFERROR(VLOOKUP($A845,#REF!,21,0),"")</f>
        <v/>
      </c>
      <c r="AA845" s="358"/>
      <c r="AB845" s="358"/>
      <c r="AC845" s="119"/>
      <c r="AD845" s="119"/>
      <c r="AE845" s="119"/>
      <c r="AF845" s="277"/>
      <c r="AG845" s="119"/>
      <c r="AH845" s="358"/>
      <c r="AI845" s="358"/>
      <c r="AJ845" s="380"/>
      <c r="AK845" s="380"/>
      <c r="AL845" s="380"/>
      <c r="AM845" s="380"/>
      <c r="AN845" s="120"/>
      <c r="AO845" s="120"/>
      <c r="AP845" s="120"/>
      <c r="AQ845" s="313"/>
      <c r="AR845" s="119"/>
      <c r="AS845" s="22"/>
      <c r="AT845" s="22"/>
      <c r="AU845" s="22"/>
      <c r="AV845" s="22"/>
      <c r="AW845" s="82"/>
      <c r="AX845" s="82"/>
      <c r="AY845" s="82"/>
      <c r="AZ845" s="82"/>
      <c r="BA845" s="82"/>
      <c r="BB845" s="82"/>
      <c r="BC845" s="82"/>
      <c r="BD845" s="82"/>
      <c r="BE845" s="82"/>
      <c r="BF845" s="82"/>
      <c r="BG845" s="112"/>
      <c r="BH845" s="112"/>
      <c r="BI845" s="112"/>
      <c r="BJ845" s="112"/>
      <c r="BK845" s="82"/>
      <c r="BL845" s="82"/>
      <c r="BN845" s="412"/>
      <c r="BO845" s="412"/>
      <c r="BP845" s="412"/>
      <c r="BQ845" s="412"/>
      <c r="BR845" s="412"/>
      <c r="BZ845" t="str">
        <f t="shared" ref="BZ845:BZ908" si="74">IF(G845&gt;1,1,"")</f>
        <v/>
      </c>
    </row>
    <row r="846" spans="1:78" ht="15.6" hidden="1" customHeight="1">
      <c r="A846" s="35" t="str">
        <f t="shared" si="73"/>
        <v/>
      </c>
      <c r="C846" s="358"/>
      <c r="D846" s="358">
        <v>842</v>
      </c>
      <c r="E846" s="119"/>
      <c r="F846" s="119"/>
      <c r="G846" s="266"/>
      <c r="H846" s="119"/>
      <c r="I846" s="358"/>
      <c r="J846" s="359" t="str">
        <f>IFERROR(VLOOKUP($A846,#REF!,3,0),"")</f>
        <v/>
      </c>
      <c r="K846" s="359">
        <f>IFERROR(VLOOKUP($A846,#REF!,4,0),AF846)</f>
        <v>0</v>
      </c>
      <c r="L846" s="359" t="str">
        <f>IFERROR(VLOOKUP($A846,#REF!,5,0),"")</f>
        <v/>
      </c>
      <c r="M846" s="359" t="str">
        <f>IFERROR(VLOOKUP($A846,#REF!,7,0),"")</f>
        <v/>
      </c>
      <c r="N846" s="359"/>
      <c r="O846" s="359" t="str">
        <f>IFERROR(VLOOKUP($A846,#REF!,6,0),"")</f>
        <v/>
      </c>
      <c r="P846" s="359" t="str">
        <f>IFERROR(VLOOKUP($A846,#REF!,9,0),"")</f>
        <v/>
      </c>
      <c r="Q846" s="359" t="str">
        <f>IFERROR(VLOOKUP($A846,#REF!,10,0),"")</f>
        <v/>
      </c>
      <c r="R846" s="359" t="str">
        <f>IFERROR(VLOOKUP($A846,#REF!,11,0),"")</f>
        <v/>
      </c>
      <c r="S846" s="359" t="str">
        <f>IFERROR(VLOOKUP($A846,#REF!,13,0),"")</f>
        <v/>
      </c>
      <c r="T846" s="359" t="str">
        <f>IFERROR(VLOOKUP($A846,#REF!,14,0),"")</f>
        <v/>
      </c>
      <c r="U846" s="359" t="str">
        <f>IFERROR(VLOOKUP($A846,#REF!,15,0),"")</f>
        <v/>
      </c>
      <c r="V846" s="359" t="str">
        <f>IFERROR(VLOOKUP($A846,#REF!,16,0),"")</f>
        <v/>
      </c>
      <c r="W846" s="359" t="str">
        <f>IFERROR(VLOOKUP($A846,#REF!,17,0),"")</f>
        <v/>
      </c>
      <c r="X846" s="359" t="str">
        <f>IFERROR(VLOOKUP($A846,#REF!,18,0),"")</f>
        <v/>
      </c>
      <c r="Y846" s="359" t="str">
        <f>IFERROR(VLOOKUP($A846,#REF!,19,0),"")</f>
        <v/>
      </c>
      <c r="Z846" s="400" t="str">
        <f>IFERROR(VLOOKUP($A846,#REF!,21,0),"")</f>
        <v/>
      </c>
      <c r="AA846" s="358"/>
      <c r="AB846" s="358"/>
      <c r="AC846" s="119"/>
      <c r="AD846" s="119"/>
      <c r="AE846" s="119"/>
      <c r="AF846" s="277"/>
      <c r="AG846" s="119"/>
      <c r="AH846" s="358"/>
      <c r="AI846" s="358"/>
      <c r="AJ846" s="380"/>
      <c r="AK846" s="380"/>
      <c r="AL846" s="380"/>
      <c r="AM846" s="380"/>
      <c r="AN846" s="120"/>
      <c r="AO846" s="120"/>
      <c r="AP846" s="120"/>
      <c r="AQ846" s="313"/>
      <c r="AR846" s="119"/>
      <c r="AS846" s="22"/>
      <c r="AT846" s="22"/>
      <c r="AU846" s="22"/>
      <c r="AV846" s="22"/>
      <c r="AW846" s="82"/>
      <c r="AX846" s="82"/>
      <c r="AY846" s="82"/>
      <c r="AZ846" s="82"/>
      <c r="BA846" s="82"/>
      <c r="BB846" s="82"/>
      <c r="BC846" s="82"/>
      <c r="BD846" s="82"/>
      <c r="BE846" s="82"/>
      <c r="BF846" s="82"/>
      <c r="BG846" s="112"/>
      <c r="BH846" s="112"/>
      <c r="BI846" s="112"/>
      <c r="BJ846" s="112"/>
      <c r="BK846" s="82"/>
      <c r="BL846" s="82"/>
      <c r="BN846" s="412"/>
      <c r="BO846" s="412"/>
      <c r="BP846" s="412"/>
      <c r="BQ846" s="412"/>
      <c r="BR846" s="412"/>
      <c r="BZ846" t="str">
        <f t="shared" si="74"/>
        <v/>
      </c>
    </row>
    <row r="847" spans="1:78" ht="15.6" hidden="1" customHeight="1">
      <c r="A847" s="35" t="str">
        <f t="shared" si="73"/>
        <v/>
      </c>
      <c r="C847" s="358"/>
      <c r="D847" s="358">
        <v>843</v>
      </c>
      <c r="E847" s="119"/>
      <c r="F847" s="119"/>
      <c r="G847" s="266"/>
      <c r="H847" s="119"/>
      <c r="I847" s="358"/>
      <c r="J847" s="359" t="str">
        <f>IFERROR(VLOOKUP($A847,#REF!,3,0),"")</f>
        <v/>
      </c>
      <c r="K847" s="359">
        <f>IFERROR(VLOOKUP($A847,#REF!,4,0),AF847)</f>
        <v>0</v>
      </c>
      <c r="L847" s="359" t="str">
        <f>IFERROR(VLOOKUP($A847,#REF!,5,0),"")</f>
        <v/>
      </c>
      <c r="M847" s="359" t="str">
        <f>IFERROR(VLOOKUP($A847,#REF!,7,0),"")</f>
        <v/>
      </c>
      <c r="N847" s="359"/>
      <c r="O847" s="359" t="str">
        <f>IFERROR(VLOOKUP($A847,#REF!,6,0),"")</f>
        <v/>
      </c>
      <c r="P847" s="359" t="str">
        <f>IFERROR(VLOOKUP($A847,#REF!,9,0),"")</f>
        <v/>
      </c>
      <c r="Q847" s="359" t="str">
        <f>IFERROR(VLOOKUP($A847,#REF!,10,0),"")</f>
        <v/>
      </c>
      <c r="R847" s="359" t="str">
        <f>IFERROR(VLOOKUP($A847,#REF!,11,0),"")</f>
        <v/>
      </c>
      <c r="S847" s="359" t="str">
        <f>IFERROR(VLOOKUP($A847,#REF!,13,0),"")</f>
        <v/>
      </c>
      <c r="T847" s="359" t="str">
        <f>IFERROR(VLOOKUP($A847,#REF!,14,0),"")</f>
        <v/>
      </c>
      <c r="U847" s="359" t="str">
        <f>IFERROR(VLOOKUP($A847,#REF!,15,0),"")</f>
        <v/>
      </c>
      <c r="V847" s="359" t="str">
        <f>IFERROR(VLOOKUP($A847,#REF!,16,0),"")</f>
        <v/>
      </c>
      <c r="W847" s="359" t="str">
        <f>IFERROR(VLOOKUP($A847,#REF!,17,0),"")</f>
        <v/>
      </c>
      <c r="X847" s="359" t="str">
        <f>IFERROR(VLOOKUP($A847,#REF!,18,0),"")</f>
        <v/>
      </c>
      <c r="Y847" s="359" t="str">
        <f>IFERROR(VLOOKUP($A847,#REF!,19,0),"")</f>
        <v/>
      </c>
      <c r="Z847" s="400" t="str">
        <f>IFERROR(VLOOKUP($A847,#REF!,21,0),"")</f>
        <v/>
      </c>
      <c r="AA847" s="358"/>
      <c r="AB847" s="358"/>
      <c r="AC847" s="119"/>
      <c r="AD847" s="119"/>
      <c r="AE847" s="119"/>
      <c r="AF847" s="277"/>
      <c r="AG847" s="119"/>
      <c r="AH847" s="358"/>
      <c r="AI847" s="358"/>
      <c r="AJ847" s="380"/>
      <c r="AK847" s="380"/>
      <c r="AL847" s="380"/>
      <c r="AM847" s="380"/>
      <c r="AN847" s="120"/>
      <c r="AO847" s="120"/>
      <c r="AP847" s="120"/>
      <c r="AQ847" s="313"/>
      <c r="AR847" s="119"/>
      <c r="AS847" s="22"/>
      <c r="AT847" s="22"/>
      <c r="AU847" s="22"/>
      <c r="AV847" s="2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112"/>
      <c r="BH847" s="112"/>
      <c r="BI847" s="112"/>
      <c r="BJ847" s="112"/>
      <c r="BK847" s="82"/>
      <c r="BL847" s="82"/>
      <c r="BN847" s="412"/>
      <c r="BO847" s="412"/>
      <c r="BP847" s="412"/>
      <c r="BQ847" s="412"/>
      <c r="BR847" s="412"/>
      <c r="BZ847" t="str">
        <f t="shared" si="74"/>
        <v/>
      </c>
    </row>
    <row r="848" spans="1:78" ht="15.6" hidden="1" customHeight="1">
      <c r="A848" s="35" t="str">
        <f t="shared" si="73"/>
        <v/>
      </c>
      <c r="C848" s="358"/>
      <c r="D848" s="358">
        <v>844</v>
      </c>
      <c r="E848" s="119"/>
      <c r="F848" s="119"/>
      <c r="G848" s="266"/>
      <c r="H848" s="119"/>
      <c r="I848" s="358"/>
      <c r="J848" s="359" t="str">
        <f>IFERROR(VLOOKUP($A848,#REF!,3,0),"")</f>
        <v/>
      </c>
      <c r="K848" s="359">
        <f>IFERROR(VLOOKUP($A848,#REF!,4,0),AF848)</f>
        <v>0</v>
      </c>
      <c r="L848" s="359" t="str">
        <f>IFERROR(VLOOKUP($A848,#REF!,5,0),"")</f>
        <v/>
      </c>
      <c r="M848" s="359" t="str">
        <f>IFERROR(VLOOKUP($A848,#REF!,7,0),"")</f>
        <v/>
      </c>
      <c r="N848" s="359"/>
      <c r="O848" s="359" t="str">
        <f>IFERROR(VLOOKUP($A848,#REF!,6,0),"")</f>
        <v/>
      </c>
      <c r="P848" s="359" t="str">
        <f>IFERROR(VLOOKUP($A848,#REF!,9,0),"")</f>
        <v/>
      </c>
      <c r="Q848" s="359" t="str">
        <f>IFERROR(VLOOKUP($A848,#REF!,10,0),"")</f>
        <v/>
      </c>
      <c r="R848" s="359" t="str">
        <f>IFERROR(VLOOKUP($A848,#REF!,11,0),"")</f>
        <v/>
      </c>
      <c r="S848" s="359" t="str">
        <f>IFERROR(VLOOKUP($A848,#REF!,13,0),"")</f>
        <v/>
      </c>
      <c r="T848" s="359" t="str">
        <f>IFERROR(VLOOKUP($A848,#REF!,14,0),"")</f>
        <v/>
      </c>
      <c r="U848" s="359" t="str">
        <f>IFERROR(VLOOKUP($A848,#REF!,15,0),"")</f>
        <v/>
      </c>
      <c r="V848" s="359" t="str">
        <f>IFERROR(VLOOKUP($A848,#REF!,16,0),"")</f>
        <v/>
      </c>
      <c r="W848" s="359" t="str">
        <f>IFERROR(VLOOKUP($A848,#REF!,17,0),"")</f>
        <v/>
      </c>
      <c r="X848" s="359" t="str">
        <f>IFERROR(VLOOKUP($A848,#REF!,18,0),"")</f>
        <v/>
      </c>
      <c r="Y848" s="359" t="str">
        <f>IFERROR(VLOOKUP($A848,#REF!,19,0),"")</f>
        <v/>
      </c>
      <c r="Z848" s="400" t="str">
        <f>IFERROR(VLOOKUP($A848,#REF!,21,0),"")</f>
        <v/>
      </c>
      <c r="AA848" s="358"/>
      <c r="AB848" s="358"/>
      <c r="AC848" s="119"/>
      <c r="AD848" s="119"/>
      <c r="AE848" s="119"/>
      <c r="AF848" s="277"/>
      <c r="AG848" s="119"/>
      <c r="AH848" s="358"/>
      <c r="AI848" s="358"/>
      <c r="AJ848" s="380"/>
      <c r="AK848" s="380"/>
      <c r="AL848" s="380"/>
      <c r="AM848" s="380"/>
      <c r="AN848" s="120"/>
      <c r="AO848" s="120"/>
      <c r="AP848" s="120"/>
      <c r="AQ848" s="313"/>
      <c r="AR848" s="119"/>
      <c r="AS848" s="22"/>
      <c r="AT848" s="22"/>
      <c r="AU848" s="22"/>
      <c r="AV848" s="22"/>
      <c r="AW848" s="82"/>
      <c r="AX848" s="82"/>
      <c r="AY848" s="82"/>
      <c r="AZ848" s="82"/>
      <c r="BA848" s="82"/>
      <c r="BB848" s="82"/>
      <c r="BC848" s="82"/>
      <c r="BD848" s="82"/>
      <c r="BE848" s="82"/>
      <c r="BF848" s="82"/>
      <c r="BG848" s="112"/>
      <c r="BH848" s="112"/>
      <c r="BI848" s="112"/>
      <c r="BJ848" s="112"/>
      <c r="BK848" s="82"/>
      <c r="BL848" s="82"/>
      <c r="BN848" s="412"/>
      <c r="BO848" s="412"/>
      <c r="BP848" s="412"/>
      <c r="BQ848" s="412"/>
      <c r="BR848" s="412"/>
      <c r="BZ848" t="str">
        <f t="shared" si="74"/>
        <v/>
      </c>
    </row>
    <row r="849" spans="1:78" ht="15.6" hidden="1" customHeight="1">
      <c r="A849" s="35" t="str">
        <f t="shared" si="73"/>
        <v/>
      </c>
      <c r="C849" s="358"/>
      <c r="D849" s="358">
        <v>845</v>
      </c>
      <c r="E849" s="119"/>
      <c r="F849" s="119"/>
      <c r="G849" s="266"/>
      <c r="H849" s="119"/>
      <c r="I849" s="358"/>
      <c r="J849" s="359" t="str">
        <f>IFERROR(VLOOKUP($A849,#REF!,3,0),"")</f>
        <v/>
      </c>
      <c r="K849" s="359">
        <f>IFERROR(VLOOKUP($A849,#REF!,4,0),AF849)</f>
        <v>0</v>
      </c>
      <c r="L849" s="359" t="str">
        <f>IFERROR(VLOOKUP($A849,#REF!,5,0),"")</f>
        <v/>
      </c>
      <c r="M849" s="359" t="str">
        <f>IFERROR(VLOOKUP($A849,#REF!,7,0),"")</f>
        <v/>
      </c>
      <c r="N849" s="359"/>
      <c r="O849" s="359" t="str">
        <f>IFERROR(VLOOKUP($A849,#REF!,6,0),"")</f>
        <v/>
      </c>
      <c r="P849" s="359" t="str">
        <f>IFERROR(VLOOKUP($A849,#REF!,9,0),"")</f>
        <v/>
      </c>
      <c r="Q849" s="359" t="str">
        <f>IFERROR(VLOOKUP($A849,#REF!,10,0),"")</f>
        <v/>
      </c>
      <c r="R849" s="359" t="str">
        <f>IFERROR(VLOOKUP($A849,#REF!,11,0),"")</f>
        <v/>
      </c>
      <c r="S849" s="359" t="str">
        <f>IFERROR(VLOOKUP($A849,#REF!,13,0),"")</f>
        <v/>
      </c>
      <c r="T849" s="359" t="str">
        <f>IFERROR(VLOOKUP($A849,#REF!,14,0),"")</f>
        <v/>
      </c>
      <c r="U849" s="359" t="str">
        <f>IFERROR(VLOOKUP($A849,#REF!,15,0),"")</f>
        <v/>
      </c>
      <c r="V849" s="359" t="str">
        <f>IFERROR(VLOOKUP($A849,#REF!,16,0),"")</f>
        <v/>
      </c>
      <c r="W849" s="359" t="str">
        <f>IFERROR(VLOOKUP($A849,#REF!,17,0),"")</f>
        <v/>
      </c>
      <c r="X849" s="359" t="str">
        <f>IFERROR(VLOOKUP($A849,#REF!,18,0),"")</f>
        <v/>
      </c>
      <c r="Y849" s="359" t="str">
        <f>IFERROR(VLOOKUP($A849,#REF!,19,0),"")</f>
        <v/>
      </c>
      <c r="Z849" s="400" t="str">
        <f>IFERROR(VLOOKUP($A849,#REF!,21,0),"")</f>
        <v/>
      </c>
      <c r="AA849" s="358"/>
      <c r="AB849" s="358"/>
      <c r="AC849" s="119"/>
      <c r="AD849" s="119"/>
      <c r="AE849" s="119"/>
      <c r="AF849" s="277"/>
      <c r="AG849" s="119"/>
      <c r="AH849" s="358"/>
      <c r="AI849" s="358"/>
      <c r="AJ849" s="380"/>
      <c r="AK849" s="380"/>
      <c r="AL849" s="380"/>
      <c r="AM849" s="380"/>
      <c r="AN849" s="120"/>
      <c r="AO849" s="120"/>
      <c r="AP849" s="120"/>
      <c r="AQ849" s="313"/>
      <c r="AR849" s="119"/>
      <c r="AS849" s="22"/>
      <c r="AT849" s="22"/>
      <c r="AU849" s="22"/>
      <c r="AV849" s="22"/>
      <c r="AW849" s="82"/>
      <c r="AX849" s="82"/>
      <c r="AY849" s="82"/>
      <c r="AZ849" s="82"/>
      <c r="BA849" s="82"/>
      <c r="BB849" s="82"/>
      <c r="BC849" s="82"/>
      <c r="BD849" s="82"/>
      <c r="BE849" s="82"/>
      <c r="BF849" s="82"/>
      <c r="BG849" s="112"/>
      <c r="BH849" s="112"/>
      <c r="BI849" s="112"/>
      <c r="BJ849" s="112"/>
      <c r="BK849" s="82"/>
      <c r="BL849" s="82"/>
      <c r="BN849" s="412"/>
      <c r="BO849" s="412"/>
      <c r="BP849" s="412"/>
      <c r="BQ849" s="412"/>
      <c r="BR849" s="412"/>
      <c r="BZ849" t="str">
        <f t="shared" si="74"/>
        <v/>
      </c>
    </row>
    <row r="850" spans="1:78" ht="15.6" hidden="1" customHeight="1">
      <c r="A850" s="35" t="str">
        <f t="shared" si="73"/>
        <v/>
      </c>
      <c r="C850" s="358"/>
      <c r="D850" s="358">
        <v>846</v>
      </c>
      <c r="E850" s="119"/>
      <c r="F850" s="119"/>
      <c r="G850" s="266"/>
      <c r="H850" s="119"/>
      <c r="I850" s="358"/>
      <c r="J850" s="359" t="str">
        <f>IFERROR(VLOOKUP($A850,#REF!,3,0),"")</f>
        <v/>
      </c>
      <c r="K850" s="359">
        <f>IFERROR(VLOOKUP($A850,#REF!,4,0),AF850)</f>
        <v>0</v>
      </c>
      <c r="L850" s="359" t="str">
        <f>IFERROR(VLOOKUP($A850,#REF!,5,0),"")</f>
        <v/>
      </c>
      <c r="M850" s="359" t="str">
        <f>IFERROR(VLOOKUP($A850,#REF!,7,0),"")</f>
        <v/>
      </c>
      <c r="N850" s="359"/>
      <c r="O850" s="359" t="str">
        <f>IFERROR(VLOOKUP($A850,#REF!,6,0),"")</f>
        <v/>
      </c>
      <c r="P850" s="359" t="str">
        <f>IFERROR(VLOOKUP($A850,#REF!,9,0),"")</f>
        <v/>
      </c>
      <c r="Q850" s="359" t="str">
        <f>IFERROR(VLOOKUP($A850,#REF!,10,0),"")</f>
        <v/>
      </c>
      <c r="R850" s="359" t="str">
        <f>IFERROR(VLOOKUP($A850,#REF!,11,0),"")</f>
        <v/>
      </c>
      <c r="S850" s="359" t="str">
        <f>IFERROR(VLOOKUP($A850,#REF!,13,0),"")</f>
        <v/>
      </c>
      <c r="T850" s="359" t="str">
        <f>IFERROR(VLOOKUP($A850,#REF!,14,0),"")</f>
        <v/>
      </c>
      <c r="U850" s="359" t="str">
        <f>IFERROR(VLOOKUP($A850,#REF!,15,0),"")</f>
        <v/>
      </c>
      <c r="V850" s="359" t="str">
        <f>IFERROR(VLOOKUP($A850,#REF!,16,0),"")</f>
        <v/>
      </c>
      <c r="W850" s="359" t="str">
        <f>IFERROR(VLOOKUP($A850,#REF!,17,0),"")</f>
        <v/>
      </c>
      <c r="X850" s="359" t="str">
        <f>IFERROR(VLOOKUP($A850,#REF!,18,0),"")</f>
        <v/>
      </c>
      <c r="Y850" s="359" t="str">
        <f>IFERROR(VLOOKUP($A850,#REF!,19,0),"")</f>
        <v/>
      </c>
      <c r="Z850" s="400" t="str">
        <f>IFERROR(VLOOKUP($A850,#REF!,21,0),"")</f>
        <v/>
      </c>
      <c r="AA850" s="358"/>
      <c r="AB850" s="358"/>
      <c r="AC850" s="119"/>
      <c r="AD850" s="119"/>
      <c r="AE850" s="119"/>
      <c r="AF850" s="277"/>
      <c r="AG850" s="119"/>
      <c r="AH850" s="358"/>
      <c r="AI850" s="358"/>
      <c r="AJ850" s="380"/>
      <c r="AK850" s="380"/>
      <c r="AL850" s="380"/>
      <c r="AM850" s="380"/>
      <c r="AN850" s="120"/>
      <c r="AO850" s="120"/>
      <c r="AP850" s="120"/>
      <c r="AQ850" s="313"/>
      <c r="AR850" s="119"/>
      <c r="AS850" s="22"/>
      <c r="AT850" s="22"/>
      <c r="AU850" s="22"/>
      <c r="AV850" s="2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112"/>
      <c r="BH850" s="112"/>
      <c r="BI850" s="112"/>
      <c r="BJ850" s="112"/>
      <c r="BK850" s="82"/>
      <c r="BL850" s="82"/>
      <c r="BN850" s="412"/>
      <c r="BO850" s="412"/>
      <c r="BP850" s="412"/>
      <c r="BQ850" s="412"/>
      <c r="BR850" s="412"/>
      <c r="BZ850" t="str">
        <f t="shared" si="74"/>
        <v/>
      </c>
    </row>
    <row r="851" spans="1:78" ht="15.6" hidden="1" customHeight="1">
      <c r="A851" s="35" t="str">
        <f t="shared" si="73"/>
        <v/>
      </c>
      <c r="C851" s="358"/>
      <c r="D851" s="358">
        <v>847</v>
      </c>
      <c r="E851" s="119"/>
      <c r="F851" s="119"/>
      <c r="G851" s="266"/>
      <c r="H851" s="119"/>
      <c r="I851" s="358"/>
      <c r="J851" s="359" t="str">
        <f>IFERROR(VLOOKUP($A851,#REF!,3,0),"")</f>
        <v/>
      </c>
      <c r="K851" s="359">
        <f>IFERROR(VLOOKUP($A851,#REF!,4,0),AF851)</f>
        <v>0</v>
      </c>
      <c r="L851" s="359" t="str">
        <f>IFERROR(VLOOKUP($A851,#REF!,5,0),"")</f>
        <v/>
      </c>
      <c r="M851" s="359" t="str">
        <f>IFERROR(VLOOKUP($A851,#REF!,7,0),"")</f>
        <v/>
      </c>
      <c r="N851" s="359"/>
      <c r="O851" s="359" t="str">
        <f>IFERROR(VLOOKUP($A851,#REF!,6,0),"")</f>
        <v/>
      </c>
      <c r="P851" s="359" t="str">
        <f>IFERROR(VLOOKUP($A851,#REF!,9,0),"")</f>
        <v/>
      </c>
      <c r="Q851" s="359" t="str">
        <f>IFERROR(VLOOKUP($A851,#REF!,10,0),"")</f>
        <v/>
      </c>
      <c r="R851" s="359" t="str">
        <f>IFERROR(VLOOKUP($A851,#REF!,11,0),"")</f>
        <v/>
      </c>
      <c r="S851" s="359" t="str">
        <f>IFERROR(VLOOKUP($A851,#REF!,13,0),"")</f>
        <v/>
      </c>
      <c r="T851" s="359" t="str">
        <f>IFERROR(VLOOKUP($A851,#REF!,14,0),"")</f>
        <v/>
      </c>
      <c r="U851" s="359" t="str">
        <f>IFERROR(VLOOKUP($A851,#REF!,15,0),"")</f>
        <v/>
      </c>
      <c r="V851" s="359" t="str">
        <f>IFERROR(VLOOKUP($A851,#REF!,16,0),"")</f>
        <v/>
      </c>
      <c r="W851" s="359" t="str">
        <f>IFERROR(VLOOKUP($A851,#REF!,17,0),"")</f>
        <v/>
      </c>
      <c r="X851" s="359" t="str">
        <f>IFERROR(VLOOKUP($A851,#REF!,18,0),"")</f>
        <v/>
      </c>
      <c r="Y851" s="359" t="str">
        <f>IFERROR(VLOOKUP($A851,#REF!,19,0),"")</f>
        <v/>
      </c>
      <c r="Z851" s="400" t="str">
        <f>IFERROR(VLOOKUP($A851,#REF!,21,0),"")</f>
        <v/>
      </c>
      <c r="AA851" s="358"/>
      <c r="AB851" s="358"/>
      <c r="AC851" s="119"/>
      <c r="AD851" s="119"/>
      <c r="AE851" s="119"/>
      <c r="AF851" s="277"/>
      <c r="AG851" s="119"/>
      <c r="AH851" s="358"/>
      <c r="AI851" s="358"/>
      <c r="AJ851" s="380"/>
      <c r="AK851" s="380"/>
      <c r="AL851" s="380"/>
      <c r="AM851" s="380"/>
      <c r="AN851" s="120"/>
      <c r="AO851" s="120"/>
      <c r="AP851" s="120"/>
      <c r="AQ851" s="313"/>
      <c r="AR851" s="119"/>
      <c r="AS851" s="22"/>
      <c r="AT851" s="22"/>
      <c r="AU851" s="22"/>
      <c r="AV851" s="2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112"/>
      <c r="BH851" s="112"/>
      <c r="BI851" s="112"/>
      <c r="BJ851" s="112"/>
      <c r="BK851" s="82"/>
      <c r="BL851" s="82"/>
      <c r="BN851" s="412"/>
      <c r="BO851" s="412"/>
      <c r="BP851" s="412"/>
      <c r="BQ851" s="412"/>
      <c r="BR851" s="412"/>
      <c r="BZ851" t="str">
        <f t="shared" si="74"/>
        <v/>
      </c>
    </row>
    <row r="852" spans="1:78" ht="15.6" hidden="1" customHeight="1">
      <c r="A852" s="35" t="str">
        <f t="shared" si="73"/>
        <v/>
      </c>
      <c r="C852" s="358"/>
      <c r="D852" s="358">
        <v>848</v>
      </c>
      <c r="E852" s="119"/>
      <c r="F852" s="119"/>
      <c r="G852" s="266"/>
      <c r="H852" s="119"/>
      <c r="I852" s="358"/>
      <c r="J852" s="359" t="str">
        <f>IFERROR(VLOOKUP($A852,#REF!,3,0),"")</f>
        <v/>
      </c>
      <c r="K852" s="359">
        <f>IFERROR(VLOOKUP($A852,#REF!,4,0),AF852)</f>
        <v>0</v>
      </c>
      <c r="L852" s="359" t="str">
        <f>IFERROR(VLOOKUP($A852,#REF!,5,0),"")</f>
        <v/>
      </c>
      <c r="M852" s="359" t="str">
        <f>IFERROR(VLOOKUP($A852,#REF!,7,0),"")</f>
        <v/>
      </c>
      <c r="N852" s="359"/>
      <c r="O852" s="359" t="str">
        <f>IFERROR(VLOOKUP($A852,#REF!,6,0),"")</f>
        <v/>
      </c>
      <c r="P852" s="359" t="str">
        <f>IFERROR(VLOOKUP($A852,#REF!,9,0),"")</f>
        <v/>
      </c>
      <c r="Q852" s="359" t="str">
        <f>IFERROR(VLOOKUP($A852,#REF!,10,0),"")</f>
        <v/>
      </c>
      <c r="R852" s="359" t="str">
        <f>IFERROR(VLOOKUP($A852,#REF!,11,0),"")</f>
        <v/>
      </c>
      <c r="S852" s="359" t="str">
        <f>IFERROR(VLOOKUP($A852,#REF!,13,0),"")</f>
        <v/>
      </c>
      <c r="T852" s="359" t="str">
        <f>IFERROR(VLOOKUP($A852,#REF!,14,0),"")</f>
        <v/>
      </c>
      <c r="U852" s="359" t="str">
        <f>IFERROR(VLOOKUP($A852,#REF!,15,0),"")</f>
        <v/>
      </c>
      <c r="V852" s="359" t="str">
        <f>IFERROR(VLOOKUP($A852,#REF!,16,0),"")</f>
        <v/>
      </c>
      <c r="W852" s="359" t="str">
        <f>IFERROR(VLOOKUP($A852,#REF!,17,0),"")</f>
        <v/>
      </c>
      <c r="X852" s="359" t="str">
        <f>IFERROR(VLOOKUP($A852,#REF!,18,0),"")</f>
        <v/>
      </c>
      <c r="Y852" s="359" t="str">
        <f>IFERROR(VLOOKUP($A852,#REF!,19,0),"")</f>
        <v/>
      </c>
      <c r="Z852" s="400" t="str">
        <f>IFERROR(VLOOKUP($A852,#REF!,21,0),"")</f>
        <v/>
      </c>
      <c r="AA852" s="358"/>
      <c r="AB852" s="358"/>
      <c r="AC852" s="119"/>
      <c r="AD852" s="119"/>
      <c r="AE852" s="119"/>
      <c r="AF852" s="277"/>
      <c r="AG852" s="119"/>
      <c r="AH852" s="358"/>
      <c r="AI852" s="358"/>
      <c r="AJ852" s="380"/>
      <c r="AK852" s="380"/>
      <c r="AL852" s="380"/>
      <c r="AM852" s="380"/>
      <c r="AN852" s="120"/>
      <c r="AO852" s="120"/>
      <c r="AP852" s="120"/>
      <c r="AQ852" s="313"/>
      <c r="AR852" s="119"/>
      <c r="AS852" s="22"/>
      <c r="AT852" s="22"/>
      <c r="AU852" s="22"/>
      <c r="AV852" s="2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112"/>
      <c r="BH852" s="112"/>
      <c r="BI852" s="112"/>
      <c r="BJ852" s="112"/>
      <c r="BK852" s="82"/>
      <c r="BL852" s="82"/>
      <c r="BN852" s="412"/>
      <c r="BO852" s="412"/>
      <c r="BP852" s="412"/>
      <c r="BQ852" s="412"/>
      <c r="BR852" s="412"/>
      <c r="BZ852" t="str">
        <f t="shared" si="74"/>
        <v/>
      </c>
    </row>
    <row r="853" spans="1:78" ht="15.6" hidden="1" customHeight="1">
      <c r="A853" s="35" t="str">
        <f t="shared" si="73"/>
        <v/>
      </c>
      <c r="C853" s="358"/>
      <c r="D853" s="358">
        <v>849</v>
      </c>
      <c r="E853" s="119"/>
      <c r="F853" s="119"/>
      <c r="G853" s="266"/>
      <c r="H853" s="119"/>
      <c r="I853" s="358"/>
      <c r="J853" s="359" t="str">
        <f>IFERROR(VLOOKUP($A853,#REF!,3,0),"")</f>
        <v/>
      </c>
      <c r="K853" s="359">
        <f>IFERROR(VLOOKUP($A853,#REF!,4,0),AF853)</f>
        <v>0</v>
      </c>
      <c r="L853" s="359" t="str">
        <f>IFERROR(VLOOKUP($A853,#REF!,5,0),"")</f>
        <v/>
      </c>
      <c r="M853" s="359" t="str">
        <f>IFERROR(VLOOKUP($A853,#REF!,7,0),"")</f>
        <v/>
      </c>
      <c r="N853" s="359"/>
      <c r="O853" s="359" t="str">
        <f>IFERROR(VLOOKUP($A853,#REF!,6,0),"")</f>
        <v/>
      </c>
      <c r="P853" s="359" t="str">
        <f>IFERROR(VLOOKUP($A853,#REF!,9,0),"")</f>
        <v/>
      </c>
      <c r="Q853" s="359" t="str">
        <f>IFERROR(VLOOKUP($A853,#REF!,10,0),"")</f>
        <v/>
      </c>
      <c r="R853" s="359" t="str">
        <f>IFERROR(VLOOKUP($A853,#REF!,11,0),"")</f>
        <v/>
      </c>
      <c r="S853" s="359" t="str">
        <f>IFERROR(VLOOKUP($A853,#REF!,13,0),"")</f>
        <v/>
      </c>
      <c r="T853" s="359" t="str">
        <f>IFERROR(VLOOKUP($A853,#REF!,14,0),"")</f>
        <v/>
      </c>
      <c r="U853" s="359" t="str">
        <f>IFERROR(VLOOKUP($A853,#REF!,15,0),"")</f>
        <v/>
      </c>
      <c r="V853" s="359" t="str">
        <f>IFERROR(VLOOKUP($A853,#REF!,16,0),"")</f>
        <v/>
      </c>
      <c r="W853" s="359" t="str">
        <f>IFERROR(VLOOKUP($A853,#REF!,17,0),"")</f>
        <v/>
      </c>
      <c r="X853" s="359" t="str">
        <f>IFERROR(VLOOKUP($A853,#REF!,18,0),"")</f>
        <v/>
      </c>
      <c r="Y853" s="359" t="str">
        <f>IFERROR(VLOOKUP($A853,#REF!,19,0),"")</f>
        <v/>
      </c>
      <c r="Z853" s="400" t="str">
        <f>IFERROR(VLOOKUP($A853,#REF!,21,0),"")</f>
        <v/>
      </c>
      <c r="AA853" s="358"/>
      <c r="AB853" s="358"/>
      <c r="AC853" s="119"/>
      <c r="AD853" s="119"/>
      <c r="AE853" s="119"/>
      <c r="AF853" s="277"/>
      <c r="AG853" s="119"/>
      <c r="AH853" s="358"/>
      <c r="AI853" s="358"/>
      <c r="AJ853" s="380"/>
      <c r="AK853" s="380"/>
      <c r="AL853" s="380"/>
      <c r="AM853" s="380"/>
      <c r="AN853" s="120"/>
      <c r="AO853" s="120"/>
      <c r="AP853" s="120"/>
      <c r="AQ853" s="313"/>
      <c r="AR853" s="119"/>
      <c r="AS853" s="22"/>
      <c r="AT853" s="22"/>
      <c r="AU853" s="22"/>
      <c r="AV853" s="2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112"/>
      <c r="BH853" s="112"/>
      <c r="BI853" s="112"/>
      <c r="BJ853" s="112"/>
      <c r="BK853" s="82"/>
      <c r="BL853" s="82"/>
      <c r="BN853" s="412"/>
      <c r="BO853" s="412"/>
      <c r="BP853" s="412"/>
      <c r="BQ853" s="412"/>
      <c r="BR853" s="412"/>
      <c r="BZ853" t="str">
        <f t="shared" si="74"/>
        <v/>
      </c>
    </row>
    <row r="854" spans="1:78" ht="15.6" hidden="1" customHeight="1">
      <c r="A854" s="35" t="str">
        <f t="shared" si="73"/>
        <v/>
      </c>
      <c r="C854" s="358"/>
      <c r="D854" s="358">
        <v>850</v>
      </c>
      <c r="E854" s="119"/>
      <c r="F854" s="119"/>
      <c r="G854" s="266"/>
      <c r="H854" s="119"/>
      <c r="I854" s="358"/>
      <c r="J854" s="359" t="str">
        <f>IFERROR(VLOOKUP($A854,#REF!,3,0),"")</f>
        <v/>
      </c>
      <c r="K854" s="359">
        <f>IFERROR(VLOOKUP($A854,#REF!,4,0),AF854)</f>
        <v>0</v>
      </c>
      <c r="L854" s="359" t="str">
        <f>IFERROR(VLOOKUP($A854,#REF!,5,0),"")</f>
        <v/>
      </c>
      <c r="M854" s="359" t="str">
        <f>IFERROR(VLOOKUP($A854,#REF!,7,0),"")</f>
        <v/>
      </c>
      <c r="N854" s="359"/>
      <c r="O854" s="359" t="str">
        <f>IFERROR(VLOOKUP($A854,#REF!,6,0),"")</f>
        <v/>
      </c>
      <c r="P854" s="359" t="str">
        <f>IFERROR(VLOOKUP($A854,#REF!,9,0),"")</f>
        <v/>
      </c>
      <c r="Q854" s="359" t="str">
        <f>IFERROR(VLOOKUP($A854,#REF!,10,0),"")</f>
        <v/>
      </c>
      <c r="R854" s="359" t="str">
        <f>IFERROR(VLOOKUP($A854,#REF!,11,0),"")</f>
        <v/>
      </c>
      <c r="S854" s="359" t="str">
        <f>IFERROR(VLOOKUP($A854,#REF!,13,0),"")</f>
        <v/>
      </c>
      <c r="T854" s="359" t="str">
        <f>IFERROR(VLOOKUP($A854,#REF!,14,0),"")</f>
        <v/>
      </c>
      <c r="U854" s="359" t="str">
        <f>IFERROR(VLOOKUP($A854,#REF!,15,0),"")</f>
        <v/>
      </c>
      <c r="V854" s="359" t="str">
        <f>IFERROR(VLOOKUP($A854,#REF!,16,0),"")</f>
        <v/>
      </c>
      <c r="W854" s="359" t="str">
        <f>IFERROR(VLOOKUP($A854,#REF!,17,0),"")</f>
        <v/>
      </c>
      <c r="X854" s="359" t="str">
        <f>IFERROR(VLOOKUP($A854,#REF!,18,0),"")</f>
        <v/>
      </c>
      <c r="Y854" s="359" t="str">
        <f>IFERROR(VLOOKUP($A854,#REF!,19,0),"")</f>
        <v/>
      </c>
      <c r="Z854" s="400" t="str">
        <f>IFERROR(VLOOKUP($A854,#REF!,21,0),"")</f>
        <v/>
      </c>
      <c r="AA854" s="358"/>
      <c r="AB854" s="358"/>
      <c r="AC854" s="119"/>
      <c r="AD854" s="119"/>
      <c r="AE854" s="119"/>
      <c r="AF854" s="277"/>
      <c r="AG854" s="119"/>
      <c r="AH854" s="358"/>
      <c r="AI854" s="358"/>
      <c r="AJ854" s="380"/>
      <c r="AK854" s="380"/>
      <c r="AL854" s="380"/>
      <c r="AM854" s="380"/>
      <c r="AN854" s="120"/>
      <c r="AO854" s="120"/>
      <c r="AP854" s="120"/>
      <c r="AQ854" s="313"/>
      <c r="AR854" s="119"/>
      <c r="AS854" s="22"/>
      <c r="AT854" s="22"/>
      <c r="AU854" s="22"/>
      <c r="AV854" s="2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112"/>
      <c r="BH854" s="112"/>
      <c r="BI854" s="112"/>
      <c r="BJ854" s="112"/>
      <c r="BK854" s="82"/>
      <c r="BL854" s="82"/>
      <c r="BN854" s="412"/>
      <c r="BO854" s="412"/>
      <c r="BP854" s="412"/>
      <c r="BQ854" s="412"/>
      <c r="BR854" s="412"/>
      <c r="BZ854" t="str">
        <f t="shared" si="74"/>
        <v/>
      </c>
    </row>
    <row r="855" spans="1:78" ht="15.6" hidden="1" customHeight="1">
      <c r="A855" s="35" t="str">
        <f t="shared" si="73"/>
        <v/>
      </c>
      <c r="C855" s="358"/>
      <c r="D855" s="358">
        <v>851</v>
      </c>
      <c r="E855" s="119"/>
      <c r="F855" s="119"/>
      <c r="G855" s="266"/>
      <c r="H855" s="119"/>
      <c r="I855" s="358"/>
      <c r="J855" s="359" t="str">
        <f>IFERROR(VLOOKUP($A855,#REF!,3,0),"")</f>
        <v/>
      </c>
      <c r="K855" s="359">
        <f>IFERROR(VLOOKUP($A855,#REF!,4,0),AF855)</f>
        <v>0</v>
      </c>
      <c r="L855" s="359" t="str">
        <f>IFERROR(VLOOKUP($A855,#REF!,5,0),"")</f>
        <v/>
      </c>
      <c r="M855" s="359" t="str">
        <f>IFERROR(VLOOKUP($A855,#REF!,7,0),"")</f>
        <v/>
      </c>
      <c r="N855" s="359"/>
      <c r="O855" s="359" t="str">
        <f>IFERROR(VLOOKUP($A855,#REF!,6,0),"")</f>
        <v/>
      </c>
      <c r="P855" s="359" t="str">
        <f>IFERROR(VLOOKUP($A855,#REF!,9,0),"")</f>
        <v/>
      </c>
      <c r="Q855" s="359" t="str">
        <f>IFERROR(VLOOKUP($A855,#REF!,10,0),"")</f>
        <v/>
      </c>
      <c r="R855" s="359" t="str">
        <f>IFERROR(VLOOKUP($A855,#REF!,11,0),"")</f>
        <v/>
      </c>
      <c r="S855" s="359" t="str">
        <f>IFERROR(VLOOKUP($A855,#REF!,13,0),"")</f>
        <v/>
      </c>
      <c r="T855" s="359" t="str">
        <f>IFERROR(VLOOKUP($A855,#REF!,14,0),"")</f>
        <v/>
      </c>
      <c r="U855" s="359" t="str">
        <f>IFERROR(VLOOKUP($A855,#REF!,15,0),"")</f>
        <v/>
      </c>
      <c r="V855" s="359" t="str">
        <f>IFERROR(VLOOKUP($A855,#REF!,16,0),"")</f>
        <v/>
      </c>
      <c r="W855" s="359" t="str">
        <f>IFERROR(VLOOKUP($A855,#REF!,17,0),"")</f>
        <v/>
      </c>
      <c r="X855" s="359" t="str">
        <f>IFERROR(VLOOKUP($A855,#REF!,18,0),"")</f>
        <v/>
      </c>
      <c r="Y855" s="359" t="str">
        <f>IFERROR(VLOOKUP($A855,#REF!,19,0),"")</f>
        <v/>
      </c>
      <c r="Z855" s="400" t="str">
        <f>IFERROR(VLOOKUP($A855,#REF!,21,0),"")</f>
        <v/>
      </c>
      <c r="AA855" s="358"/>
      <c r="AB855" s="358"/>
      <c r="AC855" s="119"/>
      <c r="AD855" s="119"/>
      <c r="AE855" s="119"/>
      <c r="AF855" s="277"/>
      <c r="AG855" s="119"/>
      <c r="AH855" s="358"/>
      <c r="AI855" s="358"/>
      <c r="AJ855" s="380"/>
      <c r="AK855" s="380"/>
      <c r="AL855" s="380"/>
      <c r="AM855" s="380"/>
      <c r="AN855" s="120"/>
      <c r="AO855" s="120"/>
      <c r="AP855" s="120"/>
      <c r="AQ855" s="313"/>
      <c r="AR855" s="119"/>
      <c r="AS855" s="22"/>
      <c r="AT855" s="22"/>
      <c r="AU855" s="22"/>
      <c r="AV855" s="2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112"/>
      <c r="BH855" s="112"/>
      <c r="BI855" s="112"/>
      <c r="BJ855" s="112"/>
      <c r="BK855" s="82"/>
      <c r="BL855" s="82"/>
      <c r="BN855" s="412"/>
      <c r="BO855" s="412"/>
      <c r="BP855" s="412"/>
      <c r="BQ855" s="412"/>
      <c r="BR855" s="412"/>
      <c r="BZ855" t="str">
        <f t="shared" si="74"/>
        <v/>
      </c>
    </row>
    <row r="856" spans="1:78" ht="15.6" hidden="1" customHeight="1">
      <c r="A856" s="35" t="str">
        <f t="shared" si="73"/>
        <v/>
      </c>
      <c r="C856" s="358"/>
      <c r="D856" s="358">
        <v>852</v>
      </c>
      <c r="E856" s="119"/>
      <c r="F856" s="119"/>
      <c r="G856" s="266"/>
      <c r="H856" s="119"/>
      <c r="I856" s="358"/>
      <c r="J856" s="359" t="str">
        <f>IFERROR(VLOOKUP($A856,#REF!,3,0),"")</f>
        <v/>
      </c>
      <c r="K856" s="359">
        <f>IFERROR(VLOOKUP($A856,#REF!,4,0),AF856)</f>
        <v>0</v>
      </c>
      <c r="L856" s="359" t="str">
        <f>IFERROR(VLOOKUP($A856,#REF!,5,0),"")</f>
        <v/>
      </c>
      <c r="M856" s="359" t="str">
        <f>IFERROR(VLOOKUP($A856,#REF!,7,0),"")</f>
        <v/>
      </c>
      <c r="N856" s="359"/>
      <c r="O856" s="359" t="str">
        <f>IFERROR(VLOOKUP($A856,#REF!,6,0),"")</f>
        <v/>
      </c>
      <c r="P856" s="359" t="str">
        <f>IFERROR(VLOOKUP($A856,#REF!,9,0),"")</f>
        <v/>
      </c>
      <c r="Q856" s="359" t="str">
        <f>IFERROR(VLOOKUP($A856,#REF!,10,0),"")</f>
        <v/>
      </c>
      <c r="R856" s="359" t="str">
        <f>IFERROR(VLOOKUP($A856,#REF!,11,0),"")</f>
        <v/>
      </c>
      <c r="S856" s="359" t="str">
        <f>IFERROR(VLOOKUP($A856,#REF!,13,0),"")</f>
        <v/>
      </c>
      <c r="T856" s="359" t="str">
        <f>IFERROR(VLOOKUP($A856,#REF!,14,0),"")</f>
        <v/>
      </c>
      <c r="U856" s="359" t="str">
        <f>IFERROR(VLOOKUP($A856,#REF!,15,0),"")</f>
        <v/>
      </c>
      <c r="V856" s="359" t="str">
        <f>IFERROR(VLOOKUP($A856,#REF!,16,0),"")</f>
        <v/>
      </c>
      <c r="W856" s="359" t="str">
        <f>IFERROR(VLOOKUP($A856,#REF!,17,0),"")</f>
        <v/>
      </c>
      <c r="X856" s="359" t="str">
        <f>IFERROR(VLOOKUP($A856,#REF!,18,0),"")</f>
        <v/>
      </c>
      <c r="Y856" s="359" t="str">
        <f>IFERROR(VLOOKUP($A856,#REF!,19,0),"")</f>
        <v/>
      </c>
      <c r="Z856" s="400" t="str">
        <f>IFERROR(VLOOKUP($A856,#REF!,21,0),"")</f>
        <v/>
      </c>
      <c r="AA856" s="358"/>
      <c r="AB856" s="358"/>
      <c r="AC856" s="119"/>
      <c r="AD856" s="119"/>
      <c r="AE856" s="119"/>
      <c r="AF856" s="277"/>
      <c r="AG856" s="119"/>
      <c r="AH856" s="358"/>
      <c r="AI856" s="358"/>
      <c r="AJ856" s="380"/>
      <c r="AK856" s="380"/>
      <c r="AL856" s="380"/>
      <c r="AM856" s="380"/>
      <c r="AN856" s="120"/>
      <c r="AO856" s="120"/>
      <c r="AP856" s="120"/>
      <c r="AQ856" s="313"/>
      <c r="AR856" s="119"/>
      <c r="AS856" s="22"/>
      <c r="AT856" s="22"/>
      <c r="AU856" s="22"/>
      <c r="AV856" s="2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112"/>
      <c r="BH856" s="112"/>
      <c r="BI856" s="112"/>
      <c r="BJ856" s="112"/>
      <c r="BK856" s="82"/>
      <c r="BL856" s="82"/>
      <c r="BN856" s="412"/>
      <c r="BO856" s="412"/>
      <c r="BP856" s="412"/>
      <c r="BQ856" s="412"/>
      <c r="BR856" s="412"/>
      <c r="BZ856" t="str">
        <f t="shared" si="74"/>
        <v/>
      </c>
    </row>
    <row r="857" spans="1:78" ht="15.6" hidden="1" customHeight="1">
      <c r="A857" s="35" t="str">
        <f t="shared" si="73"/>
        <v/>
      </c>
      <c r="C857" s="358"/>
      <c r="D857" s="358">
        <v>853</v>
      </c>
      <c r="E857" s="119"/>
      <c r="F857" s="119"/>
      <c r="G857" s="266"/>
      <c r="H857" s="119"/>
      <c r="I857" s="358"/>
      <c r="J857" s="359" t="str">
        <f>IFERROR(VLOOKUP($A857,#REF!,3,0),"")</f>
        <v/>
      </c>
      <c r="K857" s="359">
        <f>IFERROR(VLOOKUP($A857,#REF!,4,0),AF857)</f>
        <v>0</v>
      </c>
      <c r="L857" s="359" t="str">
        <f>IFERROR(VLOOKUP($A857,#REF!,5,0),"")</f>
        <v/>
      </c>
      <c r="M857" s="359" t="str">
        <f>IFERROR(VLOOKUP($A857,#REF!,7,0),"")</f>
        <v/>
      </c>
      <c r="N857" s="359"/>
      <c r="O857" s="359" t="str">
        <f>IFERROR(VLOOKUP($A857,#REF!,6,0),"")</f>
        <v/>
      </c>
      <c r="P857" s="359" t="str">
        <f>IFERROR(VLOOKUP($A857,#REF!,9,0),"")</f>
        <v/>
      </c>
      <c r="Q857" s="359" t="str">
        <f>IFERROR(VLOOKUP($A857,#REF!,10,0),"")</f>
        <v/>
      </c>
      <c r="R857" s="359" t="str">
        <f>IFERROR(VLOOKUP($A857,#REF!,11,0),"")</f>
        <v/>
      </c>
      <c r="S857" s="359" t="str">
        <f>IFERROR(VLOOKUP($A857,#REF!,13,0),"")</f>
        <v/>
      </c>
      <c r="T857" s="359" t="str">
        <f>IFERROR(VLOOKUP($A857,#REF!,14,0),"")</f>
        <v/>
      </c>
      <c r="U857" s="359" t="str">
        <f>IFERROR(VLOOKUP($A857,#REF!,15,0),"")</f>
        <v/>
      </c>
      <c r="V857" s="359" t="str">
        <f>IFERROR(VLOOKUP($A857,#REF!,16,0),"")</f>
        <v/>
      </c>
      <c r="W857" s="359" t="str">
        <f>IFERROR(VLOOKUP($A857,#REF!,17,0),"")</f>
        <v/>
      </c>
      <c r="X857" s="359" t="str">
        <f>IFERROR(VLOOKUP($A857,#REF!,18,0),"")</f>
        <v/>
      </c>
      <c r="Y857" s="359" t="str">
        <f>IFERROR(VLOOKUP($A857,#REF!,19,0),"")</f>
        <v/>
      </c>
      <c r="Z857" s="400" t="str">
        <f>IFERROR(VLOOKUP($A857,#REF!,21,0),"")</f>
        <v/>
      </c>
      <c r="AA857" s="358"/>
      <c r="AB857" s="358"/>
      <c r="AC857" s="119"/>
      <c r="AD857" s="119"/>
      <c r="AE857" s="119"/>
      <c r="AF857" s="277"/>
      <c r="AG857" s="119"/>
      <c r="AH857" s="358"/>
      <c r="AI857" s="358"/>
      <c r="AJ857" s="380"/>
      <c r="AK857" s="380"/>
      <c r="AL857" s="380"/>
      <c r="AM857" s="380"/>
      <c r="AN857" s="120"/>
      <c r="AO857" s="120"/>
      <c r="AP857" s="120"/>
      <c r="AQ857" s="313"/>
      <c r="AR857" s="119"/>
      <c r="AS857" s="22"/>
      <c r="AT857" s="22"/>
      <c r="AU857" s="22"/>
      <c r="AV857" s="2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112"/>
      <c r="BH857" s="112"/>
      <c r="BI857" s="112"/>
      <c r="BJ857" s="112"/>
      <c r="BK857" s="82"/>
      <c r="BL857" s="82"/>
      <c r="BN857" s="412"/>
      <c r="BO857" s="412"/>
      <c r="BP857" s="412"/>
      <c r="BQ857" s="412"/>
      <c r="BR857" s="412"/>
      <c r="BZ857" t="str">
        <f t="shared" si="74"/>
        <v/>
      </c>
    </row>
    <row r="858" spans="1:78" ht="15.6" hidden="1" customHeight="1">
      <c r="A858" s="35" t="str">
        <f t="shared" si="73"/>
        <v/>
      </c>
      <c r="C858" s="358"/>
      <c r="D858" s="358">
        <v>854</v>
      </c>
      <c r="E858" s="119"/>
      <c r="F858" s="119"/>
      <c r="G858" s="266"/>
      <c r="H858" s="119"/>
      <c r="I858" s="358"/>
      <c r="J858" s="359" t="str">
        <f>IFERROR(VLOOKUP($A858,#REF!,3,0),"")</f>
        <v/>
      </c>
      <c r="K858" s="359">
        <f>IFERROR(VLOOKUP($A858,#REF!,4,0),AF858)</f>
        <v>0</v>
      </c>
      <c r="L858" s="359" t="str">
        <f>IFERROR(VLOOKUP($A858,#REF!,5,0),"")</f>
        <v/>
      </c>
      <c r="M858" s="359" t="str">
        <f>IFERROR(VLOOKUP($A858,#REF!,7,0),"")</f>
        <v/>
      </c>
      <c r="N858" s="359"/>
      <c r="O858" s="359" t="str">
        <f>IFERROR(VLOOKUP($A858,#REF!,6,0),"")</f>
        <v/>
      </c>
      <c r="P858" s="359" t="str">
        <f>IFERROR(VLOOKUP($A858,#REF!,9,0),"")</f>
        <v/>
      </c>
      <c r="Q858" s="359" t="str">
        <f>IFERROR(VLOOKUP($A858,#REF!,10,0),"")</f>
        <v/>
      </c>
      <c r="R858" s="359" t="str">
        <f>IFERROR(VLOOKUP($A858,#REF!,11,0),"")</f>
        <v/>
      </c>
      <c r="S858" s="359" t="str">
        <f>IFERROR(VLOOKUP($A858,#REF!,13,0),"")</f>
        <v/>
      </c>
      <c r="T858" s="359" t="str">
        <f>IFERROR(VLOOKUP($A858,#REF!,14,0),"")</f>
        <v/>
      </c>
      <c r="U858" s="359" t="str">
        <f>IFERROR(VLOOKUP($A858,#REF!,15,0),"")</f>
        <v/>
      </c>
      <c r="V858" s="359" t="str">
        <f>IFERROR(VLOOKUP($A858,#REF!,16,0),"")</f>
        <v/>
      </c>
      <c r="W858" s="359" t="str">
        <f>IFERROR(VLOOKUP($A858,#REF!,17,0),"")</f>
        <v/>
      </c>
      <c r="X858" s="359" t="str">
        <f>IFERROR(VLOOKUP($A858,#REF!,18,0),"")</f>
        <v/>
      </c>
      <c r="Y858" s="359" t="str">
        <f>IFERROR(VLOOKUP($A858,#REF!,19,0),"")</f>
        <v/>
      </c>
      <c r="Z858" s="400" t="str">
        <f>IFERROR(VLOOKUP($A858,#REF!,21,0),"")</f>
        <v/>
      </c>
      <c r="AA858" s="358"/>
      <c r="AB858" s="358"/>
      <c r="AC858" s="119"/>
      <c r="AD858" s="119"/>
      <c r="AE858" s="119"/>
      <c r="AF858" s="277"/>
      <c r="AG858" s="119"/>
      <c r="AH858" s="358"/>
      <c r="AI858" s="358"/>
      <c r="AJ858" s="380"/>
      <c r="AK858" s="380"/>
      <c r="AL858" s="380"/>
      <c r="AM858" s="380"/>
      <c r="AN858" s="120"/>
      <c r="AO858" s="120"/>
      <c r="AP858" s="120"/>
      <c r="AQ858" s="313"/>
      <c r="AR858" s="119"/>
      <c r="AS858" s="22"/>
      <c r="AT858" s="22"/>
      <c r="AU858" s="22"/>
      <c r="AV858" s="2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112"/>
      <c r="BH858" s="112"/>
      <c r="BI858" s="112"/>
      <c r="BJ858" s="112"/>
      <c r="BK858" s="82"/>
      <c r="BL858" s="82"/>
      <c r="BN858" s="412"/>
      <c r="BO858" s="412"/>
      <c r="BP858" s="412"/>
      <c r="BQ858" s="412"/>
      <c r="BR858" s="412"/>
      <c r="BZ858" t="str">
        <f t="shared" si="74"/>
        <v/>
      </c>
    </row>
    <row r="859" spans="1:78" ht="15.6" hidden="1" customHeight="1">
      <c r="A859" s="35" t="str">
        <f t="shared" si="73"/>
        <v/>
      </c>
      <c r="C859" s="358"/>
      <c r="D859" s="358">
        <v>855</v>
      </c>
      <c r="E859" s="119"/>
      <c r="F859" s="119"/>
      <c r="G859" s="266"/>
      <c r="H859" s="119"/>
      <c r="I859" s="358"/>
      <c r="J859" s="359" t="str">
        <f>IFERROR(VLOOKUP($A859,#REF!,3,0),"")</f>
        <v/>
      </c>
      <c r="K859" s="359">
        <f>IFERROR(VLOOKUP($A859,#REF!,4,0),AF859)</f>
        <v>0</v>
      </c>
      <c r="L859" s="359" t="str">
        <f>IFERROR(VLOOKUP($A859,#REF!,5,0),"")</f>
        <v/>
      </c>
      <c r="M859" s="359" t="str">
        <f>IFERROR(VLOOKUP($A859,#REF!,7,0),"")</f>
        <v/>
      </c>
      <c r="N859" s="359"/>
      <c r="O859" s="359" t="str">
        <f>IFERROR(VLOOKUP($A859,#REF!,6,0),"")</f>
        <v/>
      </c>
      <c r="P859" s="359" t="str">
        <f>IFERROR(VLOOKUP($A859,#REF!,9,0),"")</f>
        <v/>
      </c>
      <c r="Q859" s="359" t="str">
        <f>IFERROR(VLOOKUP($A859,#REF!,10,0),"")</f>
        <v/>
      </c>
      <c r="R859" s="359" t="str">
        <f>IFERROR(VLOOKUP($A859,#REF!,11,0),"")</f>
        <v/>
      </c>
      <c r="S859" s="359" t="str">
        <f>IFERROR(VLOOKUP($A859,#REF!,13,0),"")</f>
        <v/>
      </c>
      <c r="T859" s="359" t="str">
        <f>IFERROR(VLOOKUP($A859,#REF!,14,0),"")</f>
        <v/>
      </c>
      <c r="U859" s="359" t="str">
        <f>IFERROR(VLOOKUP($A859,#REF!,15,0),"")</f>
        <v/>
      </c>
      <c r="V859" s="359" t="str">
        <f>IFERROR(VLOOKUP($A859,#REF!,16,0),"")</f>
        <v/>
      </c>
      <c r="W859" s="359" t="str">
        <f>IFERROR(VLOOKUP($A859,#REF!,17,0),"")</f>
        <v/>
      </c>
      <c r="X859" s="359" t="str">
        <f>IFERROR(VLOOKUP($A859,#REF!,18,0),"")</f>
        <v/>
      </c>
      <c r="Y859" s="359" t="str">
        <f>IFERROR(VLOOKUP($A859,#REF!,19,0),"")</f>
        <v/>
      </c>
      <c r="Z859" s="400" t="str">
        <f>IFERROR(VLOOKUP($A859,#REF!,21,0),"")</f>
        <v/>
      </c>
      <c r="AA859" s="358"/>
      <c r="AB859" s="358"/>
      <c r="AC859" s="119"/>
      <c r="AD859" s="119"/>
      <c r="AE859" s="119"/>
      <c r="AF859" s="277"/>
      <c r="AG859" s="119"/>
      <c r="AH859" s="358"/>
      <c r="AI859" s="358"/>
      <c r="AJ859" s="380"/>
      <c r="AK859" s="380"/>
      <c r="AL859" s="380"/>
      <c r="AM859" s="380"/>
      <c r="AN859" s="120"/>
      <c r="AO859" s="120"/>
      <c r="AP859" s="120"/>
      <c r="AQ859" s="313"/>
      <c r="AR859" s="119"/>
      <c r="AS859" s="22"/>
      <c r="AT859" s="22"/>
      <c r="AU859" s="22"/>
      <c r="AV859" s="2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112"/>
      <c r="BH859" s="112"/>
      <c r="BI859" s="112"/>
      <c r="BJ859" s="112"/>
      <c r="BK859" s="82"/>
      <c r="BL859" s="82"/>
      <c r="BN859" s="412"/>
      <c r="BO859" s="412"/>
      <c r="BP859" s="412"/>
      <c r="BQ859" s="412"/>
      <c r="BR859" s="412"/>
      <c r="BZ859" t="str">
        <f t="shared" si="74"/>
        <v/>
      </c>
    </row>
    <row r="860" spans="1:78" ht="15.6" hidden="1" customHeight="1">
      <c r="A860" s="35" t="str">
        <f t="shared" si="73"/>
        <v/>
      </c>
      <c r="C860" s="358"/>
      <c r="D860" s="358">
        <v>856</v>
      </c>
      <c r="E860" s="119"/>
      <c r="F860" s="119"/>
      <c r="G860" s="266"/>
      <c r="H860" s="119"/>
      <c r="I860" s="358"/>
      <c r="J860" s="359" t="str">
        <f>IFERROR(VLOOKUP($A860,#REF!,3,0),"")</f>
        <v/>
      </c>
      <c r="K860" s="359">
        <f>IFERROR(VLOOKUP($A860,#REF!,4,0),AF860)</f>
        <v>0</v>
      </c>
      <c r="L860" s="359" t="str">
        <f>IFERROR(VLOOKUP($A860,#REF!,5,0),"")</f>
        <v/>
      </c>
      <c r="M860" s="359" t="str">
        <f>IFERROR(VLOOKUP($A860,#REF!,7,0),"")</f>
        <v/>
      </c>
      <c r="N860" s="359"/>
      <c r="O860" s="359" t="str">
        <f>IFERROR(VLOOKUP($A860,#REF!,6,0),"")</f>
        <v/>
      </c>
      <c r="P860" s="359" t="str">
        <f>IFERROR(VLOOKUP($A860,#REF!,9,0),"")</f>
        <v/>
      </c>
      <c r="Q860" s="359" t="str">
        <f>IFERROR(VLOOKUP($A860,#REF!,10,0),"")</f>
        <v/>
      </c>
      <c r="R860" s="359" t="str">
        <f>IFERROR(VLOOKUP($A860,#REF!,11,0),"")</f>
        <v/>
      </c>
      <c r="S860" s="359" t="str">
        <f>IFERROR(VLOOKUP($A860,#REF!,13,0),"")</f>
        <v/>
      </c>
      <c r="T860" s="359" t="str">
        <f>IFERROR(VLOOKUP($A860,#REF!,14,0),"")</f>
        <v/>
      </c>
      <c r="U860" s="359" t="str">
        <f>IFERROR(VLOOKUP($A860,#REF!,15,0),"")</f>
        <v/>
      </c>
      <c r="V860" s="359" t="str">
        <f>IFERROR(VLOOKUP($A860,#REF!,16,0),"")</f>
        <v/>
      </c>
      <c r="W860" s="359" t="str">
        <f>IFERROR(VLOOKUP($A860,#REF!,17,0),"")</f>
        <v/>
      </c>
      <c r="X860" s="359" t="str">
        <f>IFERROR(VLOOKUP($A860,#REF!,18,0),"")</f>
        <v/>
      </c>
      <c r="Y860" s="359" t="str">
        <f>IFERROR(VLOOKUP($A860,#REF!,19,0),"")</f>
        <v/>
      </c>
      <c r="Z860" s="400" t="str">
        <f>IFERROR(VLOOKUP($A860,#REF!,21,0),"")</f>
        <v/>
      </c>
      <c r="AA860" s="358"/>
      <c r="AB860" s="358"/>
      <c r="AC860" s="119"/>
      <c r="AD860" s="119"/>
      <c r="AE860" s="119"/>
      <c r="AF860" s="277"/>
      <c r="AG860" s="119"/>
      <c r="AH860" s="358"/>
      <c r="AI860" s="358"/>
      <c r="AJ860" s="380"/>
      <c r="AK860" s="380"/>
      <c r="AL860" s="380"/>
      <c r="AM860" s="380"/>
      <c r="AN860" s="120"/>
      <c r="AO860" s="120"/>
      <c r="AP860" s="120"/>
      <c r="AQ860" s="313"/>
      <c r="AR860" s="119"/>
      <c r="AS860" s="22"/>
      <c r="AT860" s="22"/>
      <c r="AU860" s="22"/>
      <c r="AV860" s="22"/>
      <c r="AW860" s="82"/>
      <c r="AX860" s="82"/>
      <c r="AY860" s="82"/>
      <c r="AZ860" s="82"/>
      <c r="BA860" s="82"/>
      <c r="BB860" s="82"/>
      <c r="BC860" s="82"/>
      <c r="BD860" s="82"/>
      <c r="BE860" s="82"/>
      <c r="BF860" s="82"/>
      <c r="BG860" s="112"/>
      <c r="BH860" s="112"/>
      <c r="BI860" s="112"/>
      <c r="BJ860" s="112"/>
      <c r="BK860" s="82"/>
      <c r="BL860" s="82"/>
      <c r="BN860" s="412"/>
      <c r="BO860" s="412"/>
      <c r="BP860" s="412"/>
      <c r="BQ860" s="412"/>
      <c r="BR860" s="412"/>
      <c r="BZ860" t="str">
        <f t="shared" si="74"/>
        <v/>
      </c>
    </row>
    <row r="861" spans="1:78" ht="15.6" hidden="1" customHeight="1">
      <c r="A861" s="35" t="str">
        <f t="shared" si="73"/>
        <v/>
      </c>
      <c r="C861" s="358"/>
      <c r="D861" s="358">
        <v>857</v>
      </c>
      <c r="E861" s="119"/>
      <c r="F861" s="119"/>
      <c r="G861" s="266"/>
      <c r="H861" s="119"/>
      <c r="I861" s="358"/>
      <c r="J861" s="359" t="str">
        <f>IFERROR(VLOOKUP($A861,#REF!,3,0),"")</f>
        <v/>
      </c>
      <c r="K861" s="359">
        <f>IFERROR(VLOOKUP($A861,#REF!,4,0),AF861)</f>
        <v>0</v>
      </c>
      <c r="L861" s="359" t="str">
        <f>IFERROR(VLOOKUP($A861,#REF!,5,0),"")</f>
        <v/>
      </c>
      <c r="M861" s="359" t="str">
        <f>IFERROR(VLOOKUP($A861,#REF!,7,0),"")</f>
        <v/>
      </c>
      <c r="N861" s="359"/>
      <c r="O861" s="359" t="str">
        <f>IFERROR(VLOOKUP($A861,#REF!,6,0),"")</f>
        <v/>
      </c>
      <c r="P861" s="359" t="str">
        <f>IFERROR(VLOOKUP($A861,#REF!,9,0),"")</f>
        <v/>
      </c>
      <c r="Q861" s="359" t="str">
        <f>IFERROR(VLOOKUP($A861,#REF!,10,0),"")</f>
        <v/>
      </c>
      <c r="R861" s="359" t="str">
        <f>IFERROR(VLOOKUP($A861,#REF!,11,0),"")</f>
        <v/>
      </c>
      <c r="S861" s="359" t="str">
        <f>IFERROR(VLOOKUP($A861,#REF!,13,0),"")</f>
        <v/>
      </c>
      <c r="T861" s="359" t="str">
        <f>IFERROR(VLOOKUP($A861,#REF!,14,0),"")</f>
        <v/>
      </c>
      <c r="U861" s="359" t="str">
        <f>IFERROR(VLOOKUP($A861,#REF!,15,0),"")</f>
        <v/>
      </c>
      <c r="V861" s="359" t="str">
        <f>IFERROR(VLOOKUP($A861,#REF!,16,0),"")</f>
        <v/>
      </c>
      <c r="W861" s="359" t="str">
        <f>IFERROR(VLOOKUP($A861,#REF!,17,0),"")</f>
        <v/>
      </c>
      <c r="X861" s="359" t="str">
        <f>IFERROR(VLOOKUP($A861,#REF!,18,0),"")</f>
        <v/>
      </c>
      <c r="Y861" s="359" t="str">
        <f>IFERROR(VLOOKUP($A861,#REF!,19,0),"")</f>
        <v/>
      </c>
      <c r="Z861" s="400" t="str">
        <f>IFERROR(VLOOKUP($A861,#REF!,21,0),"")</f>
        <v/>
      </c>
      <c r="AA861" s="358"/>
      <c r="AB861" s="358"/>
      <c r="AC861" s="119"/>
      <c r="AD861" s="119"/>
      <c r="AE861" s="119"/>
      <c r="AF861" s="277"/>
      <c r="AG861" s="119"/>
      <c r="AH861" s="358"/>
      <c r="AI861" s="358"/>
      <c r="AJ861" s="380"/>
      <c r="AK861" s="380"/>
      <c r="AL861" s="380"/>
      <c r="AM861" s="380"/>
      <c r="AN861" s="120"/>
      <c r="AO861" s="120"/>
      <c r="AP861" s="120"/>
      <c r="AQ861" s="313"/>
      <c r="AR861" s="119"/>
      <c r="AS861" s="22"/>
      <c r="AT861" s="22"/>
      <c r="AU861" s="22"/>
      <c r="AV861" s="22"/>
      <c r="AW861" s="82"/>
      <c r="AX861" s="82"/>
      <c r="AY861" s="82"/>
      <c r="AZ861" s="82"/>
      <c r="BA861" s="82"/>
      <c r="BB861" s="82"/>
      <c r="BC861" s="82"/>
      <c r="BD861" s="82"/>
      <c r="BE861" s="82"/>
      <c r="BF861" s="82"/>
      <c r="BG861" s="112"/>
      <c r="BH861" s="112"/>
      <c r="BI861" s="112"/>
      <c r="BJ861" s="112"/>
      <c r="BK861" s="82"/>
      <c r="BL861" s="82"/>
      <c r="BN861" s="412"/>
      <c r="BO861" s="412"/>
      <c r="BP861" s="412"/>
      <c r="BQ861" s="412"/>
      <c r="BR861" s="412"/>
      <c r="BZ861" t="str">
        <f t="shared" si="74"/>
        <v/>
      </c>
    </row>
    <row r="862" spans="1:78" ht="15.6" hidden="1" customHeight="1">
      <c r="A862" s="35" t="str">
        <f t="shared" si="73"/>
        <v/>
      </c>
      <c r="C862" s="358"/>
      <c r="D862" s="358">
        <v>858</v>
      </c>
      <c r="E862" s="119"/>
      <c r="F862" s="119"/>
      <c r="G862" s="266"/>
      <c r="H862" s="119"/>
      <c r="I862" s="358"/>
      <c r="J862" s="359" t="str">
        <f>IFERROR(VLOOKUP($A862,#REF!,3,0),"")</f>
        <v/>
      </c>
      <c r="K862" s="359">
        <f>IFERROR(VLOOKUP($A862,#REF!,4,0),AF862)</f>
        <v>0</v>
      </c>
      <c r="L862" s="359" t="str">
        <f>IFERROR(VLOOKUP($A862,#REF!,5,0),"")</f>
        <v/>
      </c>
      <c r="M862" s="359" t="str">
        <f>IFERROR(VLOOKUP($A862,#REF!,7,0),"")</f>
        <v/>
      </c>
      <c r="N862" s="359"/>
      <c r="O862" s="359" t="str">
        <f>IFERROR(VLOOKUP($A862,#REF!,6,0),"")</f>
        <v/>
      </c>
      <c r="P862" s="359" t="str">
        <f>IFERROR(VLOOKUP($A862,#REF!,9,0),"")</f>
        <v/>
      </c>
      <c r="Q862" s="359" t="str">
        <f>IFERROR(VLOOKUP($A862,#REF!,10,0),"")</f>
        <v/>
      </c>
      <c r="R862" s="359" t="str">
        <f>IFERROR(VLOOKUP($A862,#REF!,11,0),"")</f>
        <v/>
      </c>
      <c r="S862" s="359" t="str">
        <f>IFERROR(VLOOKUP($A862,#REF!,13,0),"")</f>
        <v/>
      </c>
      <c r="T862" s="359" t="str">
        <f>IFERROR(VLOOKUP($A862,#REF!,14,0),"")</f>
        <v/>
      </c>
      <c r="U862" s="359" t="str">
        <f>IFERROR(VLOOKUP($A862,#REF!,15,0),"")</f>
        <v/>
      </c>
      <c r="V862" s="359" t="str">
        <f>IFERROR(VLOOKUP($A862,#REF!,16,0),"")</f>
        <v/>
      </c>
      <c r="W862" s="359" t="str">
        <f>IFERROR(VLOOKUP($A862,#REF!,17,0),"")</f>
        <v/>
      </c>
      <c r="X862" s="359" t="str">
        <f>IFERROR(VLOOKUP($A862,#REF!,18,0),"")</f>
        <v/>
      </c>
      <c r="Y862" s="359" t="str">
        <f>IFERROR(VLOOKUP($A862,#REF!,19,0),"")</f>
        <v/>
      </c>
      <c r="Z862" s="400" t="str">
        <f>IFERROR(VLOOKUP($A862,#REF!,21,0),"")</f>
        <v/>
      </c>
      <c r="AA862" s="358"/>
      <c r="AB862" s="358"/>
      <c r="AC862" s="119"/>
      <c r="AD862" s="119"/>
      <c r="AE862" s="119"/>
      <c r="AF862" s="277"/>
      <c r="AG862" s="119"/>
      <c r="AH862" s="358"/>
      <c r="AI862" s="358"/>
      <c r="AJ862" s="380"/>
      <c r="AK862" s="380"/>
      <c r="AL862" s="380"/>
      <c r="AM862" s="380"/>
      <c r="AN862" s="120"/>
      <c r="AO862" s="120"/>
      <c r="AP862" s="120"/>
      <c r="AQ862" s="313"/>
      <c r="AR862" s="119"/>
      <c r="AS862" s="22"/>
      <c r="AT862" s="22"/>
      <c r="AU862" s="22"/>
      <c r="AV862" s="22"/>
      <c r="AW862" s="82"/>
      <c r="AX862" s="82"/>
      <c r="AY862" s="82"/>
      <c r="AZ862" s="82"/>
      <c r="BA862" s="82"/>
      <c r="BB862" s="82"/>
      <c r="BC862" s="82"/>
      <c r="BD862" s="82"/>
      <c r="BE862" s="82"/>
      <c r="BF862" s="82"/>
      <c r="BG862" s="112"/>
      <c r="BH862" s="112"/>
      <c r="BI862" s="112"/>
      <c r="BJ862" s="112"/>
      <c r="BK862" s="82"/>
      <c r="BL862" s="82"/>
      <c r="BN862" s="412"/>
      <c r="BO862" s="412"/>
      <c r="BP862" s="412"/>
      <c r="BQ862" s="412"/>
      <c r="BR862" s="412"/>
      <c r="BZ862" t="str">
        <f t="shared" si="74"/>
        <v/>
      </c>
    </row>
    <row r="863" spans="1:78" ht="15.6" hidden="1" customHeight="1">
      <c r="A863" s="35" t="str">
        <f t="shared" si="73"/>
        <v/>
      </c>
      <c r="C863" s="358"/>
      <c r="D863" s="358">
        <v>859</v>
      </c>
      <c r="E863" s="119"/>
      <c r="F863" s="119"/>
      <c r="G863" s="266"/>
      <c r="H863" s="119"/>
      <c r="I863" s="358"/>
      <c r="J863" s="359" t="str">
        <f>IFERROR(VLOOKUP($A863,#REF!,3,0),"")</f>
        <v/>
      </c>
      <c r="K863" s="359">
        <f>IFERROR(VLOOKUP($A863,#REF!,4,0),AF863)</f>
        <v>0</v>
      </c>
      <c r="L863" s="359" t="str">
        <f>IFERROR(VLOOKUP($A863,#REF!,5,0),"")</f>
        <v/>
      </c>
      <c r="M863" s="359" t="str">
        <f>IFERROR(VLOOKUP($A863,#REF!,7,0),"")</f>
        <v/>
      </c>
      <c r="N863" s="359"/>
      <c r="O863" s="359" t="str">
        <f>IFERROR(VLOOKUP($A863,#REF!,6,0),"")</f>
        <v/>
      </c>
      <c r="P863" s="359" t="str">
        <f>IFERROR(VLOOKUP($A863,#REF!,9,0),"")</f>
        <v/>
      </c>
      <c r="Q863" s="359" t="str">
        <f>IFERROR(VLOOKUP($A863,#REF!,10,0),"")</f>
        <v/>
      </c>
      <c r="R863" s="359" t="str">
        <f>IFERROR(VLOOKUP($A863,#REF!,11,0),"")</f>
        <v/>
      </c>
      <c r="S863" s="359" t="str">
        <f>IFERROR(VLOOKUP($A863,#REF!,13,0),"")</f>
        <v/>
      </c>
      <c r="T863" s="359" t="str">
        <f>IFERROR(VLOOKUP($A863,#REF!,14,0),"")</f>
        <v/>
      </c>
      <c r="U863" s="359" t="str">
        <f>IFERROR(VLOOKUP($A863,#REF!,15,0),"")</f>
        <v/>
      </c>
      <c r="V863" s="359" t="str">
        <f>IFERROR(VLOOKUP($A863,#REF!,16,0),"")</f>
        <v/>
      </c>
      <c r="W863" s="359" t="str">
        <f>IFERROR(VLOOKUP($A863,#REF!,17,0),"")</f>
        <v/>
      </c>
      <c r="X863" s="359" t="str">
        <f>IFERROR(VLOOKUP($A863,#REF!,18,0),"")</f>
        <v/>
      </c>
      <c r="Y863" s="359" t="str">
        <f>IFERROR(VLOOKUP($A863,#REF!,19,0),"")</f>
        <v/>
      </c>
      <c r="Z863" s="400" t="str">
        <f>IFERROR(VLOOKUP($A863,#REF!,21,0),"")</f>
        <v/>
      </c>
      <c r="AA863" s="358"/>
      <c r="AB863" s="358"/>
      <c r="AC863" s="119"/>
      <c r="AD863" s="119"/>
      <c r="AE863" s="119"/>
      <c r="AF863" s="277"/>
      <c r="AG863" s="119"/>
      <c r="AH863" s="358"/>
      <c r="AI863" s="358"/>
      <c r="AJ863" s="380"/>
      <c r="AK863" s="380"/>
      <c r="AL863" s="380"/>
      <c r="AM863" s="380"/>
      <c r="AN863" s="120"/>
      <c r="AO863" s="120"/>
      <c r="AP863" s="120"/>
      <c r="AQ863" s="313"/>
      <c r="AR863" s="119"/>
      <c r="AS863" s="22"/>
      <c r="AT863" s="22"/>
      <c r="AU863" s="22"/>
      <c r="AV863" s="22"/>
      <c r="AW863" s="82"/>
      <c r="AX863" s="82"/>
      <c r="AY863" s="82"/>
      <c r="AZ863" s="82"/>
      <c r="BA863" s="82"/>
      <c r="BB863" s="82"/>
      <c r="BC863" s="82"/>
      <c r="BD863" s="82"/>
      <c r="BE863" s="82"/>
      <c r="BF863" s="82"/>
      <c r="BG863" s="112"/>
      <c r="BH863" s="112"/>
      <c r="BI863" s="112"/>
      <c r="BJ863" s="112"/>
      <c r="BK863" s="82"/>
      <c r="BL863" s="82"/>
      <c r="BN863" s="412"/>
      <c r="BO863" s="412"/>
      <c r="BP863" s="412"/>
      <c r="BQ863" s="412"/>
      <c r="BR863" s="412"/>
      <c r="BZ863" t="str">
        <f t="shared" si="74"/>
        <v/>
      </c>
    </row>
    <row r="864" spans="1:78" ht="15.6" hidden="1" customHeight="1">
      <c r="A864" s="35" t="str">
        <f t="shared" si="73"/>
        <v/>
      </c>
      <c r="C864" s="358"/>
      <c r="D864" s="358">
        <v>860</v>
      </c>
      <c r="E864" s="119"/>
      <c r="F864" s="119"/>
      <c r="G864" s="266"/>
      <c r="H864" s="119"/>
      <c r="I864" s="358"/>
      <c r="J864" s="359" t="str">
        <f>IFERROR(VLOOKUP($A864,#REF!,3,0),"")</f>
        <v/>
      </c>
      <c r="K864" s="359">
        <f>IFERROR(VLOOKUP($A864,#REF!,4,0),AF864)</f>
        <v>0</v>
      </c>
      <c r="L864" s="359" t="str">
        <f>IFERROR(VLOOKUP($A864,#REF!,5,0),"")</f>
        <v/>
      </c>
      <c r="M864" s="359" t="str">
        <f>IFERROR(VLOOKUP($A864,#REF!,7,0),"")</f>
        <v/>
      </c>
      <c r="N864" s="359"/>
      <c r="O864" s="359" t="str">
        <f>IFERROR(VLOOKUP($A864,#REF!,6,0),"")</f>
        <v/>
      </c>
      <c r="P864" s="359" t="str">
        <f>IFERROR(VLOOKUP($A864,#REF!,9,0),"")</f>
        <v/>
      </c>
      <c r="Q864" s="359" t="str">
        <f>IFERROR(VLOOKUP($A864,#REF!,10,0),"")</f>
        <v/>
      </c>
      <c r="R864" s="359" t="str">
        <f>IFERROR(VLOOKUP($A864,#REF!,11,0),"")</f>
        <v/>
      </c>
      <c r="S864" s="359" t="str">
        <f>IFERROR(VLOOKUP($A864,#REF!,13,0),"")</f>
        <v/>
      </c>
      <c r="T864" s="359" t="str">
        <f>IFERROR(VLOOKUP($A864,#REF!,14,0),"")</f>
        <v/>
      </c>
      <c r="U864" s="359" t="str">
        <f>IFERROR(VLOOKUP($A864,#REF!,15,0),"")</f>
        <v/>
      </c>
      <c r="V864" s="359" t="str">
        <f>IFERROR(VLOOKUP($A864,#REF!,16,0),"")</f>
        <v/>
      </c>
      <c r="W864" s="359" t="str">
        <f>IFERROR(VLOOKUP($A864,#REF!,17,0),"")</f>
        <v/>
      </c>
      <c r="X864" s="359" t="str">
        <f>IFERROR(VLOOKUP($A864,#REF!,18,0),"")</f>
        <v/>
      </c>
      <c r="Y864" s="359" t="str">
        <f>IFERROR(VLOOKUP($A864,#REF!,19,0),"")</f>
        <v/>
      </c>
      <c r="Z864" s="400" t="str">
        <f>IFERROR(VLOOKUP($A864,#REF!,21,0),"")</f>
        <v/>
      </c>
      <c r="AA864" s="358"/>
      <c r="AB864" s="358"/>
      <c r="AC864" s="119"/>
      <c r="AD864" s="119"/>
      <c r="AE864" s="119"/>
      <c r="AF864" s="277"/>
      <c r="AG864" s="119"/>
      <c r="AH864" s="358"/>
      <c r="AI864" s="358"/>
      <c r="AJ864" s="380"/>
      <c r="AK864" s="380"/>
      <c r="AL864" s="380"/>
      <c r="AM864" s="380"/>
      <c r="AN864" s="120"/>
      <c r="AO864" s="120"/>
      <c r="AP864" s="120"/>
      <c r="AQ864" s="313"/>
      <c r="AR864" s="119"/>
      <c r="AS864" s="22"/>
      <c r="AT864" s="22"/>
      <c r="AU864" s="22"/>
      <c r="AV864" s="22"/>
      <c r="AW864" s="82"/>
      <c r="AX864" s="82"/>
      <c r="AY864" s="82"/>
      <c r="AZ864" s="82"/>
      <c r="BA864" s="82"/>
      <c r="BB864" s="82"/>
      <c r="BC864" s="82"/>
      <c r="BD864" s="82"/>
      <c r="BE864" s="82"/>
      <c r="BF864" s="82"/>
      <c r="BG864" s="112"/>
      <c r="BH864" s="112"/>
      <c r="BI864" s="112"/>
      <c r="BJ864" s="112"/>
      <c r="BK864" s="82"/>
      <c r="BL864" s="82"/>
      <c r="BN864" s="412"/>
      <c r="BO864" s="412"/>
      <c r="BP864" s="412"/>
      <c r="BQ864" s="412"/>
      <c r="BR864" s="412"/>
      <c r="BZ864" t="str">
        <f t="shared" si="74"/>
        <v/>
      </c>
    </row>
    <row r="865" spans="1:78" ht="15.6" hidden="1" customHeight="1">
      <c r="A865" s="35" t="str">
        <f t="shared" si="73"/>
        <v/>
      </c>
      <c r="C865" s="358"/>
      <c r="D865" s="358">
        <v>861</v>
      </c>
      <c r="E865" s="119"/>
      <c r="F865" s="119"/>
      <c r="G865" s="266"/>
      <c r="H865" s="119"/>
      <c r="I865" s="358"/>
      <c r="J865" s="359" t="str">
        <f>IFERROR(VLOOKUP($A865,#REF!,3,0),"")</f>
        <v/>
      </c>
      <c r="K865" s="359">
        <f>IFERROR(VLOOKUP($A865,#REF!,4,0),AF865)</f>
        <v>0</v>
      </c>
      <c r="L865" s="359" t="str">
        <f>IFERROR(VLOOKUP($A865,#REF!,5,0),"")</f>
        <v/>
      </c>
      <c r="M865" s="359" t="str">
        <f>IFERROR(VLOOKUP($A865,#REF!,7,0),"")</f>
        <v/>
      </c>
      <c r="N865" s="359"/>
      <c r="O865" s="359" t="str">
        <f>IFERROR(VLOOKUP($A865,#REF!,6,0),"")</f>
        <v/>
      </c>
      <c r="P865" s="359" t="str">
        <f>IFERROR(VLOOKUP($A865,#REF!,9,0),"")</f>
        <v/>
      </c>
      <c r="Q865" s="359" t="str">
        <f>IFERROR(VLOOKUP($A865,#REF!,10,0),"")</f>
        <v/>
      </c>
      <c r="R865" s="359" t="str">
        <f>IFERROR(VLOOKUP($A865,#REF!,11,0),"")</f>
        <v/>
      </c>
      <c r="S865" s="359" t="str">
        <f>IFERROR(VLOOKUP($A865,#REF!,13,0),"")</f>
        <v/>
      </c>
      <c r="T865" s="359" t="str">
        <f>IFERROR(VLOOKUP($A865,#REF!,14,0),"")</f>
        <v/>
      </c>
      <c r="U865" s="359" t="str">
        <f>IFERROR(VLOOKUP($A865,#REF!,15,0),"")</f>
        <v/>
      </c>
      <c r="V865" s="359" t="str">
        <f>IFERROR(VLOOKUP($A865,#REF!,16,0),"")</f>
        <v/>
      </c>
      <c r="W865" s="359" t="str">
        <f>IFERROR(VLOOKUP($A865,#REF!,17,0),"")</f>
        <v/>
      </c>
      <c r="X865" s="359" t="str">
        <f>IFERROR(VLOOKUP($A865,#REF!,18,0),"")</f>
        <v/>
      </c>
      <c r="Y865" s="359" t="str">
        <f>IFERROR(VLOOKUP($A865,#REF!,19,0),"")</f>
        <v/>
      </c>
      <c r="Z865" s="400" t="str">
        <f>IFERROR(VLOOKUP($A865,#REF!,21,0),"")</f>
        <v/>
      </c>
      <c r="AA865" s="358"/>
      <c r="AB865" s="358"/>
      <c r="AC865" s="119"/>
      <c r="AD865" s="119"/>
      <c r="AE865" s="119"/>
      <c r="AF865" s="277"/>
      <c r="AG865" s="119"/>
      <c r="AH865" s="358"/>
      <c r="AI865" s="358"/>
      <c r="AJ865" s="380"/>
      <c r="AK865" s="380"/>
      <c r="AL865" s="380"/>
      <c r="AM865" s="380"/>
      <c r="AN865" s="120"/>
      <c r="AO865" s="120"/>
      <c r="AP865" s="120"/>
      <c r="AQ865" s="313"/>
      <c r="AR865" s="119"/>
      <c r="AS865" s="22"/>
      <c r="AT865" s="22"/>
      <c r="AU865" s="22"/>
      <c r="AV865" s="22"/>
      <c r="AW865" s="82"/>
      <c r="AX865" s="82"/>
      <c r="AY865" s="82"/>
      <c r="AZ865" s="82"/>
      <c r="BA865" s="82"/>
      <c r="BB865" s="82"/>
      <c r="BC865" s="82"/>
      <c r="BD865" s="82"/>
      <c r="BE865" s="82"/>
      <c r="BF865" s="82"/>
      <c r="BG865" s="112"/>
      <c r="BH865" s="112"/>
      <c r="BI865" s="112"/>
      <c r="BJ865" s="112"/>
      <c r="BK865" s="82"/>
      <c r="BL865" s="82"/>
      <c r="BN865" s="412"/>
      <c r="BO865" s="412"/>
      <c r="BP865" s="412"/>
      <c r="BQ865" s="412"/>
      <c r="BR865" s="412"/>
      <c r="BZ865" t="str">
        <f t="shared" si="74"/>
        <v/>
      </c>
    </row>
    <row r="866" spans="1:78" ht="15.6" hidden="1" customHeight="1">
      <c r="A866" s="35" t="str">
        <f t="shared" si="73"/>
        <v/>
      </c>
      <c r="C866" s="358"/>
      <c r="D866" s="358">
        <v>862</v>
      </c>
      <c r="E866" s="119"/>
      <c r="F866" s="119"/>
      <c r="G866" s="266"/>
      <c r="H866" s="119"/>
      <c r="I866" s="358"/>
      <c r="J866" s="359" t="str">
        <f>IFERROR(VLOOKUP($A866,#REF!,3,0),"")</f>
        <v/>
      </c>
      <c r="K866" s="359">
        <f>IFERROR(VLOOKUP($A866,#REF!,4,0),AF866)</f>
        <v>0</v>
      </c>
      <c r="L866" s="359" t="str">
        <f>IFERROR(VLOOKUP($A866,#REF!,5,0),"")</f>
        <v/>
      </c>
      <c r="M866" s="359" t="str">
        <f>IFERROR(VLOOKUP($A866,#REF!,7,0),"")</f>
        <v/>
      </c>
      <c r="N866" s="359"/>
      <c r="O866" s="359" t="str">
        <f>IFERROR(VLOOKUP($A866,#REF!,6,0),"")</f>
        <v/>
      </c>
      <c r="P866" s="359" t="str">
        <f>IFERROR(VLOOKUP($A866,#REF!,9,0),"")</f>
        <v/>
      </c>
      <c r="Q866" s="359" t="str">
        <f>IFERROR(VLOOKUP($A866,#REF!,10,0),"")</f>
        <v/>
      </c>
      <c r="R866" s="359" t="str">
        <f>IFERROR(VLOOKUP($A866,#REF!,11,0),"")</f>
        <v/>
      </c>
      <c r="S866" s="359" t="str">
        <f>IFERROR(VLOOKUP($A866,#REF!,13,0),"")</f>
        <v/>
      </c>
      <c r="T866" s="359" t="str">
        <f>IFERROR(VLOOKUP($A866,#REF!,14,0),"")</f>
        <v/>
      </c>
      <c r="U866" s="359" t="str">
        <f>IFERROR(VLOOKUP($A866,#REF!,15,0),"")</f>
        <v/>
      </c>
      <c r="V866" s="359" t="str">
        <f>IFERROR(VLOOKUP($A866,#REF!,16,0),"")</f>
        <v/>
      </c>
      <c r="W866" s="359" t="str">
        <f>IFERROR(VLOOKUP($A866,#REF!,17,0),"")</f>
        <v/>
      </c>
      <c r="X866" s="359" t="str">
        <f>IFERROR(VLOOKUP($A866,#REF!,18,0),"")</f>
        <v/>
      </c>
      <c r="Y866" s="359" t="str">
        <f>IFERROR(VLOOKUP($A866,#REF!,19,0),"")</f>
        <v/>
      </c>
      <c r="Z866" s="400" t="str">
        <f>IFERROR(VLOOKUP($A866,#REF!,21,0),"")</f>
        <v/>
      </c>
      <c r="AA866" s="358"/>
      <c r="AB866" s="358"/>
      <c r="AC866" s="119"/>
      <c r="AD866" s="119"/>
      <c r="AE866" s="119"/>
      <c r="AF866" s="277"/>
      <c r="AG866" s="119"/>
      <c r="AH866" s="358"/>
      <c r="AI866" s="358"/>
      <c r="AJ866" s="380"/>
      <c r="AK866" s="380"/>
      <c r="AL866" s="380"/>
      <c r="AM866" s="380"/>
      <c r="AN866" s="120"/>
      <c r="AO866" s="120"/>
      <c r="AP866" s="120"/>
      <c r="AQ866" s="313"/>
      <c r="AR866" s="119"/>
      <c r="AS866" s="22"/>
      <c r="AT866" s="22"/>
      <c r="AU866" s="22"/>
      <c r="AV866" s="22"/>
      <c r="AW866" s="82"/>
      <c r="AX866" s="82"/>
      <c r="AY866" s="82"/>
      <c r="AZ866" s="82"/>
      <c r="BA866" s="82"/>
      <c r="BB866" s="82"/>
      <c r="BC866" s="82"/>
      <c r="BD866" s="82"/>
      <c r="BE866" s="82"/>
      <c r="BF866" s="82"/>
      <c r="BG866" s="112"/>
      <c r="BH866" s="112"/>
      <c r="BI866" s="112"/>
      <c r="BJ866" s="112"/>
      <c r="BK866" s="82"/>
      <c r="BL866" s="82"/>
      <c r="BN866" s="412"/>
      <c r="BO866" s="412"/>
      <c r="BP866" s="412"/>
      <c r="BQ866" s="412"/>
      <c r="BR866" s="412"/>
      <c r="BZ866" t="str">
        <f t="shared" si="74"/>
        <v/>
      </c>
    </row>
    <row r="867" spans="1:78" ht="15.6" hidden="1" customHeight="1">
      <c r="A867" s="35" t="str">
        <f t="shared" si="73"/>
        <v/>
      </c>
      <c r="C867" s="358"/>
      <c r="D867" s="358">
        <v>863</v>
      </c>
      <c r="E867" s="119"/>
      <c r="F867" s="119"/>
      <c r="G867" s="266"/>
      <c r="H867" s="119"/>
      <c r="I867" s="358"/>
      <c r="J867" s="359" t="str">
        <f>IFERROR(VLOOKUP($A867,#REF!,3,0),"")</f>
        <v/>
      </c>
      <c r="K867" s="359">
        <f>IFERROR(VLOOKUP($A867,#REF!,4,0),AF867)</f>
        <v>0</v>
      </c>
      <c r="L867" s="359" t="str">
        <f>IFERROR(VLOOKUP($A867,#REF!,5,0),"")</f>
        <v/>
      </c>
      <c r="M867" s="359" t="str">
        <f>IFERROR(VLOOKUP($A867,#REF!,7,0),"")</f>
        <v/>
      </c>
      <c r="N867" s="359"/>
      <c r="O867" s="359" t="str">
        <f>IFERROR(VLOOKUP($A867,#REF!,6,0),"")</f>
        <v/>
      </c>
      <c r="P867" s="359" t="str">
        <f>IFERROR(VLOOKUP($A867,#REF!,9,0),"")</f>
        <v/>
      </c>
      <c r="Q867" s="359" t="str">
        <f>IFERROR(VLOOKUP($A867,#REF!,10,0),"")</f>
        <v/>
      </c>
      <c r="R867" s="359" t="str">
        <f>IFERROR(VLOOKUP($A867,#REF!,11,0),"")</f>
        <v/>
      </c>
      <c r="S867" s="359" t="str">
        <f>IFERROR(VLOOKUP($A867,#REF!,13,0),"")</f>
        <v/>
      </c>
      <c r="T867" s="359" t="str">
        <f>IFERROR(VLOOKUP($A867,#REF!,14,0),"")</f>
        <v/>
      </c>
      <c r="U867" s="359" t="str">
        <f>IFERROR(VLOOKUP($A867,#REF!,15,0),"")</f>
        <v/>
      </c>
      <c r="V867" s="359" t="str">
        <f>IFERROR(VLOOKUP($A867,#REF!,16,0),"")</f>
        <v/>
      </c>
      <c r="W867" s="359" t="str">
        <f>IFERROR(VLOOKUP($A867,#REF!,17,0),"")</f>
        <v/>
      </c>
      <c r="X867" s="359" t="str">
        <f>IFERROR(VLOOKUP($A867,#REF!,18,0),"")</f>
        <v/>
      </c>
      <c r="Y867" s="359" t="str">
        <f>IFERROR(VLOOKUP($A867,#REF!,19,0),"")</f>
        <v/>
      </c>
      <c r="Z867" s="400" t="str">
        <f>IFERROR(VLOOKUP($A867,#REF!,21,0),"")</f>
        <v/>
      </c>
      <c r="AA867" s="358"/>
      <c r="AB867" s="358"/>
      <c r="AC867" s="119"/>
      <c r="AD867" s="119"/>
      <c r="AE867" s="119"/>
      <c r="AF867" s="277"/>
      <c r="AG867" s="119"/>
      <c r="AH867" s="358"/>
      <c r="AI867" s="358"/>
      <c r="AJ867" s="380"/>
      <c r="AK867" s="380"/>
      <c r="AL867" s="380"/>
      <c r="AM867" s="380"/>
      <c r="AN867" s="120"/>
      <c r="AO867" s="120"/>
      <c r="AP867" s="120"/>
      <c r="AQ867" s="313"/>
      <c r="AR867" s="119"/>
      <c r="AS867" s="22"/>
      <c r="AT867" s="22"/>
      <c r="AU867" s="22"/>
      <c r="AV867" s="22"/>
      <c r="AW867" s="82"/>
      <c r="AX867" s="82"/>
      <c r="AY867" s="82"/>
      <c r="AZ867" s="82"/>
      <c r="BA867" s="82"/>
      <c r="BB867" s="82"/>
      <c r="BC867" s="82"/>
      <c r="BD867" s="82"/>
      <c r="BE867" s="82"/>
      <c r="BF867" s="82"/>
      <c r="BG867" s="112"/>
      <c r="BH867" s="112"/>
      <c r="BI867" s="112"/>
      <c r="BJ867" s="112"/>
      <c r="BK867" s="82"/>
      <c r="BL867" s="82"/>
      <c r="BN867" s="412"/>
      <c r="BO867" s="412"/>
      <c r="BP867" s="412"/>
      <c r="BQ867" s="412"/>
      <c r="BR867" s="412"/>
      <c r="BZ867" t="str">
        <f t="shared" si="74"/>
        <v/>
      </c>
    </row>
    <row r="868" spans="1:78" ht="15.6" hidden="1" customHeight="1">
      <c r="A868" s="35" t="str">
        <f t="shared" si="73"/>
        <v/>
      </c>
      <c r="C868" s="358"/>
      <c r="D868" s="358">
        <v>864</v>
      </c>
      <c r="E868" s="119"/>
      <c r="F868" s="119"/>
      <c r="G868" s="266"/>
      <c r="H868" s="119"/>
      <c r="I868" s="358"/>
      <c r="J868" s="359" t="str">
        <f>IFERROR(VLOOKUP($A868,#REF!,3,0),"")</f>
        <v/>
      </c>
      <c r="K868" s="359">
        <f>IFERROR(VLOOKUP($A868,#REF!,4,0),AF868)</f>
        <v>0</v>
      </c>
      <c r="L868" s="359" t="str">
        <f>IFERROR(VLOOKUP($A868,#REF!,5,0),"")</f>
        <v/>
      </c>
      <c r="M868" s="359" t="str">
        <f>IFERROR(VLOOKUP($A868,#REF!,7,0),"")</f>
        <v/>
      </c>
      <c r="N868" s="359"/>
      <c r="O868" s="359" t="str">
        <f>IFERROR(VLOOKUP($A868,#REF!,6,0),"")</f>
        <v/>
      </c>
      <c r="P868" s="359" t="str">
        <f>IFERROR(VLOOKUP($A868,#REF!,9,0),"")</f>
        <v/>
      </c>
      <c r="Q868" s="359" t="str">
        <f>IFERROR(VLOOKUP($A868,#REF!,10,0),"")</f>
        <v/>
      </c>
      <c r="R868" s="359" t="str">
        <f>IFERROR(VLOOKUP($A868,#REF!,11,0),"")</f>
        <v/>
      </c>
      <c r="S868" s="359" t="str">
        <f>IFERROR(VLOOKUP($A868,#REF!,13,0),"")</f>
        <v/>
      </c>
      <c r="T868" s="359" t="str">
        <f>IFERROR(VLOOKUP($A868,#REF!,14,0),"")</f>
        <v/>
      </c>
      <c r="U868" s="359" t="str">
        <f>IFERROR(VLOOKUP($A868,#REF!,15,0),"")</f>
        <v/>
      </c>
      <c r="V868" s="359" t="str">
        <f>IFERROR(VLOOKUP($A868,#REF!,16,0),"")</f>
        <v/>
      </c>
      <c r="W868" s="359" t="str">
        <f>IFERROR(VLOOKUP($A868,#REF!,17,0),"")</f>
        <v/>
      </c>
      <c r="X868" s="359" t="str">
        <f>IFERROR(VLOOKUP($A868,#REF!,18,0),"")</f>
        <v/>
      </c>
      <c r="Y868" s="359" t="str">
        <f>IFERROR(VLOOKUP($A868,#REF!,19,0),"")</f>
        <v/>
      </c>
      <c r="Z868" s="400" t="str">
        <f>IFERROR(VLOOKUP($A868,#REF!,21,0),"")</f>
        <v/>
      </c>
      <c r="AA868" s="358"/>
      <c r="AB868" s="358"/>
      <c r="AC868" s="119"/>
      <c r="AD868" s="119"/>
      <c r="AE868" s="119"/>
      <c r="AF868" s="277"/>
      <c r="AG868" s="119"/>
      <c r="AH868" s="358"/>
      <c r="AI868" s="358"/>
      <c r="AJ868" s="380"/>
      <c r="AK868" s="380"/>
      <c r="AL868" s="380"/>
      <c r="AM868" s="380"/>
      <c r="AN868" s="120"/>
      <c r="AO868" s="120"/>
      <c r="AP868" s="120"/>
      <c r="AQ868" s="313"/>
      <c r="AR868" s="119"/>
      <c r="AS868" s="22"/>
      <c r="AT868" s="22"/>
      <c r="AU868" s="22"/>
      <c r="AV868" s="22"/>
      <c r="AW868" s="82"/>
      <c r="AX868" s="82"/>
      <c r="AY868" s="82"/>
      <c r="AZ868" s="82"/>
      <c r="BA868" s="82"/>
      <c r="BB868" s="82"/>
      <c r="BC868" s="82"/>
      <c r="BD868" s="82"/>
      <c r="BE868" s="82"/>
      <c r="BF868" s="82"/>
      <c r="BG868" s="112"/>
      <c r="BH868" s="112"/>
      <c r="BI868" s="112"/>
      <c r="BJ868" s="112"/>
      <c r="BK868" s="82"/>
      <c r="BL868" s="82"/>
      <c r="BN868" s="412"/>
      <c r="BO868" s="412"/>
      <c r="BP868" s="412"/>
      <c r="BQ868" s="412"/>
      <c r="BR868" s="412"/>
      <c r="BZ868" t="str">
        <f t="shared" si="74"/>
        <v/>
      </c>
    </row>
    <row r="869" spans="1:78" ht="15.6" hidden="1" customHeight="1">
      <c r="A869" s="35" t="str">
        <f t="shared" si="73"/>
        <v/>
      </c>
      <c r="C869" s="358"/>
      <c r="D869" s="358">
        <v>865</v>
      </c>
      <c r="E869" s="119"/>
      <c r="F869" s="119"/>
      <c r="G869" s="266"/>
      <c r="H869" s="119"/>
      <c r="I869" s="358"/>
      <c r="J869" s="359" t="str">
        <f>IFERROR(VLOOKUP($A869,#REF!,3,0),"")</f>
        <v/>
      </c>
      <c r="K869" s="359">
        <f>IFERROR(VLOOKUP($A869,#REF!,4,0),AF869)</f>
        <v>0</v>
      </c>
      <c r="L869" s="359" t="str">
        <f>IFERROR(VLOOKUP($A869,#REF!,5,0),"")</f>
        <v/>
      </c>
      <c r="M869" s="359" t="str">
        <f>IFERROR(VLOOKUP($A869,#REF!,7,0),"")</f>
        <v/>
      </c>
      <c r="N869" s="359"/>
      <c r="O869" s="359" t="str">
        <f>IFERROR(VLOOKUP($A869,#REF!,6,0),"")</f>
        <v/>
      </c>
      <c r="P869" s="359" t="str">
        <f>IFERROR(VLOOKUP($A869,#REF!,9,0),"")</f>
        <v/>
      </c>
      <c r="Q869" s="359" t="str">
        <f>IFERROR(VLOOKUP($A869,#REF!,10,0),"")</f>
        <v/>
      </c>
      <c r="R869" s="359" t="str">
        <f>IFERROR(VLOOKUP($A869,#REF!,11,0),"")</f>
        <v/>
      </c>
      <c r="S869" s="359" t="str">
        <f>IFERROR(VLOOKUP($A869,#REF!,13,0),"")</f>
        <v/>
      </c>
      <c r="T869" s="359" t="str">
        <f>IFERROR(VLOOKUP($A869,#REF!,14,0),"")</f>
        <v/>
      </c>
      <c r="U869" s="359" t="str">
        <f>IFERROR(VLOOKUP($A869,#REF!,15,0),"")</f>
        <v/>
      </c>
      <c r="V869" s="359" t="str">
        <f>IFERROR(VLOOKUP($A869,#REF!,16,0),"")</f>
        <v/>
      </c>
      <c r="W869" s="359" t="str">
        <f>IFERROR(VLOOKUP($A869,#REF!,17,0),"")</f>
        <v/>
      </c>
      <c r="X869" s="359" t="str">
        <f>IFERROR(VLOOKUP($A869,#REF!,18,0),"")</f>
        <v/>
      </c>
      <c r="Y869" s="359" t="str">
        <f>IFERROR(VLOOKUP($A869,#REF!,19,0),"")</f>
        <v/>
      </c>
      <c r="Z869" s="400" t="str">
        <f>IFERROR(VLOOKUP($A869,#REF!,21,0),"")</f>
        <v/>
      </c>
      <c r="AA869" s="358"/>
      <c r="AB869" s="358"/>
      <c r="AC869" s="119"/>
      <c r="AD869" s="119"/>
      <c r="AE869" s="119"/>
      <c r="AF869" s="277"/>
      <c r="AG869" s="119"/>
      <c r="AH869" s="358"/>
      <c r="AI869" s="358"/>
      <c r="AJ869" s="380"/>
      <c r="AK869" s="380"/>
      <c r="AL869" s="380"/>
      <c r="AM869" s="380"/>
      <c r="AN869" s="120"/>
      <c r="AO869" s="120"/>
      <c r="AP869" s="120"/>
      <c r="AQ869" s="313"/>
      <c r="AR869" s="119"/>
      <c r="AS869" s="22"/>
      <c r="AT869" s="22"/>
      <c r="AU869" s="22"/>
      <c r="AV869" s="22"/>
      <c r="AW869" s="82"/>
      <c r="AX869" s="82"/>
      <c r="AY869" s="82"/>
      <c r="AZ869" s="82"/>
      <c r="BA869" s="82"/>
      <c r="BB869" s="82"/>
      <c r="BC869" s="82"/>
      <c r="BD869" s="82"/>
      <c r="BE869" s="82"/>
      <c r="BF869" s="82"/>
      <c r="BG869" s="112"/>
      <c r="BH869" s="112"/>
      <c r="BI869" s="112"/>
      <c r="BJ869" s="112"/>
      <c r="BK869" s="82"/>
      <c r="BL869" s="82"/>
      <c r="BN869" s="412"/>
      <c r="BO869" s="412"/>
      <c r="BP869" s="412"/>
      <c r="BQ869" s="412"/>
      <c r="BR869" s="412"/>
      <c r="BZ869" t="str">
        <f t="shared" si="74"/>
        <v/>
      </c>
    </row>
    <row r="870" spans="1:78" ht="15.6" hidden="1" customHeight="1">
      <c r="A870" s="35" t="str">
        <f t="shared" si="73"/>
        <v/>
      </c>
      <c r="C870" s="358"/>
      <c r="D870" s="358">
        <v>866</v>
      </c>
      <c r="E870" s="119"/>
      <c r="F870" s="119"/>
      <c r="G870" s="266"/>
      <c r="H870" s="119"/>
      <c r="I870" s="358"/>
      <c r="J870" s="359" t="str">
        <f>IFERROR(VLOOKUP($A870,#REF!,3,0),"")</f>
        <v/>
      </c>
      <c r="K870" s="359">
        <f>IFERROR(VLOOKUP($A870,#REF!,4,0),AF870)</f>
        <v>0</v>
      </c>
      <c r="L870" s="359" t="str">
        <f>IFERROR(VLOOKUP($A870,#REF!,5,0),"")</f>
        <v/>
      </c>
      <c r="M870" s="359" t="str">
        <f>IFERROR(VLOOKUP($A870,#REF!,7,0),"")</f>
        <v/>
      </c>
      <c r="N870" s="359"/>
      <c r="O870" s="359" t="str">
        <f>IFERROR(VLOOKUP($A870,#REF!,6,0),"")</f>
        <v/>
      </c>
      <c r="P870" s="359" t="str">
        <f>IFERROR(VLOOKUP($A870,#REF!,9,0),"")</f>
        <v/>
      </c>
      <c r="Q870" s="359" t="str">
        <f>IFERROR(VLOOKUP($A870,#REF!,10,0),"")</f>
        <v/>
      </c>
      <c r="R870" s="359" t="str">
        <f>IFERROR(VLOOKUP($A870,#REF!,11,0),"")</f>
        <v/>
      </c>
      <c r="S870" s="359" t="str">
        <f>IFERROR(VLOOKUP($A870,#REF!,13,0),"")</f>
        <v/>
      </c>
      <c r="T870" s="359" t="str">
        <f>IFERROR(VLOOKUP($A870,#REF!,14,0),"")</f>
        <v/>
      </c>
      <c r="U870" s="359" t="str">
        <f>IFERROR(VLOOKUP($A870,#REF!,15,0),"")</f>
        <v/>
      </c>
      <c r="V870" s="359" t="str">
        <f>IFERROR(VLOOKUP($A870,#REF!,16,0),"")</f>
        <v/>
      </c>
      <c r="W870" s="359" t="str">
        <f>IFERROR(VLOOKUP($A870,#REF!,17,0),"")</f>
        <v/>
      </c>
      <c r="X870" s="359" t="str">
        <f>IFERROR(VLOOKUP($A870,#REF!,18,0),"")</f>
        <v/>
      </c>
      <c r="Y870" s="359" t="str">
        <f>IFERROR(VLOOKUP($A870,#REF!,19,0),"")</f>
        <v/>
      </c>
      <c r="Z870" s="400" t="str">
        <f>IFERROR(VLOOKUP($A870,#REF!,21,0),"")</f>
        <v/>
      </c>
      <c r="AA870" s="358"/>
      <c r="AB870" s="358"/>
      <c r="AC870" s="119"/>
      <c r="AD870" s="119"/>
      <c r="AE870" s="119"/>
      <c r="AF870" s="277"/>
      <c r="AG870" s="119"/>
      <c r="AH870" s="358"/>
      <c r="AI870" s="358"/>
      <c r="AJ870" s="380"/>
      <c r="AK870" s="380"/>
      <c r="AL870" s="380"/>
      <c r="AM870" s="380"/>
      <c r="AN870" s="120"/>
      <c r="AO870" s="120"/>
      <c r="AP870" s="120"/>
      <c r="AQ870" s="313"/>
      <c r="AR870" s="119"/>
      <c r="AS870" s="22"/>
      <c r="AT870" s="22"/>
      <c r="AU870" s="22"/>
      <c r="AV870" s="22"/>
      <c r="AW870" s="82"/>
      <c r="AX870" s="82"/>
      <c r="AY870" s="82"/>
      <c r="AZ870" s="82"/>
      <c r="BA870" s="82"/>
      <c r="BB870" s="82"/>
      <c r="BC870" s="82"/>
      <c r="BD870" s="82"/>
      <c r="BE870" s="82"/>
      <c r="BF870" s="82"/>
      <c r="BG870" s="112"/>
      <c r="BH870" s="112"/>
      <c r="BI870" s="112"/>
      <c r="BJ870" s="112"/>
      <c r="BK870" s="82"/>
      <c r="BL870" s="82"/>
      <c r="BN870" s="412"/>
      <c r="BO870" s="412"/>
      <c r="BP870" s="412"/>
      <c r="BQ870" s="412"/>
      <c r="BR870" s="412"/>
      <c r="BZ870" t="str">
        <f t="shared" si="74"/>
        <v/>
      </c>
    </row>
    <row r="871" spans="1:78" ht="15.6" hidden="1" customHeight="1">
      <c r="A871" s="35" t="str">
        <f t="shared" si="73"/>
        <v/>
      </c>
      <c r="C871" s="358"/>
      <c r="D871" s="358">
        <v>867</v>
      </c>
      <c r="E871" s="119"/>
      <c r="F871" s="119"/>
      <c r="G871" s="266"/>
      <c r="H871" s="119"/>
      <c r="I871" s="358"/>
      <c r="J871" s="359" t="str">
        <f>IFERROR(VLOOKUP($A871,#REF!,3,0),"")</f>
        <v/>
      </c>
      <c r="K871" s="359">
        <f>IFERROR(VLOOKUP($A871,#REF!,4,0),AF871)</f>
        <v>0</v>
      </c>
      <c r="L871" s="359" t="str">
        <f>IFERROR(VLOOKUP($A871,#REF!,5,0),"")</f>
        <v/>
      </c>
      <c r="M871" s="359" t="str">
        <f>IFERROR(VLOOKUP($A871,#REF!,7,0),"")</f>
        <v/>
      </c>
      <c r="N871" s="359"/>
      <c r="O871" s="359" t="str">
        <f>IFERROR(VLOOKUP($A871,#REF!,6,0),"")</f>
        <v/>
      </c>
      <c r="P871" s="359" t="str">
        <f>IFERROR(VLOOKUP($A871,#REF!,9,0),"")</f>
        <v/>
      </c>
      <c r="Q871" s="359" t="str">
        <f>IFERROR(VLOOKUP($A871,#REF!,10,0),"")</f>
        <v/>
      </c>
      <c r="R871" s="359" t="str">
        <f>IFERROR(VLOOKUP($A871,#REF!,11,0),"")</f>
        <v/>
      </c>
      <c r="S871" s="359" t="str">
        <f>IFERROR(VLOOKUP($A871,#REF!,13,0),"")</f>
        <v/>
      </c>
      <c r="T871" s="359" t="str">
        <f>IFERROR(VLOOKUP($A871,#REF!,14,0),"")</f>
        <v/>
      </c>
      <c r="U871" s="359" t="str">
        <f>IFERROR(VLOOKUP($A871,#REF!,15,0),"")</f>
        <v/>
      </c>
      <c r="V871" s="359" t="str">
        <f>IFERROR(VLOOKUP($A871,#REF!,16,0),"")</f>
        <v/>
      </c>
      <c r="W871" s="359" t="str">
        <f>IFERROR(VLOOKUP($A871,#REF!,17,0),"")</f>
        <v/>
      </c>
      <c r="X871" s="359" t="str">
        <f>IFERROR(VLOOKUP($A871,#REF!,18,0),"")</f>
        <v/>
      </c>
      <c r="Y871" s="359" t="str">
        <f>IFERROR(VLOOKUP($A871,#REF!,19,0),"")</f>
        <v/>
      </c>
      <c r="Z871" s="400" t="str">
        <f>IFERROR(VLOOKUP($A871,#REF!,21,0),"")</f>
        <v/>
      </c>
      <c r="AA871" s="358"/>
      <c r="AB871" s="358"/>
      <c r="AC871" s="119"/>
      <c r="AD871" s="119"/>
      <c r="AE871" s="119"/>
      <c r="AF871" s="277"/>
      <c r="AG871" s="119"/>
      <c r="AH871" s="358"/>
      <c r="AI871" s="358"/>
      <c r="AJ871" s="380"/>
      <c r="AK871" s="380"/>
      <c r="AL871" s="380"/>
      <c r="AM871" s="380"/>
      <c r="AN871" s="120"/>
      <c r="AO871" s="120"/>
      <c r="AP871" s="120"/>
      <c r="AQ871" s="313"/>
      <c r="AR871" s="119"/>
      <c r="AS871" s="22"/>
      <c r="AT871" s="22"/>
      <c r="AU871" s="22"/>
      <c r="AV871" s="22"/>
      <c r="AW871" s="82"/>
      <c r="AX871" s="82"/>
      <c r="AY871" s="82"/>
      <c r="AZ871" s="82"/>
      <c r="BA871" s="82"/>
      <c r="BB871" s="82"/>
      <c r="BC871" s="82"/>
      <c r="BD871" s="82"/>
      <c r="BE871" s="82"/>
      <c r="BF871" s="82"/>
      <c r="BG871" s="112"/>
      <c r="BH871" s="112"/>
      <c r="BI871" s="112"/>
      <c r="BJ871" s="112"/>
      <c r="BK871" s="82"/>
      <c r="BL871" s="82"/>
      <c r="BN871" s="412"/>
      <c r="BO871" s="412"/>
      <c r="BP871" s="412"/>
      <c r="BQ871" s="412"/>
      <c r="BR871" s="412"/>
      <c r="BZ871" t="str">
        <f t="shared" si="74"/>
        <v/>
      </c>
    </row>
    <row r="872" spans="1:78" ht="15.6" hidden="1" customHeight="1">
      <c r="A872" s="35" t="str">
        <f t="shared" si="73"/>
        <v/>
      </c>
      <c r="C872" s="358"/>
      <c r="D872" s="358">
        <v>868</v>
      </c>
      <c r="E872" s="119"/>
      <c r="F872" s="119"/>
      <c r="G872" s="266"/>
      <c r="H872" s="119"/>
      <c r="I872" s="358"/>
      <c r="J872" s="359" t="str">
        <f>IFERROR(VLOOKUP($A872,#REF!,3,0),"")</f>
        <v/>
      </c>
      <c r="K872" s="359">
        <f>IFERROR(VLOOKUP($A872,#REF!,4,0),AF872)</f>
        <v>0</v>
      </c>
      <c r="L872" s="359" t="str">
        <f>IFERROR(VLOOKUP($A872,#REF!,5,0),"")</f>
        <v/>
      </c>
      <c r="M872" s="359" t="str">
        <f>IFERROR(VLOOKUP($A872,#REF!,7,0),"")</f>
        <v/>
      </c>
      <c r="N872" s="359"/>
      <c r="O872" s="359" t="str">
        <f>IFERROR(VLOOKUP($A872,#REF!,6,0),"")</f>
        <v/>
      </c>
      <c r="P872" s="359" t="str">
        <f>IFERROR(VLOOKUP($A872,#REF!,9,0),"")</f>
        <v/>
      </c>
      <c r="Q872" s="359" t="str">
        <f>IFERROR(VLOOKUP($A872,#REF!,10,0),"")</f>
        <v/>
      </c>
      <c r="R872" s="359" t="str">
        <f>IFERROR(VLOOKUP($A872,#REF!,11,0),"")</f>
        <v/>
      </c>
      <c r="S872" s="359" t="str">
        <f>IFERROR(VLOOKUP($A872,#REF!,13,0),"")</f>
        <v/>
      </c>
      <c r="T872" s="359" t="str">
        <f>IFERROR(VLOOKUP($A872,#REF!,14,0),"")</f>
        <v/>
      </c>
      <c r="U872" s="359" t="str">
        <f>IFERROR(VLOOKUP($A872,#REF!,15,0),"")</f>
        <v/>
      </c>
      <c r="V872" s="359" t="str">
        <f>IFERROR(VLOOKUP($A872,#REF!,16,0),"")</f>
        <v/>
      </c>
      <c r="W872" s="359" t="str">
        <f>IFERROR(VLOOKUP($A872,#REF!,17,0),"")</f>
        <v/>
      </c>
      <c r="X872" s="359" t="str">
        <f>IFERROR(VLOOKUP($A872,#REF!,18,0),"")</f>
        <v/>
      </c>
      <c r="Y872" s="359" t="str">
        <f>IFERROR(VLOOKUP($A872,#REF!,19,0),"")</f>
        <v/>
      </c>
      <c r="Z872" s="400" t="str">
        <f>IFERROR(VLOOKUP($A872,#REF!,21,0),"")</f>
        <v/>
      </c>
      <c r="AA872" s="358"/>
      <c r="AB872" s="358"/>
      <c r="AC872" s="119"/>
      <c r="AD872" s="119"/>
      <c r="AE872" s="119"/>
      <c r="AF872" s="277"/>
      <c r="AG872" s="119"/>
      <c r="AH872" s="358"/>
      <c r="AI872" s="358"/>
      <c r="AJ872" s="380"/>
      <c r="AK872" s="380"/>
      <c r="AL872" s="380"/>
      <c r="AM872" s="380"/>
      <c r="AN872" s="120"/>
      <c r="AO872" s="120"/>
      <c r="AP872" s="120"/>
      <c r="AQ872" s="313"/>
      <c r="AR872" s="119"/>
      <c r="AS872" s="22"/>
      <c r="AT872" s="22"/>
      <c r="AU872" s="22"/>
      <c r="AV872" s="22"/>
      <c r="AW872" s="82"/>
      <c r="AX872" s="82"/>
      <c r="AY872" s="82"/>
      <c r="AZ872" s="82"/>
      <c r="BA872" s="82"/>
      <c r="BB872" s="82"/>
      <c r="BC872" s="82"/>
      <c r="BD872" s="82"/>
      <c r="BE872" s="82"/>
      <c r="BF872" s="82"/>
      <c r="BG872" s="112"/>
      <c r="BH872" s="112"/>
      <c r="BI872" s="112"/>
      <c r="BJ872" s="112"/>
      <c r="BK872" s="82"/>
      <c r="BL872" s="82"/>
      <c r="BN872" s="412"/>
      <c r="BO872" s="412"/>
      <c r="BP872" s="412"/>
      <c r="BQ872" s="412"/>
      <c r="BR872" s="412"/>
      <c r="BZ872" t="str">
        <f t="shared" si="74"/>
        <v/>
      </c>
    </row>
    <row r="873" spans="1:78" ht="15.6" hidden="1" customHeight="1">
      <c r="A873" s="35" t="str">
        <f t="shared" si="73"/>
        <v/>
      </c>
      <c r="C873" s="358"/>
      <c r="D873" s="358">
        <v>869</v>
      </c>
      <c r="E873" s="119"/>
      <c r="F873" s="119"/>
      <c r="G873" s="266"/>
      <c r="H873" s="119"/>
      <c r="I873" s="358"/>
      <c r="J873" s="359" t="str">
        <f>IFERROR(VLOOKUP($A873,#REF!,3,0),"")</f>
        <v/>
      </c>
      <c r="K873" s="359">
        <f>IFERROR(VLOOKUP($A873,#REF!,4,0),AF873)</f>
        <v>0</v>
      </c>
      <c r="L873" s="359" t="str">
        <f>IFERROR(VLOOKUP($A873,#REF!,5,0),"")</f>
        <v/>
      </c>
      <c r="M873" s="359" t="str">
        <f>IFERROR(VLOOKUP($A873,#REF!,7,0),"")</f>
        <v/>
      </c>
      <c r="N873" s="359"/>
      <c r="O873" s="359" t="str">
        <f>IFERROR(VLOOKUP($A873,#REF!,6,0),"")</f>
        <v/>
      </c>
      <c r="P873" s="359" t="str">
        <f>IFERROR(VLOOKUP($A873,#REF!,9,0),"")</f>
        <v/>
      </c>
      <c r="Q873" s="359" t="str">
        <f>IFERROR(VLOOKUP($A873,#REF!,10,0),"")</f>
        <v/>
      </c>
      <c r="R873" s="359" t="str">
        <f>IFERROR(VLOOKUP($A873,#REF!,11,0),"")</f>
        <v/>
      </c>
      <c r="S873" s="359" t="str">
        <f>IFERROR(VLOOKUP($A873,#REF!,13,0),"")</f>
        <v/>
      </c>
      <c r="T873" s="359" t="str">
        <f>IFERROR(VLOOKUP($A873,#REF!,14,0),"")</f>
        <v/>
      </c>
      <c r="U873" s="359" t="str">
        <f>IFERROR(VLOOKUP($A873,#REF!,15,0),"")</f>
        <v/>
      </c>
      <c r="V873" s="359" t="str">
        <f>IFERROR(VLOOKUP($A873,#REF!,16,0),"")</f>
        <v/>
      </c>
      <c r="W873" s="359" t="str">
        <f>IFERROR(VLOOKUP($A873,#REF!,17,0),"")</f>
        <v/>
      </c>
      <c r="X873" s="359" t="str">
        <f>IFERROR(VLOOKUP($A873,#REF!,18,0),"")</f>
        <v/>
      </c>
      <c r="Y873" s="359" t="str">
        <f>IFERROR(VLOOKUP($A873,#REF!,19,0),"")</f>
        <v/>
      </c>
      <c r="Z873" s="400" t="str">
        <f>IFERROR(VLOOKUP($A873,#REF!,21,0),"")</f>
        <v/>
      </c>
      <c r="AA873" s="358"/>
      <c r="AB873" s="358"/>
      <c r="AC873" s="119"/>
      <c r="AD873" s="119"/>
      <c r="AE873" s="119"/>
      <c r="AF873" s="277"/>
      <c r="AG873" s="119"/>
      <c r="AH873" s="358"/>
      <c r="AI873" s="358"/>
      <c r="AJ873" s="380"/>
      <c r="AK873" s="380"/>
      <c r="AL873" s="380"/>
      <c r="AM873" s="380"/>
      <c r="AN873" s="120"/>
      <c r="AO873" s="120"/>
      <c r="AP873" s="120"/>
      <c r="AQ873" s="313"/>
      <c r="AR873" s="119"/>
      <c r="AS873" s="22"/>
      <c r="AT873" s="22"/>
      <c r="AU873" s="22"/>
      <c r="AV873" s="22"/>
      <c r="AW873" s="82"/>
      <c r="AX873" s="82"/>
      <c r="AY873" s="82"/>
      <c r="AZ873" s="82"/>
      <c r="BA873" s="82"/>
      <c r="BB873" s="82"/>
      <c r="BC873" s="82"/>
      <c r="BD873" s="82"/>
      <c r="BE873" s="82"/>
      <c r="BF873" s="82"/>
      <c r="BG873" s="112"/>
      <c r="BH873" s="112"/>
      <c r="BI873" s="112"/>
      <c r="BJ873" s="112"/>
      <c r="BK873" s="82"/>
      <c r="BL873" s="82"/>
      <c r="BN873" s="412"/>
      <c r="BO873" s="412"/>
      <c r="BP873" s="412"/>
      <c r="BQ873" s="412"/>
      <c r="BR873" s="412"/>
      <c r="BZ873" t="str">
        <f t="shared" si="74"/>
        <v/>
      </c>
    </row>
    <row r="874" spans="1:78" ht="15.6" hidden="1" customHeight="1">
      <c r="A874" s="35" t="str">
        <f t="shared" si="73"/>
        <v/>
      </c>
      <c r="C874" s="358"/>
      <c r="D874" s="358">
        <v>870</v>
      </c>
      <c r="E874" s="119"/>
      <c r="F874" s="119"/>
      <c r="G874" s="266"/>
      <c r="H874" s="119"/>
      <c r="I874" s="358"/>
      <c r="J874" s="359" t="str">
        <f>IFERROR(VLOOKUP($A874,#REF!,3,0),"")</f>
        <v/>
      </c>
      <c r="K874" s="359">
        <f>IFERROR(VLOOKUP($A874,#REF!,4,0),AF874)</f>
        <v>0</v>
      </c>
      <c r="L874" s="359" t="str">
        <f>IFERROR(VLOOKUP($A874,#REF!,5,0),"")</f>
        <v/>
      </c>
      <c r="M874" s="359" t="str">
        <f>IFERROR(VLOOKUP($A874,#REF!,7,0),"")</f>
        <v/>
      </c>
      <c r="N874" s="359"/>
      <c r="O874" s="359" t="str">
        <f>IFERROR(VLOOKUP($A874,#REF!,6,0),"")</f>
        <v/>
      </c>
      <c r="P874" s="359" t="str">
        <f>IFERROR(VLOOKUP($A874,#REF!,9,0),"")</f>
        <v/>
      </c>
      <c r="Q874" s="359" t="str">
        <f>IFERROR(VLOOKUP($A874,#REF!,10,0),"")</f>
        <v/>
      </c>
      <c r="R874" s="359" t="str">
        <f>IFERROR(VLOOKUP($A874,#REF!,11,0),"")</f>
        <v/>
      </c>
      <c r="S874" s="359" t="str">
        <f>IFERROR(VLOOKUP($A874,#REF!,13,0),"")</f>
        <v/>
      </c>
      <c r="T874" s="359" t="str">
        <f>IFERROR(VLOOKUP($A874,#REF!,14,0),"")</f>
        <v/>
      </c>
      <c r="U874" s="359" t="str">
        <f>IFERROR(VLOOKUP($A874,#REF!,15,0),"")</f>
        <v/>
      </c>
      <c r="V874" s="359" t="str">
        <f>IFERROR(VLOOKUP($A874,#REF!,16,0),"")</f>
        <v/>
      </c>
      <c r="W874" s="359" t="str">
        <f>IFERROR(VLOOKUP($A874,#REF!,17,0),"")</f>
        <v/>
      </c>
      <c r="X874" s="359" t="str">
        <f>IFERROR(VLOOKUP($A874,#REF!,18,0),"")</f>
        <v/>
      </c>
      <c r="Y874" s="359" t="str">
        <f>IFERROR(VLOOKUP($A874,#REF!,19,0),"")</f>
        <v/>
      </c>
      <c r="Z874" s="400" t="str">
        <f>IFERROR(VLOOKUP($A874,#REF!,21,0),"")</f>
        <v/>
      </c>
      <c r="AA874" s="358"/>
      <c r="AB874" s="358"/>
      <c r="AC874" s="119"/>
      <c r="AD874" s="119"/>
      <c r="AE874" s="119"/>
      <c r="AF874" s="277"/>
      <c r="AG874" s="119"/>
      <c r="AH874" s="358"/>
      <c r="AI874" s="358"/>
      <c r="AJ874" s="380"/>
      <c r="AK874" s="380"/>
      <c r="AL874" s="380"/>
      <c r="AM874" s="380"/>
      <c r="AN874" s="120"/>
      <c r="AO874" s="120"/>
      <c r="AP874" s="120"/>
      <c r="AQ874" s="313"/>
      <c r="AR874" s="119"/>
      <c r="AS874" s="22"/>
      <c r="AT874" s="22"/>
      <c r="AU874" s="22"/>
      <c r="AV874" s="22"/>
      <c r="AW874" s="82"/>
      <c r="AX874" s="82"/>
      <c r="AY874" s="82"/>
      <c r="AZ874" s="82"/>
      <c r="BA874" s="82"/>
      <c r="BB874" s="82"/>
      <c r="BC874" s="82"/>
      <c r="BD874" s="82"/>
      <c r="BE874" s="82"/>
      <c r="BF874" s="82"/>
      <c r="BG874" s="112"/>
      <c r="BH874" s="112"/>
      <c r="BI874" s="112"/>
      <c r="BJ874" s="112"/>
      <c r="BK874" s="82"/>
      <c r="BL874" s="82"/>
      <c r="BN874" s="412"/>
      <c r="BO874" s="412"/>
      <c r="BP874" s="412"/>
      <c r="BQ874" s="412"/>
      <c r="BR874" s="412"/>
      <c r="BZ874" t="str">
        <f t="shared" si="74"/>
        <v/>
      </c>
    </row>
    <row r="875" spans="1:78" ht="15.6" hidden="1" customHeight="1">
      <c r="A875" s="35" t="str">
        <f t="shared" si="73"/>
        <v/>
      </c>
      <c r="C875" s="358"/>
      <c r="D875" s="358">
        <v>871</v>
      </c>
      <c r="E875" s="119"/>
      <c r="F875" s="119"/>
      <c r="G875" s="266"/>
      <c r="H875" s="119"/>
      <c r="I875" s="358"/>
      <c r="J875" s="359" t="str">
        <f>IFERROR(VLOOKUP($A875,#REF!,3,0),"")</f>
        <v/>
      </c>
      <c r="K875" s="359">
        <f>IFERROR(VLOOKUP($A875,#REF!,4,0),AF875)</f>
        <v>0</v>
      </c>
      <c r="L875" s="359" t="str">
        <f>IFERROR(VLOOKUP($A875,#REF!,5,0),"")</f>
        <v/>
      </c>
      <c r="M875" s="359" t="str">
        <f>IFERROR(VLOOKUP($A875,#REF!,7,0),"")</f>
        <v/>
      </c>
      <c r="N875" s="359"/>
      <c r="O875" s="359" t="str">
        <f>IFERROR(VLOOKUP($A875,#REF!,6,0),"")</f>
        <v/>
      </c>
      <c r="P875" s="359" t="str">
        <f>IFERROR(VLOOKUP($A875,#REF!,9,0),"")</f>
        <v/>
      </c>
      <c r="Q875" s="359" t="str">
        <f>IFERROR(VLOOKUP($A875,#REF!,10,0),"")</f>
        <v/>
      </c>
      <c r="R875" s="359" t="str">
        <f>IFERROR(VLOOKUP($A875,#REF!,11,0),"")</f>
        <v/>
      </c>
      <c r="S875" s="359" t="str">
        <f>IFERROR(VLOOKUP($A875,#REF!,13,0),"")</f>
        <v/>
      </c>
      <c r="T875" s="359" t="str">
        <f>IFERROR(VLOOKUP($A875,#REF!,14,0),"")</f>
        <v/>
      </c>
      <c r="U875" s="359" t="str">
        <f>IFERROR(VLOOKUP($A875,#REF!,15,0),"")</f>
        <v/>
      </c>
      <c r="V875" s="359" t="str">
        <f>IFERROR(VLOOKUP($A875,#REF!,16,0),"")</f>
        <v/>
      </c>
      <c r="W875" s="359" t="str">
        <f>IFERROR(VLOOKUP($A875,#REF!,17,0),"")</f>
        <v/>
      </c>
      <c r="X875" s="359" t="str">
        <f>IFERROR(VLOOKUP($A875,#REF!,18,0),"")</f>
        <v/>
      </c>
      <c r="Y875" s="359" t="str">
        <f>IFERROR(VLOOKUP($A875,#REF!,19,0),"")</f>
        <v/>
      </c>
      <c r="Z875" s="400" t="str">
        <f>IFERROR(VLOOKUP($A875,#REF!,21,0),"")</f>
        <v/>
      </c>
      <c r="AA875" s="358"/>
      <c r="AB875" s="358"/>
      <c r="AC875" s="119"/>
      <c r="AD875" s="119"/>
      <c r="AE875" s="119"/>
      <c r="AF875" s="277"/>
      <c r="AG875" s="119"/>
      <c r="AH875" s="358"/>
      <c r="AI875" s="358"/>
      <c r="AJ875" s="380"/>
      <c r="AK875" s="380"/>
      <c r="AL875" s="380"/>
      <c r="AM875" s="380"/>
      <c r="AN875" s="120"/>
      <c r="AO875" s="120"/>
      <c r="AP875" s="120"/>
      <c r="AQ875" s="313"/>
      <c r="AR875" s="119"/>
      <c r="AS875" s="22"/>
      <c r="AT875" s="22"/>
      <c r="AU875" s="22"/>
      <c r="AV875" s="22"/>
      <c r="AW875" s="82"/>
      <c r="AX875" s="82"/>
      <c r="AY875" s="82"/>
      <c r="AZ875" s="82"/>
      <c r="BA875" s="82"/>
      <c r="BB875" s="82"/>
      <c r="BC875" s="82"/>
      <c r="BD875" s="82"/>
      <c r="BE875" s="82"/>
      <c r="BF875" s="82"/>
      <c r="BG875" s="112"/>
      <c r="BH875" s="112"/>
      <c r="BI875" s="112"/>
      <c r="BJ875" s="112"/>
      <c r="BK875" s="82"/>
      <c r="BL875" s="82"/>
      <c r="BN875" s="412"/>
      <c r="BO875" s="412"/>
      <c r="BP875" s="412"/>
      <c r="BQ875" s="412"/>
      <c r="BR875" s="412"/>
      <c r="BZ875" t="str">
        <f t="shared" si="74"/>
        <v/>
      </c>
    </row>
    <row r="876" spans="1:78" ht="15.6" hidden="1" customHeight="1">
      <c r="A876" s="35" t="str">
        <f t="shared" si="73"/>
        <v/>
      </c>
      <c r="C876" s="358"/>
      <c r="D876" s="358">
        <v>872</v>
      </c>
      <c r="E876" s="119"/>
      <c r="F876" s="119"/>
      <c r="G876" s="266"/>
      <c r="H876" s="119"/>
      <c r="I876" s="358"/>
      <c r="J876" s="359" t="str">
        <f>IFERROR(VLOOKUP($A876,#REF!,3,0),"")</f>
        <v/>
      </c>
      <c r="K876" s="359">
        <f>IFERROR(VLOOKUP($A876,#REF!,4,0),AF876)</f>
        <v>0</v>
      </c>
      <c r="L876" s="359" t="str">
        <f>IFERROR(VLOOKUP($A876,#REF!,5,0),"")</f>
        <v/>
      </c>
      <c r="M876" s="359" t="str">
        <f>IFERROR(VLOOKUP($A876,#REF!,7,0),"")</f>
        <v/>
      </c>
      <c r="N876" s="359"/>
      <c r="O876" s="359" t="str">
        <f>IFERROR(VLOOKUP($A876,#REF!,6,0),"")</f>
        <v/>
      </c>
      <c r="P876" s="359" t="str">
        <f>IFERROR(VLOOKUP($A876,#REF!,9,0),"")</f>
        <v/>
      </c>
      <c r="Q876" s="359" t="str">
        <f>IFERROR(VLOOKUP($A876,#REF!,10,0),"")</f>
        <v/>
      </c>
      <c r="R876" s="359" t="str">
        <f>IFERROR(VLOOKUP($A876,#REF!,11,0),"")</f>
        <v/>
      </c>
      <c r="S876" s="359" t="str">
        <f>IFERROR(VLOOKUP($A876,#REF!,13,0),"")</f>
        <v/>
      </c>
      <c r="T876" s="359" t="str">
        <f>IFERROR(VLOOKUP($A876,#REF!,14,0),"")</f>
        <v/>
      </c>
      <c r="U876" s="359" t="str">
        <f>IFERROR(VLOOKUP($A876,#REF!,15,0),"")</f>
        <v/>
      </c>
      <c r="V876" s="359" t="str">
        <f>IFERROR(VLOOKUP($A876,#REF!,16,0),"")</f>
        <v/>
      </c>
      <c r="W876" s="359" t="str">
        <f>IFERROR(VLOOKUP($A876,#REF!,17,0),"")</f>
        <v/>
      </c>
      <c r="X876" s="359" t="str">
        <f>IFERROR(VLOOKUP($A876,#REF!,18,0),"")</f>
        <v/>
      </c>
      <c r="Y876" s="359" t="str">
        <f>IFERROR(VLOOKUP($A876,#REF!,19,0),"")</f>
        <v/>
      </c>
      <c r="Z876" s="400" t="str">
        <f>IFERROR(VLOOKUP($A876,#REF!,21,0),"")</f>
        <v/>
      </c>
      <c r="AA876" s="358"/>
      <c r="AB876" s="358"/>
      <c r="AC876" s="119"/>
      <c r="AD876" s="119"/>
      <c r="AE876" s="119"/>
      <c r="AF876" s="277"/>
      <c r="AG876" s="119"/>
      <c r="AH876" s="358"/>
      <c r="AI876" s="358"/>
      <c r="AJ876" s="380"/>
      <c r="AK876" s="380"/>
      <c r="AL876" s="380"/>
      <c r="AM876" s="380"/>
      <c r="AN876" s="120"/>
      <c r="AO876" s="120"/>
      <c r="AP876" s="120"/>
      <c r="AQ876" s="313"/>
      <c r="AR876" s="119"/>
      <c r="AS876" s="22"/>
      <c r="AT876" s="22"/>
      <c r="AU876" s="22"/>
      <c r="AV876" s="22"/>
      <c r="AW876" s="82"/>
      <c r="AX876" s="82"/>
      <c r="AY876" s="82"/>
      <c r="AZ876" s="82"/>
      <c r="BA876" s="82"/>
      <c r="BB876" s="82"/>
      <c r="BC876" s="82"/>
      <c r="BD876" s="82"/>
      <c r="BE876" s="82"/>
      <c r="BF876" s="82"/>
      <c r="BG876" s="112"/>
      <c r="BH876" s="112"/>
      <c r="BI876" s="112"/>
      <c r="BJ876" s="112"/>
      <c r="BK876" s="82"/>
      <c r="BL876" s="82"/>
      <c r="BN876" s="412"/>
      <c r="BO876" s="412"/>
      <c r="BP876" s="412"/>
      <c r="BQ876" s="412"/>
      <c r="BR876" s="412"/>
      <c r="BZ876" t="str">
        <f t="shared" si="74"/>
        <v/>
      </c>
    </row>
    <row r="877" spans="1:78" ht="15.6" hidden="1" customHeight="1">
      <c r="A877" s="35" t="str">
        <f t="shared" si="73"/>
        <v/>
      </c>
      <c r="C877" s="358"/>
      <c r="D877" s="358">
        <v>873</v>
      </c>
      <c r="E877" s="119"/>
      <c r="F877" s="119"/>
      <c r="G877" s="266"/>
      <c r="H877" s="119"/>
      <c r="I877" s="358"/>
      <c r="J877" s="359" t="str">
        <f>IFERROR(VLOOKUP($A877,#REF!,3,0),"")</f>
        <v/>
      </c>
      <c r="K877" s="359">
        <f>IFERROR(VLOOKUP($A877,#REF!,4,0),AF877)</f>
        <v>0</v>
      </c>
      <c r="L877" s="359" t="str">
        <f>IFERROR(VLOOKUP($A877,#REF!,5,0),"")</f>
        <v/>
      </c>
      <c r="M877" s="359" t="str">
        <f>IFERROR(VLOOKUP($A877,#REF!,7,0),"")</f>
        <v/>
      </c>
      <c r="N877" s="359"/>
      <c r="O877" s="359" t="str">
        <f>IFERROR(VLOOKUP($A877,#REF!,6,0),"")</f>
        <v/>
      </c>
      <c r="P877" s="359" t="str">
        <f>IFERROR(VLOOKUP($A877,#REF!,9,0),"")</f>
        <v/>
      </c>
      <c r="Q877" s="359" t="str">
        <f>IFERROR(VLOOKUP($A877,#REF!,10,0),"")</f>
        <v/>
      </c>
      <c r="R877" s="359" t="str">
        <f>IFERROR(VLOOKUP($A877,#REF!,11,0),"")</f>
        <v/>
      </c>
      <c r="S877" s="359" t="str">
        <f>IFERROR(VLOOKUP($A877,#REF!,13,0),"")</f>
        <v/>
      </c>
      <c r="T877" s="359" t="str">
        <f>IFERROR(VLOOKUP($A877,#REF!,14,0),"")</f>
        <v/>
      </c>
      <c r="U877" s="359" t="str">
        <f>IFERROR(VLOOKUP($A877,#REF!,15,0),"")</f>
        <v/>
      </c>
      <c r="V877" s="359" t="str">
        <f>IFERROR(VLOOKUP($A877,#REF!,16,0),"")</f>
        <v/>
      </c>
      <c r="W877" s="359" t="str">
        <f>IFERROR(VLOOKUP($A877,#REF!,17,0),"")</f>
        <v/>
      </c>
      <c r="X877" s="359" t="str">
        <f>IFERROR(VLOOKUP($A877,#REF!,18,0),"")</f>
        <v/>
      </c>
      <c r="Y877" s="359" t="str">
        <f>IFERROR(VLOOKUP($A877,#REF!,19,0),"")</f>
        <v/>
      </c>
      <c r="Z877" s="400" t="str">
        <f>IFERROR(VLOOKUP($A877,#REF!,21,0),"")</f>
        <v/>
      </c>
      <c r="AA877" s="358"/>
      <c r="AB877" s="358"/>
      <c r="AC877" s="119"/>
      <c r="AD877" s="119"/>
      <c r="AE877" s="119"/>
      <c r="AF877" s="277"/>
      <c r="AG877" s="119"/>
      <c r="AH877" s="358"/>
      <c r="AI877" s="358"/>
      <c r="AJ877" s="380"/>
      <c r="AK877" s="380"/>
      <c r="AL877" s="380"/>
      <c r="AM877" s="380"/>
      <c r="AN877" s="120"/>
      <c r="AO877" s="120"/>
      <c r="AP877" s="120"/>
      <c r="AQ877" s="313"/>
      <c r="AR877" s="119"/>
      <c r="AS877" s="22"/>
      <c r="AT877" s="22"/>
      <c r="AU877" s="22"/>
      <c r="AV877" s="22"/>
      <c r="AW877" s="82"/>
      <c r="AX877" s="82"/>
      <c r="AY877" s="82"/>
      <c r="AZ877" s="82"/>
      <c r="BA877" s="82"/>
      <c r="BB877" s="82"/>
      <c r="BC877" s="82"/>
      <c r="BD877" s="82"/>
      <c r="BE877" s="82"/>
      <c r="BF877" s="82"/>
      <c r="BG877" s="112"/>
      <c r="BH877" s="112"/>
      <c r="BI877" s="112"/>
      <c r="BJ877" s="112"/>
      <c r="BK877" s="82"/>
      <c r="BL877" s="82"/>
      <c r="BN877" s="412"/>
      <c r="BO877" s="412"/>
      <c r="BP877" s="412"/>
      <c r="BQ877" s="412"/>
      <c r="BR877" s="412"/>
      <c r="BZ877" t="str">
        <f t="shared" si="74"/>
        <v/>
      </c>
    </row>
    <row r="878" spans="1:78" ht="15.6" hidden="1" customHeight="1">
      <c r="A878" s="35" t="str">
        <f t="shared" si="73"/>
        <v/>
      </c>
      <c r="C878" s="358"/>
      <c r="D878" s="358">
        <v>874</v>
      </c>
      <c r="E878" s="119"/>
      <c r="F878" s="119"/>
      <c r="G878" s="266"/>
      <c r="H878" s="119"/>
      <c r="I878" s="358"/>
      <c r="J878" s="359" t="str">
        <f>IFERROR(VLOOKUP($A878,#REF!,3,0),"")</f>
        <v/>
      </c>
      <c r="K878" s="359">
        <f>IFERROR(VLOOKUP($A878,#REF!,4,0),AF878)</f>
        <v>0</v>
      </c>
      <c r="L878" s="359" t="str">
        <f>IFERROR(VLOOKUP($A878,#REF!,5,0),"")</f>
        <v/>
      </c>
      <c r="M878" s="359" t="str">
        <f>IFERROR(VLOOKUP($A878,#REF!,7,0),"")</f>
        <v/>
      </c>
      <c r="N878" s="359"/>
      <c r="O878" s="359" t="str">
        <f>IFERROR(VLOOKUP($A878,#REF!,6,0),"")</f>
        <v/>
      </c>
      <c r="P878" s="359" t="str">
        <f>IFERROR(VLOOKUP($A878,#REF!,9,0),"")</f>
        <v/>
      </c>
      <c r="Q878" s="359" t="str">
        <f>IFERROR(VLOOKUP($A878,#REF!,10,0),"")</f>
        <v/>
      </c>
      <c r="R878" s="359" t="str">
        <f>IFERROR(VLOOKUP($A878,#REF!,11,0),"")</f>
        <v/>
      </c>
      <c r="S878" s="359" t="str">
        <f>IFERROR(VLOOKUP($A878,#REF!,13,0),"")</f>
        <v/>
      </c>
      <c r="T878" s="359" t="str">
        <f>IFERROR(VLOOKUP($A878,#REF!,14,0),"")</f>
        <v/>
      </c>
      <c r="U878" s="359" t="str">
        <f>IFERROR(VLOOKUP($A878,#REF!,15,0),"")</f>
        <v/>
      </c>
      <c r="V878" s="359" t="str">
        <f>IFERROR(VLOOKUP($A878,#REF!,16,0),"")</f>
        <v/>
      </c>
      <c r="W878" s="359" t="str">
        <f>IFERROR(VLOOKUP($A878,#REF!,17,0),"")</f>
        <v/>
      </c>
      <c r="X878" s="359" t="str">
        <f>IFERROR(VLOOKUP($A878,#REF!,18,0),"")</f>
        <v/>
      </c>
      <c r="Y878" s="359" t="str">
        <f>IFERROR(VLOOKUP($A878,#REF!,19,0),"")</f>
        <v/>
      </c>
      <c r="Z878" s="400" t="str">
        <f>IFERROR(VLOOKUP($A878,#REF!,21,0),"")</f>
        <v/>
      </c>
      <c r="AA878" s="358"/>
      <c r="AB878" s="358"/>
      <c r="AC878" s="119"/>
      <c r="AD878" s="119"/>
      <c r="AE878" s="119"/>
      <c r="AF878" s="277"/>
      <c r="AG878" s="119"/>
      <c r="AH878" s="358"/>
      <c r="AI878" s="358"/>
      <c r="AJ878" s="380"/>
      <c r="AK878" s="380"/>
      <c r="AL878" s="380"/>
      <c r="AM878" s="380"/>
      <c r="AN878" s="120"/>
      <c r="AO878" s="120"/>
      <c r="AP878" s="120"/>
      <c r="AQ878" s="313"/>
      <c r="AR878" s="119"/>
      <c r="AS878" s="22"/>
      <c r="AT878" s="22"/>
      <c r="AU878" s="22"/>
      <c r="AV878" s="22"/>
      <c r="AW878" s="82"/>
      <c r="AX878" s="82"/>
      <c r="AY878" s="82"/>
      <c r="AZ878" s="82"/>
      <c r="BA878" s="82"/>
      <c r="BB878" s="82"/>
      <c r="BC878" s="82"/>
      <c r="BD878" s="82"/>
      <c r="BE878" s="82"/>
      <c r="BF878" s="82"/>
      <c r="BG878" s="112"/>
      <c r="BH878" s="112"/>
      <c r="BI878" s="112"/>
      <c r="BJ878" s="112"/>
      <c r="BK878" s="82"/>
      <c r="BL878" s="82"/>
      <c r="BN878" s="412"/>
      <c r="BO878" s="412"/>
      <c r="BP878" s="412"/>
      <c r="BQ878" s="412"/>
      <c r="BR878" s="412"/>
      <c r="BZ878" t="str">
        <f t="shared" si="74"/>
        <v/>
      </c>
    </row>
    <row r="879" spans="1:78" ht="15.6" hidden="1" customHeight="1">
      <c r="A879" s="35" t="str">
        <f t="shared" si="73"/>
        <v/>
      </c>
      <c r="C879" s="358"/>
      <c r="D879" s="358">
        <v>875</v>
      </c>
      <c r="E879" s="119"/>
      <c r="F879" s="119"/>
      <c r="G879" s="266"/>
      <c r="H879" s="119"/>
      <c r="I879" s="358"/>
      <c r="J879" s="359" t="str">
        <f>IFERROR(VLOOKUP($A879,#REF!,3,0),"")</f>
        <v/>
      </c>
      <c r="K879" s="359">
        <f>IFERROR(VLOOKUP($A879,#REF!,4,0),AF879)</f>
        <v>0</v>
      </c>
      <c r="L879" s="359" t="str">
        <f>IFERROR(VLOOKUP($A879,#REF!,5,0),"")</f>
        <v/>
      </c>
      <c r="M879" s="359" t="str">
        <f>IFERROR(VLOOKUP($A879,#REF!,7,0),"")</f>
        <v/>
      </c>
      <c r="N879" s="359"/>
      <c r="O879" s="359" t="str">
        <f>IFERROR(VLOOKUP($A879,#REF!,6,0),"")</f>
        <v/>
      </c>
      <c r="P879" s="359" t="str">
        <f>IFERROR(VLOOKUP($A879,#REF!,9,0),"")</f>
        <v/>
      </c>
      <c r="Q879" s="359" t="str">
        <f>IFERROR(VLOOKUP($A879,#REF!,10,0),"")</f>
        <v/>
      </c>
      <c r="R879" s="359" t="str">
        <f>IFERROR(VLOOKUP($A879,#REF!,11,0),"")</f>
        <v/>
      </c>
      <c r="S879" s="359" t="str">
        <f>IFERROR(VLOOKUP($A879,#REF!,13,0),"")</f>
        <v/>
      </c>
      <c r="T879" s="359" t="str">
        <f>IFERROR(VLOOKUP($A879,#REF!,14,0),"")</f>
        <v/>
      </c>
      <c r="U879" s="359" t="str">
        <f>IFERROR(VLOOKUP($A879,#REF!,15,0),"")</f>
        <v/>
      </c>
      <c r="V879" s="359" t="str">
        <f>IFERROR(VLOOKUP($A879,#REF!,16,0),"")</f>
        <v/>
      </c>
      <c r="W879" s="359" t="str">
        <f>IFERROR(VLOOKUP($A879,#REF!,17,0),"")</f>
        <v/>
      </c>
      <c r="X879" s="359" t="str">
        <f>IFERROR(VLOOKUP($A879,#REF!,18,0),"")</f>
        <v/>
      </c>
      <c r="Y879" s="359" t="str">
        <f>IFERROR(VLOOKUP($A879,#REF!,19,0),"")</f>
        <v/>
      </c>
      <c r="Z879" s="400" t="str">
        <f>IFERROR(VLOOKUP($A879,#REF!,21,0),"")</f>
        <v/>
      </c>
      <c r="AA879" s="358"/>
      <c r="AB879" s="358"/>
      <c r="AC879" s="119"/>
      <c r="AD879" s="119"/>
      <c r="AE879" s="119"/>
      <c r="AF879" s="277"/>
      <c r="AG879" s="119"/>
      <c r="AH879" s="358"/>
      <c r="AI879" s="358"/>
      <c r="AJ879" s="380"/>
      <c r="AK879" s="380"/>
      <c r="AL879" s="380"/>
      <c r="AM879" s="380"/>
      <c r="AN879" s="120"/>
      <c r="AO879" s="120"/>
      <c r="AP879" s="120"/>
      <c r="AQ879" s="313"/>
      <c r="AR879" s="119"/>
      <c r="AS879" s="22"/>
      <c r="AT879" s="22"/>
      <c r="AU879" s="22"/>
      <c r="AV879" s="22"/>
      <c r="AW879" s="82"/>
      <c r="AX879" s="82"/>
      <c r="AY879" s="82"/>
      <c r="AZ879" s="82"/>
      <c r="BA879" s="82"/>
      <c r="BB879" s="82"/>
      <c r="BC879" s="82"/>
      <c r="BD879" s="82"/>
      <c r="BE879" s="82"/>
      <c r="BF879" s="82"/>
      <c r="BG879" s="112"/>
      <c r="BH879" s="112"/>
      <c r="BI879" s="112"/>
      <c r="BJ879" s="112"/>
      <c r="BK879" s="82"/>
      <c r="BL879" s="82"/>
      <c r="BN879" s="412"/>
      <c r="BO879" s="412"/>
      <c r="BP879" s="412"/>
      <c r="BQ879" s="412"/>
      <c r="BR879" s="412"/>
      <c r="BZ879" t="str">
        <f t="shared" si="74"/>
        <v/>
      </c>
    </row>
    <row r="880" spans="1:78" ht="15.6" hidden="1" customHeight="1">
      <c r="A880" s="35" t="str">
        <f t="shared" si="73"/>
        <v/>
      </c>
      <c r="C880" s="358"/>
      <c r="D880" s="358">
        <v>876</v>
      </c>
      <c r="E880" s="119"/>
      <c r="F880" s="119"/>
      <c r="G880" s="266"/>
      <c r="H880" s="119"/>
      <c r="I880" s="358"/>
      <c r="J880" s="359" t="str">
        <f>IFERROR(VLOOKUP($A880,#REF!,3,0),"")</f>
        <v/>
      </c>
      <c r="K880" s="359">
        <f>IFERROR(VLOOKUP($A880,#REF!,4,0),AF880)</f>
        <v>0</v>
      </c>
      <c r="L880" s="359" t="str">
        <f>IFERROR(VLOOKUP($A880,#REF!,5,0),"")</f>
        <v/>
      </c>
      <c r="M880" s="359" t="str">
        <f>IFERROR(VLOOKUP($A880,#REF!,7,0),"")</f>
        <v/>
      </c>
      <c r="N880" s="359"/>
      <c r="O880" s="359" t="str">
        <f>IFERROR(VLOOKUP($A880,#REF!,6,0),"")</f>
        <v/>
      </c>
      <c r="P880" s="359" t="str">
        <f>IFERROR(VLOOKUP($A880,#REF!,9,0),"")</f>
        <v/>
      </c>
      <c r="Q880" s="359" t="str">
        <f>IFERROR(VLOOKUP($A880,#REF!,10,0),"")</f>
        <v/>
      </c>
      <c r="R880" s="359" t="str">
        <f>IFERROR(VLOOKUP($A880,#REF!,11,0),"")</f>
        <v/>
      </c>
      <c r="S880" s="359" t="str">
        <f>IFERROR(VLOOKUP($A880,#REF!,13,0),"")</f>
        <v/>
      </c>
      <c r="T880" s="359" t="str">
        <f>IFERROR(VLOOKUP($A880,#REF!,14,0),"")</f>
        <v/>
      </c>
      <c r="U880" s="359" t="str">
        <f>IFERROR(VLOOKUP($A880,#REF!,15,0),"")</f>
        <v/>
      </c>
      <c r="V880" s="359" t="str">
        <f>IFERROR(VLOOKUP($A880,#REF!,16,0),"")</f>
        <v/>
      </c>
      <c r="W880" s="359" t="str">
        <f>IFERROR(VLOOKUP($A880,#REF!,17,0),"")</f>
        <v/>
      </c>
      <c r="X880" s="359" t="str">
        <f>IFERROR(VLOOKUP($A880,#REF!,18,0),"")</f>
        <v/>
      </c>
      <c r="Y880" s="359" t="str">
        <f>IFERROR(VLOOKUP($A880,#REF!,19,0),"")</f>
        <v/>
      </c>
      <c r="Z880" s="400" t="str">
        <f>IFERROR(VLOOKUP($A880,#REF!,21,0),"")</f>
        <v/>
      </c>
      <c r="AA880" s="358"/>
      <c r="AB880" s="358"/>
      <c r="AC880" s="119"/>
      <c r="AD880" s="119"/>
      <c r="AE880" s="119"/>
      <c r="AF880" s="277"/>
      <c r="AG880" s="119"/>
      <c r="AH880" s="358"/>
      <c r="AI880" s="358"/>
      <c r="AJ880" s="380"/>
      <c r="AK880" s="380"/>
      <c r="AL880" s="380"/>
      <c r="AM880" s="380"/>
      <c r="AN880" s="120"/>
      <c r="AO880" s="120"/>
      <c r="AP880" s="120"/>
      <c r="AQ880" s="313"/>
      <c r="AR880" s="119"/>
      <c r="AS880" s="22"/>
      <c r="AT880" s="22"/>
      <c r="AU880" s="22"/>
      <c r="AV880" s="22"/>
      <c r="AW880" s="82"/>
      <c r="AX880" s="82"/>
      <c r="AY880" s="82"/>
      <c r="AZ880" s="82"/>
      <c r="BA880" s="82"/>
      <c r="BB880" s="82"/>
      <c r="BC880" s="82"/>
      <c r="BD880" s="82"/>
      <c r="BE880" s="82"/>
      <c r="BF880" s="82"/>
      <c r="BG880" s="112"/>
      <c r="BH880" s="112"/>
      <c r="BI880" s="112"/>
      <c r="BJ880" s="112"/>
      <c r="BK880" s="82"/>
      <c r="BL880" s="82"/>
      <c r="BN880" s="412"/>
      <c r="BO880" s="412"/>
      <c r="BP880" s="412"/>
      <c r="BQ880" s="412"/>
      <c r="BR880" s="412"/>
      <c r="BZ880" t="str">
        <f t="shared" si="74"/>
        <v/>
      </c>
    </row>
    <row r="881" spans="1:78" ht="15.6" hidden="1" customHeight="1">
      <c r="A881" s="35" t="str">
        <f t="shared" si="73"/>
        <v/>
      </c>
      <c r="C881" s="358"/>
      <c r="D881" s="358">
        <v>877</v>
      </c>
      <c r="E881" s="119"/>
      <c r="F881" s="119"/>
      <c r="G881" s="266"/>
      <c r="H881" s="119"/>
      <c r="I881" s="358"/>
      <c r="J881" s="359" t="str">
        <f>IFERROR(VLOOKUP($A881,#REF!,3,0),"")</f>
        <v/>
      </c>
      <c r="K881" s="359">
        <f>IFERROR(VLOOKUP($A881,#REF!,4,0),AF881)</f>
        <v>0</v>
      </c>
      <c r="L881" s="359" t="str">
        <f>IFERROR(VLOOKUP($A881,#REF!,5,0),"")</f>
        <v/>
      </c>
      <c r="M881" s="359" t="str">
        <f>IFERROR(VLOOKUP($A881,#REF!,7,0),"")</f>
        <v/>
      </c>
      <c r="N881" s="359"/>
      <c r="O881" s="359" t="str">
        <f>IFERROR(VLOOKUP($A881,#REF!,6,0),"")</f>
        <v/>
      </c>
      <c r="P881" s="359" t="str">
        <f>IFERROR(VLOOKUP($A881,#REF!,9,0),"")</f>
        <v/>
      </c>
      <c r="Q881" s="359" t="str">
        <f>IFERROR(VLOOKUP($A881,#REF!,10,0),"")</f>
        <v/>
      </c>
      <c r="R881" s="359" t="str">
        <f>IFERROR(VLOOKUP($A881,#REF!,11,0),"")</f>
        <v/>
      </c>
      <c r="S881" s="359" t="str">
        <f>IFERROR(VLOOKUP($A881,#REF!,13,0),"")</f>
        <v/>
      </c>
      <c r="T881" s="359" t="str">
        <f>IFERROR(VLOOKUP($A881,#REF!,14,0),"")</f>
        <v/>
      </c>
      <c r="U881" s="359" t="str">
        <f>IFERROR(VLOOKUP($A881,#REF!,15,0),"")</f>
        <v/>
      </c>
      <c r="V881" s="359" t="str">
        <f>IFERROR(VLOOKUP($A881,#REF!,16,0),"")</f>
        <v/>
      </c>
      <c r="W881" s="359" t="str">
        <f>IFERROR(VLOOKUP($A881,#REF!,17,0),"")</f>
        <v/>
      </c>
      <c r="X881" s="359" t="str">
        <f>IFERROR(VLOOKUP($A881,#REF!,18,0),"")</f>
        <v/>
      </c>
      <c r="Y881" s="359" t="str">
        <f>IFERROR(VLOOKUP($A881,#REF!,19,0),"")</f>
        <v/>
      </c>
      <c r="Z881" s="400" t="str">
        <f>IFERROR(VLOOKUP($A881,#REF!,21,0),"")</f>
        <v/>
      </c>
      <c r="AA881" s="358"/>
      <c r="AB881" s="358"/>
      <c r="AC881" s="119"/>
      <c r="AD881" s="119"/>
      <c r="AE881" s="119"/>
      <c r="AF881" s="277"/>
      <c r="AG881" s="119"/>
      <c r="AH881" s="358"/>
      <c r="AI881" s="358"/>
      <c r="AJ881" s="380"/>
      <c r="AK881" s="380"/>
      <c r="AL881" s="380"/>
      <c r="AM881" s="380"/>
      <c r="AN881" s="120"/>
      <c r="AO881" s="120"/>
      <c r="AP881" s="120"/>
      <c r="AQ881" s="313"/>
      <c r="AR881" s="119"/>
      <c r="AS881" s="22"/>
      <c r="AT881" s="22"/>
      <c r="AU881" s="22"/>
      <c r="AV881" s="22"/>
      <c r="AW881" s="82"/>
      <c r="AX881" s="82"/>
      <c r="AY881" s="82"/>
      <c r="AZ881" s="82"/>
      <c r="BA881" s="82"/>
      <c r="BB881" s="82"/>
      <c r="BC881" s="82"/>
      <c r="BD881" s="82"/>
      <c r="BE881" s="82"/>
      <c r="BF881" s="82"/>
      <c r="BG881" s="112"/>
      <c r="BH881" s="112"/>
      <c r="BI881" s="112"/>
      <c r="BJ881" s="112"/>
      <c r="BK881" s="82"/>
      <c r="BL881" s="82"/>
      <c r="BN881" s="412"/>
      <c r="BO881" s="412"/>
      <c r="BP881" s="412"/>
      <c r="BQ881" s="412"/>
      <c r="BR881" s="412"/>
      <c r="BZ881" t="str">
        <f t="shared" si="74"/>
        <v/>
      </c>
    </row>
    <row r="882" spans="1:78" ht="15.6" hidden="1" customHeight="1">
      <c r="A882" s="35" t="str">
        <f t="shared" si="73"/>
        <v/>
      </c>
      <c r="C882" s="358"/>
      <c r="D882" s="358">
        <v>878</v>
      </c>
      <c r="E882" s="119"/>
      <c r="F882" s="119"/>
      <c r="G882" s="266"/>
      <c r="H882" s="119"/>
      <c r="I882" s="358"/>
      <c r="J882" s="359" t="str">
        <f>IFERROR(VLOOKUP($A882,#REF!,3,0),"")</f>
        <v/>
      </c>
      <c r="K882" s="359">
        <f>IFERROR(VLOOKUP($A882,#REF!,4,0),AF882)</f>
        <v>0</v>
      </c>
      <c r="L882" s="359" t="str">
        <f>IFERROR(VLOOKUP($A882,#REF!,5,0),"")</f>
        <v/>
      </c>
      <c r="M882" s="359" t="str">
        <f>IFERROR(VLOOKUP($A882,#REF!,7,0),"")</f>
        <v/>
      </c>
      <c r="N882" s="359"/>
      <c r="O882" s="359" t="str">
        <f>IFERROR(VLOOKUP($A882,#REF!,6,0),"")</f>
        <v/>
      </c>
      <c r="P882" s="359" t="str">
        <f>IFERROR(VLOOKUP($A882,#REF!,9,0),"")</f>
        <v/>
      </c>
      <c r="Q882" s="359" t="str">
        <f>IFERROR(VLOOKUP($A882,#REF!,10,0),"")</f>
        <v/>
      </c>
      <c r="R882" s="359" t="str">
        <f>IFERROR(VLOOKUP($A882,#REF!,11,0),"")</f>
        <v/>
      </c>
      <c r="S882" s="359" t="str">
        <f>IFERROR(VLOOKUP($A882,#REF!,13,0),"")</f>
        <v/>
      </c>
      <c r="T882" s="359" t="str">
        <f>IFERROR(VLOOKUP($A882,#REF!,14,0),"")</f>
        <v/>
      </c>
      <c r="U882" s="359" t="str">
        <f>IFERROR(VLOOKUP($A882,#REF!,15,0),"")</f>
        <v/>
      </c>
      <c r="V882" s="359" t="str">
        <f>IFERROR(VLOOKUP($A882,#REF!,16,0),"")</f>
        <v/>
      </c>
      <c r="W882" s="359" t="str">
        <f>IFERROR(VLOOKUP($A882,#REF!,17,0),"")</f>
        <v/>
      </c>
      <c r="X882" s="359" t="str">
        <f>IFERROR(VLOOKUP($A882,#REF!,18,0),"")</f>
        <v/>
      </c>
      <c r="Y882" s="359" t="str">
        <f>IFERROR(VLOOKUP($A882,#REF!,19,0),"")</f>
        <v/>
      </c>
      <c r="Z882" s="400" t="str">
        <f>IFERROR(VLOOKUP($A882,#REF!,21,0),"")</f>
        <v/>
      </c>
      <c r="AA882" s="358"/>
      <c r="AB882" s="358"/>
      <c r="AC882" s="119"/>
      <c r="AD882" s="119"/>
      <c r="AE882" s="119"/>
      <c r="AF882" s="277"/>
      <c r="AG882" s="119"/>
      <c r="AH882" s="358"/>
      <c r="AI882" s="358"/>
      <c r="AJ882" s="380"/>
      <c r="AK882" s="380"/>
      <c r="AL882" s="380"/>
      <c r="AM882" s="380"/>
      <c r="AN882" s="120"/>
      <c r="AO882" s="120"/>
      <c r="AP882" s="120"/>
      <c r="AQ882" s="313"/>
      <c r="AR882" s="119"/>
      <c r="AS882" s="22"/>
      <c r="AT882" s="22"/>
      <c r="AU882" s="22"/>
      <c r="AV882" s="22"/>
      <c r="AW882" s="82"/>
      <c r="AX882" s="82"/>
      <c r="AY882" s="82"/>
      <c r="AZ882" s="82"/>
      <c r="BA882" s="82"/>
      <c r="BB882" s="82"/>
      <c r="BC882" s="82"/>
      <c r="BD882" s="82"/>
      <c r="BE882" s="82"/>
      <c r="BF882" s="82"/>
      <c r="BG882" s="112"/>
      <c r="BH882" s="112"/>
      <c r="BI882" s="112"/>
      <c r="BJ882" s="112"/>
      <c r="BK882" s="82"/>
      <c r="BL882" s="82"/>
      <c r="BN882" s="412"/>
      <c r="BO882" s="412"/>
      <c r="BP882" s="412"/>
      <c r="BQ882" s="412"/>
      <c r="BR882" s="412"/>
      <c r="BZ882" t="str">
        <f t="shared" si="74"/>
        <v/>
      </c>
    </row>
    <row r="883" spans="1:78" ht="15.6" hidden="1" customHeight="1">
      <c r="A883" s="35" t="str">
        <f t="shared" si="73"/>
        <v/>
      </c>
      <c r="C883" s="358"/>
      <c r="D883" s="358">
        <v>879</v>
      </c>
      <c r="E883" s="119"/>
      <c r="F883" s="119"/>
      <c r="G883" s="266"/>
      <c r="H883" s="119"/>
      <c r="I883" s="358"/>
      <c r="J883" s="359" t="str">
        <f>IFERROR(VLOOKUP($A883,#REF!,3,0),"")</f>
        <v/>
      </c>
      <c r="K883" s="359">
        <f>IFERROR(VLOOKUP($A883,#REF!,4,0),AF883)</f>
        <v>0</v>
      </c>
      <c r="L883" s="359" t="str">
        <f>IFERROR(VLOOKUP($A883,#REF!,5,0),"")</f>
        <v/>
      </c>
      <c r="M883" s="359" t="str">
        <f>IFERROR(VLOOKUP($A883,#REF!,7,0),"")</f>
        <v/>
      </c>
      <c r="N883" s="359"/>
      <c r="O883" s="359" t="str">
        <f>IFERROR(VLOOKUP($A883,#REF!,6,0),"")</f>
        <v/>
      </c>
      <c r="P883" s="359" t="str">
        <f>IFERROR(VLOOKUP($A883,#REF!,9,0),"")</f>
        <v/>
      </c>
      <c r="Q883" s="359" t="str">
        <f>IFERROR(VLOOKUP($A883,#REF!,10,0),"")</f>
        <v/>
      </c>
      <c r="R883" s="359" t="str">
        <f>IFERROR(VLOOKUP($A883,#REF!,11,0),"")</f>
        <v/>
      </c>
      <c r="S883" s="359" t="str">
        <f>IFERROR(VLOOKUP($A883,#REF!,13,0),"")</f>
        <v/>
      </c>
      <c r="T883" s="359" t="str">
        <f>IFERROR(VLOOKUP($A883,#REF!,14,0),"")</f>
        <v/>
      </c>
      <c r="U883" s="359" t="str">
        <f>IFERROR(VLOOKUP($A883,#REF!,15,0),"")</f>
        <v/>
      </c>
      <c r="V883" s="359" t="str">
        <f>IFERROR(VLOOKUP($A883,#REF!,16,0),"")</f>
        <v/>
      </c>
      <c r="W883" s="359" t="str">
        <f>IFERROR(VLOOKUP($A883,#REF!,17,0),"")</f>
        <v/>
      </c>
      <c r="X883" s="359" t="str">
        <f>IFERROR(VLOOKUP($A883,#REF!,18,0),"")</f>
        <v/>
      </c>
      <c r="Y883" s="359" t="str">
        <f>IFERROR(VLOOKUP($A883,#REF!,19,0),"")</f>
        <v/>
      </c>
      <c r="Z883" s="400" t="str">
        <f>IFERROR(VLOOKUP($A883,#REF!,21,0),"")</f>
        <v/>
      </c>
      <c r="AA883" s="358"/>
      <c r="AB883" s="358"/>
      <c r="AC883" s="119"/>
      <c r="AD883" s="119"/>
      <c r="AE883" s="119"/>
      <c r="AF883" s="277"/>
      <c r="AG883" s="119"/>
      <c r="AH883" s="358"/>
      <c r="AI883" s="358"/>
      <c r="AJ883" s="380"/>
      <c r="AK883" s="380"/>
      <c r="AL883" s="380"/>
      <c r="AM883" s="380"/>
      <c r="AN883" s="120"/>
      <c r="AO883" s="120"/>
      <c r="AP883" s="120"/>
      <c r="AQ883" s="313"/>
      <c r="AR883" s="119"/>
      <c r="AS883" s="22"/>
      <c r="AT883" s="22"/>
      <c r="AU883" s="22"/>
      <c r="AV883" s="22"/>
      <c r="AW883" s="82"/>
      <c r="AX883" s="82"/>
      <c r="AY883" s="82"/>
      <c r="AZ883" s="82"/>
      <c r="BA883" s="82"/>
      <c r="BB883" s="82"/>
      <c r="BC883" s="82"/>
      <c r="BD883" s="82"/>
      <c r="BE883" s="82"/>
      <c r="BF883" s="82"/>
      <c r="BG883" s="112"/>
      <c r="BH883" s="112"/>
      <c r="BI883" s="112"/>
      <c r="BJ883" s="112"/>
      <c r="BK883" s="82"/>
      <c r="BL883" s="82"/>
      <c r="BN883" s="412"/>
      <c r="BO883" s="412"/>
      <c r="BP883" s="412"/>
      <c r="BQ883" s="412"/>
      <c r="BR883" s="412"/>
      <c r="BZ883" t="str">
        <f t="shared" si="74"/>
        <v/>
      </c>
    </row>
    <row r="884" spans="1:78" ht="15.6" hidden="1" customHeight="1">
      <c r="A884" s="35" t="str">
        <f t="shared" si="73"/>
        <v/>
      </c>
      <c r="C884" s="358"/>
      <c r="D884" s="358">
        <v>880</v>
      </c>
      <c r="E884" s="119"/>
      <c r="F884" s="119"/>
      <c r="G884" s="266"/>
      <c r="H884" s="119"/>
      <c r="I884" s="358"/>
      <c r="J884" s="359" t="str">
        <f>IFERROR(VLOOKUP($A884,#REF!,3,0),"")</f>
        <v/>
      </c>
      <c r="K884" s="359">
        <f>IFERROR(VLOOKUP($A884,#REF!,4,0),AF884)</f>
        <v>0</v>
      </c>
      <c r="L884" s="359" t="str">
        <f>IFERROR(VLOOKUP($A884,#REF!,5,0),"")</f>
        <v/>
      </c>
      <c r="M884" s="359" t="str">
        <f>IFERROR(VLOOKUP($A884,#REF!,7,0),"")</f>
        <v/>
      </c>
      <c r="N884" s="359"/>
      <c r="O884" s="359" t="str">
        <f>IFERROR(VLOOKUP($A884,#REF!,6,0),"")</f>
        <v/>
      </c>
      <c r="P884" s="359" t="str">
        <f>IFERROR(VLOOKUP($A884,#REF!,9,0),"")</f>
        <v/>
      </c>
      <c r="Q884" s="359" t="str">
        <f>IFERROR(VLOOKUP($A884,#REF!,10,0),"")</f>
        <v/>
      </c>
      <c r="R884" s="359" t="str">
        <f>IFERROR(VLOOKUP($A884,#REF!,11,0),"")</f>
        <v/>
      </c>
      <c r="S884" s="359" t="str">
        <f>IFERROR(VLOOKUP($A884,#REF!,13,0),"")</f>
        <v/>
      </c>
      <c r="T884" s="359" t="str">
        <f>IFERROR(VLOOKUP($A884,#REF!,14,0),"")</f>
        <v/>
      </c>
      <c r="U884" s="359" t="str">
        <f>IFERROR(VLOOKUP($A884,#REF!,15,0),"")</f>
        <v/>
      </c>
      <c r="V884" s="359" t="str">
        <f>IFERROR(VLOOKUP($A884,#REF!,16,0),"")</f>
        <v/>
      </c>
      <c r="W884" s="359" t="str">
        <f>IFERROR(VLOOKUP($A884,#REF!,17,0),"")</f>
        <v/>
      </c>
      <c r="X884" s="359" t="str">
        <f>IFERROR(VLOOKUP($A884,#REF!,18,0),"")</f>
        <v/>
      </c>
      <c r="Y884" s="359" t="str">
        <f>IFERROR(VLOOKUP($A884,#REF!,19,0),"")</f>
        <v/>
      </c>
      <c r="Z884" s="400" t="str">
        <f>IFERROR(VLOOKUP($A884,#REF!,21,0),"")</f>
        <v/>
      </c>
      <c r="AA884" s="358"/>
      <c r="AB884" s="358"/>
      <c r="AC884" s="119"/>
      <c r="AD884" s="119"/>
      <c r="AE884" s="119"/>
      <c r="AF884" s="277"/>
      <c r="AG884" s="119"/>
      <c r="AH884" s="358"/>
      <c r="AI884" s="358"/>
      <c r="AJ884" s="380"/>
      <c r="AK884" s="380"/>
      <c r="AL884" s="380"/>
      <c r="AM884" s="380"/>
      <c r="AN884" s="120"/>
      <c r="AO884" s="120"/>
      <c r="AP884" s="120"/>
      <c r="AQ884" s="313"/>
      <c r="AR884" s="119"/>
      <c r="AS884" s="22"/>
      <c r="AT884" s="22"/>
      <c r="AU884" s="22"/>
      <c r="AV884" s="22"/>
      <c r="AW884" s="82"/>
      <c r="AX884" s="82"/>
      <c r="AY884" s="82"/>
      <c r="AZ884" s="82"/>
      <c r="BA884" s="82"/>
      <c r="BB884" s="82"/>
      <c r="BC884" s="82"/>
      <c r="BD884" s="82"/>
      <c r="BE884" s="82"/>
      <c r="BF884" s="82"/>
      <c r="BG884" s="112"/>
      <c r="BH884" s="112"/>
      <c r="BI884" s="112"/>
      <c r="BJ884" s="112"/>
      <c r="BK884" s="82"/>
      <c r="BL884" s="82"/>
      <c r="BN884" s="412"/>
      <c r="BO884" s="412"/>
      <c r="BP884" s="412"/>
      <c r="BQ884" s="412"/>
      <c r="BR884" s="412"/>
      <c r="BZ884" t="str">
        <f t="shared" si="74"/>
        <v/>
      </c>
    </row>
    <row r="885" spans="1:78" ht="15.6" hidden="1" customHeight="1">
      <c r="A885" s="35" t="str">
        <f t="shared" si="73"/>
        <v/>
      </c>
      <c r="C885" s="358"/>
      <c r="D885" s="358">
        <v>881</v>
      </c>
      <c r="E885" s="119"/>
      <c r="F885" s="119"/>
      <c r="G885" s="266"/>
      <c r="H885" s="119"/>
      <c r="I885" s="358"/>
      <c r="J885" s="359" t="str">
        <f>IFERROR(VLOOKUP($A885,#REF!,3,0),"")</f>
        <v/>
      </c>
      <c r="K885" s="359">
        <f>IFERROR(VLOOKUP($A885,#REF!,4,0),AF885)</f>
        <v>0</v>
      </c>
      <c r="L885" s="359" t="str">
        <f>IFERROR(VLOOKUP($A885,#REF!,5,0),"")</f>
        <v/>
      </c>
      <c r="M885" s="359" t="str">
        <f>IFERROR(VLOOKUP($A885,#REF!,7,0),"")</f>
        <v/>
      </c>
      <c r="N885" s="359"/>
      <c r="O885" s="359" t="str">
        <f>IFERROR(VLOOKUP($A885,#REF!,6,0),"")</f>
        <v/>
      </c>
      <c r="P885" s="359" t="str">
        <f>IFERROR(VLOOKUP($A885,#REF!,9,0),"")</f>
        <v/>
      </c>
      <c r="Q885" s="359" t="str">
        <f>IFERROR(VLOOKUP($A885,#REF!,10,0),"")</f>
        <v/>
      </c>
      <c r="R885" s="359" t="str">
        <f>IFERROR(VLOOKUP($A885,#REF!,11,0),"")</f>
        <v/>
      </c>
      <c r="S885" s="359" t="str">
        <f>IFERROR(VLOOKUP($A885,#REF!,13,0),"")</f>
        <v/>
      </c>
      <c r="T885" s="359" t="str">
        <f>IFERROR(VLOOKUP($A885,#REF!,14,0),"")</f>
        <v/>
      </c>
      <c r="U885" s="359" t="str">
        <f>IFERROR(VLOOKUP($A885,#REF!,15,0),"")</f>
        <v/>
      </c>
      <c r="V885" s="359" t="str">
        <f>IFERROR(VLOOKUP($A885,#REF!,16,0),"")</f>
        <v/>
      </c>
      <c r="W885" s="359" t="str">
        <f>IFERROR(VLOOKUP($A885,#REF!,17,0),"")</f>
        <v/>
      </c>
      <c r="X885" s="359" t="str">
        <f>IFERROR(VLOOKUP($A885,#REF!,18,0),"")</f>
        <v/>
      </c>
      <c r="Y885" s="359" t="str">
        <f>IFERROR(VLOOKUP($A885,#REF!,19,0),"")</f>
        <v/>
      </c>
      <c r="Z885" s="400" t="str">
        <f>IFERROR(VLOOKUP($A885,#REF!,21,0),"")</f>
        <v/>
      </c>
      <c r="AA885" s="358"/>
      <c r="AB885" s="358"/>
      <c r="AC885" s="119"/>
      <c r="AD885" s="119"/>
      <c r="AE885" s="119"/>
      <c r="AF885" s="277"/>
      <c r="AG885" s="119"/>
      <c r="AH885" s="358"/>
      <c r="AI885" s="358"/>
      <c r="AJ885" s="380"/>
      <c r="AK885" s="380"/>
      <c r="AL885" s="380"/>
      <c r="AM885" s="380"/>
      <c r="AN885" s="120"/>
      <c r="AO885" s="120"/>
      <c r="AP885" s="120"/>
      <c r="AQ885" s="313"/>
      <c r="AR885" s="119"/>
      <c r="AS885" s="22"/>
      <c r="AT885" s="22"/>
      <c r="AU885" s="22"/>
      <c r="AV885" s="22"/>
      <c r="AW885" s="82"/>
      <c r="AX885" s="82"/>
      <c r="AY885" s="82"/>
      <c r="AZ885" s="82"/>
      <c r="BA885" s="82"/>
      <c r="BB885" s="82"/>
      <c r="BC885" s="82"/>
      <c r="BD885" s="82"/>
      <c r="BE885" s="82"/>
      <c r="BF885" s="82"/>
      <c r="BG885" s="112"/>
      <c r="BH885" s="112"/>
      <c r="BI885" s="112"/>
      <c r="BJ885" s="112"/>
      <c r="BK885" s="82"/>
      <c r="BL885" s="82"/>
      <c r="BN885" s="412"/>
      <c r="BO885" s="412"/>
      <c r="BP885" s="412"/>
      <c r="BQ885" s="412"/>
      <c r="BR885" s="412"/>
      <c r="BZ885" t="str">
        <f t="shared" si="74"/>
        <v/>
      </c>
    </row>
    <row r="886" spans="1:78" ht="15.6" hidden="1" customHeight="1">
      <c r="A886" s="35" t="str">
        <f t="shared" si="73"/>
        <v/>
      </c>
      <c r="C886" s="358"/>
      <c r="D886" s="358">
        <v>882</v>
      </c>
      <c r="E886" s="119"/>
      <c r="F886" s="119"/>
      <c r="G886" s="266"/>
      <c r="H886" s="119"/>
      <c r="I886" s="358"/>
      <c r="J886" s="359" t="str">
        <f>IFERROR(VLOOKUP($A886,#REF!,3,0),"")</f>
        <v/>
      </c>
      <c r="K886" s="359">
        <f>IFERROR(VLOOKUP($A886,#REF!,4,0),AF886)</f>
        <v>0</v>
      </c>
      <c r="L886" s="359" t="str">
        <f>IFERROR(VLOOKUP($A886,#REF!,5,0),"")</f>
        <v/>
      </c>
      <c r="M886" s="359" t="str">
        <f>IFERROR(VLOOKUP($A886,#REF!,7,0),"")</f>
        <v/>
      </c>
      <c r="N886" s="359"/>
      <c r="O886" s="359" t="str">
        <f>IFERROR(VLOOKUP($A886,#REF!,6,0),"")</f>
        <v/>
      </c>
      <c r="P886" s="359" t="str">
        <f>IFERROR(VLOOKUP($A886,#REF!,9,0),"")</f>
        <v/>
      </c>
      <c r="Q886" s="359" t="str">
        <f>IFERROR(VLOOKUP($A886,#REF!,10,0),"")</f>
        <v/>
      </c>
      <c r="R886" s="359" t="str">
        <f>IFERROR(VLOOKUP($A886,#REF!,11,0),"")</f>
        <v/>
      </c>
      <c r="S886" s="359" t="str">
        <f>IFERROR(VLOOKUP($A886,#REF!,13,0),"")</f>
        <v/>
      </c>
      <c r="T886" s="359" t="str">
        <f>IFERROR(VLOOKUP($A886,#REF!,14,0),"")</f>
        <v/>
      </c>
      <c r="U886" s="359" t="str">
        <f>IFERROR(VLOOKUP($A886,#REF!,15,0),"")</f>
        <v/>
      </c>
      <c r="V886" s="359" t="str">
        <f>IFERROR(VLOOKUP($A886,#REF!,16,0),"")</f>
        <v/>
      </c>
      <c r="W886" s="359" t="str">
        <f>IFERROR(VLOOKUP($A886,#REF!,17,0),"")</f>
        <v/>
      </c>
      <c r="X886" s="359" t="str">
        <f>IFERROR(VLOOKUP($A886,#REF!,18,0),"")</f>
        <v/>
      </c>
      <c r="Y886" s="359" t="str">
        <f>IFERROR(VLOOKUP($A886,#REF!,19,0),"")</f>
        <v/>
      </c>
      <c r="Z886" s="400" t="str">
        <f>IFERROR(VLOOKUP($A886,#REF!,21,0),"")</f>
        <v/>
      </c>
      <c r="AA886" s="358"/>
      <c r="AB886" s="358"/>
      <c r="AC886" s="119"/>
      <c r="AD886" s="119"/>
      <c r="AE886" s="119"/>
      <c r="AF886" s="277"/>
      <c r="AG886" s="119"/>
      <c r="AH886" s="358"/>
      <c r="AI886" s="358"/>
      <c r="AJ886" s="380"/>
      <c r="AK886" s="380"/>
      <c r="AL886" s="380"/>
      <c r="AM886" s="380"/>
      <c r="AN886" s="120"/>
      <c r="AO886" s="120"/>
      <c r="AP886" s="120"/>
      <c r="AQ886" s="313"/>
      <c r="AR886" s="119"/>
      <c r="AS886" s="22"/>
      <c r="AT886" s="22"/>
      <c r="AU886" s="22"/>
      <c r="AV886" s="22"/>
      <c r="AW886" s="82"/>
      <c r="AX886" s="82"/>
      <c r="AY886" s="82"/>
      <c r="AZ886" s="82"/>
      <c r="BA886" s="82"/>
      <c r="BB886" s="82"/>
      <c r="BC886" s="82"/>
      <c r="BD886" s="82"/>
      <c r="BE886" s="82"/>
      <c r="BF886" s="82"/>
      <c r="BG886" s="112"/>
      <c r="BH886" s="112"/>
      <c r="BI886" s="112"/>
      <c r="BJ886" s="112"/>
      <c r="BK886" s="82"/>
      <c r="BL886" s="82"/>
      <c r="BN886" s="412"/>
      <c r="BO886" s="412"/>
      <c r="BP886" s="412"/>
      <c r="BQ886" s="412"/>
      <c r="BR886" s="412"/>
      <c r="BZ886" t="str">
        <f t="shared" si="74"/>
        <v/>
      </c>
    </row>
    <row r="887" spans="1:78" ht="15.6" hidden="1" customHeight="1">
      <c r="A887" s="35" t="str">
        <f t="shared" si="73"/>
        <v/>
      </c>
      <c r="C887" s="358"/>
      <c r="D887" s="358">
        <v>883</v>
      </c>
      <c r="E887" s="119"/>
      <c r="F887" s="119"/>
      <c r="G887" s="266"/>
      <c r="H887" s="119"/>
      <c r="I887" s="358"/>
      <c r="J887" s="359" t="str">
        <f>IFERROR(VLOOKUP($A887,#REF!,3,0),"")</f>
        <v/>
      </c>
      <c r="K887" s="359">
        <f>IFERROR(VLOOKUP($A887,#REF!,4,0),AF887)</f>
        <v>0</v>
      </c>
      <c r="L887" s="359" t="str">
        <f>IFERROR(VLOOKUP($A887,#REF!,5,0),"")</f>
        <v/>
      </c>
      <c r="M887" s="359" t="str">
        <f>IFERROR(VLOOKUP($A887,#REF!,7,0),"")</f>
        <v/>
      </c>
      <c r="N887" s="359"/>
      <c r="O887" s="359" t="str">
        <f>IFERROR(VLOOKUP($A887,#REF!,6,0),"")</f>
        <v/>
      </c>
      <c r="P887" s="359" t="str">
        <f>IFERROR(VLOOKUP($A887,#REF!,9,0),"")</f>
        <v/>
      </c>
      <c r="Q887" s="359" t="str">
        <f>IFERROR(VLOOKUP($A887,#REF!,10,0),"")</f>
        <v/>
      </c>
      <c r="R887" s="359" t="str">
        <f>IFERROR(VLOOKUP($A887,#REF!,11,0),"")</f>
        <v/>
      </c>
      <c r="S887" s="359" t="str">
        <f>IFERROR(VLOOKUP($A887,#REF!,13,0),"")</f>
        <v/>
      </c>
      <c r="T887" s="359" t="str">
        <f>IFERROR(VLOOKUP($A887,#REF!,14,0),"")</f>
        <v/>
      </c>
      <c r="U887" s="359" t="str">
        <f>IFERROR(VLOOKUP($A887,#REF!,15,0),"")</f>
        <v/>
      </c>
      <c r="V887" s="359" t="str">
        <f>IFERROR(VLOOKUP($A887,#REF!,16,0),"")</f>
        <v/>
      </c>
      <c r="W887" s="359" t="str">
        <f>IFERROR(VLOOKUP($A887,#REF!,17,0),"")</f>
        <v/>
      </c>
      <c r="X887" s="359" t="str">
        <f>IFERROR(VLOOKUP($A887,#REF!,18,0),"")</f>
        <v/>
      </c>
      <c r="Y887" s="359" t="str">
        <f>IFERROR(VLOOKUP($A887,#REF!,19,0),"")</f>
        <v/>
      </c>
      <c r="Z887" s="400" t="str">
        <f>IFERROR(VLOOKUP($A887,#REF!,21,0),"")</f>
        <v/>
      </c>
      <c r="AA887" s="358"/>
      <c r="AB887" s="358"/>
      <c r="AC887" s="119"/>
      <c r="AD887" s="119"/>
      <c r="AE887" s="119"/>
      <c r="AF887" s="277"/>
      <c r="AG887" s="119"/>
      <c r="AH887" s="358"/>
      <c r="AI887" s="358"/>
      <c r="AJ887" s="380"/>
      <c r="AK887" s="380"/>
      <c r="AL887" s="380"/>
      <c r="AM887" s="380"/>
      <c r="AN887" s="120"/>
      <c r="AO887" s="120"/>
      <c r="AP887" s="120"/>
      <c r="AQ887" s="313"/>
      <c r="AR887" s="119"/>
      <c r="AS887" s="22"/>
      <c r="AT887" s="22"/>
      <c r="AU887" s="22"/>
      <c r="AV887" s="2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112"/>
      <c r="BH887" s="112"/>
      <c r="BI887" s="112"/>
      <c r="BJ887" s="112"/>
      <c r="BK887" s="82"/>
      <c r="BL887" s="82"/>
      <c r="BN887" s="412"/>
      <c r="BO887" s="412"/>
      <c r="BP887" s="412"/>
      <c r="BQ887" s="412"/>
      <c r="BR887" s="412"/>
      <c r="BZ887" t="str">
        <f t="shared" si="74"/>
        <v/>
      </c>
    </row>
    <row r="888" spans="1:78" ht="15.6" hidden="1" customHeight="1">
      <c r="A888" s="35" t="str">
        <f t="shared" si="73"/>
        <v/>
      </c>
      <c r="C888" s="358"/>
      <c r="D888" s="358">
        <v>884</v>
      </c>
      <c r="E888" s="119"/>
      <c r="F888" s="119"/>
      <c r="G888" s="266"/>
      <c r="H888" s="119"/>
      <c r="I888" s="358"/>
      <c r="J888" s="359" t="str">
        <f>IFERROR(VLOOKUP($A888,#REF!,3,0),"")</f>
        <v/>
      </c>
      <c r="K888" s="359">
        <f>IFERROR(VLOOKUP($A888,#REF!,4,0),AF888)</f>
        <v>0</v>
      </c>
      <c r="L888" s="359" t="str">
        <f>IFERROR(VLOOKUP($A888,#REF!,5,0),"")</f>
        <v/>
      </c>
      <c r="M888" s="359" t="str">
        <f>IFERROR(VLOOKUP($A888,#REF!,7,0),"")</f>
        <v/>
      </c>
      <c r="N888" s="359"/>
      <c r="O888" s="359" t="str">
        <f>IFERROR(VLOOKUP($A888,#REF!,6,0),"")</f>
        <v/>
      </c>
      <c r="P888" s="359" t="str">
        <f>IFERROR(VLOOKUP($A888,#REF!,9,0),"")</f>
        <v/>
      </c>
      <c r="Q888" s="359" t="str">
        <f>IFERROR(VLOOKUP($A888,#REF!,10,0),"")</f>
        <v/>
      </c>
      <c r="R888" s="359" t="str">
        <f>IFERROR(VLOOKUP($A888,#REF!,11,0),"")</f>
        <v/>
      </c>
      <c r="S888" s="359" t="str">
        <f>IFERROR(VLOOKUP($A888,#REF!,13,0),"")</f>
        <v/>
      </c>
      <c r="T888" s="359" t="str">
        <f>IFERROR(VLOOKUP($A888,#REF!,14,0),"")</f>
        <v/>
      </c>
      <c r="U888" s="359" t="str">
        <f>IFERROR(VLOOKUP($A888,#REF!,15,0),"")</f>
        <v/>
      </c>
      <c r="V888" s="359" t="str">
        <f>IFERROR(VLOOKUP($A888,#REF!,16,0),"")</f>
        <v/>
      </c>
      <c r="W888" s="359" t="str">
        <f>IFERROR(VLOOKUP($A888,#REF!,17,0),"")</f>
        <v/>
      </c>
      <c r="X888" s="359" t="str">
        <f>IFERROR(VLOOKUP($A888,#REF!,18,0),"")</f>
        <v/>
      </c>
      <c r="Y888" s="359" t="str">
        <f>IFERROR(VLOOKUP($A888,#REF!,19,0),"")</f>
        <v/>
      </c>
      <c r="Z888" s="400" t="str">
        <f>IFERROR(VLOOKUP($A888,#REF!,21,0),"")</f>
        <v/>
      </c>
      <c r="AA888" s="358"/>
      <c r="AB888" s="358"/>
      <c r="AC888" s="119"/>
      <c r="AD888" s="119"/>
      <c r="AE888" s="119"/>
      <c r="AF888" s="277"/>
      <c r="AG888" s="119"/>
      <c r="AH888" s="358"/>
      <c r="AI888" s="358"/>
      <c r="AJ888" s="380"/>
      <c r="AK888" s="380"/>
      <c r="AL888" s="380"/>
      <c r="AM888" s="380"/>
      <c r="AN888" s="120"/>
      <c r="AO888" s="120"/>
      <c r="AP888" s="120"/>
      <c r="AQ888" s="313"/>
      <c r="AR888" s="119"/>
      <c r="AS888" s="22"/>
      <c r="AT888" s="22"/>
      <c r="AU888" s="22"/>
      <c r="AV888" s="22"/>
      <c r="AW888" s="82"/>
      <c r="AX888" s="82"/>
      <c r="AY888" s="82"/>
      <c r="AZ888" s="82"/>
      <c r="BA888" s="82"/>
      <c r="BB888" s="82"/>
      <c r="BC888" s="82"/>
      <c r="BD888" s="82"/>
      <c r="BE888" s="82"/>
      <c r="BF888" s="82"/>
      <c r="BG888" s="112"/>
      <c r="BH888" s="112"/>
      <c r="BI888" s="112"/>
      <c r="BJ888" s="112"/>
      <c r="BK888" s="82"/>
      <c r="BL888" s="82"/>
      <c r="BN888" s="412"/>
      <c r="BO888" s="412"/>
      <c r="BP888" s="412"/>
      <c r="BQ888" s="412"/>
      <c r="BR888" s="412"/>
      <c r="BZ888" t="str">
        <f t="shared" si="74"/>
        <v/>
      </c>
    </row>
    <row r="889" spans="1:78" ht="15.6" hidden="1" customHeight="1">
      <c r="A889" s="35" t="str">
        <f t="shared" si="73"/>
        <v/>
      </c>
      <c r="C889" s="358"/>
      <c r="D889" s="358">
        <v>885</v>
      </c>
      <c r="E889" s="119"/>
      <c r="F889" s="119"/>
      <c r="G889" s="266"/>
      <c r="H889" s="119"/>
      <c r="I889" s="358"/>
      <c r="J889" s="359" t="str">
        <f>IFERROR(VLOOKUP($A889,#REF!,3,0),"")</f>
        <v/>
      </c>
      <c r="K889" s="359">
        <f>IFERROR(VLOOKUP($A889,#REF!,4,0),AF889)</f>
        <v>0</v>
      </c>
      <c r="L889" s="359" t="str">
        <f>IFERROR(VLOOKUP($A889,#REF!,5,0),"")</f>
        <v/>
      </c>
      <c r="M889" s="359" t="str">
        <f>IFERROR(VLOOKUP($A889,#REF!,7,0),"")</f>
        <v/>
      </c>
      <c r="N889" s="359"/>
      <c r="O889" s="359" t="str">
        <f>IFERROR(VLOOKUP($A889,#REF!,6,0),"")</f>
        <v/>
      </c>
      <c r="P889" s="359" t="str">
        <f>IFERROR(VLOOKUP($A889,#REF!,9,0),"")</f>
        <v/>
      </c>
      <c r="Q889" s="359" t="str">
        <f>IFERROR(VLOOKUP($A889,#REF!,10,0),"")</f>
        <v/>
      </c>
      <c r="R889" s="359" t="str">
        <f>IFERROR(VLOOKUP($A889,#REF!,11,0),"")</f>
        <v/>
      </c>
      <c r="S889" s="359" t="str">
        <f>IFERROR(VLOOKUP($A889,#REF!,13,0),"")</f>
        <v/>
      </c>
      <c r="T889" s="359" t="str">
        <f>IFERROR(VLOOKUP($A889,#REF!,14,0),"")</f>
        <v/>
      </c>
      <c r="U889" s="359" t="str">
        <f>IFERROR(VLOOKUP($A889,#REF!,15,0),"")</f>
        <v/>
      </c>
      <c r="V889" s="359" t="str">
        <f>IFERROR(VLOOKUP($A889,#REF!,16,0),"")</f>
        <v/>
      </c>
      <c r="W889" s="359" t="str">
        <f>IFERROR(VLOOKUP($A889,#REF!,17,0),"")</f>
        <v/>
      </c>
      <c r="X889" s="359" t="str">
        <f>IFERROR(VLOOKUP($A889,#REF!,18,0),"")</f>
        <v/>
      </c>
      <c r="Y889" s="359" t="str">
        <f>IFERROR(VLOOKUP($A889,#REF!,19,0),"")</f>
        <v/>
      </c>
      <c r="Z889" s="400" t="str">
        <f>IFERROR(VLOOKUP($A889,#REF!,21,0),"")</f>
        <v/>
      </c>
      <c r="AA889" s="358"/>
      <c r="AB889" s="358"/>
      <c r="AC889" s="119"/>
      <c r="AD889" s="119"/>
      <c r="AE889" s="119"/>
      <c r="AF889" s="277"/>
      <c r="AG889" s="119"/>
      <c r="AH889" s="358"/>
      <c r="AI889" s="358"/>
      <c r="AJ889" s="380"/>
      <c r="AK889" s="380"/>
      <c r="AL889" s="380"/>
      <c r="AM889" s="380"/>
      <c r="AN889" s="120"/>
      <c r="AO889" s="120"/>
      <c r="AP889" s="120"/>
      <c r="AQ889" s="313"/>
      <c r="AR889" s="119"/>
      <c r="AS889" s="22"/>
      <c r="AT889" s="22"/>
      <c r="AU889" s="22"/>
      <c r="AV889" s="22"/>
      <c r="AW889" s="82"/>
      <c r="AX889" s="82"/>
      <c r="AY889" s="82"/>
      <c r="AZ889" s="82"/>
      <c r="BA889" s="82"/>
      <c r="BB889" s="82"/>
      <c r="BC889" s="82"/>
      <c r="BD889" s="82"/>
      <c r="BE889" s="82"/>
      <c r="BF889" s="82"/>
      <c r="BG889" s="112"/>
      <c r="BH889" s="112"/>
      <c r="BI889" s="112"/>
      <c r="BJ889" s="112"/>
      <c r="BK889" s="82"/>
      <c r="BL889" s="82"/>
      <c r="BN889" s="412"/>
      <c r="BO889" s="412"/>
      <c r="BP889" s="412"/>
      <c r="BQ889" s="412"/>
      <c r="BR889" s="412"/>
      <c r="BZ889" t="str">
        <f t="shared" si="74"/>
        <v/>
      </c>
    </row>
    <row r="890" spans="1:78" ht="15.6" hidden="1" customHeight="1">
      <c r="A890" s="35" t="str">
        <f t="shared" si="73"/>
        <v/>
      </c>
      <c r="C890" s="358"/>
      <c r="D890" s="358">
        <v>886</v>
      </c>
      <c r="E890" s="119"/>
      <c r="F890" s="119"/>
      <c r="G890" s="266"/>
      <c r="H890" s="119"/>
      <c r="I890" s="358"/>
      <c r="J890" s="359" t="str">
        <f>IFERROR(VLOOKUP($A890,#REF!,3,0),"")</f>
        <v/>
      </c>
      <c r="K890" s="359">
        <f>IFERROR(VLOOKUP($A890,#REF!,4,0),AF890)</f>
        <v>0</v>
      </c>
      <c r="L890" s="359" t="str">
        <f>IFERROR(VLOOKUP($A890,#REF!,5,0),"")</f>
        <v/>
      </c>
      <c r="M890" s="359" t="str">
        <f>IFERROR(VLOOKUP($A890,#REF!,7,0),"")</f>
        <v/>
      </c>
      <c r="N890" s="359"/>
      <c r="O890" s="359" t="str">
        <f>IFERROR(VLOOKUP($A890,#REF!,6,0),"")</f>
        <v/>
      </c>
      <c r="P890" s="359" t="str">
        <f>IFERROR(VLOOKUP($A890,#REF!,9,0),"")</f>
        <v/>
      </c>
      <c r="Q890" s="359" t="str">
        <f>IFERROR(VLOOKUP($A890,#REF!,10,0),"")</f>
        <v/>
      </c>
      <c r="R890" s="359" t="str">
        <f>IFERROR(VLOOKUP($A890,#REF!,11,0),"")</f>
        <v/>
      </c>
      <c r="S890" s="359" t="str">
        <f>IFERROR(VLOOKUP($A890,#REF!,13,0),"")</f>
        <v/>
      </c>
      <c r="T890" s="359" t="str">
        <f>IFERROR(VLOOKUP($A890,#REF!,14,0),"")</f>
        <v/>
      </c>
      <c r="U890" s="359" t="str">
        <f>IFERROR(VLOOKUP($A890,#REF!,15,0),"")</f>
        <v/>
      </c>
      <c r="V890" s="359" t="str">
        <f>IFERROR(VLOOKUP($A890,#REF!,16,0),"")</f>
        <v/>
      </c>
      <c r="W890" s="359" t="str">
        <f>IFERROR(VLOOKUP($A890,#REF!,17,0),"")</f>
        <v/>
      </c>
      <c r="X890" s="359" t="str">
        <f>IFERROR(VLOOKUP($A890,#REF!,18,0),"")</f>
        <v/>
      </c>
      <c r="Y890" s="359" t="str">
        <f>IFERROR(VLOOKUP($A890,#REF!,19,0),"")</f>
        <v/>
      </c>
      <c r="Z890" s="400" t="str">
        <f>IFERROR(VLOOKUP($A890,#REF!,21,0),"")</f>
        <v/>
      </c>
      <c r="AA890" s="358"/>
      <c r="AB890" s="358"/>
      <c r="AC890" s="119"/>
      <c r="AD890" s="119"/>
      <c r="AE890" s="119"/>
      <c r="AF890" s="277"/>
      <c r="AG890" s="119"/>
      <c r="AH890" s="358"/>
      <c r="AI890" s="358"/>
      <c r="AJ890" s="380"/>
      <c r="AK890" s="380"/>
      <c r="AL890" s="380"/>
      <c r="AM890" s="380"/>
      <c r="AN890" s="120"/>
      <c r="AO890" s="120"/>
      <c r="AP890" s="120"/>
      <c r="AQ890" s="313"/>
      <c r="AR890" s="119"/>
      <c r="AS890" s="22"/>
      <c r="AT890" s="22"/>
      <c r="AU890" s="22"/>
      <c r="AV890" s="2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112"/>
      <c r="BH890" s="112"/>
      <c r="BI890" s="112"/>
      <c r="BJ890" s="112"/>
      <c r="BK890" s="82"/>
      <c r="BL890" s="82"/>
      <c r="BN890" s="412"/>
      <c r="BO890" s="412"/>
      <c r="BP890" s="412"/>
      <c r="BQ890" s="412"/>
      <c r="BR890" s="412"/>
      <c r="BZ890" t="str">
        <f t="shared" si="74"/>
        <v/>
      </c>
    </row>
    <row r="891" spans="1:78" ht="15.6" hidden="1" customHeight="1">
      <c r="A891" s="35" t="str">
        <f t="shared" si="73"/>
        <v/>
      </c>
      <c r="C891" s="358"/>
      <c r="D891" s="358">
        <v>887</v>
      </c>
      <c r="E891" s="119"/>
      <c r="F891" s="119"/>
      <c r="G891" s="266"/>
      <c r="H891" s="119"/>
      <c r="I891" s="358"/>
      <c r="J891" s="359" t="str">
        <f>IFERROR(VLOOKUP($A891,#REF!,3,0),"")</f>
        <v/>
      </c>
      <c r="K891" s="359">
        <f>IFERROR(VLOOKUP($A891,#REF!,4,0),AF891)</f>
        <v>0</v>
      </c>
      <c r="L891" s="359" t="str">
        <f>IFERROR(VLOOKUP($A891,#REF!,5,0),"")</f>
        <v/>
      </c>
      <c r="M891" s="359" t="str">
        <f>IFERROR(VLOOKUP($A891,#REF!,7,0),"")</f>
        <v/>
      </c>
      <c r="N891" s="359"/>
      <c r="O891" s="359" t="str">
        <f>IFERROR(VLOOKUP($A891,#REF!,6,0),"")</f>
        <v/>
      </c>
      <c r="P891" s="359" t="str">
        <f>IFERROR(VLOOKUP($A891,#REF!,9,0),"")</f>
        <v/>
      </c>
      <c r="Q891" s="359" t="str">
        <f>IFERROR(VLOOKUP($A891,#REF!,10,0),"")</f>
        <v/>
      </c>
      <c r="R891" s="359" t="str">
        <f>IFERROR(VLOOKUP($A891,#REF!,11,0),"")</f>
        <v/>
      </c>
      <c r="S891" s="359" t="str">
        <f>IFERROR(VLOOKUP($A891,#REF!,13,0),"")</f>
        <v/>
      </c>
      <c r="T891" s="359" t="str">
        <f>IFERROR(VLOOKUP($A891,#REF!,14,0),"")</f>
        <v/>
      </c>
      <c r="U891" s="359" t="str">
        <f>IFERROR(VLOOKUP($A891,#REF!,15,0),"")</f>
        <v/>
      </c>
      <c r="V891" s="359" t="str">
        <f>IFERROR(VLOOKUP($A891,#REF!,16,0),"")</f>
        <v/>
      </c>
      <c r="W891" s="359" t="str">
        <f>IFERROR(VLOOKUP($A891,#REF!,17,0),"")</f>
        <v/>
      </c>
      <c r="X891" s="359" t="str">
        <f>IFERROR(VLOOKUP($A891,#REF!,18,0),"")</f>
        <v/>
      </c>
      <c r="Y891" s="359" t="str">
        <f>IFERROR(VLOOKUP($A891,#REF!,19,0),"")</f>
        <v/>
      </c>
      <c r="Z891" s="400" t="str">
        <f>IFERROR(VLOOKUP($A891,#REF!,21,0),"")</f>
        <v/>
      </c>
      <c r="AA891" s="358"/>
      <c r="AB891" s="358"/>
      <c r="AC891" s="119"/>
      <c r="AD891" s="119"/>
      <c r="AE891" s="119"/>
      <c r="AF891" s="277"/>
      <c r="AG891" s="119"/>
      <c r="AH891" s="358"/>
      <c r="AI891" s="358"/>
      <c r="AJ891" s="380"/>
      <c r="AK891" s="380"/>
      <c r="AL891" s="380"/>
      <c r="AM891" s="380"/>
      <c r="AN891" s="120"/>
      <c r="AO891" s="120"/>
      <c r="AP891" s="120"/>
      <c r="AQ891" s="313"/>
      <c r="AR891" s="119"/>
      <c r="AS891" s="22"/>
      <c r="AT891" s="22"/>
      <c r="AU891" s="22"/>
      <c r="AV891" s="2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112"/>
      <c r="BH891" s="112"/>
      <c r="BI891" s="112"/>
      <c r="BJ891" s="112"/>
      <c r="BK891" s="82"/>
      <c r="BL891" s="82"/>
      <c r="BN891" s="412"/>
      <c r="BO891" s="412"/>
      <c r="BP891" s="412"/>
      <c r="BQ891" s="412"/>
      <c r="BR891" s="412"/>
      <c r="BZ891" t="str">
        <f t="shared" si="74"/>
        <v/>
      </c>
    </row>
    <row r="892" spans="1:78" ht="15.6" hidden="1" customHeight="1">
      <c r="A892" s="35" t="str">
        <f t="shared" si="73"/>
        <v/>
      </c>
      <c r="C892" s="358"/>
      <c r="D892" s="358">
        <v>888</v>
      </c>
      <c r="E892" s="119"/>
      <c r="F892" s="119"/>
      <c r="G892" s="266"/>
      <c r="H892" s="119"/>
      <c r="I892" s="358"/>
      <c r="J892" s="359" t="str">
        <f>IFERROR(VLOOKUP($A892,#REF!,3,0),"")</f>
        <v/>
      </c>
      <c r="K892" s="359">
        <f>IFERROR(VLOOKUP($A892,#REF!,4,0),AF892)</f>
        <v>0</v>
      </c>
      <c r="L892" s="359" t="str">
        <f>IFERROR(VLOOKUP($A892,#REF!,5,0),"")</f>
        <v/>
      </c>
      <c r="M892" s="359" t="str">
        <f>IFERROR(VLOOKUP($A892,#REF!,7,0),"")</f>
        <v/>
      </c>
      <c r="N892" s="359"/>
      <c r="O892" s="359" t="str">
        <f>IFERROR(VLOOKUP($A892,#REF!,6,0),"")</f>
        <v/>
      </c>
      <c r="P892" s="359" t="str">
        <f>IFERROR(VLOOKUP($A892,#REF!,9,0),"")</f>
        <v/>
      </c>
      <c r="Q892" s="359" t="str">
        <f>IFERROR(VLOOKUP($A892,#REF!,10,0),"")</f>
        <v/>
      </c>
      <c r="R892" s="359" t="str">
        <f>IFERROR(VLOOKUP($A892,#REF!,11,0),"")</f>
        <v/>
      </c>
      <c r="S892" s="359" t="str">
        <f>IFERROR(VLOOKUP($A892,#REF!,13,0),"")</f>
        <v/>
      </c>
      <c r="T892" s="359" t="str">
        <f>IFERROR(VLOOKUP($A892,#REF!,14,0),"")</f>
        <v/>
      </c>
      <c r="U892" s="359" t="str">
        <f>IFERROR(VLOOKUP($A892,#REF!,15,0),"")</f>
        <v/>
      </c>
      <c r="V892" s="359" t="str">
        <f>IFERROR(VLOOKUP($A892,#REF!,16,0),"")</f>
        <v/>
      </c>
      <c r="W892" s="359" t="str">
        <f>IFERROR(VLOOKUP($A892,#REF!,17,0),"")</f>
        <v/>
      </c>
      <c r="X892" s="359" t="str">
        <f>IFERROR(VLOOKUP($A892,#REF!,18,0),"")</f>
        <v/>
      </c>
      <c r="Y892" s="359" t="str">
        <f>IFERROR(VLOOKUP($A892,#REF!,19,0),"")</f>
        <v/>
      </c>
      <c r="Z892" s="400" t="str">
        <f>IFERROR(VLOOKUP($A892,#REF!,21,0),"")</f>
        <v/>
      </c>
      <c r="AA892" s="358"/>
      <c r="AB892" s="358"/>
      <c r="AC892" s="119"/>
      <c r="AD892" s="119"/>
      <c r="AE892" s="119"/>
      <c r="AF892" s="277"/>
      <c r="AG892" s="119"/>
      <c r="AH892" s="358"/>
      <c r="AI892" s="358"/>
      <c r="AJ892" s="380"/>
      <c r="AK892" s="380"/>
      <c r="AL892" s="380"/>
      <c r="AM892" s="380"/>
      <c r="AN892" s="120"/>
      <c r="AO892" s="120"/>
      <c r="AP892" s="120"/>
      <c r="AQ892" s="313"/>
      <c r="AR892" s="119"/>
      <c r="AS892" s="22"/>
      <c r="AT892" s="22"/>
      <c r="AU892" s="22"/>
      <c r="AV892" s="2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112"/>
      <c r="BH892" s="112"/>
      <c r="BI892" s="112"/>
      <c r="BJ892" s="112"/>
      <c r="BK892" s="82"/>
      <c r="BL892" s="82"/>
      <c r="BN892" s="412"/>
      <c r="BO892" s="412"/>
      <c r="BP892" s="412"/>
      <c r="BQ892" s="412"/>
      <c r="BR892" s="412"/>
      <c r="BZ892" t="str">
        <f t="shared" si="74"/>
        <v/>
      </c>
    </row>
    <row r="893" spans="1:78" ht="15.6" hidden="1" customHeight="1">
      <c r="A893" s="35" t="str">
        <f t="shared" si="73"/>
        <v/>
      </c>
      <c r="C893" s="358"/>
      <c r="D893" s="358">
        <v>889</v>
      </c>
      <c r="E893" s="119"/>
      <c r="F893" s="119"/>
      <c r="G893" s="266"/>
      <c r="H893" s="119"/>
      <c r="I893" s="358"/>
      <c r="J893" s="359" t="str">
        <f>IFERROR(VLOOKUP($A893,#REF!,3,0),"")</f>
        <v/>
      </c>
      <c r="K893" s="359">
        <f>IFERROR(VLOOKUP($A893,#REF!,4,0),AF893)</f>
        <v>0</v>
      </c>
      <c r="L893" s="359" t="str">
        <f>IFERROR(VLOOKUP($A893,#REF!,5,0),"")</f>
        <v/>
      </c>
      <c r="M893" s="359" t="str">
        <f>IFERROR(VLOOKUP($A893,#REF!,7,0),"")</f>
        <v/>
      </c>
      <c r="N893" s="359"/>
      <c r="O893" s="359" t="str">
        <f>IFERROR(VLOOKUP($A893,#REF!,6,0),"")</f>
        <v/>
      </c>
      <c r="P893" s="359" t="str">
        <f>IFERROR(VLOOKUP($A893,#REF!,9,0),"")</f>
        <v/>
      </c>
      <c r="Q893" s="359" t="str">
        <f>IFERROR(VLOOKUP($A893,#REF!,10,0),"")</f>
        <v/>
      </c>
      <c r="R893" s="359" t="str">
        <f>IFERROR(VLOOKUP($A893,#REF!,11,0),"")</f>
        <v/>
      </c>
      <c r="S893" s="359" t="str">
        <f>IFERROR(VLOOKUP($A893,#REF!,13,0),"")</f>
        <v/>
      </c>
      <c r="T893" s="359" t="str">
        <f>IFERROR(VLOOKUP($A893,#REF!,14,0),"")</f>
        <v/>
      </c>
      <c r="U893" s="359" t="str">
        <f>IFERROR(VLOOKUP($A893,#REF!,15,0),"")</f>
        <v/>
      </c>
      <c r="V893" s="359" t="str">
        <f>IFERROR(VLOOKUP($A893,#REF!,16,0),"")</f>
        <v/>
      </c>
      <c r="W893" s="359" t="str">
        <f>IFERROR(VLOOKUP($A893,#REF!,17,0),"")</f>
        <v/>
      </c>
      <c r="X893" s="359" t="str">
        <f>IFERROR(VLOOKUP($A893,#REF!,18,0),"")</f>
        <v/>
      </c>
      <c r="Y893" s="359" t="str">
        <f>IFERROR(VLOOKUP($A893,#REF!,19,0),"")</f>
        <v/>
      </c>
      <c r="Z893" s="400" t="str">
        <f>IFERROR(VLOOKUP($A893,#REF!,21,0),"")</f>
        <v/>
      </c>
      <c r="AA893" s="358"/>
      <c r="AB893" s="358"/>
      <c r="AC893" s="119"/>
      <c r="AD893" s="119"/>
      <c r="AE893" s="119"/>
      <c r="AF893" s="277"/>
      <c r="AG893" s="119"/>
      <c r="AH893" s="358"/>
      <c r="AI893" s="358"/>
      <c r="AJ893" s="380"/>
      <c r="AK893" s="380"/>
      <c r="AL893" s="380"/>
      <c r="AM893" s="380"/>
      <c r="AN893" s="120"/>
      <c r="AO893" s="120"/>
      <c r="AP893" s="120"/>
      <c r="AQ893" s="313"/>
      <c r="AR893" s="119"/>
      <c r="AS893" s="22"/>
      <c r="AT893" s="22"/>
      <c r="AU893" s="22"/>
      <c r="AV893" s="2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112"/>
      <c r="BH893" s="112"/>
      <c r="BI893" s="112"/>
      <c r="BJ893" s="112"/>
      <c r="BK893" s="82"/>
      <c r="BL893" s="82"/>
      <c r="BN893" s="412"/>
      <c r="BO893" s="412"/>
      <c r="BP893" s="412"/>
      <c r="BQ893" s="412"/>
      <c r="BR893" s="412"/>
      <c r="BZ893" t="str">
        <f t="shared" si="74"/>
        <v/>
      </c>
    </row>
    <row r="894" spans="1:78" ht="15.6" hidden="1" customHeight="1">
      <c r="A894" s="35" t="str">
        <f t="shared" si="73"/>
        <v/>
      </c>
      <c r="C894" s="358"/>
      <c r="D894" s="358">
        <v>890</v>
      </c>
      <c r="E894" s="119"/>
      <c r="F894" s="119"/>
      <c r="G894" s="266"/>
      <c r="H894" s="119"/>
      <c r="I894" s="358"/>
      <c r="J894" s="359" t="str">
        <f>IFERROR(VLOOKUP($A894,#REF!,3,0),"")</f>
        <v/>
      </c>
      <c r="K894" s="359">
        <f>IFERROR(VLOOKUP($A894,#REF!,4,0),AF894)</f>
        <v>0</v>
      </c>
      <c r="L894" s="359" t="str">
        <f>IFERROR(VLOOKUP($A894,#REF!,5,0),"")</f>
        <v/>
      </c>
      <c r="M894" s="359" t="str">
        <f>IFERROR(VLOOKUP($A894,#REF!,7,0),"")</f>
        <v/>
      </c>
      <c r="N894" s="359"/>
      <c r="O894" s="359" t="str">
        <f>IFERROR(VLOOKUP($A894,#REF!,6,0),"")</f>
        <v/>
      </c>
      <c r="P894" s="359" t="str">
        <f>IFERROR(VLOOKUP($A894,#REF!,9,0),"")</f>
        <v/>
      </c>
      <c r="Q894" s="359" t="str">
        <f>IFERROR(VLOOKUP($A894,#REF!,10,0),"")</f>
        <v/>
      </c>
      <c r="R894" s="359" t="str">
        <f>IFERROR(VLOOKUP($A894,#REF!,11,0),"")</f>
        <v/>
      </c>
      <c r="S894" s="359" t="str">
        <f>IFERROR(VLOOKUP($A894,#REF!,13,0),"")</f>
        <v/>
      </c>
      <c r="T894" s="359" t="str">
        <f>IFERROR(VLOOKUP($A894,#REF!,14,0),"")</f>
        <v/>
      </c>
      <c r="U894" s="359" t="str">
        <f>IFERROR(VLOOKUP($A894,#REF!,15,0),"")</f>
        <v/>
      </c>
      <c r="V894" s="359" t="str">
        <f>IFERROR(VLOOKUP($A894,#REF!,16,0),"")</f>
        <v/>
      </c>
      <c r="W894" s="359" t="str">
        <f>IFERROR(VLOOKUP($A894,#REF!,17,0),"")</f>
        <v/>
      </c>
      <c r="X894" s="359" t="str">
        <f>IFERROR(VLOOKUP($A894,#REF!,18,0),"")</f>
        <v/>
      </c>
      <c r="Y894" s="359" t="str">
        <f>IFERROR(VLOOKUP($A894,#REF!,19,0),"")</f>
        <v/>
      </c>
      <c r="Z894" s="400" t="str">
        <f>IFERROR(VLOOKUP($A894,#REF!,21,0),"")</f>
        <v/>
      </c>
      <c r="AA894" s="358"/>
      <c r="AB894" s="358"/>
      <c r="AC894" s="119"/>
      <c r="AD894" s="119"/>
      <c r="AE894" s="119"/>
      <c r="AF894" s="277"/>
      <c r="AG894" s="119"/>
      <c r="AH894" s="358"/>
      <c r="AI894" s="358"/>
      <c r="AJ894" s="380"/>
      <c r="AK894" s="380"/>
      <c r="AL894" s="380"/>
      <c r="AM894" s="380"/>
      <c r="AN894" s="120"/>
      <c r="AO894" s="120"/>
      <c r="AP894" s="120"/>
      <c r="AQ894" s="313"/>
      <c r="AR894" s="119"/>
      <c r="AS894" s="22"/>
      <c r="AT894" s="22"/>
      <c r="AU894" s="22"/>
      <c r="AV894" s="2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112"/>
      <c r="BH894" s="112"/>
      <c r="BI894" s="112"/>
      <c r="BJ894" s="112"/>
      <c r="BK894" s="82"/>
      <c r="BL894" s="82"/>
      <c r="BN894" s="412"/>
      <c r="BO894" s="412"/>
      <c r="BP894" s="412"/>
      <c r="BQ894" s="412"/>
      <c r="BR894" s="412"/>
      <c r="BZ894" t="str">
        <f t="shared" si="74"/>
        <v/>
      </c>
    </row>
    <row r="895" spans="1:78" ht="15.6" hidden="1" customHeight="1">
      <c r="A895" s="35" t="str">
        <f t="shared" si="73"/>
        <v/>
      </c>
      <c r="C895" s="358"/>
      <c r="D895" s="358">
        <v>891</v>
      </c>
      <c r="E895" s="119"/>
      <c r="F895" s="119"/>
      <c r="G895" s="266"/>
      <c r="H895" s="119"/>
      <c r="I895" s="358"/>
      <c r="J895" s="359" t="str">
        <f>IFERROR(VLOOKUP($A895,#REF!,3,0),"")</f>
        <v/>
      </c>
      <c r="K895" s="359">
        <f>IFERROR(VLOOKUP($A895,#REF!,4,0),AF895)</f>
        <v>0</v>
      </c>
      <c r="L895" s="359" t="str">
        <f>IFERROR(VLOOKUP($A895,#REF!,5,0),"")</f>
        <v/>
      </c>
      <c r="M895" s="359" t="str">
        <f>IFERROR(VLOOKUP($A895,#REF!,7,0),"")</f>
        <v/>
      </c>
      <c r="N895" s="359"/>
      <c r="O895" s="359" t="str">
        <f>IFERROR(VLOOKUP($A895,#REF!,6,0),"")</f>
        <v/>
      </c>
      <c r="P895" s="359" t="str">
        <f>IFERROR(VLOOKUP($A895,#REF!,9,0),"")</f>
        <v/>
      </c>
      <c r="Q895" s="359" t="str">
        <f>IFERROR(VLOOKUP($A895,#REF!,10,0),"")</f>
        <v/>
      </c>
      <c r="R895" s="359" t="str">
        <f>IFERROR(VLOOKUP($A895,#REF!,11,0),"")</f>
        <v/>
      </c>
      <c r="S895" s="359" t="str">
        <f>IFERROR(VLOOKUP($A895,#REF!,13,0),"")</f>
        <v/>
      </c>
      <c r="T895" s="359" t="str">
        <f>IFERROR(VLOOKUP($A895,#REF!,14,0),"")</f>
        <v/>
      </c>
      <c r="U895" s="359" t="str">
        <f>IFERROR(VLOOKUP($A895,#REF!,15,0),"")</f>
        <v/>
      </c>
      <c r="V895" s="359" t="str">
        <f>IFERROR(VLOOKUP($A895,#REF!,16,0),"")</f>
        <v/>
      </c>
      <c r="W895" s="359" t="str">
        <f>IFERROR(VLOOKUP($A895,#REF!,17,0),"")</f>
        <v/>
      </c>
      <c r="X895" s="359" t="str">
        <f>IFERROR(VLOOKUP($A895,#REF!,18,0),"")</f>
        <v/>
      </c>
      <c r="Y895" s="359" t="str">
        <f>IFERROR(VLOOKUP($A895,#REF!,19,0),"")</f>
        <v/>
      </c>
      <c r="Z895" s="400" t="str">
        <f>IFERROR(VLOOKUP($A895,#REF!,21,0),"")</f>
        <v/>
      </c>
      <c r="AA895" s="358"/>
      <c r="AB895" s="358"/>
      <c r="AC895" s="119"/>
      <c r="AD895" s="119"/>
      <c r="AE895" s="119"/>
      <c r="AF895" s="277"/>
      <c r="AG895" s="119"/>
      <c r="AH895" s="358"/>
      <c r="AI895" s="358"/>
      <c r="AJ895" s="380"/>
      <c r="AK895" s="380"/>
      <c r="AL895" s="380"/>
      <c r="AM895" s="380"/>
      <c r="AN895" s="120"/>
      <c r="AO895" s="120"/>
      <c r="AP895" s="120"/>
      <c r="AQ895" s="313"/>
      <c r="AR895" s="119"/>
      <c r="AS895" s="22"/>
      <c r="AT895" s="22"/>
      <c r="AU895" s="22"/>
      <c r="AV895" s="2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112"/>
      <c r="BH895" s="112"/>
      <c r="BI895" s="112"/>
      <c r="BJ895" s="112"/>
      <c r="BK895" s="82"/>
      <c r="BL895" s="82"/>
      <c r="BN895" s="412"/>
      <c r="BO895" s="412"/>
      <c r="BP895" s="412"/>
      <c r="BQ895" s="412"/>
      <c r="BR895" s="412"/>
      <c r="BZ895" t="str">
        <f t="shared" si="74"/>
        <v/>
      </c>
    </row>
    <row r="896" spans="1:78" ht="15.6" hidden="1" customHeight="1">
      <c r="A896" s="35" t="str">
        <f t="shared" si="73"/>
        <v/>
      </c>
      <c r="C896" s="358"/>
      <c r="D896" s="358">
        <v>892</v>
      </c>
      <c r="E896" s="119"/>
      <c r="F896" s="119"/>
      <c r="G896" s="266"/>
      <c r="H896" s="119"/>
      <c r="I896" s="358"/>
      <c r="J896" s="359" t="str">
        <f>IFERROR(VLOOKUP($A896,#REF!,3,0),"")</f>
        <v/>
      </c>
      <c r="K896" s="359">
        <f>IFERROR(VLOOKUP($A896,#REF!,4,0),AF896)</f>
        <v>0</v>
      </c>
      <c r="L896" s="359" t="str">
        <f>IFERROR(VLOOKUP($A896,#REF!,5,0),"")</f>
        <v/>
      </c>
      <c r="M896" s="359" t="str">
        <f>IFERROR(VLOOKUP($A896,#REF!,7,0),"")</f>
        <v/>
      </c>
      <c r="N896" s="359"/>
      <c r="O896" s="359" t="str">
        <f>IFERROR(VLOOKUP($A896,#REF!,6,0),"")</f>
        <v/>
      </c>
      <c r="P896" s="359" t="str">
        <f>IFERROR(VLOOKUP($A896,#REF!,9,0),"")</f>
        <v/>
      </c>
      <c r="Q896" s="359" t="str">
        <f>IFERROR(VLOOKUP($A896,#REF!,10,0),"")</f>
        <v/>
      </c>
      <c r="R896" s="359" t="str">
        <f>IFERROR(VLOOKUP($A896,#REF!,11,0),"")</f>
        <v/>
      </c>
      <c r="S896" s="359" t="str">
        <f>IFERROR(VLOOKUP($A896,#REF!,13,0),"")</f>
        <v/>
      </c>
      <c r="T896" s="359" t="str">
        <f>IFERROR(VLOOKUP($A896,#REF!,14,0),"")</f>
        <v/>
      </c>
      <c r="U896" s="359" t="str">
        <f>IFERROR(VLOOKUP($A896,#REF!,15,0),"")</f>
        <v/>
      </c>
      <c r="V896" s="359" t="str">
        <f>IFERROR(VLOOKUP($A896,#REF!,16,0),"")</f>
        <v/>
      </c>
      <c r="W896" s="359" t="str">
        <f>IFERROR(VLOOKUP($A896,#REF!,17,0),"")</f>
        <v/>
      </c>
      <c r="X896" s="359" t="str">
        <f>IFERROR(VLOOKUP($A896,#REF!,18,0),"")</f>
        <v/>
      </c>
      <c r="Y896" s="359" t="str">
        <f>IFERROR(VLOOKUP($A896,#REF!,19,0),"")</f>
        <v/>
      </c>
      <c r="Z896" s="400" t="str">
        <f>IFERROR(VLOOKUP($A896,#REF!,21,0),"")</f>
        <v/>
      </c>
      <c r="AA896" s="358"/>
      <c r="AB896" s="358"/>
      <c r="AC896" s="119"/>
      <c r="AD896" s="119"/>
      <c r="AE896" s="119"/>
      <c r="AF896" s="277"/>
      <c r="AG896" s="119"/>
      <c r="AH896" s="358"/>
      <c r="AI896" s="358"/>
      <c r="AJ896" s="380"/>
      <c r="AK896" s="380"/>
      <c r="AL896" s="380"/>
      <c r="AM896" s="380"/>
      <c r="AN896" s="120"/>
      <c r="AO896" s="120"/>
      <c r="AP896" s="120"/>
      <c r="AQ896" s="313"/>
      <c r="AR896" s="119"/>
      <c r="AS896" s="22"/>
      <c r="AT896" s="22"/>
      <c r="AU896" s="22"/>
      <c r="AV896" s="2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112"/>
      <c r="BH896" s="112"/>
      <c r="BI896" s="112"/>
      <c r="BJ896" s="112"/>
      <c r="BK896" s="82"/>
      <c r="BL896" s="82"/>
      <c r="BN896" s="412"/>
      <c r="BO896" s="412"/>
      <c r="BP896" s="412"/>
      <c r="BQ896" s="412"/>
      <c r="BR896" s="412"/>
      <c r="BZ896" t="str">
        <f t="shared" si="74"/>
        <v/>
      </c>
    </row>
    <row r="897" spans="1:78" ht="15.6" hidden="1" customHeight="1">
      <c r="A897" s="35" t="str">
        <f t="shared" si="73"/>
        <v/>
      </c>
      <c r="C897" s="358"/>
      <c r="D897" s="358">
        <v>893</v>
      </c>
      <c r="E897" s="119"/>
      <c r="F897" s="119"/>
      <c r="G897" s="266"/>
      <c r="H897" s="119"/>
      <c r="I897" s="358"/>
      <c r="J897" s="359" t="str">
        <f>IFERROR(VLOOKUP($A897,#REF!,3,0),"")</f>
        <v/>
      </c>
      <c r="K897" s="359">
        <f>IFERROR(VLOOKUP($A897,#REF!,4,0),AF897)</f>
        <v>0</v>
      </c>
      <c r="L897" s="359" t="str">
        <f>IFERROR(VLOOKUP($A897,#REF!,5,0),"")</f>
        <v/>
      </c>
      <c r="M897" s="359" t="str">
        <f>IFERROR(VLOOKUP($A897,#REF!,7,0),"")</f>
        <v/>
      </c>
      <c r="N897" s="359"/>
      <c r="O897" s="359" t="str">
        <f>IFERROR(VLOOKUP($A897,#REF!,6,0),"")</f>
        <v/>
      </c>
      <c r="P897" s="359" t="str">
        <f>IFERROR(VLOOKUP($A897,#REF!,9,0),"")</f>
        <v/>
      </c>
      <c r="Q897" s="359" t="str">
        <f>IFERROR(VLOOKUP($A897,#REF!,10,0),"")</f>
        <v/>
      </c>
      <c r="R897" s="359" t="str">
        <f>IFERROR(VLOOKUP($A897,#REF!,11,0),"")</f>
        <v/>
      </c>
      <c r="S897" s="359" t="str">
        <f>IFERROR(VLOOKUP($A897,#REF!,13,0),"")</f>
        <v/>
      </c>
      <c r="T897" s="359" t="str">
        <f>IFERROR(VLOOKUP($A897,#REF!,14,0),"")</f>
        <v/>
      </c>
      <c r="U897" s="359" t="str">
        <f>IFERROR(VLOOKUP($A897,#REF!,15,0),"")</f>
        <v/>
      </c>
      <c r="V897" s="359" t="str">
        <f>IFERROR(VLOOKUP($A897,#REF!,16,0),"")</f>
        <v/>
      </c>
      <c r="W897" s="359" t="str">
        <f>IFERROR(VLOOKUP($A897,#REF!,17,0),"")</f>
        <v/>
      </c>
      <c r="X897" s="359" t="str">
        <f>IFERROR(VLOOKUP($A897,#REF!,18,0),"")</f>
        <v/>
      </c>
      <c r="Y897" s="359" t="str">
        <f>IFERROR(VLOOKUP($A897,#REF!,19,0),"")</f>
        <v/>
      </c>
      <c r="Z897" s="400" t="str">
        <f>IFERROR(VLOOKUP($A897,#REF!,21,0),"")</f>
        <v/>
      </c>
      <c r="AA897" s="358"/>
      <c r="AB897" s="358"/>
      <c r="AC897" s="119"/>
      <c r="AD897" s="119"/>
      <c r="AE897" s="119"/>
      <c r="AF897" s="277"/>
      <c r="AG897" s="119"/>
      <c r="AH897" s="358"/>
      <c r="AI897" s="358"/>
      <c r="AJ897" s="380"/>
      <c r="AK897" s="380"/>
      <c r="AL897" s="380"/>
      <c r="AM897" s="380"/>
      <c r="AN897" s="120"/>
      <c r="AO897" s="120"/>
      <c r="AP897" s="120"/>
      <c r="AQ897" s="313"/>
      <c r="AR897" s="119"/>
      <c r="AS897" s="22"/>
      <c r="AT897" s="22"/>
      <c r="AU897" s="22"/>
      <c r="AV897" s="2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112"/>
      <c r="BH897" s="112"/>
      <c r="BI897" s="112"/>
      <c r="BJ897" s="112"/>
      <c r="BK897" s="82"/>
      <c r="BL897" s="82"/>
      <c r="BN897" s="412"/>
      <c r="BO897" s="412"/>
      <c r="BP897" s="412"/>
      <c r="BQ897" s="412"/>
      <c r="BR897" s="412"/>
      <c r="BZ897" t="str">
        <f t="shared" si="74"/>
        <v/>
      </c>
    </row>
    <row r="898" spans="1:78" ht="15.6" hidden="1" customHeight="1">
      <c r="A898" s="35" t="str">
        <f t="shared" si="73"/>
        <v/>
      </c>
      <c r="C898" s="358"/>
      <c r="D898" s="358">
        <v>894</v>
      </c>
      <c r="E898" s="119"/>
      <c r="F898" s="119"/>
      <c r="G898" s="266"/>
      <c r="H898" s="119"/>
      <c r="I898" s="358"/>
      <c r="J898" s="359" t="str">
        <f>IFERROR(VLOOKUP($A898,#REF!,3,0),"")</f>
        <v/>
      </c>
      <c r="K898" s="359">
        <f>IFERROR(VLOOKUP($A898,#REF!,4,0),AF898)</f>
        <v>0</v>
      </c>
      <c r="L898" s="359" t="str">
        <f>IFERROR(VLOOKUP($A898,#REF!,5,0),"")</f>
        <v/>
      </c>
      <c r="M898" s="359" t="str">
        <f>IFERROR(VLOOKUP($A898,#REF!,7,0),"")</f>
        <v/>
      </c>
      <c r="N898" s="359"/>
      <c r="O898" s="359" t="str">
        <f>IFERROR(VLOOKUP($A898,#REF!,6,0),"")</f>
        <v/>
      </c>
      <c r="P898" s="359" t="str">
        <f>IFERROR(VLOOKUP($A898,#REF!,9,0),"")</f>
        <v/>
      </c>
      <c r="Q898" s="359" t="str">
        <f>IFERROR(VLOOKUP($A898,#REF!,10,0),"")</f>
        <v/>
      </c>
      <c r="R898" s="359" t="str">
        <f>IFERROR(VLOOKUP($A898,#REF!,11,0),"")</f>
        <v/>
      </c>
      <c r="S898" s="359" t="str">
        <f>IFERROR(VLOOKUP($A898,#REF!,13,0),"")</f>
        <v/>
      </c>
      <c r="T898" s="359" t="str">
        <f>IFERROR(VLOOKUP($A898,#REF!,14,0),"")</f>
        <v/>
      </c>
      <c r="U898" s="359" t="str">
        <f>IFERROR(VLOOKUP($A898,#REF!,15,0),"")</f>
        <v/>
      </c>
      <c r="V898" s="359" t="str">
        <f>IFERROR(VLOOKUP($A898,#REF!,16,0),"")</f>
        <v/>
      </c>
      <c r="W898" s="359" t="str">
        <f>IFERROR(VLOOKUP($A898,#REF!,17,0),"")</f>
        <v/>
      </c>
      <c r="X898" s="359" t="str">
        <f>IFERROR(VLOOKUP($A898,#REF!,18,0),"")</f>
        <v/>
      </c>
      <c r="Y898" s="359" t="str">
        <f>IFERROR(VLOOKUP($A898,#REF!,19,0),"")</f>
        <v/>
      </c>
      <c r="Z898" s="400" t="str">
        <f>IFERROR(VLOOKUP($A898,#REF!,21,0),"")</f>
        <v/>
      </c>
      <c r="AA898" s="358"/>
      <c r="AB898" s="358"/>
      <c r="AC898" s="119"/>
      <c r="AD898" s="119"/>
      <c r="AE898" s="119"/>
      <c r="AF898" s="277"/>
      <c r="AG898" s="119"/>
      <c r="AH898" s="358"/>
      <c r="AI898" s="358"/>
      <c r="AJ898" s="380"/>
      <c r="AK898" s="380"/>
      <c r="AL898" s="380"/>
      <c r="AM898" s="380"/>
      <c r="AN898" s="120"/>
      <c r="AO898" s="120"/>
      <c r="AP898" s="120"/>
      <c r="AQ898" s="313"/>
      <c r="AR898" s="119"/>
      <c r="AS898" s="22"/>
      <c r="AT898" s="22"/>
      <c r="AU898" s="22"/>
      <c r="AV898" s="2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112"/>
      <c r="BH898" s="112"/>
      <c r="BI898" s="112"/>
      <c r="BJ898" s="112"/>
      <c r="BK898" s="82"/>
      <c r="BL898" s="82"/>
      <c r="BN898" s="412"/>
      <c r="BO898" s="412"/>
      <c r="BP898" s="412"/>
      <c r="BQ898" s="412"/>
      <c r="BR898" s="412"/>
      <c r="BZ898" t="str">
        <f t="shared" si="74"/>
        <v/>
      </c>
    </row>
    <row r="899" spans="1:78" ht="15.6" hidden="1" customHeight="1">
      <c r="A899" s="35" t="str">
        <f t="shared" si="73"/>
        <v/>
      </c>
      <c r="C899" s="358"/>
      <c r="D899" s="358">
        <v>895</v>
      </c>
      <c r="E899" s="119"/>
      <c r="F899" s="119"/>
      <c r="G899" s="266"/>
      <c r="H899" s="119"/>
      <c r="I899" s="358"/>
      <c r="J899" s="359" t="str">
        <f>IFERROR(VLOOKUP($A899,#REF!,3,0),"")</f>
        <v/>
      </c>
      <c r="K899" s="359">
        <f>IFERROR(VLOOKUP($A899,#REF!,4,0),AF899)</f>
        <v>0</v>
      </c>
      <c r="L899" s="359" t="str">
        <f>IFERROR(VLOOKUP($A899,#REF!,5,0),"")</f>
        <v/>
      </c>
      <c r="M899" s="359" t="str">
        <f>IFERROR(VLOOKUP($A899,#REF!,7,0),"")</f>
        <v/>
      </c>
      <c r="N899" s="359"/>
      <c r="O899" s="359" t="str">
        <f>IFERROR(VLOOKUP($A899,#REF!,6,0),"")</f>
        <v/>
      </c>
      <c r="P899" s="359" t="str">
        <f>IFERROR(VLOOKUP($A899,#REF!,9,0),"")</f>
        <v/>
      </c>
      <c r="Q899" s="359" t="str">
        <f>IFERROR(VLOOKUP($A899,#REF!,10,0),"")</f>
        <v/>
      </c>
      <c r="R899" s="359" t="str">
        <f>IFERROR(VLOOKUP($A899,#REF!,11,0),"")</f>
        <v/>
      </c>
      <c r="S899" s="359" t="str">
        <f>IFERROR(VLOOKUP($A899,#REF!,13,0),"")</f>
        <v/>
      </c>
      <c r="T899" s="359" t="str">
        <f>IFERROR(VLOOKUP($A899,#REF!,14,0),"")</f>
        <v/>
      </c>
      <c r="U899" s="359" t="str">
        <f>IFERROR(VLOOKUP($A899,#REF!,15,0),"")</f>
        <v/>
      </c>
      <c r="V899" s="359" t="str">
        <f>IFERROR(VLOOKUP($A899,#REF!,16,0),"")</f>
        <v/>
      </c>
      <c r="W899" s="359" t="str">
        <f>IFERROR(VLOOKUP($A899,#REF!,17,0),"")</f>
        <v/>
      </c>
      <c r="X899" s="359" t="str">
        <f>IFERROR(VLOOKUP($A899,#REF!,18,0),"")</f>
        <v/>
      </c>
      <c r="Y899" s="359" t="str">
        <f>IFERROR(VLOOKUP($A899,#REF!,19,0),"")</f>
        <v/>
      </c>
      <c r="Z899" s="400" t="str">
        <f>IFERROR(VLOOKUP($A899,#REF!,21,0),"")</f>
        <v/>
      </c>
      <c r="AA899" s="358"/>
      <c r="AB899" s="358"/>
      <c r="AC899" s="119"/>
      <c r="AD899" s="119"/>
      <c r="AE899" s="119"/>
      <c r="AF899" s="277"/>
      <c r="AG899" s="119"/>
      <c r="AH899" s="358"/>
      <c r="AI899" s="358"/>
      <c r="AJ899" s="380"/>
      <c r="AK899" s="380"/>
      <c r="AL899" s="380"/>
      <c r="AM899" s="380"/>
      <c r="AN899" s="120"/>
      <c r="AO899" s="120"/>
      <c r="AP899" s="120"/>
      <c r="AQ899" s="313"/>
      <c r="AR899" s="119"/>
      <c r="AS899" s="22"/>
      <c r="AT899" s="22"/>
      <c r="AU899" s="22"/>
      <c r="AV899" s="2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112"/>
      <c r="BH899" s="112"/>
      <c r="BI899" s="112"/>
      <c r="BJ899" s="112"/>
      <c r="BK899" s="82"/>
      <c r="BL899" s="82"/>
      <c r="BN899" s="412"/>
      <c r="BO899" s="412"/>
      <c r="BP899" s="412"/>
      <c r="BQ899" s="412"/>
      <c r="BR899" s="412"/>
      <c r="BZ899" t="str">
        <f t="shared" si="74"/>
        <v/>
      </c>
    </row>
    <row r="900" spans="1:78" ht="15.6" hidden="1" customHeight="1">
      <c r="A900" s="35" t="str">
        <f t="shared" si="73"/>
        <v/>
      </c>
      <c r="C900" s="358"/>
      <c r="D900" s="358">
        <v>896</v>
      </c>
      <c r="E900" s="119"/>
      <c r="F900" s="119"/>
      <c r="G900" s="266"/>
      <c r="H900" s="119"/>
      <c r="I900" s="358"/>
      <c r="J900" s="359" t="str">
        <f>IFERROR(VLOOKUP($A900,#REF!,3,0),"")</f>
        <v/>
      </c>
      <c r="K900" s="359">
        <f>IFERROR(VLOOKUP($A900,#REF!,4,0),AF900)</f>
        <v>0</v>
      </c>
      <c r="L900" s="359" t="str">
        <f>IFERROR(VLOOKUP($A900,#REF!,5,0),"")</f>
        <v/>
      </c>
      <c r="M900" s="359" t="str">
        <f>IFERROR(VLOOKUP($A900,#REF!,7,0),"")</f>
        <v/>
      </c>
      <c r="N900" s="359"/>
      <c r="O900" s="359" t="str">
        <f>IFERROR(VLOOKUP($A900,#REF!,6,0),"")</f>
        <v/>
      </c>
      <c r="P900" s="359" t="str">
        <f>IFERROR(VLOOKUP($A900,#REF!,9,0),"")</f>
        <v/>
      </c>
      <c r="Q900" s="359" t="str">
        <f>IFERROR(VLOOKUP($A900,#REF!,10,0),"")</f>
        <v/>
      </c>
      <c r="R900" s="359" t="str">
        <f>IFERROR(VLOOKUP($A900,#REF!,11,0),"")</f>
        <v/>
      </c>
      <c r="S900" s="359" t="str">
        <f>IFERROR(VLOOKUP($A900,#REF!,13,0),"")</f>
        <v/>
      </c>
      <c r="T900" s="359" t="str">
        <f>IFERROR(VLOOKUP($A900,#REF!,14,0),"")</f>
        <v/>
      </c>
      <c r="U900" s="359" t="str">
        <f>IFERROR(VLOOKUP($A900,#REF!,15,0),"")</f>
        <v/>
      </c>
      <c r="V900" s="359" t="str">
        <f>IFERROR(VLOOKUP($A900,#REF!,16,0),"")</f>
        <v/>
      </c>
      <c r="W900" s="359" t="str">
        <f>IFERROR(VLOOKUP($A900,#REF!,17,0),"")</f>
        <v/>
      </c>
      <c r="X900" s="359" t="str">
        <f>IFERROR(VLOOKUP($A900,#REF!,18,0),"")</f>
        <v/>
      </c>
      <c r="Y900" s="359" t="str">
        <f>IFERROR(VLOOKUP($A900,#REF!,19,0),"")</f>
        <v/>
      </c>
      <c r="Z900" s="400" t="str">
        <f>IFERROR(VLOOKUP($A900,#REF!,21,0),"")</f>
        <v/>
      </c>
      <c r="AA900" s="358"/>
      <c r="AB900" s="358"/>
      <c r="AC900" s="119"/>
      <c r="AD900" s="119"/>
      <c r="AE900" s="119"/>
      <c r="AF900" s="277"/>
      <c r="AG900" s="119"/>
      <c r="AH900" s="358"/>
      <c r="AI900" s="358"/>
      <c r="AJ900" s="380"/>
      <c r="AK900" s="380"/>
      <c r="AL900" s="380"/>
      <c r="AM900" s="380"/>
      <c r="AN900" s="120"/>
      <c r="AO900" s="120"/>
      <c r="AP900" s="120"/>
      <c r="AQ900" s="313"/>
      <c r="AR900" s="119"/>
      <c r="AS900" s="22"/>
      <c r="AT900" s="22"/>
      <c r="AU900" s="22"/>
      <c r="AV900" s="22"/>
      <c r="AW900" s="82"/>
      <c r="AX900" s="82"/>
      <c r="AY900" s="82"/>
      <c r="AZ900" s="82"/>
      <c r="BA900" s="82"/>
      <c r="BB900" s="82"/>
      <c r="BC900" s="82"/>
      <c r="BD900" s="82"/>
      <c r="BE900" s="82"/>
      <c r="BF900" s="82"/>
      <c r="BG900" s="112"/>
      <c r="BH900" s="112"/>
      <c r="BI900" s="112"/>
      <c r="BJ900" s="112"/>
      <c r="BK900" s="82"/>
      <c r="BL900" s="82"/>
      <c r="BN900" s="412"/>
      <c r="BO900" s="412"/>
      <c r="BP900" s="412"/>
      <c r="BQ900" s="412"/>
      <c r="BR900" s="412"/>
      <c r="BZ900" t="str">
        <f t="shared" si="74"/>
        <v/>
      </c>
    </row>
    <row r="901" spans="1:78" ht="15.6" hidden="1" customHeight="1">
      <c r="A901" s="35" t="str">
        <f t="shared" ref="A901:A939" si="75">E901&amp;G901</f>
        <v/>
      </c>
      <c r="C901" s="358"/>
      <c r="D901" s="358">
        <v>897</v>
      </c>
      <c r="E901" s="119"/>
      <c r="F901" s="119"/>
      <c r="G901" s="266"/>
      <c r="H901" s="119"/>
      <c r="I901" s="358"/>
      <c r="J901" s="359" t="str">
        <f>IFERROR(VLOOKUP($A901,#REF!,3,0),"")</f>
        <v/>
      </c>
      <c r="K901" s="359">
        <f>IFERROR(VLOOKUP($A901,#REF!,4,0),AF901)</f>
        <v>0</v>
      </c>
      <c r="L901" s="359" t="str">
        <f>IFERROR(VLOOKUP($A901,#REF!,5,0),"")</f>
        <v/>
      </c>
      <c r="M901" s="359" t="str">
        <f>IFERROR(VLOOKUP($A901,#REF!,7,0),"")</f>
        <v/>
      </c>
      <c r="N901" s="359"/>
      <c r="O901" s="359" t="str">
        <f>IFERROR(VLOOKUP($A901,#REF!,6,0),"")</f>
        <v/>
      </c>
      <c r="P901" s="359" t="str">
        <f>IFERROR(VLOOKUP($A901,#REF!,9,0),"")</f>
        <v/>
      </c>
      <c r="Q901" s="359" t="str">
        <f>IFERROR(VLOOKUP($A901,#REF!,10,0),"")</f>
        <v/>
      </c>
      <c r="R901" s="359" t="str">
        <f>IFERROR(VLOOKUP($A901,#REF!,11,0),"")</f>
        <v/>
      </c>
      <c r="S901" s="359" t="str">
        <f>IFERROR(VLOOKUP($A901,#REF!,13,0),"")</f>
        <v/>
      </c>
      <c r="T901" s="359" t="str">
        <f>IFERROR(VLOOKUP($A901,#REF!,14,0),"")</f>
        <v/>
      </c>
      <c r="U901" s="359" t="str">
        <f>IFERROR(VLOOKUP($A901,#REF!,15,0),"")</f>
        <v/>
      </c>
      <c r="V901" s="359" t="str">
        <f>IFERROR(VLOOKUP($A901,#REF!,16,0),"")</f>
        <v/>
      </c>
      <c r="W901" s="359" t="str">
        <f>IFERROR(VLOOKUP($A901,#REF!,17,0),"")</f>
        <v/>
      </c>
      <c r="X901" s="359" t="str">
        <f>IFERROR(VLOOKUP($A901,#REF!,18,0),"")</f>
        <v/>
      </c>
      <c r="Y901" s="359" t="str">
        <f>IFERROR(VLOOKUP($A901,#REF!,19,0),"")</f>
        <v/>
      </c>
      <c r="Z901" s="400" t="str">
        <f>IFERROR(VLOOKUP($A901,#REF!,21,0),"")</f>
        <v/>
      </c>
      <c r="AA901" s="358"/>
      <c r="AB901" s="358"/>
      <c r="AC901" s="119"/>
      <c r="AD901" s="119"/>
      <c r="AE901" s="119"/>
      <c r="AF901" s="277"/>
      <c r="AG901" s="119"/>
      <c r="AH901" s="358"/>
      <c r="AI901" s="358"/>
      <c r="AJ901" s="380"/>
      <c r="AK901" s="380"/>
      <c r="AL901" s="380"/>
      <c r="AM901" s="380"/>
      <c r="AN901" s="120"/>
      <c r="AO901" s="120"/>
      <c r="AP901" s="120"/>
      <c r="AQ901" s="313"/>
      <c r="AR901" s="119"/>
      <c r="AS901" s="22"/>
      <c r="AT901" s="22"/>
      <c r="AU901" s="22"/>
      <c r="AV901" s="22"/>
      <c r="AW901" s="82"/>
      <c r="AX901" s="82"/>
      <c r="AY901" s="82"/>
      <c r="AZ901" s="82"/>
      <c r="BA901" s="82"/>
      <c r="BB901" s="82"/>
      <c r="BC901" s="82"/>
      <c r="BD901" s="82"/>
      <c r="BE901" s="82"/>
      <c r="BF901" s="82"/>
      <c r="BG901" s="112"/>
      <c r="BH901" s="112"/>
      <c r="BI901" s="112"/>
      <c r="BJ901" s="112"/>
      <c r="BK901" s="82"/>
      <c r="BL901" s="82"/>
      <c r="BN901" s="412"/>
      <c r="BO901" s="412"/>
      <c r="BP901" s="412"/>
      <c r="BQ901" s="412"/>
      <c r="BR901" s="412"/>
      <c r="BZ901" t="str">
        <f t="shared" si="74"/>
        <v/>
      </c>
    </row>
    <row r="902" spans="1:78" ht="15.6" hidden="1" customHeight="1">
      <c r="A902" s="35" t="str">
        <f t="shared" si="75"/>
        <v/>
      </c>
      <c r="C902" s="358"/>
      <c r="D902" s="358">
        <v>917</v>
      </c>
      <c r="E902" s="119"/>
      <c r="F902" s="119"/>
      <c r="G902" s="266"/>
      <c r="H902" s="119"/>
      <c r="I902" s="358"/>
      <c r="J902" s="359" t="str">
        <f>IFERROR(VLOOKUP($A902,#REF!,3,0),"")</f>
        <v/>
      </c>
      <c r="K902" s="359">
        <f>IFERROR(VLOOKUP($A902,#REF!,4,0),AF902)</f>
        <v>0</v>
      </c>
      <c r="L902" s="359" t="str">
        <f>IFERROR(VLOOKUP($A902,#REF!,5,0),"")</f>
        <v/>
      </c>
      <c r="M902" s="359" t="str">
        <f>IFERROR(VLOOKUP($A902,#REF!,7,0),"")</f>
        <v/>
      </c>
      <c r="N902" s="359"/>
      <c r="O902" s="359" t="str">
        <f>IFERROR(VLOOKUP($A902,#REF!,6,0),"")</f>
        <v/>
      </c>
      <c r="P902" s="359" t="str">
        <f>IFERROR(VLOOKUP($A902,#REF!,9,0),"")</f>
        <v/>
      </c>
      <c r="Q902" s="359" t="str">
        <f>IFERROR(VLOOKUP($A902,#REF!,10,0),"")</f>
        <v/>
      </c>
      <c r="R902" s="359" t="str">
        <f>IFERROR(VLOOKUP($A902,#REF!,11,0),"")</f>
        <v/>
      </c>
      <c r="S902" s="359" t="str">
        <f>IFERROR(VLOOKUP($A902,#REF!,13,0),"")</f>
        <v/>
      </c>
      <c r="T902" s="359" t="str">
        <f>IFERROR(VLOOKUP($A902,#REF!,14,0),"")</f>
        <v/>
      </c>
      <c r="U902" s="359" t="str">
        <f>IFERROR(VLOOKUP($A902,#REF!,15,0),"")</f>
        <v/>
      </c>
      <c r="V902" s="359" t="str">
        <f>IFERROR(VLOOKUP($A902,#REF!,16,0),"")</f>
        <v/>
      </c>
      <c r="W902" s="359" t="str">
        <f>IFERROR(VLOOKUP($A902,#REF!,17,0),"")</f>
        <v/>
      </c>
      <c r="X902" s="359" t="str">
        <f>IFERROR(VLOOKUP($A902,#REF!,18,0),"")</f>
        <v/>
      </c>
      <c r="Y902" s="359" t="str">
        <f>IFERROR(VLOOKUP($A902,#REF!,19,0),"")</f>
        <v/>
      </c>
      <c r="Z902" s="400" t="str">
        <f>IFERROR(VLOOKUP($A902,#REF!,21,0),"")</f>
        <v/>
      </c>
      <c r="AA902" s="358"/>
      <c r="AB902" s="358"/>
      <c r="AC902" s="119"/>
      <c r="AD902" s="119"/>
      <c r="AE902" s="119"/>
      <c r="AF902" s="277"/>
      <c r="AG902" s="119"/>
      <c r="AH902" s="358"/>
      <c r="AI902" s="358"/>
      <c r="AJ902" s="380"/>
      <c r="AK902" s="380"/>
      <c r="AL902" s="380"/>
      <c r="AM902" s="380"/>
      <c r="AN902" s="120"/>
      <c r="AO902" s="120"/>
      <c r="AP902" s="120"/>
      <c r="AQ902" s="313"/>
      <c r="AR902" s="119"/>
      <c r="AS902" s="22"/>
      <c r="AT902" s="22"/>
      <c r="AU902" s="22"/>
      <c r="AV902" s="22"/>
      <c r="AW902" s="82"/>
      <c r="AX902" s="82"/>
      <c r="AY902" s="82"/>
      <c r="AZ902" s="82"/>
      <c r="BA902" s="82"/>
      <c r="BB902" s="82"/>
      <c r="BC902" s="82"/>
      <c r="BD902" s="82"/>
      <c r="BE902" s="82"/>
      <c r="BF902" s="82"/>
      <c r="BG902" s="112"/>
      <c r="BH902" s="112"/>
      <c r="BI902" s="112"/>
      <c r="BJ902" s="112"/>
      <c r="BK902" s="82"/>
      <c r="BL902" s="82"/>
      <c r="BN902" s="412"/>
      <c r="BO902" s="412"/>
      <c r="BP902" s="412"/>
      <c r="BQ902" s="412"/>
      <c r="BR902" s="412"/>
      <c r="BZ902" t="str">
        <f t="shared" si="74"/>
        <v/>
      </c>
    </row>
    <row r="903" spans="1:78" ht="15.6" hidden="1" customHeight="1">
      <c r="A903" s="35" t="str">
        <f t="shared" si="75"/>
        <v/>
      </c>
      <c r="C903" s="358"/>
      <c r="D903" s="358">
        <v>918</v>
      </c>
      <c r="E903" s="119"/>
      <c r="F903" s="119"/>
      <c r="G903" s="266"/>
      <c r="H903" s="119"/>
      <c r="I903" s="358"/>
      <c r="J903" s="359" t="str">
        <f>IFERROR(VLOOKUP($A903,#REF!,3,0),"")</f>
        <v/>
      </c>
      <c r="K903" s="359">
        <f>IFERROR(VLOOKUP($A903,#REF!,4,0),AF903)</f>
        <v>0</v>
      </c>
      <c r="L903" s="359" t="str">
        <f>IFERROR(VLOOKUP($A903,#REF!,5,0),"")</f>
        <v/>
      </c>
      <c r="M903" s="359" t="str">
        <f>IFERROR(VLOOKUP($A903,#REF!,7,0),"")</f>
        <v/>
      </c>
      <c r="N903" s="359"/>
      <c r="O903" s="359" t="str">
        <f>IFERROR(VLOOKUP($A903,#REF!,6,0),"")</f>
        <v/>
      </c>
      <c r="P903" s="359" t="str">
        <f>IFERROR(VLOOKUP($A903,#REF!,9,0),"")</f>
        <v/>
      </c>
      <c r="Q903" s="359" t="str">
        <f>IFERROR(VLOOKUP($A903,#REF!,10,0),"")</f>
        <v/>
      </c>
      <c r="R903" s="359" t="str">
        <f>IFERROR(VLOOKUP($A903,#REF!,11,0),"")</f>
        <v/>
      </c>
      <c r="S903" s="359" t="str">
        <f>IFERROR(VLOOKUP($A903,#REF!,13,0),"")</f>
        <v/>
      </c>
      <c r="T903" s="359" t="str">
        <f>IFERROR(VLOOKUP($A903,#REF!,14,0),"")</f>
        <v/>
      </c>
      <c r="U903" s="359" t="str">
        <f>IFERROR(VLOOKUP($A903,#REF!,15,0),"")</f>
        <v/>
      </c>
      <c r="V903" s="359" t="str">
        <f>IFERROR(VLOOKUP($A903,#REF!,16,0),"")</f>
        <v/>
      </c>
      <c r="W903" s="359" t="str">
        <f>IFERROR(VLOOKUP($A903,#REF!,17,0),"")</f>
        <v/>
      </c>
      <c r="X903" s="359" t="str">
        <f>IFERROR(VLOOKUP($A903,#REF!,18,0),"")</f>
        <v/>
      </c>
      <c r="Y903" s="359" t="str">
        <f>IFERROR(VLOOKUP($A903,#REF!,19,0),"")</f>
        <v/>
      </c>
      <c r="Z903" s="400" t="str">
        <f>IFERROR(VLOOKUP($A903,#REF!,21,0),"")</f>
        <v/>
      </c>
      <c r="AA903" s="358"/>
      <c r="AB903" s="358"/>
      <c r="AC903" s="119"/>
      <c r="AD903" s="119"/>
      <c r="AE903" s="119"/>
      <c r="AF903" s="277"/>
      <c r="AG903" s="119"/>
      <c r="AH903" s="358"/>
      <c r="AI903" s="358"/>
      <c r="AJ903" s="380"/>
      <c r="AK903" s="380"/>
      <c r="AL903" s="380"/>
      <c r="AM903" s="380"/>
      <c r="AN903" s="120"/>
      <c r="AO903" s="120"/>
      <c r="AP903" s="120"/>
      <c r="AQ903" s="313"/>
      <c r="AR903" s="119"/>
      <c r="AS903" s="22"/>
      <c r="AT903" s="22"/>
      <c r="AU903" s="22"/>
      <c r="AV903" s="22"/>
      <c r="AW903" s="82"/>
      <c r="AX903" s="82"/>
      <c r="AY903" s="82"/>
      <c r="AZ903" s="82"/>
      <c r="BA903" s="82"/>
      <c r="BB903" s="82"/>
      <c r="BC903" s="82"/>
      <c r="BD903" s="82"/>
      <c r="BE903" s="82"/>
      <c r="BF903" s="82"/>
      <c r="BG903" s="112"/>
      <c r="BH903" s="112"/>
      <c r="BI903" s="112"/>
      <c r="BJ903" s="112"/>
      <c r="BK903" s="82"/>
      <c r="BL903" s="82"/>
      <c r="BN903" s="412"/>
      <c r="BO903" s="412"/>
      <c r="BP903" s="412"/>
      <c r="BQ903" s="412"/>
      <c r="BR903" s="412"/>
      <c r="BZ903" t="str">
        <f t="shared" si="74"/>
        <v/>
      </c>
    </row>
    <row r="904" spans="1:78" ht="15.6" hidden="1" customHeight="1">
      <c r="A904" s="35" t="str">
        <f t="shared" si="75"/>
        <v/>
      </c>
      <c r="C904" s="358"/>
      <c r="D904" s="358">
        <v>919</v>
      </c>
      <c r="E904" s="119"/>
      <c r="F904" s="119"/>
      <c r="G904" s="266"/>
      <c r="H904" s="119"/>
      <c r="I904" s="358"/>
      <c r="J904" s="359" t="str">
        <f>IFERROR(VLOOKUP($A904,#REF!,3,0),"")</f>
        <v/>
      </c>
      <c r="K904" s="359">
        <f>IFERROR(VLOOKUP($A904,#REF!,4,0),AF904)</f>
        <v>0</v>
      </c>
      <c r="L904" s="359" t="str">
        <f>IFERROR(VLOOKUP($A904,#REF!,5,0),"")</f>
        <v/>
      </c>
      <c r="M904" s="359" t="str">
        <f>IFERROR(VLOOKUP($A904,#REF!,7,0),"")</f>
        <v/>
      </c>
      <c r="N904" s="359"/>
      <c r="O904" s="359" t="str">
        <f>IFERROR(VLOOKUP($A904,#REF!,6,0),"")</f>
        <v/>
      </c>
      <c r="P904" s="359" t="str">
        <f>IFERROR(VLOOKUP($A904,#REF!,9,0),"")</f>
        <v/>
      </c>
      <c r="Q904" s="359" t="str">
        <f>IFERROR(VLOOKUP($A904,#REF!,10,0),"")</f>
        <v/>
      </c>
      <c r="R904" s="359" t="str">
        <f>IFERROR(VLOOKUP($A904,#REF!,11,0),"")</f>
        <v/>
      </c>
      <c r="S904" s="359" t="str">
        <f>IFERROR(VLOOKUP($A904,#REF!,13,0),"")</f>
        <v/>
      </c>
      <c r="T904" s="359" t="str">
        <f>IFERROR(VLOOKUP($A904,#REF!,14,0),"")</f>
        <v/>
      </c>
      <c r="U904" s="359" t="str">
        <f>IFERROR(VLOOKUP($A904,#REF!,15,0),"")</f>
        <v/>
      </c>
      <c r="V904" s="359" t="str">
        <f>IFERROR(VLOOKUP($A904,#REF!,16,0),"")</f>
        <v/>
      </c>
      <c r="W904" s="359" t="str">
        <f>IFERROR(VLOOKUP($A904,#REF!,17,0),"")</f>
        <v/>
      </c>
      <c r="X904" s="359" t="str">
        <f>IFERROR(VLOOKUP($A904,#REF!,18,0),"")</f>
        <v/>
      </c>
      <c r="Y904" s="359" t="str">
        <f>IFERROR(VLOOKUP($A904,#REF!,19,0),"")</f>
        <v/>
      </c>
      <c r="Z904" s="400" t="str">
        <f>IFERROR(VLOOKUP($A904,#REF!,21,0),"")</f>
        <v/>
      </c>
      <c r="AA904" s="358"/>
      <c r="AB904" s="358"/>
      <c r="AC904" s="119"/>
      <c r="AD904" s="119"/>
      <c r="AE904" s="119"/>
      <c r="AF904" s="277"/>
      <c r="AG904" s="119"/>
      <c r="AH904" s="358"/>
      <c r="AI904" s="358"/>
      <c r="AJ904" s="380"/>
      <c r="AK904" s="380"/>
      <c r="AL904" s="380"/>
      <c r="AM904" s="380"/>
      <c r="AN904" s="120"/>
      <c r="AO904" s="120"/>
      <c r="AP904" s="120"/>
      <c r="AQ904" s="313"/>
      <c r="AR904" s="119"/>
      <c r="AS904" s="22"/>
      <c r="AT904" s="22"/>
      <c r="AU904" s="22"/>
      <c r="AV904" s="22"/>
      <c r="AW904" s="82"/>
      <c r="AX904" s="82"/>
      <c r="AY904" s="82"/>
      <c r="AZ904" s="82"/>
      <c r="BA904" s="82"/>
      <c r="BB904" s="82"/>
      <c r="BC904" s="82"/>
      <c r="BD904" s="82"/>
      <c r="BE904" s="82"/>
      <c r="BF904" s="82"/>
      <c r="BG904" s="112"/>
      <c r="BH904" s="112"/>
      <c r="BI904" s="112"/>
      <c r="BJ904" s="112"/>
      <c r="BK904" s="82"/>
      <c r="BL904" s="82"/>
      <c r="BN904" s="412"/>
      <c r="BO904" s="412"/>
      <c r="BP904" s="412"/>
      <c r="BQ904" s="412"/>
      <c r="BR904" s="412"/>
      <c r="BZ904" t="str">
        <f t="shared" si="74"/>
        <v/>
      </c>
    </row>
    <row r="905" spans="1:78" ht="15.6" hidden="1" customHeight="1">
      <c r="A905" s="35" t="str">
        <f t="shared" si="75"/>
        <v/>
      </c>
      <c r="C905" s="358"/>
      <c r="D905" s="358">
        <v>920</v>
      </c>
      <c r="E905" s="119"/>
      <c r="F905" s="119"/>
      <c r="G905" s="266"/>
      <c r="H905" s="119"/>
      <c r="I905" s="358"/>
      <c r="J905" s="359" t="str">
        <f>IFERROR(VLOOKUP($A905,#REF!,3,0),"")</f>
        <v/>
      </c>
      <c r="K905" s="359">
        <f>IFERROR(VLOOKUP($A905,#REF!,4,0),AF905)</f>
        <v>0</v>
      </c>
      <c r="L905" s="359" t="str">
        <f>IFERROR(VLOOKUP($A905,#REF!,5,0),"")</f>
        <v/>
      </c>
      <c r="M905" s="359" t="str">
        <f>IFERROR(VLOOKUP($A905,#REF!,7,0),"")</f>
        <v/>
      </c>
      <c r="N905" s="359"/>
      <c r="O905" s="359" t="str">
        <f>IFERROR(VLOOKUP($A905,#REF!,6,0),"")</f>
        <v/>
      </c>
      <c r="P905" s="359" t="str">
        <f>IFERROR(VLOOKUP($A905,#REF!,9,0),"")</f>
        <v/>
      </c>
      <c r="Q905" s="359" t="str">
        <f>IFERROR(VLOOKUP($A905,#REF!,10,0),"")</f>
        <v/>
      </c>
      <c r="R905" s="359" t="str">
        <f>IFERROR(VLOOKUP($A905,#REF!,11,0),"")</f>
        <v/>
      </c>
      <c r="S905" s="359" t="str">
        <f>IFERROR(VLOOKUP($A905,#REF!,13,0),"")</f>
        <v/>
      </c>
      <c r="T905" s="359" t="str">
        <f>IFERROR(VLOOKUP($A905,#REF!,14,0),"")</f>
        <v/>
      </c>
      <c r="U905" s="359" t="str">
        <f>IFERROR(VLOOKUP($A905,#REF!,15,0),"")</f>
        <v/>
      </c>
      <c r="V905" s="359" t="str">
        <f>IFERROR(VLOOKUP($A905,#REF!,16,0),"")</f>
        <v/>
      </c>
      <c r="W905" s="359" t="str">
        <f>IFERROR(VLOOKUP($A905,#REF!,17,0),"")</f>
        <v/>
      </c>
      <c r="X905" s="359" t="str">
        <f>IFERROR(VLOOKUP($A905,#REF!,18,0),"")</f>
        <v/>
      </c>
      <c r="Y905" s="359" t="str">
        <f>IFERROR(VLOOKUP($A905,#REF!,19,0),"")</f>
        <v/>
      </c>
      <c r="Z905" s="400" t="str">
        <f>IFERROR(VLOOKUP($A905,#REF!,21,0),"")</f>
        <v/>
      </c>
      <c r="AA905" s="358"/>
      <c r="AB905" s="358"/>
      <c r="AC905" s="119"/>
      <c r="AD905" s="119"/>
      <c r="AE905" s="119"/>
      <c r="AF905" s="277"/>
      <c r="AG905" s="119"/>
      <c r="AH905" s="358"/>
      <c r="AI905" s="358"/>
      <c r="AJ905" s="380"/>
      <c r="AK905" s="380"/>
      <c r="AL905" s="380"/>
      <c r="AM905" s="380"/>
      <c r="AN905" s="120"/>
      <c r="AO905" s="120"/>
      <c r="AP905" s="120"/>
      <c r="AQ905" s="313"/>
      <c r="AR905" s="119"/>
      <c r="AS905" s="22"/>
      <c r="AT905" s="22"/>
      <c r="AU905" s="22"/>
      <c r="AV905" s="22"/>
      <c r="AW905" s="82"/>
      <c r="AX905" s="82"/>
      <c r="AY905" s="82"/>
      <c r="AZ905" s="82"/>
      <c r="BA905" s="82"/>
      <c r="BB905" s="82"/>
      <c r="BC905" s="82"/>
      <c r="BD905" s="82"/>
      <c r="BE905" s="82"/>
      <c r="BF905" s="82"/>
      <c r="BG905" s="112"/>
      <c r="BH905" s="112"/>
      <c r="BI905" s="112"/>
      <c r="BJ905" s="112"/>
      <c r="BK905" s="82"/>
      <c r="BL905" s="82"/>
      <c r="BN905" s="412"/>
      <c r="BO905" s="412"/>
      <c r="BP905" s="412"/>
      <c r="BQ905" s="412"/>
      <c r="BR905" s="412"/>
      <c r="BZ905" t="str">
        <f t="shared" si="74"/>
        <v/>
      </c>
    </row>
    <row r="906" spans="1:78" ht="15.6" hidden="1" customHeight="1">
      <c r="A906" s="35" t="str">
        <f t="shared" si="75"/>
        <v/>
      </c>
      <c r="C906" s="358"/>
      <c r="D906" s="358">
        <v>921</v>
      </c>
      <c r="E906" s="119"/>
      <c r="F906" s="119"/>
      <c r="G906" s="266"/>
      <c r="H906" s="119"/>
      <c r="I906" s="358"/>
      <c r="J906" s="359" t="str">
        <f>IFERROR(VLOOKUP($A906,#REF!,3,0),"")</f>
        <v/>
      </c>
      <c r="K906" s="359">
        <f>IFERROR(VLOOKUP($A906,#REF!,4,0),AF906)</f>
        <v>0</v>
      </c>
      <c r="L906" s="359" t="str">
        <f>IFERROR(VLOOKUP($A906,#REF!,5,0),"")</f>
        <v/>
      </c>
      <c r="M906" s="359" t="str">
        <f>IFERROR(VLOOKUP($A906,#REF!,7,0),"")</f>
        <v/>
      </c>
      <c r="N906" s="359"/>
      <c r="O906" s="359" t="str">
        <f>IFERROR(VLOOKUP($A906,#REF!,6,0),"")</f>
        <v/>
      </c>
      <c r="P906" s="359" t="str">
        <f>IFERROR(VLOOKUP($A906,#REF!,9,0),"")</f>
        <v/>
      </c>
      <c r="Q906" s="359" t="str">
        <f>IFERROR(VLOOKUP($A906,#REF!,10,0),"")</f>
        <v/>
      </c>
      <c r="R906" s="359" t="str">
        <f>IFERROR(VLOOKUP($A906,#REF!,11,0),"")</f>
        <v/>
      </c>
      <c r="S906" s="359" t="str">
        <f>IFERROR(VLOOKUP($A906,#REF!,13,0),"")</f>
        <v/>
      </c>
      <c r="T906" s="359" t="str">
        <f>IFERROR(VLOOKUP($A906,#REF!,14,0),"")</f>
        <v/>
      </c>
      <c r="U906" s="359" t="str">
        <f>IFERROR(VLOOKUP($A906,#REF!,15,0),"")</f>
        <v/>
      </c>
      <c r="V906" s="359" t="str">
        <f>IFERROR(VLOOKUP($A906,#REF!,16,0),"")</f>
        <v/>
      </c>
      <c r="W906" s="359" t="str">
        <f>IFERROR(VLOOKUP($A906,#REF!,17,0),"")</f>
        <v/>
      </c>
      <c r="X906" s="359" t="str">
        <f>IFERROR(VLOOKUP($A906,#REF!,18,0),"")</f>
        <v/>
      </c>
      <c r="Y906" s="359" t="str">
        <f>IFERROR(VLOOKUP($A906,#REF!,19,0),"")</f>
        <v/>
      </c>
      <c r="Z906" s="400" t="str">
        <f>IFERROR(VLOOKUP($A906,#REF!,21,0),"")</f>
        <v/>
      </c>
      <c r="AA906" s="358"/>
      <c r="AB906" s="358"/>
      <c r="AC906" s="119"/>
      <c r="AD906" s="119"/>
      <c r="AE906" s="119"/>
      <c r="AF906" s="277"/>
      <c r="AG906" s="119"/>
      <c r="AH906" s="358"/>
      <c r="AI906" s="358"/>
      <c r="AJ906" s="380"/>
      <c r="AK906" s="380"/>
      <c r="AL906" s="380"/>
      <c r="AM906" s="380"/>
      <c r="AN906" s="120"/>
      <c r="AO906" s="120"/>
      <c r="AP906" s="120"/>
      <c r="AQ906" s="313"/>
      <c r="AR906" s="119"/>
      <c r="AS906" s="22"/>
      <c r="AT906" s="22"/>
      <c r="AU906" s="22"/>
      <c r="AV906" s="22"/>
      <c r="AW906" s="82"/>
      <c r="AX906" s="82"/>
      <c r="AY906" s="82"/>
      <c r="AZ906" s="82"/>
      <c r="BA906" s="82"/>
      <c r="BB906" s="82"/>
      <c r="BC906" s="82"/>
      <c r="BD906" s="82"/>
      <c r="BE906" s="82"/>
      <c r="BF906" s="82"/>
      <c r="BG906" s="112"/>
      <c r="BH906" s="112"/>
      <c r="BI906" s="112"/>
      <c r="BJ906" s="112"/>
      <c r="BK906" s="82"/>
      <c r="BL906" s="82"/>
      <c r="BN906" s="412"/>
      <c r="BO906" s="412"/>
      <c r="BP906" s="412"/>
      <c r="BQ906" s="412"/>
      <c r="BR906" s="412"/>
      <c r="BZ906" t="str">
        <f t="shared" si="74"/>
        <v/>
      </c>
    </row>
    <row r="907" spans="1:78" ht="15.6" hidden="1" customHeight="1">
      <c r="A907" s="35" t="str">
        <f t="shared" si="75"/>
        <v/>
      </c>
      <c r="C907" s="358"/>
      <c r="D907" s="358">
        <v>922</v>
      </c>
      <c r="E907" s="119"/>
      <c r="F907" s="119"/>
      <c r="G907" s="266"/>
      <c r="H907" s="119"/>
      <c r="I907" s="358"/>
      <c r="J907" s="359" t="str">
        <f>IFERROR(VLOOKUP($A907,#REF!,3,0),"")</f>
        <v/>
      </c>
      <c r="K907" s="359">
        <f>IFERROR(VLOOKUP($A907,#REF!,4,0),AF907)</f>
        <v>0</v>
      </c>
      <c r="L907" s="359" t="str">
        <f>IFERROR(VLOOKUP($A907,#REF!,5,0),"")</f>
        <v/>
      </c>
      <c r="M907" s="359" t="str">
        <f>IFERROR(VLOOKUP($A907,#REF!,7,0),"")</f>
        <v/>
      </c>
      <c r="N907" s="359"/>
      <c r="O907" s="359" t="str">
        <f>IFERROR(VLOOKUP($A907,#REF!,6,0),"")</f>
        <v/>
      </c>
      <c r="P907" s="359" t="str">
        <f>IFERROR(VLOOKUP($A907,#REF!,9,0),"")</f>
        <v/>
      </c>
      <c r="Q907" s="359" t="str">
        <f>IFERROR(VLOOKUP($A907,#REF!,10,0),"")</f>
        <v/>
      </c>
      <c r="R907" s="359" t="str">
        <f>IFERROR(VLOOKUP($A907,#REF!,11,0),"")</f>
        <v/>
      </c>
      <c r="S907" s="359" t="str">
        <f>IFERROR(VLOOKUP($A907,#REF!,13,0),"")</f>
        <v/>
      </c>
      <c r="T907" s="359" t="str">
        <f>IFERROR(VLOOKUP($A907,#REF!,14,0),"")</f>
        <v/>
      </c>
      <c r="U907" s="359" t="str">
        <f>IFERROR(VLOOKUP($A907,#REF!,15,0),"")</f>
        <v/>
      </c>
      <c r="V907" s="359" t="str">
        <f>IFERROR(VLOOKUP($A907,#REF!,16,0),"")</f>
        <v/>
      </c>
      <c r="W907" s="359" t="str">
        <f>IFERROR(VLOOKUP($A907,#REF!,17,0),"")</f>
        <v/>
      </c>
      <c r="X907" s="359" t="str">
        <f>IFERROR(VLOOKUP($A907,#REF!,18,0),"")</f>
        <v/>
      </c>
      <c r="Y907" s="359" t="str">
        <f>IFERROR(VLOOKUP($A907,#REF!,19,0),"")</f>
        <v/>
      </c>
      <c r="Z907" s="400" t="str">
        <f>IFERROR(VLOOKUP($A907,#REF!,21,0),"")</f>
        <v/>
      </c>
      <c r="AA907" s="358"/>
      <c r="AB907" s="358"/>
      <c r="AC907" s="119"/>
      <c r="AD907" s="119"/>
      <c r="AE907" s="119"/>
      <c r="AF907" s="277"/>
      <c r="AG907" s="119"/>
      <c r="AH907" s="358"/>
      <c r="AI907" s="358"/>
      <c r="AJ907" s="380"/>
      <c r="AK907" s="380"/>
      <c r="AL907" s="380"/>
      <c r="AM907" s="380"/>
      <c r="AN907" s="120"/>
      <c r="AO907" s="120"/>
      <c r="AP907" s="120"/>
      <c r="AQ907" s="313"/>
      <c r="AR907" s="119"/>
      <c r="AS907" s="22"/>
      <c r="AT907" s="22"/>
      <c r="AU907" s="22"/>
      <c r="AV907" s="22"/>
      <c r="AW907" s="82"/>
      <c r="AX907" s="82"/>
      <c r="AY907" s="82"/>
      <c r="AZ907" s="82"/>
      <c r="BA907" s="82"/>
      <c r="BB907" s="82"/>
      <c r="BC907" s="82"/>
      <c r="BD907" s="82"/>
      <c r="BE907" s="82"/>
      <c r="BF907" s="82"/>
      <c r="BG907" s="112"/>
      <c r="BH907" s="112"/>
      <c r="BI907" s="112"/>
      <c r="BJ907" s="112"/>
      <c r="BK907" s="82"/>
      <c r="BL907" s="82"/>
      <c r="BN907" s="412"/>
      <c r="BO907" s="412"/>
      <c r="BP907" s="412"/>
      <c r="BQ907" s="412"/>
      <c r="BR907" s="412"/>
      <c r="BZ907" t="str">
        <f t="shared" si="74"/>
        <v/>
      </c>
    </row>
    <row r="908" spans="1:78" ht="15.6" hidden="1" customHeight="1">
      <c r="A908" s="35" t="str">
        <f t="shared" si="75"/>
        <v/>
      </c>
      <c r="C908" s="358"/>
      <c r="D908" s="358">
        <v>923</v>
      </c>
      <c r="E908" s="119"/>
      <c r="F908" s="119"/>
      <c r="G908" s="266"/>
      <c r="H908" s="119"/>
      <c r="I908" s="358"/>
      <c r="J908" s="359" t="str">
        <f>IFERROR(VLOOKUP($A908,#REF!,3,0),"")</f>
        <v/>
      </c>
      <c r="K908" s="359">
        <f>IFERROR(VLOOKUP($A908,#REF!,4,0),AF908)</f>
        <v>0</v>
      </c>
      <c r="L908" s="359" t="str">
        <f>IFERROR(VLOOKUP($A908,#REF!,5,0),"")</f>
        <v/>
      </c>
      <c r="M908" s="359" t="str">
        <f>IFERROR(VLOOKUP($A908,#REF!,7,0),"")</f>
        <v/>
      </c>
      <c r="N908" s="359"/>
      <c r="O908" s="359" t="str">
        <f>IFERROR(VLOOKUP($A908,#REF!,6,0),"")</f>
        <v/>
      </c>
      <c r="P908" s="359" t="str">
        <f>IFERROR(VLOOKUP($A908,#REF!,9,0),"")</f>
        <v/>
      </c>
      <c r="Q908" s="359" t="str">
        <f>IFERROR(VLOOKUP($A908,#REF!,10,0),"")</f>
        <v/>
      </c>
      <c r="R908" s="359" t="str">
        <f>IFERROR(VLOOKUP($A908,#REF!,11,0),"")</f>
        <v/>
      </c>
      <c r="S908" s="359" t="str">
        <f>IFERROR(VLOOKUP($A908,#REF!,13,0),"")</f>
        <v/>
      </c>
      <c r="T908" s="359" t="str">
        <f>IFERROR(VLOOKUP($A908,#REF!,14,0),"")</f>
        <v/>
      </c>
      <c r="U908" s="359" t="str">
        <f>IFERROR(VLOOKUP($A908,#REF!,15,0),"")</f>
        <v/>
      </c>
      <c r="V908" s="359" t="str">
        <f>IFERROR(VLOOKUP($A908,#REF!,16,0),"")</f>
        <v/>
      </c>
      <c r="W908" s="359" t="str">
        <f>IFERROR(VLOOKUP($A908,#REF!,17,0),"")</f>
        <v/>
      </c>
      <c r="X908" s="359" t="str">
        <f>IFERROR(VLOOKUP($A908,#REF!,18,0),"")</f>
        <v/>
      </c>
      <c r="Y908" s="359" t="str">
        <f>IFERROR(VLOOKUP($A908,#REF!,19,0),"")</f>
        <v/>
      </c>
      <c r="Z908" s="400" t="str">
        <f>IFERROR(VLOOKUP($A908,#REF!,21,0),"")</f>
        <v/>
      </c>
      <c r="AA908" s="358"/>
      <c r="AB908" s="358"/>
      <c r="AC908" s="119"/>
      <c r="AD908" s="119"/>
      <c r="AE908" s="119"/>
      <c r="AF908" s="277"/>
      <c r="AG908" s="119"/>
      <c r="AH908" s="358"/>
      <c r="AI908" s="358"/>
      <c r="AJ908" s="380"/>
      <c r="AK908" s="380"/>
      <c r="AL908" s="380"/>
      <c r="AM908" s="380"/>
      <c r="AN908" s="120"/>
      <c r="AO908" s="120"/>
      <c r="AP908" s="120"/>
      <c r="AQ908" s="313"/>
      <c r="AR908" s="119"/>
      <c r="AS908" s="22"/>
      <c r="AT908" s="22"/>
      <c r="AU908" s="22"/>
      <c r="AV908" s="22"/>
      <c r="AW908" s="82"/>
      <c r="AX908" s="82"/>
      <c r="AY908" s="82"/>
      <c r="AZ908" s="82"/>
      <c r="BA908" s="82"/>
      <c r="BB908" s="82"/>
      <c r="BC908" s="82"/>
      <c r="BD908" s="82"/>
      <c r="BE908" s="82"/>
      <c r="BF908" s="82"/>
      <c r="BG908" s="112"/>
      <c r="BH908" s="112"/>
      <c r="BI908" s="112"/>
      <c r="BJ908" s="112"/>
      <c r="BK908" s="82"/>
      <c r="BL908" s="82"/>
      <c r="BN908" s="412"/>
      <c r="BO908" s="412"/>
      <c r="BP908" s="412"/>
      <c r="BQ908" s="412"/>
      <c r="BR908" s="412"/>
      <c r="BZ908" t="str">
        <f t="shared" si="74"/>
        <v/>
      </c>
    </row>
    <row r="909" spans="1:78" ht="15.6" hidden="1" customHeight="1">
      <c r="A909" s="35" t="str">
        <f t="shared" si="75"/>
        <v/>
      </c>
      <c r="C909" s="358"/>
      <c r="D909" s="358">
        <v>924</v>
      </c>
      <c r="E909" s="119"/>
      <c r="F909" s="119"/>
      <c r="G909" s="266"/>
      <c r="H909" s="119"/>
      <c r="I909" s="358"/>
      <c r="J909" s="359" t="str">
        <f>IFERROR(VLOOKUP($A909,#REF!,3,0),"")</f>
        <v/>
      </c>
      <c r="K909" s="359">
        <f>IFERROR(VLOOKUP($A909,#REF!,4,0),AF909)</f>
        <v>0</v>
      </c>
      <c r="L909" s="359" t="str">
        <f>IFERROR(VLOOKUP($A909,#REF!,5,0),"")</f>
        <v/>
      </c>
      <c r="M909" s="359" t="str">
        <f>IFERROR(VLOOKUP($A909,#REF!,7,0),"")</f>
        <v/>
      </c>
      <c r="N909" s="359"/>
      <c r="O909" s="359" t="str">
        <f>IFERROR(VLOOKUP($A909,#REF!,6,0),"")</f>
        <v/>
      </c>
      <c r="P909" s="359" t="str">
        <f>IFERROR(VLOOKUP($A909,#REF!,9,0),"")</f>
        <v/>
      </c>
      <c r="Q909" s="359" t="str">
        <f>IFERROR(VLOOKUP($A909,#REF!,10,0),"")</f>
        <v/>
      </c>
      <c r="R909" s="359" t="str">
        <f>IFERROR(VLOOKUP($A909,#REF!,11,0),"")</f>
        <v/>
      </c>
      <c r="S909" s="359" t="str">
        <f>IFERROR(VLOOKUP($A909,#REF!,13,0),"")</f>
        <v/>
      </c>
      <c r="T909" s="359" t="str">
        <f>IFERROR(VLOOKUP($A909,#REF!,14,0),"")</f>
        <v/>
      </c>
      <c r="U909" s="359" t="str">
        <f>IFERROR(VLOOKUP($A909,#REF!,15,0),"")</f>
        <v/>
      </c>
      <c r="V909" s="359" t="str">
        <f>IFERROR(VLOOKUP($A909,#REF!,16,0),"")</f>
        <v/>
      </c>
      <c r="W909" s="359" t="str">
        <f>IFERROR(VLOOKUP($A909,#REF!,17,0),"")</f>
        <v/>
      </c>
      <c r="X909" s="359" t="str">
        <f>IFERROR(VLOOKUP($A909,#REF!,18,0),"")</f>
        <v/>
      </c>
      <c r="Y909" s="359" t="str">
        <f>IFERROR(VLOOKUP($A909,#REF!,19,0),"")</f>
        <v/>
      </c>
      <c r="Z909" s="400" t="str">
        <f>IFERROR(VLOOKUP($A909,#REF!,21,0),"")</f>
        <v/>
      </c>
      <c r="AA909" s="358"/>
      <c r="AB909" s="358"/>
      <c r="AC909" s="119"/>
      <c r="AD909" s="119"/>
      <c r="AE909" s="119"/>
      <c r="AF909" s="277"/>
      <c r="AG909" s="119"/>
      <c r="AH909" s="358"/>
      <c r="AI909" s="358"/>
      <c r="AJ909" s="380"/>
      <c r="AK909" s="380"/>
      <c r="AL909" s="380"/>
      <c r="AM909" s="380"/>
      <c r="AN909" s="120"/>
      <c r="AO909" s="120"/>
      <c r="AP909" s="120"/>
      <c r="AQ909" s="313"/>
      <c r="AR909" s="119"/>
      <c r="AS909" s="22"/>
      <c r="AT909" s="22"/>
      <c r="AU909" s="22"/>
      <c r="AV909" s="22"/>
      <c r="AW909" s="82"/>
      <c r="AX909" s="82"/>
      <c r="AY909" s="82"/>
      <c r="AZ909" s="82"/>
      <c r="BA909" s="82"/>
      <c r="BB909" s="82"/>
      <c r="BC909" s="82"/>
      <c r="BD909" s="82"/>
      <c r="BE909" s="82"/>
      <c r="BF909" s="82"/>
      <c r="BG909" s="112"/>
      <c r="BH909" s="112"/>
      <c r="BI909" s="112"/>
      <c r="BJ909" s="112"/>
      <c r="BK909" s="82"/>
      <c r="BL909" s="82"/>
      <c r="BN909" s="412"/>
      <c r="BO909" s="412"/>
      <c r="BP909" s="412"/>
      <c r="BQ909" s="412"/>
      <c r="BR909" s="412"/>
      <c r="BZ909" t="str">
        <f t="shared" ref="BZ909:BZ943" si="76">IF(G909&gt;1,1,"")</f>
        <v/>
      </c>
    </row>
    <row r="910" spans="1:78" ht="15.6" hidden="1" customHeight="1">
      <c r="A910" s="35" t="str">
        <f t="shared" si="75"/>
        <v/>
      </c>
      <c r="C910" s="358"/>
      <c r="D910" s="358">
        <v>925</v>
      </c>
      <c r="E910" s="119"/>
      <c r="F910" s="119"/>
      <c r="G910" s="266"/>
      <c r="H910" s="119"/>
      <c r="I910" s="358"/>
      <c r="J910" s="359" t="str">
        <f>IFERROR(VLOOKUP($A910,#REF!,3,0),"")</f>
        <v/>
      </c>
      <c r="K910" s="359">
        <f>IFERROR(VLOOKUP($A910,#REF!,4,0),AF910)</f>
        <v>0</v>
      </c>
      <c r="L910" s="359" t="str">
        <f>IFERROR(VLOOKUP($A910,#REF!,5,0),"")</f>
        <v/>
      </c>
      <c r="M910" s="359" t="str">
        <f>IFERROR(VLOOKUP($A910,#REF!,7,0),"")</f>
        <v/>
      </c>
      <c r="N910" s="359"/>
      <c r="O910" s="359" t="str">
        <f>IFERROR(VLOOKUP($A910,#REF!,6,0),"")</f>
        <v/>
      </c>
      <c r="P910" s="359" t="str">
        <f>IFERROR(VLOOKUP($A910,#REF!,9,0),"")</f>
        <v/>
      </c>
      <c r="Q910" s="359" t="str">
        <f>IFERROR(VLOOKUP($A910,#REF!,10,0),"")</f>
        <v/>
      </c>
      <c r="R910" s="359" t="str">
        <f>IFERROR(VLOOKUP($A910,#REF!,11,0),"")</f>
        <v/>
      </c>
      <c r="S910" s="359" t="str">
        <f>IFERROR(VLOOKUP($A910,#REF!,13,0),"")</f>
        <v/>
      </c>
      <c r="T910" s="359" t="str">
        <f>IFERROR(VLOOKUP($A910,#REF!,14,0),"")</f>
        <v/>
      </c>
      <c r="U910" s="359" t="str">
        <f>IFERROR(VLOOKUP($A910,#REF!,15,0),"")</f>
        <v/>
      </c>
      <c r="V910" s="359" t="str">
        <f>IFERROR(VLOOKUP($A910,#REF!,16,0),"")</f>
        <v/>
      </c>
      <c r="W910" s="359" t="str">
        <f>IFERROR(VLOOKUP($A910,#REF!,17,0),"")</f>
        <v/>
      </c>
      <c r="X910" s="359" t="str">
        <f>IFERROR(VLOOKUP($A910,#REF!,18,0),"")</f>
        <v/>
      </c>
      <c r="Y910" s="359" t="str">
        <f>IFERROR(VLOOKUP($A910,#REF!,19,0),"")</f>
        <v/>
      </c>
      <c r="Z910" s="400" t="str">
        <f>IFERROR(VLOOKUP($A910,#REF!,21,0),"")</f>
        <v/>
      </c>
      <c r="AA910" s="358"/>
      <c r="AB910" s="358"/>
      <c r="AC910" s="119"/>
      <c r="AD910" s="119"/>
      <c r="AE910" s="119"/>
      <c r="AF910" s="277"/>
      <c r="AG910" s="119"/>
      <c r="AH910" s="358"/>
      <c r="AI910" s="358"/>
      <c r="AJ910" s="380"/>
      <c r="AK910" s="380"/>
      <c r="AL910" s="380"/>
      <c r="AM910" s="380"/>
      <c r="AN910" s="120"/>
      <c r="AO910" s="120"/>
      <c r="AP910" s="120"/>
      <c r="AQ910" s="313"/>
      <c r="AR910" s="119"/>
      <c r="AS910" s="22"/>
      <c r="AT910" s="22"/>
      <c r="AU910" s="22"/>
      <c r="AV910" s="22"/>
      <c r="AW910" s="82"/>
      <c r="AX910" s="82"/>
      <c r="AY910" s="82"/>
      <c r="AZ910" s="82"/>
      <c r="BA910" s="82"/>
      <c r="BB910" s="82"/>
      <c r="BC910" s="82"/>
      <c r="BD910" s="82"/>
      <c r="BE910" s="82"/>
      <c r="BF910" s="82"/>
      <c r="BG910" s="112"/>
      <c r="BH910" s="112"/>
      <c r="BI910" s="112"/>
      <c r="BJ910" s="112"/>
      <c r="BK910" s="82"/>
      <c r="BL910" s="82"/>
      <c r="BN910" s="412"/>
      <c r="BO910" s="412"/>
      <c r="BP910" s="412"/>
      <c r="BQ910" s="412"/>
      <c r="BR910" s="412"/>
      <c r="BZ910" t="str">
        <f t="shared" si="76"/>
        <v/>
      </c>
    </row>
    <row r="911" spans="1:78" ht="15.6" hidden="1" customHeight="1">
      <c r="A911" s="35" t="str">
        <f t="shared" si="75"/>
        <v/>
      </c>
      <c r="C911" s="358"/>
      <c r="D911" s="358">
        <v>926</v>
      </c>
      <c r="E911" s="119"/>
      <c r="F911" s="119"/>
      <c r="G911" s="266"/>
      <c r="H911" s="119"/>
      <c r="I911" s="358"/>
      <c r="J911" s="359" t="str">
        <f>IFERROR(VLOOKUP($A911,#REF!,3,0),"")</f>
        <v/>
      </c>
      <c r="K911" s="359">
        <f>IFERROR(VLOOKUP($A911,#REF!,4,0),AF911)</f>
        <v>0</v>
      </c>
      <c r="L911" s="359" t="str">
        <f>IFERROR(VLOOKUP($A911,#REF!,5,0),"")</f>
        <v/>
      </c>
      <c r="M911" s="359" t="str">
        <f>IFERROR(VLOOKUP($A911,#REF!,7,0),"")</f>
        <v/>
      </c>
      <c r="N911" s="359"/>
      <c r="O911" s="359" t="str">
        <f>IFERROR(VLOOKUP($A911,#REF!,6,0),"")</f>
        <v/>
      </c>
      <c r="P911" s="359" t="str">
        <f>IFERROR(VLOOKUP($A911,#REF!,9,0),"")</f>
        <v/>
      </c>
      <c r="Q911" s="359" t="str">
        <f>IFERROR(VLOOKUP($A911,#REF!,10,0),"")</f>
        <v/>
      </c>
      <c r="R911" s="359" t="str">
        <f>IFERROR(VLOOKUP($A911,#REF!,11,0),"")</f>
        <v/>
      </c>
      <c r="S911" s="359" t="str">
        <f>IFERROR(VLOOKUP($A911,#REF!,13,0),"")</f>
        <v/>
      </c>
      <c r="T911" s="359" t="str">
        <f>IFERROR(VLOOKUP($A911,#REF!,14,0),"")</f>
        <v/>
      </c>
      <c r="U911" s="359" t="str">
        <f>IFERROR(VLOOKUP($A911,#REF!,15,0),"")</f>
        <v/>
      </c>
      <c r="V911" s="359" t="str">
        <f>IFERROR(VLOOKUP($A911,#REF!,16,0),"")</f>
        <v/>
      </c>
      <c r="W911" s="359" t="str">
        <f>IFERROR(VLOOKUP($A911,#REF!,17,0),"")</f>
        <v/>
      </c>
      <c r="X911" s="359" t="str">
        <f>IFERROR(VLOOKUP($A911,#REF!,18,0),"")</f>
        <v/>
      </c>
      <c r="Y911" s="359" t="str">
        <f>IFERROR(VLOOKUP($A911,#REF!,19,0),"")</f>
        <v/>
      </c>
      <c r="Z911" s="400" t="str">
        <f>IFERROR(VLOOKUP($A911,#REF!,21,0),"")</f>
        <v/>
      </c>
      <c r="AA911" s="358"/>
      <c r="AB911" s="358"/>
      <c r="AC911" s="119"/>
      <c r="AD911" s="119"/>
      <c r="AE911" s="119"/>
      <c r="AF911" s="277"/>
      <c r="AG911" s="119"/>
      <c r="AH911" s="358"/>
      <c r="AI911" s="358"/>
      <c r="AJ911" s="380"/>
      <c r="AK911" s="380"/>
      <c r="AL911" s="380"/>
      <c r="AM911" s="380"/>
      <c r="AN911" s="120"/>
      <c r="AO911" s="120"/>
      <c r="AP911" s="120"/>
      <c r="AQ911" s="313"/>
      <c r="AR911" s="119"/>
      <c r="AS911" s="22"/>
      <c r="AT911" s="22"/>
      <c r="AU911" s="22"/>
      <c r="AV911" s="22"/>
      <c r="AW911" s="82"/>
      <c r="AX911" s="82"/>
      <c r="AY911" s="82"/>
      <c r="AZ911" s="82"/>
      <c r="BA911" s="82"/>
      <c r="BB911" s="82"/>
      <c r="BC911" s="82"/>
      <c r="BD911" s="82"/>
      <c r="BE911" s="82"/>
      <c r="BF911" s="82"/>
      <c r="BG911" s="112"/>
      <c r="BH911" s="112"/>
      <c r="BI911" s="112"/>
      <c r="BJ911" s="112"/>
      <c r="BK911" s="82"/>
      <c r="BL911" s="82"/>
      <c r="BN911" s="412"/>
      <c r="BO911" s="412"/>
      <c r="BP911" s="412"/>
      <c r="BQ911" s="412"/>
      <c r="BR911" s="412"/>
      <c r="BZ911" t="str">
        <f t="shared" si="76"/>
        <v/>
      </c>
    </row>
    <row r="912" spans="1:78" ht="15.6" hidden="1" customHeight="1">
      <c r="A912" s="35" t="str">
        <f t="shared" si="75"/>
        <v/>
      </c>
      <c r="C912" s="358"/>
      <c r="D912" s="358">
        <v>927</v>
      </c>
      <c r="E912" s="119"/>
      <c r="F912" s="119"/>
      <c r="G912" s="266"/>
      <c r="H912" s="119"/>
      <c r="I912" s="358"/>
      <c r="J912" s="359" t="str">
        <f>IFERROR(VLOOKUP($A912,#REF!,3,0),"")</f>
        <v/>
      </c>
      <c r="K912" s="359">
        <f>IFERROR(VLOOKUP($A912,#REF!,4,0),AF912)</f>
        <v>0</v>
      </c>
      <c r="L912" s="359" t="str">
        <f>IFERROR(VLOOKUP($A912,#REF!,5,0),"")</f>
        <v/>
      </c>
      <c r="M912" s="359" t="str">
        <f>IFERROR(VLOOKUP($A912,#REF!,7,0),"")</f>
        <v/>
      </c>
      <c r="N912" s="359"/>
      <c r="O912" s="359" t="str">
        <f>IFERROR(VLOOKUP($A912,#REF!,6,0),"")</f>
        <v/>
      </c>
      <c r="P912" s="359" t="str">
        <f>IFERROR(VLOOKUP($A912,#REF!,9,0),"")</f>
        <v/>
      </c>
      <c r="Q912" s="359" t="str">
        <f>IFERROR(VLOOKUP($A912,#REF!,10,0),"")</f>
        <v/>
      </c>
      <c r="R912" s="359" t="str">
        <f>IFERROR(VLOOKUP($A912,#REF!,11,0),"")</f>
        <v/>
      </c>
      <c r="S912" s="359" t="str">
        <f>IFERROR(VLOOKUP($A912,#REF!,13,0),"")</f>
        <v/>
      </c>
      <c r="T912" s="359" t="str">
        <f>IFERROR(VLOOKUP($A912,#REF!,14,0),"")</f>
        <v/>
      </c>
      <c r="U912" s="359" t="str">
        <f>IFERROR(VLOOKUP($A912,#REF!,15,0),"")</f>
        <v/>
      </c>
      <c r="V912" s="359" t="str">
        <f>IFERROR(VLOOKUP($A912,#REF!,16,0),"")</f>
        <v/>
      </c>
      <c r="W912" s="359" t="str">
        <f>IFERROR(VLOOKUP($A912,#REF!,17,0),"")</f>
        <v/>
      </c>
      <c r="X912" s="359" t="str">
        <f>IFERROR(VLOOKUP($A912,#REF!,18,0),"")</f>
        <v/>
      </c>
      <c r="Y912" s="359" t="str">
        <f>IFERROR(VLOOKUP($A912,#REF!,19,0),"")</f>
        <v/>
      </c>
      <c r="Z912" s="400" t="str">
        <f>IFERROR(VLOOKUP($A912,#REF!,21,0),"")</f>
        <v/>
      </c>
      <c r="AA912" s="358"/>
      <c r="AB912" s="358"/>
      <c r="AC912" s="119"/>
      <c r="AD912" s="119"/>
      <c r="AE912" s="119"/>
      <c r="AF912" s="277"/>
      <c r="AG912" s="119"/>
      <c r="AH912" s="358"/>
      <c r="AI912" s="358"/>
      <c r="AJ912" s="380"/>
      <c r="AK912" s="380"/>
      <c r="AL912" s="380"/>
      <c r="AM912" s="380"/>
      <c r="AN912" s="120"/>
      <c r="AO912" s="120"/>
      <c r="AP912" s="120"/>
      <c r="AQ912" s="313"/>
      <c r="AR912" s="119"/>
      <c r="AS912" s="22"/>
      <c r="AT912" s="22"/>
      <c r="AU912" s="22"/>
      <c r="AV912" s="22"/>
      <c r="AW912" s="82"/>
      <c r="AX912" s="82"/>
      <c r="AY912" s="82"/>
      <c r="AZ912" s="82"/>
      <c r="BA912" s="82"/>
      <c r="BB912" s="82"/>
      <c r="BC912" s="82"/>
      <c r="BD912" s="82"/>
      <c r="BE912" s="82"/>
      <c r="BF912" s="82"/>
      <c r="BG912" s="112"/>
      <c r="BH912" s="112"/>
      <c r="BI912" s="112"/>
      <c r="BJ912" s="112"/>
      <c r="BK912" s="82"/>
      <c r="BL912" s="82"/>
      <c r="BN912" s="412"/>
      <c r="BO912" s="412"/>
      <c r="BP912" s="412"/>
      <c r="BQ912" s="412"/>
      <c r="BR912" s="412"/>
      <c r="BZ912" t="str">
        <f t="shared" si="76"/>
        <v/>
      </c>
    </row>
    <row r="913" spans="1:78" ht="15.6" hidden="1" customHeight="1">
      <c r="A913" s="35" t="str">
        <f t="shared" si="75"/>
        <v/>
      </c>
      <c r="C913" s="358"/>
      <c r="D913" s="358">
        <v>928</v>
      </c>
      <c r="E913" s="119"/>
      <c r="F913" s="119"/>
      <c r="G913" s="266"/>
      <c r="H913" s="119"/>
      <c r="I913" s="358"/>
      <c r="J913" s="359" t="str">
        <f>IFERROR(VLOOKUP($A913,#REF!,3,0),"")</f>
        <v/>
      </c>
      <c r="K913" s="359">
        <f>IFERROR(VLOOKUP($A913,#REF!,4,0),AF913)</f>
        <v>0</v>
      </c>
      <c r="L913" s="359" t="str">
        <f>IFERROR(VLOOKUP($A913,#REF!,5,0),"")</f>
        <v/>
      </c>
      <c r="M913" s="359" t="str">
        <f>IFERROR(VLOOKUP($A913,#REF!,7,0),"")</f>
        <v/>
      </c>
      <c r="N913" s="359"/>
      <c r="O913" s="359" t="str">
        <f>IFERROR(VLOOKUP($A913,#REF!,6,0),"")</f>
        <v/>
      </c>
      <c r="P913" s="359" t="str">
        <f>IFERROR(VLOOKUP($A913,#REF!,9,0),"")</f>
        <v/>
      </c>
      <c r="Q913" s="359" t="str">
        <f>IFERROR(VLOOKUP($A913,#REF!,10,0),"")</f>
        <v/>
      </c>
      <c r="R913" s="359" t="str">
        <f>IFERROR(VLOOKUP($A913,#REF!,11,0),"")</f>
        <v/>
      </c>
      <c r="S913" s="359" t="str">
        <f>IFERROR(VLOOKUP($A913,#REF!,13,0),"")</f>
        <v/>
      </c>
      <c r="T913" s="359" t="str">
        <f>IFERROR(VLOOKUP($A913,#REF!,14,0),"")</f>
        <v/>
      </c>
      <c r="U913" s="359" t="str">
        <f>IFERROR(VLOOKUP($A913,#REF!,15,0),"")</f>
        <v/>
      </c>
      <c r="V913" s="359" t="str">
        <f>IFERROR(VLOOKUP($A913,#REF!,16,0),"")</f>
        <v/>
      </c>
      <c r="W913" s="359" t="str">
        <f>IFERROR(VLOOKUP($A913,#REF!,17,0),"")</f>
        <v/>
      </c>
      <c r="X913" s="359" t="str">
        <f>IFERROR(VLOOKUP($A913,#REF!,18,0),"")</f>
        <v/>
      </c>
      <c r="Y913" s="359" t="str">
        <f>IFERROR(VLOOKUP($A913,#REF!,19,0),"")</f>
        <v/>
      </c>
      <c r="Z913" s="400" t="str">
        <f>IFERROR(VLOOKUP($A913,#REF!,21,0),"")</f>
        <v/>
      </c>
      <c r="AA913" s="358"/>
      <c r="AB913" s="358"/>
      <c r="AC913" s="119"/>
      <c r="AD913" s="119"/>
      <c r="AE913" s="119"/>
      <c r="AF913" s="277"/>
      <c r="AG913" s="119"/>
      <c r="AH913" s="358"/>
      <c r="AI913" s="358"/>
      <c r="AJ913" s="380"/>
      <c r="AK913" s="380"/>
      <c r="AL913" s="380"/>
      <c r="AM913" s="380"/>
      <c r="AN913" s="120"/>
      <c r="AO913" s="120"/>
      <c r="AP913" s="120"/>
      <c r="AQ913" s="313"/>
      <c r="AR913" s="119"/>
      <c r="AS913" s="22"/>
      <c r="AT913" s="22"/>
      <c r="AU913" s="22"/>
      <c r="AV913" s="22"/>
      <c r="AW913" s="82"/>
      <c r="AX913" s="82"/>
      <c r="AY913" s="82"/>
      <c r="AZ913" s="82"/>
      <c r="BA913" s="82"/>
      <c r="BB913" s="82"/>
      <c r="BC913" s="82"/>
      <c r="BD913" s="82"/>
      <c r="BE913" s="82"/>
      <c r="BF913" s="82"/>
      <c r="BG913" s="112"/>
      <c r="BH913" s="112"/>
      <c r="BI913" s="112"/>
      <c r="BJ913" s="112"/>
      <c r="BK913" s="82"/>
      <c r="BL913" s="82"/>
      <c r="BN913" s="412"/>
      <c r="BO913" s="412"/>
      <c r="BP913" s="412"/>
      <c r="BQ913" s="412"/>
      <c r="BR913" s="412"/>
      <c r="BZ913" t="str">
        <f t="shared" si="76"/>
        <v/>
      </c>
    </row>
    <row r="914" spans="1:78" ht="15.6" hidden="1" customHeight="1">
      <c r="A914" s="35" t="str">
        <f t="shared" si="75"/>
        <v/>
      </c>
      <c r="C914" s="358"/>
      <c r="D914" s="358">
        <v>929</v>
      </c>
      <c r="E914" s="119"/>
      <c r="F914" s="119"/>
      <c r="G914" s="266"/>
      <c r="H914" s="119"/>
      <c r="I914" s="358"/>
      <c r="J914" s="359" t="str">
        <f>IFERROR(VLOOKUP($A914,#REF!,3,0),"")</f>
        <v/>
      </c>
      <c r="K914" s="359">
        <f>IFERROR(VLOOKUP($A914,#REF!,4,0),AF914)</f>
        <v>0</v>
      </c>
      <c r="L914" s="359" t="str">
        <f>IFERROR(VLOOKUP($A914,#REF!,5,0),"")</f>
        <v/>
      </c>
      <c r="M914" s="359" t="str">
        <f>IFERROR(VLOOKUP($A914,#REF!,7,0),"")</f>
        <v/>
      </c>
      <c r="N914" s="359"/>
      <c r="O914" s="359" t="str">
        <f>IFERROR(VLOOKUP($A914,#REF!,6,0),"")</f>
        <v/>
      </c>
      <c r="P914" s="359" t="str">
        <f>IFERROR(VLOOKUP($A914,#REF!,9,0),"")</f>
        <v/>
      </c>
      <c r="Q914" s="359" t="str">
        <f>IFERROR(VLOOKUP($A914,#REF!,10,0),"")</f>
        <v/>
      </c>
      <c r="R914" s="359" t="str">
        <f>IFERROR(VLOOKUP($A914,#REF!,11,0),"")</f>
        <v/>
      </c>
      <c r="S914" s="359" t="str">
        <f>IFERROR(VLOOKUP($A914,#REF!,13,0),"")</f>
        <v/>
      </c>
      <c r="T914" s="359" t="str">
        <f>IFERROR(VLOOKUP($A914,#REF!,14,0),"")</f>
        <v/>
      </c>
      <c r="U914" s="359" t="str">
        <f>IFERROR(VLOOKUP($A914,#REF!,15,0),"")</f>
        <v/>
      </c>
      <c r="V914" s="359" t="str">
        <f>IFERROR(VLOOKUP($A914,#REF!,16,0),"")</f>
        <v/>
      </c>
      <c r="W914" s="359" t="str">
        <f>IFERROR(VLOOKUP($A914,#REF!,17,0),"")</f>
        <v/>
      </c>
      <c r="X914" s="359" t="str">
        <f>IFERROR(VLOOKUP($A914,#REF!,18,0),"")</f>
        <v/>
      </c>
      <c r="Y914" s="359" t="str">
        <f>IFERROR(VLOOKUP($A914,#REF!,19,0),"")</f>
        <v/>
      </c>
      <c r="Z914" s="400" t="str">
        <f>IFERROR(VLOOKUP($A914,#REF!,21,0),"")</f>
        <v/>
      </c>
      <c r="AA914" s="358"/>
      <c r="AB914" s="358"/>
      <c r="AC914" s="119"/>
      <c r="AD914" s="119"/>
      <c r="AE914" s="119"/>
      <c r="AF914" s="277"/>
      <c r="AG914" s="119"/>
      <c r="AH914" s="358"/>
      <c r="AI914" s="358"/>
      <c r="AJ914" s="380"/>
      <c r="AK914" s="380"/>
      <c r="AL914" s="380"/>
      <c r="AM914" s="380"/>
      <c r="AN914" s="120"/>
      <c r="AO914" s="120"/>
      <c r="AP914" s="120"/>
      <c r="AQ914" s="313"/>
      <c r="AR914" s="119"/>
      <c r="AS914" s="22"/>
      <c r="AT914" s="22"/>
      <c r="AU914" s="22"/>
      <c r="AV914" s="22"/>
      <c r="AW914" s="82"/>
      <c r="AX914" s="82"/>
      <c r="AY914" s="82"/>
      <c r="AZ914" s="82"/>
      <c r="BA914" s="82"/>
      <c r="BB914" s="82"/>
      <c r="BC914" s="82"/>
      <c r="BD914" s="82"/>
      <c r="BE914" s="82"/>
      <c r="BF914" s="82"/>
      <c r="BG914" s="112"/>
      <c r="BH914" s="112"/>
      <c r="BI914" s="112"/>
      <c r="BJ914" s="112"/>
      <c r="BK914" s="82"/>
      <c r="BL914" s="82"/>
      <c r="BN914" s="412"/>
      <c r="BO914" s="412"/>
      <c r="BP914" s="412"/>
      <c r="BQ914" s="412"/>
      <c r="BR914" s="412"/>
      <c r="BZ914" t="str">
        <f t="shared" si="76"/>
        <v/>
      </c>
    </row>
    <row r="915" spans="1:78" ht="15.6" hidden="1" customHeight="1">
      <c r="A915" s="35" t="str">
        <f t="shared" si="75"/>
        <v/>
      </c>
      <c r="C915" s="358"/>
      <c r="D915" s="358">
        <v>930</v>
      </c>
      <c r="E915" s="119"/>
      <c r="F915" s="119"/>
      <c r="G915" s="266"/>
      <c r="H915" s="119"/>
      <c r="I915" s="358"/>
      <c r="J915" s="359" t="str">
        <f>IFERROR(VLOOKUP($A915,#REF!,3,0),"")</f>
        <v/>
      </c>
      <c r="K915" s="359">
        <f>IFERROR(VLOOKUP($A915,#REF!,4,0),AF915)</f>
        <v>0</v>
      </c>
      <c r="L915" s="359" t="str">
        <f>IFERROR(VLOOKUP($A915,#REF!,5,0),"")</f>
        <v/>
      </c>
      <c r="M915" s="359" t="str">
        <f>IFERROR(VLOOKUP($A915,#REF!,7,0),"")</f>
        <v/>
      </c>
      <c r="N915" s="359"/>
      <c r="O915" s="359" t="str">
        <f>IFERROR(VLOOKUP($A915,#REF!,6,0),"")</f>
        <v/>
      </c>
      <c r="P915" s="359" t="str">
        <f>IFERROR(VLOOKUP($A915,#REF!,9,0),"")</f>
        <v/>
      </c>
      <c r="Q915" s="359" t="str">
        <f>IFERROR(VLOOKUP($A915,#REF!,10,0),"")</f>
        <v/>
      </c>
      <c r="R915" s="359" t="str">
        <f>IFERROR(VLOOKUP($A915,#REF!,11,0),"")</f>
        <v/>
      </c>
      <c r="S915" s="359" t="str">
        <f>IFERROR(VLOOKUP($A915,#REF!,13,0),"")</f>
        <v/>
      </c>
      <c r="T915" s="359" t="str">
        <f>IFERROR(VLOOKUP($A915,#REF!,14,0),"")</f>
        <v/>
      </c>
      <c r="U915" s="359" t="str">
        <f>IFERROR(VLOOKUP($A915,#REF!,15,0),"")</f>
        <v/>
      </c>
      <c r="V915" s="359" t="str">
        <f>IFERROR(VLOOKUP($A915,#REF!,16,0),"")</f>
        <v/>
      </c>
      <c r="W915" s="359" t="str">
        <f>IFERROR(VLOOKUP($A915,#REF!,17,0),"")</f>
        <v/>
      </c>
      <c r="X915" s="359" t="str">
        <f>IFERROR(VLOOKUP($A915,#REF!,18,0),"")</f>
        <v/>
      </c>
      <c r="Y915" s="359" t="str">
        <f>IFERROR(VLOOKUP($A915,#REF!,19,0),"")</f>
        <v/>
      </c>
      <c r="Z915" s="400" t="str">
        <f>IFERROR(VLOOKUP($A915,#REF!,21,0),"")</f>
        <v/>
      </c>
      <c r="AA915" s="358"/>
      <c r="AB915" s="358"/>
      <c r="AC915" s="119"/>
      <c r="AD915" s="119"/>
      <c r="AE915" s="119"/>
      <c r="AF915" s="277"/>
      <c r="AG915" s="119"/>
      <c r="AH915" s="358"/>
      <c r="AI915" s="358"/>
      <c r="AJ915" s="380"/>
      <c r="AK915" s="380"/>
      <c r="AL915" s="380"/>
      <c r="AM915" s="380"/>
      <c r="AN915" s="120"/>
      <c r="AO915" s="120"/>
      <c r="AP915" s="120"/>
      <c r="AQ915" s="313"/>
      <c r="AR915" s="119"/>
      <c r="AS915" s="22"/>
      <c r="AT915" s="22"/>
      <c r="AU915" s="22"/>
      <c r="AV915" s="22"/>
      <c r="AW915" s="82"/>
      <c r="AX915" s="82"/>
      <c r="AY915" s="82"/>
      <c r="AZ915" s="82"/>
      <c r="BA915" s="82"/>
      <c r="BB915" s="82"/>
      <c r="BC915" s="82"/>
      <c r="BD915" s="82"/>
      <c r="BE915" s="82"/>
      <c r="BF915" s="82"/>
      <c r="BG915" s="112"/>
      <c r="BH915" s="112"/>
      <c r="BI915" s="112"/>
      <c r="BJ915" s="112"/>
      <c r="BK915" s="82"/>
      <c r="BL915" s="82"/>
      <c r="BN915" s="412"/>
      <c r="BO915" s="412"/>
      <c r="BP915" s="412"/>
      <c r="BQ915" s="412"/>
      <c r="BR915" s="412"/>
      <c r="BZ915" t="str">
        <f t="shared" si="76"/>
        <v/>
      </c>
    </row>
    <row r="916" spans="1:78" ht="15.6" hidden="1" customHeight="1">
      <c r="A916" s="35" t="str">
        <f t="shared" si="75"/>
        <v/>
      </c>
      <c r="C916" s="358"/>
      <c r="D916" s="358">
        <v>931</v>
      </c>
      <c r="E916" s="119"/>
      <c r="F916" s="119"/>
      <c r="G916" s="266"/>
      <c r="H916" s="119"/>
      <c r="I916" s="358"/>
      <c r="J916" s="359" t="str">
        <f>IFERROR(VLOOKUP($A916,#REF!,3,0),"")</f>
        <v/>
      </c>
      <c r="K916" s="359">
        <f>IFERROR(VLOOKUP($A916,#REF!,4,0),AF916)</f>
        <v>0</v>
      </c>
      <c r="L916" s="359" t="str">
        <f>IFERROR(VLOOKUP($A916,#REF!,5,0),"")</f>
        <v/>
      </c>
      <c r="M916" s="359" t="str">
        <f>IFERROR(VLOOKUP($A916,#REF!,7,0),"")</f>
        <v/>
      </c>
      <c r="N916" s="359"/>
      <c r="O916" s="359" t="str">
        <f>IFERROR(VLOOKUP($A916,#REF!,6,0),"")</f>
        <v/>
      </c>
      <c r="P916" s="359" t="str">
        <f>IFERROR(VLOOKUP($A916,#REF!,9,0),"")</f>
        <v/>
      </c>
      <c r="Q916" s="359" t="str">
        <f>IFERROR(VLOOKUP($A916,#REF!,10,0),"")</f>
        <v/>
      </c>
      <c r="R916" s="359" t="str">
        <f>IFERROR(VLOOKUP($A916,#REF!,11,0),"")</f>
        <v/>
      </c>
      <c r="S916" s="359" t="str">
        <f>IFERROR(VLOOKUP($A916,#REF!,13,0),"")</f>
        <v/>
      </c>
      <c r="T916" s="359" t="str">
        <f>IFERROR(VLOOKUP($A916,#REF!,14,0),"")</f>
        <v/>
      </c>
      <c r="U916" s="359" t="str">
        <f>IFERROR(VLOOKUP($A916,#REF!,15,0),"")</f>
        <v/>
      </c>
      <c r="V916" s="359" t="str">
        <f>IFERROR(VLOOKUP($A916,#REF!,16,0),"")</f>
        <v/>
      </c>
      <c r="W916" s="359" t="str">
        <f>IFERROR(VLOOKUP($A916,#REF!,17,0),"")</f>
        <v/>
      </c>
      <c r="X916" s="359" t="str">
        <f>IFERROR(VLOOKUP($A916,#REF!,18,0),"")</f>
        <v/>
      </c>
      <c r="Y916" s="359" t="str">
        <f>IFERROR(VLOOKUP($A916,#REF!,19,0),"")</f>
        <v/>
      </c>
      <c r="Z916" s="400" t="str">
        <f>IFERROR(VLOOKUP($A916,#REF!,21,0),"")</f>
        <v/>
      </c>
      <c r="AA916" s="358"/>
      <c r="AB916" s="358"/>
      <c r="AC916" s="119"/>
      <c r="AD916" s="119"/>
      <c r="AE916" s="119"/>
      <c r="AF916" s="277"/>
      <c r="AG916" s="119"/>
      <c r="AH916" s="358"/>
      <c r="AI916" s="358"/>
      <c r="AJ916" s="380"/>
      <c r="AK916" s="380"/>
      <c r="AL916" s="380"/>
      <c r="AM916" s="380"/>
      <c r="AN916" s="120"/>
      <c r="AO916" s="120"/>
      <c r="AP916" s="120"/>
      <c r="AQ916" s="313"/>
      <c r="AR916" s="119"/>
      <c r="AS916" s="22"/>
      <c r="AT916" s="22"/>
      <c r="AU916" s="22"/>
      <c r="AV916" s="22"/>
      <c r="AW916" s="82"/>
      <c r="AX916" s="82"/>
      <c r="AY916" s="82"/>
      <c r="AZ916" s="82"/>
      <c r="BA916" s="82"/>
      <c r="BB916" s="82"/>
      <c r="BC916" s="82"/>
      <c r="BD916" s="82"/>
      <c r="BE916" s="82"/>
      <c r="BF916" s="82"/>
      <c r="BG916" s="112"/>
      <c r="BH916" s="112"/>
      <c r="BI916" s="112"/>
      <c r="BJ916" s="112"/>
      <c r="BK916" s="82"/>
      <c r="BL916" s="82"/>
      <c r="BN916" s="412"/>
      <c r="BO916" s="412"/>
      <c r="BP916" s="412"/>
      <c r="BQ916" s="412"/>
      <c r="BR916" s="412"/>
      <c r="BZ916" t="str">
        <f t="shared" si="76"/>
        <v/>
      </c>
    </row>
    <row r="917" spans="1:78" ht="15.6" hidden="1" customHeight="1">
      <c r="A917" s="35" t="str">
        <f t="shared" si="75"/>
        <v/>
      </c>
      <c r="C917" s="358"/>
      <c r="D917" s="358">
        <v>932</v>
      </c>
      <c r="E917" s="119"/>
      <c r="F917" s="119"/>
      <c r="G917" s="266"/>
      <c r="H917" s="119"/>
      <c r="I917" s="358"/>
      <c r="J917" s="359" t="str">
        <f>IFERROR(VLOOKUP($A917,#REF!,3,0),"")</f>
        <v/>
      </c>
      <c r="K917" s="359">
        <f>IFERROR(VLOOKUP($A917,#REF!,4,0),AF917)</f>
        <v>0</v>
      </c>
      <c r="L917" s="359" t="str">
        <f>IFERROR(VLOOKUP($A917,#REF!,5,0),"")</f>
        <v/>
      </c>
      <c r="M917" s="359" t="str">
        <f>IFERROR(VLOOKUP($A917,#REF!,7,0),"")</f>
        <v/>
      </c>
      <c r="N917" s="359"/>
      <c r="O917" s="359" t="str">
        <f>IFERROR(VLOOKUP($A917,#REF!,6,0),"")</f>
        <v/>
      </c>
      <c r="P917" s="359" t="str">
        <f>IFERROR(VLOOKUP($A917,#REF!,9,0),"")</f>
        <v/>
      </c>
      <c r="Q917" s="359" t="str">
        <f>IFERROR(VLOOKUP($A917,#REF!,10,0),"")</f>
        <v/>
      </c>
      <c r="R917" s="359" t="str">
        <f>IFERROR(VLOOKUP($A917,#REF!,11,0),"")</f>
        <v/>
      </c>
      <c r="S917" s="359" t="str">
        <f>IFERROR(VLOOKUP($A917,#REF!,13,0),"")</f>
        <v/>
      </c>
      <c r="T917" s="359" t="str">
        <f>IFERROR(VLOOKUP($A917,#REF!,14,0),"")</f>
        <v/>
      </c>
      <c r="U917" s="359" t="str">
        <f>IFERROR(VLOOKUP($A917,#REF!,15,0),"")</f>
        <v/>
      </c>
      <c r="V917" s="359" t="str">
        <f>IFERROR(VLOOKUP($A917,#REF!,16,0),"")</f>
        <v/>
      </c>
      <c r="W917" s="359" t="str">
        <f>IFERROR(VLOOKUP($A917,#REF!,17,0),"")</f>
        <v/>
      </c>
      <c r="X917" s="359" t="str">
        <f>IFERROR(VLOOKUP($A917,#REF!,18,0),"")</f>
        <v/>
      </c>
      <c r="Y917" s="359" t="str">
        <f>IFERROR(VLOOKUP($A917,#REF!,19,0),"")</f>
        <v/>
      </c>
      <c r="Z917" s="400" t="str">
        <f>IFERROR(VLOOKUP($A917,#REF!,21,0),"")</f>
        <v/>
      </c>
      <c r="AA917" s="358"/>
      <c r="AB917" s="358"/>
      <c r="AC917" s="119"/>
      <c r="AD917" s="119"/>
      <c r="AE917" s="119"/>
      <c r="AF917" s="277"/>
      <c r="AG917" s="119"/>
      <c r="AH917" s="358"/>
      <c r="AI917" s="358"/>
      <c r="AJ917" s="380"/>
      <c r="AK917" s="380"/>
      <c r="AL917" s="380"/>
      <c r="AM917" s="380"/>
      <c r="AN917" s="120"/>
      <c r="AO917" s="120"/>
      <c r="AP917" s="120"/>
      <c r="AQ917" s="313"/>
      <c r="AR917" s="119"/>
      <c r="AS917" s="22"/>
      <c r="AT917" s="22"/>
      <c r="AU917" s="22"/>
      <c r="AV917" s="22"/>
      <c r="AW917" s="82"/>
      <c r="AX917" s="82"/>
      <c r="AY917" s="82"/>
      <c r="AZ917" s="82"/>
      <c r="BA917" s="82"/>
      <c r="BB917" s="82"/>
      <c r="BC917" s="82"/>
      <c r="BD917" s="82"/>
      <c r="BE917" s="82"/>
      <c r="BF917" s="82"/>
      <c r="BG917" s="112"/>
      <c r="BH917" s="112"/>
      <c r="BI917" s="112"/>
      <c r="BJ917" s="112"/>
      <c r="BK917" s="82"/>
      <c r="BL917" s="82"/>
      <c r="BN917" s="412"/>
      <c r="BO917" s="412"/>
      <c r="BP917" s="412"/>
      <c r="BQ917" s="412"/>
      <c r="BR917" s="412"/>
      <c r="BZ917" t="str">
        <f t="shared" si="76"/>
        <v/>
      </c>
    </row>
    <row r="918" spans="1:78" ht="15.6" hidden="1" customHeight="1">
      <c r="A918" s="35" t="str">
        <f t="shared" si="75"/>
        <v/>
      </c>
      <c r="C918" s="358"/>
      <c r="D918" s="358">
        <v>933</v>
      </c>
      <c r="E918" s="119"/>
      <c r="F918" s="119"/>
      <c r="G918" s="266"/>
      <c r="H918" s="119"/>
      <c r="I918" s="358"/>
      <c r="J918" s="359" t="str">
        <f>IFERROR(VLOOKUP($A918,#REF!,3,0),"")</f>
        <v/>
      </c>
      <c r="K918" s="359">
        <f>IFERROR(VLOOKUP($A918,#REF!,4,0),AF918)</f>
        <v>0</v>
      </c>
      <c r="L918" s="359" t="str">
        <f>IFERROR(VLOOKUP($A918,#REF!,5,0),"")</f>
        <v/>
      </c>
      <c r="M918" s="359" t="str">
        <f>IFERROR(VLOOKUP($A918,#REF!,7,0),"")</f>
        <v/>
      </c>
      <c r="N918" s="359"/>
      <c r="O918" s="359" t="str">
        <f>IFERROR(VLOOKUP($A918,#REF!,6,0),"")</f>
        <v/>
      </c>
      <c r="P918" s="359" t="str">
        <f>IFERROR(VLOOKUP($A918,#REF!,9,0),"")</f>
        <v/>
      </c>
      <c r="Q918" s="359" t="str">
        <f>IFERROR(VLOOKUP($A918,#REF!,10,0),"")</f>
        <v/>
      </c>
      <c r="R918" s="359" t="str">
        <f>IFERROR(VLOOKUP($A918,#REF!,11,0),"")</f>
        <v/>
      </c>
      <c r="S918" s="359" t="str">
        <f>IFERROR(VLOOKUP($A918,#REF!,13,0),"")</f>
        <v/>
      </c>
      <c r="T918" s="359" t="str">
        <f>IFERROR(VLOOKUP($A918,#REF!,14,0),"")</f>
        <v/>
      </c>
      <c r="U918" s="359" t="str">
        <f>IFERROR(VLOOKUP($A918,#REF!,15,0),"")</f>
        <v/>
      </c>
      <c r="V918" s="359" t="str">
        <f>IFERROR(VLOOKUP($A918,#REF!,16,0),"")</f>
        <v/>
      </c>
      <c r="W918" s="359" t="str">
        <f>IFERROR(VLOOKUP($A918,#REF!,17,0),"")</f>
        <v/>
      </c>
      <c r="X918" s="359" t="str">
        <f>IFERROR(VLOOKUP($A918,#REF!,18,0),"")</f>
        <v/>
      </c>
      <c r="Y918" s="359" t="str">
        <f>IFERROR(VLOOKUP($A918,#REF!,19,0),"")</f>
        <v/>
      </c>
      <c r="Z918" s="400" t="str">
        <f>IFERROR(VLOOKUP($A918,#REF!,21,0),"")</f>
        <v/>
      </c>
      <c r="AA918" s="358"/>
      <c r="AB918" s="358"/>
      <c r="AC918" s="119"/>
      <c r="AD918" s="119"/>
      <c r="AE918" s="119"/>
      <c r="AF918" s="277"/>
      <c r="AG918" s="119"/>
      <c r="AH918" s="358"/>
      <c r="AI918" s="358"/>
      <c r="AJ918" s="380"/>
      <c r="AK918" s="380"/>
      <c r="AL918" s="380"/>
      <c r="AM918" s="380"/>
      <c r="AN918" s="120"/>
      <c r="AO918" s="120"/>
      <c r="AP918" s="120"/>
      <c r="AQ918" s="313"/>
      <c r="AR918" s="119"/>
      <c r="AS918" s="22"/>
      <c r="AT918" s="22"/>
      <c r="AU918" s="22"/>
      <c r="AV918" s="22"/>
      <c r="AW918" s="82"/>
      <c r="AX918" s="82"/>
      <c r="AY918" s="82"/>
      <c r="AZ918" s="82"/>
      <c r="BA918" s="82"/>
      <c r="BB918" s="82"/>
      <c r="BC918" s="82"/>
      <c r="BD918" s="82"/>
      <c r="BE918" s="82"/>
      <c r="BF918" s="82"/>
      <c r="BG918" s="112"/>
      <c r="BH918" s="112"/>
      <c r="BI918" s="112"/>
      <c r="BJ918" s="112"/>
      <c r="BK918" s="82"/>
      <c r="BL918" s="82"/>
      <c r="BN918" s="412"/>
      <c r="BO918" s="412"/>
      <c r="BP918" s="412"/>
      <c r="BQ918" s="412"/>
      <c r="BR918" s="412"/>
      <c r="BZ918" t="str">
        <f t="shared" si="76"/>
        <v/>
      </c>
    </row>
    <row r="919" spans="1:78" ht="15.6" hidden="1" customHeight="1">
      <c r="A919" s="35" t="str">
        <f t="shared" si="75"/>
        <v/>
      </c>
      <c r="C919" s="358"/>
      <c r="D919" s="358">
        <v>934</v>
      </c>
      <c r="E919" s="119"/>
      <c r="F919" s="119"/>
      <c r="G919" s="266"/>
      <c r="H919" s="119"/>
      <c r="I919" s="358"/>
      <c r="J919" s="359" t="str">
        <f>IFERROR(VLOOKUP($A919,#REF!,3,0),"")</f>
        <v/>
      </c>
      <c r="K919" s="359">
        <f>IFERROR(VLOOKUP($A919,#REF!,4,0),AF919)</f>
        <v>0</v>
      </c>
      <c r="L919" s="359" t="str">
        <f>IFERROR(VLOOKUP($A919,#REF!,5,0),"")</f>
        <v/>
      </c>
      <c r="M919" s="359" t="str">
        <f>IFERROR(VLOOKUP($A919,#REF!,7,0),"")</f>
        <v/>
      </c>
      <c r="N919" s="359"/>
      <c r="O919" s="359" t="str">
        <f>IFERROR(VLOOKUP($A919,#REF!,6,0),"")</f>
        <v/>
      </c>
      <c r="P919" s="359" t="str">
        <f>IFERROR(VLOOKUP($A919,#REF!,9,0),"")</f>
        <v/>
      </c>
      <c r="Q919" s="359" t="str">
        <f>IFERROR(VLOOKUP($A919,#REF!,10,0),"")</f>
        <v/>
      </c>
      <c r="R919" s="359" t="str">
        <f>IFERROR(VLOOKUP($A919,#REF!,11,0),"")</f>
        <v/>
      </c>
      <c r="S919" s="359" t="str">
        <f>IFERROR(VLOOKUP($A919,#REF!,13,0),"")</f>
        <v/>
      </c>
      <c r="T919" s="359" t="str">
        <f>IFERROR(VLOOKUP($A919,#REF!,14,0),"")</f>
        <v/>
      </c>
      <c r="U919" s="359" t="str">
        <f>IFERROR(VLOOKUP($A919,#REF!,15,0),"")</f>
        <v/>
      </c>
      <c r="V919" s="359" t="str">
        <f>IFERROR(VLOOKUP($A919,#REF!,16,0),"")</f>
        <v/>
      </c>
      <c r="W919" s="359" t="str">
        <f>IFERROR(VLOOKUP($A919,#REF!,17,0),"")</f>
        <v/>
      </c>
      <c r="X919" s="359" t="str">
        <f>IFERROR(VLOOKUP($A919,#REF!,18,0),"")</f>
        <v/>
      </c>
      <c r="Y919" s="359" t="str">
        <f>IFERROR(VLOOKUP($A919,#REF!,19,0),"")</f>
        <v/>
      </c>
      <c r="Z919" s="400" t="str">
        <f>IFERROR(VLOOKUP($A919,#REF!,21,0),"")</f>
        <v/>
      </c>
      <c r="AA919" s="358"/>
      <c r="AB919" s="358"/>
      <c r="AC919" s="119"/>
      <c r="AD919" s="119"/>
      <c r="AE919" s="119"/>
      <c r="AF919" s="277"/>
      <c r="AG919" s="119"/>
      <c r="AH919" s="358"/>
      <c r="AI919" s="358"/>
      <c r="AJ919" s="380"/>
      <c r="AK919" s="380"/>
      <c r="AL919" s="380"/>
      <c r="AM919" s="380"/>
      <c r="AN919" s="120"/>
      <c r="AO919" s="120"/>
      <c r="AP919" s="120"/>
      <c r="AQ919" s="313"/>
      <c r="AR919" s="119"/>
      <c r="AS919" s="22"/>
      <c r="AT919" s="22"/>
      <c r="AU919" s="22"/>
      <c r="AV919" s="22"/>
      <c r="AW919" s="82"/>
      <c r="AX919" s="82"/>
      <c r="AY919" s="82"/>
      <c r="AZ919" s="82"/>
      <c r="BA919" s="82"/>
      <c r="BB919" s="82"/>
      <c r="BC919" s="82"/>
      <c r="BD919" s="82"/>
      <c r="BE919" s="82"/>
      <c r="BF919" s="82"/>
      <c r="BG919" s="112"/>
      <c r="BH919" s="112"/>
      <c r="BI919" s="112"/>
      <c r="BJ919" s="112"/>
      <c r="BK919" s="82"/>
      <c r="BL919" s="82"/>
      <c r="BN919" s="412"/>
      <c r="BO919" s="412"/>
      <c r="BP919" s="412"/>
      <c r="BQ919" s="412"/>
      <c r="BR919" s="412"/>
      <c r="BZ919" t="str">
        <f t="shared" si="76"/>
        <v/>
      </c>
    </row>
    <row r="920" spans="1:78" ht="15.6" hidden="1" customHeight="1">
      <c r="A920" s="35" t="str">
        <f t="shared" si="75"/>
        <v/>
      </c>
      <c r="C920" s="358"/>
      <c r="D920" s="358">
        <v>935</v>
      </c>
      <c r="E920" s="119"/>
      <c r="F920" s="119"/>
      <c r="G920" s="266"/>
      <c r="H920" s="119"/>
      <c r="I920" s="358"/>
      <c r="J920" s="359" t="str">
        <f>IFERROR(VLOOKUP($A920,#REF!,3,0),"")</f>
        <v/>
      </c>
      <c r="K920" s="359">
        <f>IFERROR(VLOOKUP($A920,#REF!,4,0),AF920)</f>
        <v>0</v>
      </c>
      <c r="L920" s="359" t="str">
        <f>IFERROR(VLOOKUP($A920,#REF!,5,0),"")</f>
        <v/>
      </c>
      <c r="M920" s="359" t="str">
        <f>IFERROR(VLOOKUP($A920,#REF!,7,0),"")</f>
        <v/>
      </c>
      <c r="N920" s="359"/>
      <c r="O920" s="359" t="str">
        <f>IFERROR(VLOOKUP($A920,#REF!,6,0),"")</f>
        <v/>
      </c>
      <c r="P920" s="359" t="str">
        <f>IFERROR(VLOOKUP($A920,#REF!,9,0),"")</f>
        <v/>
      </c>
      <c r="Q920" s="359" t="str">
        <f>IFERROR(VLOOKUP($A920,#REF!,10,0),"")</f>
        <v/>
      </c>
      <c r="R920" s="359" t="str">
        <f>IFERROR(VLOOKUP($A920,#REF!,11,0),"")</f>
        <v/>
      </c>
      <c r="S920" s="359" t="str">
        <f>IFERROR(VLOOKUP($A920,#REF!,13,0),"")</f>
        <v/>
      </c>
      <c r="T920" s="359" t="str">
        <f>IFERROR(VLOOKUP($A920,#REF!,14,0),"")</f>
        <v/>
      </c>
      <c r="U920" s="359" t="str">
        <f>IFERROR(VLOOKUP($A920,#REF!,15,0),"")</f>
        <v/>
      </c>
      <c r="V920" s="359" t="str">
        <f>IFERROR(VLOOKUP($A920,#REF!,16,0),"")</f>
        <v/>
      </c>
      <c r="W920" s="359" t="str">
        <f>IFERROR(VLOOKUP($A920,#REF!,17,0),"")</f>
        <v/>
      </c>
      <c r="X920" s="359" t="str">
        <f>IFERROR(VLOOKUP($A920,#REF!,18,0),"")</f>
        <v/>
      </c>
      <c r="Y920" s="359" t="str">
        <f>IFERROR(VLOOKUP($A920,#REF!,19,0),"")</f>
        <v/>
      </c>
      <c r="Z920" s="400" t="str">
        <f>IFERROR(VLOOKUP($A920,#REF!,21,0),"")</f>
        <v/>
      </c>
      <c r="AA920" s="358"/>
      <c r="AB920" s="358"/>
      <c r="AC920" s="119"/>
      <c r="AD920" s="119"/>
      <c r="AE920" s="119"/>
      <c r="AF920" s="277"/>
      <c r="AG920" s="119"/>
      <c r="AH920" s="358"/>
      <c r="AI920" s="358"/>
      <c r="AJ920" s="380"/>
      <c r="AK920" s="380"/>
      <c r="AL920" s="380"/>
      <c r="AM920" s="380"/>
      <c r="AN920" s="120"/>
      <c r="AO920" s="120"/>
      <c r="AP920" s="120"/>
      <c r="AQ920" s="313"/>
      <c r="AR920" s="119"/>
      <c r="AS920" s="22"/>
      <c r="AT920" s="22"/>
      <c r="AU920" s="22"/>
      <c r="AV920" s="22"/>
      <c r="AW920" s="82"/>
      <c r="AX920" s="82"/>
      <c r="AY920" s="82"/>
      <c r="AZ920" s="82"/>
      <c r="BA920" s="82"/>
      <c r="BB920" s="82"/>
      <c r="BC920" s="82"/>
      <c r="BD920" s="82"/>
      <c r="BE920" s="82"/>
      <c r="BF920" s="82"/>
      <c r="BG920" s="112"/>
      <c r="BH920" s="112"/>
      <c r="BI920" s="112"/>
      <c r="BJ920" s="112"/>
      <c r="BK920" s="82"/>
      <c r="BL920" s="82"/>
      <c r="BN920" s="412"/>
      <c r="BO920" s="412"/>
      <c r="BP920" s="412"/>
      <c r="BQ920" s="412"/>
      <c r="BR920" s="412"/>
      <c r="BZ920" t="str">
        <f t="shared" si="76"/>
        <v/>
      </c>
    </row>
    <row r="921" spans="1:78" ht="15.6" hidden="1" customHeight="1">
      <c r="A921" s="35" t="str">
        <f t="shared" si="75"/>
        <v/>
      </c>
      <c r="C921" s="358"/>
      <c r="D921" s="358">
        <v>936</v>
      </c>
      <c r="E921" s="119"/>
      <c r="F921" s="119"/>
      <c r="G921" s="266"/>
      <c r="H921" s="119"/>
      <c r="I921" s="358"/>
      <c r="J921" s="359" t="str">
        <f>IFERROR(VLOOKUP($A921,#REF!,3,0),"")</f>
        <v/>
      </c>
      <c r="K921" s="359">
        <f>IFERROR(VLOOKUP($A921,#REF!,4,0),AF921)</f>
        <v>0</v>
      </c>
      <c r="L921" s="359" t="str">
        <f>IFERROR(VLOOKUP($A921,#REF!,5,0),"")</f>
        <v/>
      </c>
      <c r="M921" s="359" t="str">
        <f>IFERROR(VLOOKUP($A921,#REF!,7,0),"")</f>
        <v/>
      </c>
      <c r="N921" s="359"/>
      <c r="O921" s="359" t="str">
        <f>IFERROR(VLOOKUP($A921,#REF!,6,0),"")</f>
        <v/>
      </c>
      <c r="P921" s="359" t="str">
        <f>IFERROR(VLOOKUP($A921,#REF!,9,0),"")</f>
        <v/>
      </c>
      <c r="Q921" s="359" t="str">
        <f>IFERROR(VLOOKUP($A921,#REF!,10,0),"")</f>
        <v/>
      </c>
      <c r="R921" s="359" t="str">
        <f>IFERROR(VLOOKUP($A921,#REF!,11,0),"")</f>
        <v/>
      </c>
      <c r="S921" s="359" t="str">
        <f>IFERROR(VLOOKUP($A921,#REF!,13,0),"")</f>
        <v/>
      </c>
      <c r="T921" s="359" t="str">
        <f>IFERROR(VLOOKUP($A921,#REF!,14,0),"")</f>
        <v/>
      </c>
      <c r="U921" s="359" t="str">
        <f>IFERROR(VLOOKUP($A921,#REF!,15,0),"")</f>
        <v/>
      </c>
      <c r="V921" s="359" t="str">
        <f>IFERROR(VLOOKUP($A921,#REF!,16,0),"")</f>
        <v/>
      </c>
      <c r="W921" s="359" t="str">
        <f>IFERROR(VLOOKUP($A921,#REF!,17,0),"")</f>
        <v/>
      </c>
      <c r="X921" s="359" t="str">
        <f>IFERROR(VLOOKUP($A921,#REF!,18,0),"")</f>
        <v/>
      </c>
      <c r="Y921" s="359" t="str">
        <f>IFERROR(VLOOKUP($A921,#REF!,19,0),"")</f>
        <v/>
      </c>
      <c r="Z921" s="400" t="str">
        <f>IFERROR(VLOOKUP($A921,#REF!,21,0),"")</f>
        <v/>
      </c>
      <c r="AA921" s="358"/>
      <c r="AB921" s="358"/>
      <c r="AC921" s="119"/>
      <c r="AD921" s="119"/>
      <c r="AE921" s="119"/>
      <c r="AF921" s="277"/>
      <c r="AG921" s="119"/>
      <c r="AH921" s="358"/>
      <c r="AI921" s="358"/>
      <c r="AJ921" s="380"/>
      <c r="AK921" s="380"/>
      <c r="AL921" s="380"/>
      <c r="AM921" s="380"/>
      <c r="AN921" s="120"/>
      <c r="AO921" s="120"/>
      <c r="AP921" s="120"/>
      <c r="AQ921" s="313"/>
      <c r="AR921" s="119"/>
      <c r="AS921" s="22"/>
      <c r="AT921" s="22"/>
      <c r="AU921" s="22"/>
      <c r="AV921" s="22"/>
      <c r="AW921" s="82"/>
      <c r="AX921" s="82"/>
      <c r="AY921" s="82"/>
      <c r="AZ921" s="82"/>
      <c r="BA921" s="82"/>
      <c r="BB921" s="82"/>
      <c r="BC921" s="82"/>
      <c r="BD921" s="82"/>
      <c r="BE921" s="82"/>
      <c r="BF921" s="82"/>
      <c r="BG921" s="112"/>
      <c r="BH921" s="112"/>
      <c r="BI921" s="112"/>
      <c r="BJ921" s="112"/>
      <c r="BK921" s="82"/>
      <c r="BL921" s="82"/>
      <c r="BN921" s="412"/>
      <c r="BO921" s="412"/>
      <c r="BP921" s="412"/>
      <c r="BQ921" s="412"/>
      <c r="BR921" s="412"/>
      <c r="BZ921" t="str">
        <f t="shared" si="76"/>
        <v/>
      </c>
    </row>
    <row r="922" spans="1:78" ht="15.6" hidden="1" customHeight="1">
      <c r="A922" s="35" t="str">
        <f t="shared" si="75"/>
        <v/>
      </c>
      <c r="C922" s="365"/>
      <c r="D922" s="358">
        <v>937</v>
      </c>
      <c r="I922" s="365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5"/>
      <c r="V922" s="365"/>
      <c r="W922" s="365"/>
      <c r="X922" s="365"/>
      <c r="Y922" s="365"/>
      <c r="Z922" s="365"/>
      <c r="AA922" s="365"/>
      <c r="AB922" s="365"/>
      <c r="AH922" s="365"/>
      <c r="AI922" s="365"/>
      <c r="AJ922" s="405"/>
      <c r="AK922" s="405"/>
      <c r="AL922" s="405"/>
      <c r="AM922" s="405"/>
      <c r="BN922" s="412"/>
      <c r="BO922" s="412"/>
      <c r="BP922" s="412"/>
      <c r="BQ922" s="412"/>
      <c r="BR922" s="412"/>
      <c r="BZ922" t="str">
        <f t="shared" si="76"/>
        <v/>
      </c>
    </row>
    <row r="923" spans="1:78" ht="15.6" hidden="1" customHeight="1">
      <c r="A923" s="35" t="str">
        <f t="shared" si="75"/>
        <v/>
      </c>
      <c r="C923" s="365"/>
      <c r="D923" s="358">
        <v>938</v>
      </c>
      <c r="I923" s="365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5"/>
      <c r="V923" s="365"/>
      <c r="W923" s="365"/>
      <c r="X923" s="365"/>
      <c r="Y923" s="365"/>
      <c r="Z923" s="365"/>
      <c r="AA923" s="365"/>
      <c r="AB923" s="365"/>
      <c r="AH923" s="365"/>
      <c r="AI923" s="365"/>
      <c r="AJ923" s="405"/>
      <c r="AK923" s="405"/>
      <c r="AL923" s="405"/>
      <c r="AM923" s="405"/>
      <c r="BN923" s="412"/>
      <c r="BO923" s="412"/>
      <c r="BP923" s="412"/>
      <c r="BQ923" s="412"/>
      <c r="BR923" s="412"/>
      <c r="BZ923" t="str">
        <f t="shared" si="76"/>
        <v/>
      </c>
    </row>
    <row r="924" spans="1:78" ht="15.6" hidden="1" customHeight="1">
      <c r="A924" s="35" t="str">
        <f t="shared" si="75"/>
        <v/>
      </c>
      <c r="C924" s="365"/>
      <c r="D924" s="358">
        <v>939</v>
      </c>
      <c r="I924" s="365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5"/>
      <c r="V924" s="365"/>
      <c r="W924" s="365"/>
      <c r="X924" s="365"/>
      <c r="Y924" s="365"/>
      <c r="Z924" s="365"/>
      <c r="AA924" s="365"/>
      <c r="AB924" s="365"/>
      <c r="AH924" s="365"/>
      <c r="AI924" s="365"/>
      <c r="AJ924" s="405"/>
      <c r="AK924" s="405"/>
      <c r="AL924" s="405"/>
      <c r="AM924" s="405"/>
      <c r="BN924" s="412"/>
      <c r="BO924" s="412"/>
      <c r="BP924" s="412"/>
      <c r="BQ924" s="412"/>
      <c r="BR924" s="412"/>
      <c r="BZ924" t="str">
        <f t="shared" si="76"/>
        <v/>
      </c>
    </row>
    <row r="925" spans="1:78" ht="15.6" hidden="1" customHeight="1">
      <c r="A925" s="35" t="str">
        <f t="shared" si="75"/>
        <v/>
      </c>
      <c r="C925" s="365"/>
      <c r="D925" s="358">
        <v>940</v>
      </c>
      <c r="I925" s="365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5"/>
      <c r="V925" s="365"/>
      <c r="W925" s="365"/>
      <c r="X925" s="365"/>
      <c r="Y925" s="365"/>
      <c r="Z925" s="365"/>
      <c r="AA925" s="365"/>
      <c r="AB925" s="365"/>
      <c r="AH925" s="365"/>
      <c r="AI925" s="365"/>
      <c r="AJ925" s="405"/>
      <c r="AK925" s="405"/>
      <c r="AL925" s="405"/>
      <c r="AM925" s="405"/>
      <c r="BN925" s="412"/>
      <c r="BO925" s="412"/>
      <c r="BP925" s="412"/>
      <c r="BQ925" s="412"/>
      <c r="BR925" s="412"/>
      <c r="BZ925" t="str">
        <f t="shared" si="76"/>
        <v/>
      </c>
    </row>
    <row r="926" spans="1:78" ht="15.6" hidden="1" customHeight="1">
      <c r="A926" s="35" t="str">
        <f t="shared" si="75"/>
        <v/>
      </c>
      <c r="C926" s="365"/>
      <c r="D926" s="358">
        <v>941</v>
      </c>
      <c r="I926" s="365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5"/>
      <c r="V926" s="365"/>
      <c r="W926" s="365"/>
      <c r="X926" s="365"/>
      <c r="Y926" s="365"/>
      <c r="Z926" s="365"/>
      <c r="AA926" s="365"/>
      <c r="AB926" s="365"/>
      <c r="AH926" s="365"/>
      <c r="AI926" s="365"/>
      <c r="AJ926" s="405"/>
      <c r="AK926" s="405"/>
      <c r="AL926" s="405"/>
      <c r="AM926" s="405"/>
      <c r="BN926" s="412"/>
      <c r="BO926" s="412"/>
      <c r="BP926" s="412"/>
      <c r="BQ926" s="412"/>
      <c r="BR926" s="412"/>
      <c r="BZ926" t="str">
        <f t="shared" si="76"/>
        <v/>
      </c>
    </row>
    <row r="927" spans="1:78" ht="15.6" hidden="1" customHeight="1">
      <c r="A927" s="35" t="str">
        <f t="shared" si="75"/>
        <v/>
      </c>
      <c r="C927" s="365"/>
      <c r="D927" s="358">
        <v>942</v>
      </c>
      <c r="I927" s="365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5"/>
      <c r="V927" s="365"/>
      <c r="W927" s="365"/>
      <c r="X927" s="365"/>
      <c r="Y927" s="365"/>
      <c r="Z927" s="365"/>
      <c r="AA927" s="365"/>
      <c r="AB927" s="365"/>
      <c r="AH927" s="365"/>
      <c r="AI927" s="365"/>
      <c r="AJ927" s="405"/>
      <c r="AK927" s="405"/>
      <c r="AL927" s="405"/>
      <c r="AM927" s="405"/>
      <c r="BN927" s="412"/>
      <c r="BO927" s="412"/>
      <c r="BP927" s="412"/>
      <c r="BQ927" s="412"/>
      <c r="BR927" s="412"/>
      <c r="BZ927" t="str">
        <f t="shared" si="76"/>
        <v/>
      </c>
    </row>
    <row r="928" spans="1:78" ht="15.6" hidden="1" customHeight="1">
      <c r="A928" s="35" t="str">
        <f t="shared" si="75"/>
        <v/>
      </c>
      <c r="C928" s="365"/>
      <c r="D928" s="358">
        <v>943</v>
      </c>
      <c r="I928" s="365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5"/>
      <c r="V928" s="365"/>
      <c r="W928" s="365"/>
      <c r="X928" s="365"/>
      <c r="Y928" s="365"/>
      <c r="Z928" s="365"/>
      <c r="AA928" s="365"/>
      <c r="AB928" s="365"/>
      <c r="AH928" s="365"/>
      <c r="AI928" s="365"/>
      <c r="AJ928" s="405"/>
      <c r="AK928" s="405"/>
      <c r="AL928" s="405"/>
      <c r="AM928" s="405"/>
      <c r="BN928" s="412"/>
      <c r="BO928" s="412"/>
      <c r="BP928" s="412"/>
      <c r="BQ928" s="412"/>
      <c r="BR928" s="412"/>
      <c r="BZ928" t="str">
        <f t="shared" si="76"/>
        <v/>
      </c>
    </row>
    <row r="929" spans="1:78" ht="15.6" hidden="1" customHeight="1">
      <c r="A929" s="35" t="str">
        <f t="shared" si="75"/>
        <v/>
      </c>
      <c r="C929" s="365"/>
      <c r="D929" s="358">
        <v>944</v>
      </c>
      <c r="I929" s="365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5"/>
      <c r="V929" s="365"/>
      <c r="W929" s="365"/>
      <c r="X929" s="365"/>
      <c r="Y929" s="365"/>
      <c r="Z929" s="365"/>
      <c r="AA929" s="365"/>
      <c r="AB929" s="365"/>
      <c r="AH929" s="365"/>
      <c r="AI929" s="365"/>
      <c r="AJ929" s="405"/>
      <c r="AK929" s="405"/>
      <c r="AL929" s="405"/>
      <c r="AM929" s="405"/>
      <c r="BN929" s="412"/>
      <c r="BO929" s="412"/>
      <c r="BP929" s="412"/>
      <c r="BQ929" s="412"/>
      <c r="BR929" s="412"/>
      <c r="BZ929" t="str">
        <f t="shared" si="76"/>
        <v/>
      </c>
    </row>
    <row r="930" spans="1:78" ht="15.6" hidden="1" customHeight="1">
      <c r="A930" s="35" t="str">
        <f t="shared" si="75"/>
        <v/>
      </c>
      <c r="C930" s="365"/>
      <c r="D930" s="358">
        <v>945</v>
      </c>
      <c r="I930" s="365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5"/>
      <c r="V930" s="365"/>
      <c r="W930" s="365"/>
      <c r="X930" s="365"/>
      <c r="Y930" s="365"/>
      <c r="Z930" s="365"/>
      <c r="AA930" s="365"/>
      <c r="AB930" s="365"/>
      <c r="AH930" s="365"/>
      <c r="AI930" s="365"/>
      <c r="AJ930" s="405"/>
      <c r="AK930" s="405"/>
      <c r="AL930" s="405"/>
      <c r="AM930" s="405"/>
      <c r="BN930" s="412"/>
      <c r="BO930" s="412"/>
      <c r="BP930" s="412"/>
      <c r="BQ930" s="412"/>
      <c r="BR930" s="412"/>
      <c r="BZ930" t="str">
        <f t="shared" si="76"/>
        <v/>
      </c>
    </row>
    <row r="931" spans="1:78" ht="15.6" hidden="1" customHeight="1">
      <c r="A931" s="35" t="str">
        <f t="shared" si="75"/>
        <v/>
      </c>
      <c r="C931" s="365"/>
      <c r="D931" s="358">
        <v>946</v>
      </c>
      <c r="I931" s="365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5"/>
      <c r="V931" s="365"/>
      <c r="W931" s="365"/>
      <c r="X931" s="365"/>
      <c r="Y931" s="365"/>
      <c r="Z931" s="365"/>
      <c r="AA931" s="365"/>
      <c r="AB931" s="365"/>
      <c r="AH931" s="365"/>
      <c r="AI931" s="365"/>
      <c r="AJ931" s="405"/>
      <c r="AK931" s="405"/>
      <c r="AL931" s="405"/>
      <c r="AM931" s="405"/>
      <c r="BN931" s="412"/>
      <c r="BO931" s="412"/>
      <c r="BP931" s="412"/>
      <c r="BQ931" s="412"/>
      <c r="BR931" s="412"/>
      <c r="BZ931" t="str">
        <f t="shared" si="76"/>
        <v/>
      </c>
    </row>
    <row r="932" spans="1:78" ht="15.6" hidden="1" customHeight="1">
      <c r="A932" s="35" t="str">
        <f t="shared" si="75"/>
        <v/>
      </c>
      <c r="C932" s="365"/>
      <c r="D932" s="358">
        <v>947</v>
      </c>
      <c r="I932" s="365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5"/>
      <c r="V932" s="365"/>
      <c r="W932" s="365"/>
      <c r="X932" s="365"/>
      <c r="Y932" s="365"/>
      <c r="Z932" s="365"/>
      <c r="AA932" s="365"/>
      <c r="AB932" s="365"/>
      <c r="AH932" s="365"/>
      <c r="AI932" s="365"/>
      <c r="AJ932" s="405"/>
      <c r="AK932" s="405"/>
      <c r="AL932" s="405"/>
      <c r="AM932" s="405"/>
      <c r="BN932" s="412"/>
      <c r="BO932" s="412"/>
      <c r="BP932" s="412"/>
      <c r="BQ932" s="412"/>
      <c r="BR932" s="412"/>
      <c r="BZ932" t="str">
        <f t="shared" si="76"/>
        <v/>
      </c>
    </row>
    <row r="933" spans="1:78" ht="15.6" hidden="1" customHeight="1">
      <c r="A933" s="35" t="str">
        <f t="shared" si="75"/>
        <v/>
      </c>
      <c r="C933" s="365"/>
      <c r="D933" s="358">
        <v>948</v>
      </c>
      <c r="I933" s="365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5"/>
      <c r="V933" s="365"/>
      <c r="W933" s="365"/>
      <c r="X933" s="365"/>
      <c r="Y933" s="365"/>
      <c r="Z933" s="365"/>
      <c r="AA933" s="365"/>
      <c r="AB933" s="365"/>
      <c r="AH933" s="365"/>
      <c r="AI933" s="365"/>
      <c r="AJ933" s="405"/>
      <c r="AK933" s="405"/>
      <c r="AL933" s="405"/>
      <c r="AM933" s="405"/>
      <c r="BN933" s="412"/>
      <c r="BO933" s="412"/>
      <c r="BP933" s="412"/>
      <c r="BQ933" s="412"/>
      <c r="BR933" s="412"/>
      <c r="BZ933" t="str">
        <f t="shared" si="76"/>
        <v/>
      </c>
    </row>
    <row r="934" spans="1:78" ht="15.6" hidden="1" customHeight="1">
      <c r="A934" s="35" t="str">
        <f t="shared" si="75"/>
        <v/>
      </c>
      <c r="C934" s="365"/>
      <c r="D934" s="358">
        <v>949</v>
      </c>
      <c r="I934" s="365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5"/>
      <c r="V934" s="365"/>
      <c r="W934" s="365"/>
      <c r="X934" s="365"/>
      <c r="Y934" s="365"/>
      <c r="Z934" s="365"/>
      <c r="AA934" s="365"/>
      <c r="AB934" s="365"/>
      <c r="AH934" s="365"/>
      <c r="AI934" s="365"/>
      <c r="AJ934" s="405"/>
      <c r="AK934" s="405"/>
      <c r="AL934" s="405"/>
      <c r="AM934" s="405"/>
      <c r="BN934" s="412"/>
      <c r="BO934" s="412"/>
      <c r="BP934" s="412"/>
      <c r="BQ934" s="412"/>
      <c r="BR934" s="412"/>
      <c r="BZ934" t="str">
        <f t="shared" si="76"/>
        <v/>
      </c>
    </row>
    <row r="935" spans="1:78" ht="15.6" hidden="1" customHeight="1">
      <c r="A935" s="35" t="str">
        <f t="shared" si="75"/>
        <v/>
      </c>
      <c r="C935" s="365"/>
      <c r="D935" s="358">
        <v>950</v>
      </c>
      <c r="I935" s="365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5"/>
      <c r="V935" s="365"/>
      <c r="W935" s="365"/>
      <c r="X935" s="365"/>
      <c r="Y935" s="365"/>
      <c r="Z935" s="365"/>
      <c r="AA935" s="365"/>
      <c r="AB935" s="365"/>
      <c r="AH935" s="365"/>
      <c r="AI935" s="365"/>
      <c r="AJ935" s="405"/>
      <c r="AK935" s="405"/>
      <c r="AL935" s="405"/>
      <c r="AM935" s="405"/>
      <c r="BN935" s="412"/>
      <c r="BO935" s="412"/>
      <c r="BP935" s="412"/>
      <c r="BQ935" s="412"/>
      <c r="BR935" s="412"/>
      <c r="BZ935" t="str">
        <f t="shared" si="76"/>
        <v/>
      </c>
    </row>
    <row r="936" spans="1:78" ht="15.6" hidden="1" customHeight="1">
      <c r="A936" s="35" t="str">
        <f t="shared" si="75"/>
        <v/>
      </c>
      <c r="C936" s="365"/>
      <c r="D936" s="358">
        <v>951</v>
      </c>
      <c r="I936" s="365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5"/>
      <c r="V936" s="365"/>
      <c r="W936" s="365"/>
      <c r="X936" s="365"/>
      <c r="Y936" s="365"/>
      <c r="Z936" s="365"/>
      <c r="AA936" s="365"/>
      <c r="AB936" s="365"/>
      <c r="AH936" s="365"/>
      <c r="AI936" s="365"/>
      <c r="AJ936" s="405"/>
      <c r="AK936" s="405"/>
      <c r="AL936" s="405"/>
      <c r="AM936" s="405"/>
      <c r="BN936" s="412"/>
      <c r="BO936" s="412"/>
      <c r="BP936" s="412"/>
      <c r="BQ936" s="412"/>
      <c r="BR936" s="412"/>
      <c r="BZ936" t="str">
        <f t="shared" si="76"/>
        <v/>
      </c>
    </row>
    <row r="937" spans="1:78" ht="15.6" hidden="1" customHeight="1">
      <c r="A937" s="35" t="str">
        <f t="shared" si="75"/>
        <v/>
      </c>
      <c r="C937" s="365"/>
      <c r="D937" s="358">
        <v>952</v>
      </c>
      <c r="I937" s="365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5"/>
      <c r="V937" s="365"/>
      <c r="W937" s="365"/>
      <c r="X937" s="365"/>
      <c r="Y937" s="365"/>
      <c r="Z937" s="365"/>
      <c r="AA937" s="365"/>
      <c r="AB937" s="365"/>
      <c r="AH937" s="365"/>
      <c r="AI937" s="365"/>
      <c r="AJ937" s="405"/>
      <c r="AK937" s="405"/>
      <c r="AL937" s="405"/>
      <c r="AM937" s="405"/>
      <c r="BN937" s="412"/>
      <c r="BO937" s="412"/>
      <c r="BP937" s="412"/>
      <c r="BQ937" s="412"/>
      <c r="BR937" s="412"/>
      <c r="BZ937" t="str">
        <f t="shared" si="76"/>
        <v/>
      </c>
    </row>
    <row r="938" spans="1:78" ht="15.6" hidden="1" customHeight="1">
      <c r="A938" s="35" t="str">
        <f t="shared" si="75"/>
        <v/>
      </c>
      <c r="C938" s="365"/>
      <c r="D938" s="358">
        <v>926</v>
      </c>
      <c r="I938" s="365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5"/>
      <c r="V938" s="365"/>
      <c r="W938" s="365"/>
      <c r="X938" s="365"/>
      <c r="Y938" s="365"/>
      <c r="Z938" s="365"/>
      <c r="AA938" s="365"/>
      <c r="AB938" s="365"/>
      <c r="AH938" s="365"/>
      <c r="AI938" s="365"/>
      <c r="AJ938" s="405"/>
      <c r="AK938" s="405"/>
      <c r="AL938" s="405"/>
      <c r="AM938" s="405"/>
      <c r="BN938" s="412"/>
      <c r="BO938" s="412"/>
      <c r="BP938" s="412"/>
      <c r="BQ938" s="412"/>
      <c r="BR938" s="412"/>
      <c r="BZ938" t="str">
        <f t="shared" si="76"/>
        <v/>
      </c>
    </row>
    <row r="939" spans="1:78" ht="15.6" hidden="1" customHeight="1">
      <c r="A939" s="35" t="str">
        <f t="shared" si="75"/>
        <v/>
      </c>
      <c r="C939" s="365"/>
      <c r="D939" s="358">
        <v>927</v>
      </c>
      <c r="I939" s="365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5"/>
      <c r="V939" s="365"/>
      <c r="W939" s="365"/>
      <c r="X939" s="365"/>
      <c r="Y939" s="365"/>
      <c r="Z939" s="365"/>
      <c r="AA939" s="365"/>
      <c r="AB939" s="365"/>
      <c r="AH939" s="365"/>
      <c r="AI939" s="365"/>
      <c r="AJ939" s="405"/>
      <c r="AK939" s="405"/>
      <c r="AL939" s="405"/>
      <c r="AM939" s="405"/>
      <c r="BN939" s="412"/>
      <c r="BO939" s="412"/>
      <c r="BP939" s="412"/>
      <c r="BQ939" s="412"/>
      <c r="BR939" s="412"/>
      <c r="BZ939" t="str">
        <f t="shared" si="76"/>
        <v/>
      </c>
    </row>
    <row r="940" spans="1:78" ht="15.6" hidden="1" customHeight="1">
      <c r="C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5"/>
      <c r="V940" s="365"/>
      <c r="W940" s="365"/>
      <c r="X940" s="365"/>
      <c r="Y940" s="365"/>
      <c r="Z940" s="365"/>
      <c r="AA940" s="365"/>
      <c r="AB940" s="365"/>
      <c r="AH940" s="365"/>
      <c r="AI940" s="365"/>
      <c r="AJ940" s="405"/>
      <c r="AK940" s="405"/>
      <c r="AL940" s="405"/>
      <c r="AM940" s="405"/>
      <c r="BN940" s="412"/>
      <c r="BO940" s="412"/>
      <c r="BP940" s="412"/>
      <c r="BQ940" s="412"/>
      <c r="BR940" s="412"/>
      <c r="BZ940" t="str">
        <f t="shared" si="76"/>
        <v/>
      </c>
    </row>
    <row r="941" spans="1:78" ht="15.6" hidden="1" customHeight="1">
      <c r="C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5"/>
      <c r="V941" s="365"/>
      <c r="W941" s="365"/>
      <c r="X941" s="365"/>
      <c r="Y941" s="365"/>
      <c r="Z941" s="365"/>
      <c r="AA941" s="365"/>
      <c r="AB941" s="365"/>
      <c r="AH941" s="365"/>
      <c r="AI941" s="365"/>
      <c r="AJ941" s="405"/>
      <c r="AK941" s="405"/>
      <c r="AL941" s="405"/>
      <c r="AM941" s="405"/>
      <c r="BN941" s="412"/>
      <c r="BO941" s="412"/>
      <c r="BP941" s="412"/>
      <c r="BQ941" s="412"/>
      <c r="BR941" s="412"/>
      <c r="BZ941" t="str">
        <f t="shared" si="76"/>
        <v/>
      </c>
    </row>
    <row r="942" spans="1:78" ht="15.6" hidden="1" customHeight="1">
      <c r="C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5"/>
      <c r="V942" s="365"/>
      <c r="W942" s="365"/>
      <c r="X942" s="365"/>
      <c r="Y942" s="365"/>
      <c r="Z942" s="365"/>
      <c r="AA942" s="365"/>
      <c r="AB942" s="365"/>
      <c r="AH942" s="365"/>
      <c r="AI942" s="365"/>
      <c r="AJ942" s="405"/>
      <c r="AK942" s="405"/>
      <c r="AL942" s="405"/>
      <c r="AM942" s="405"/>
      <c r="BN942" s="412"/>
      <c r="BO942" s="412"/>
      <c r="BP942" s="412"/>
      <c r="BQ942" s="412"/>
      <c r="BR942" s="412"/>
      <c r="BZ942" t="str">
        <f t="shared" si="76"/>
        <v/>
      </c>
    </row>
    <row r="943" spans="1:78" ht="15.6" hidden="1" customHeight="1">
      <c r="C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5"/>
      <c r="V943" s="365"/>
      <c r="W943" s="365"/>
      <c r="X943" s="365"/>
      <c r="Y943" s="365"/>
      <c r="Z943" s="365"/>
      <c r="AA943" s="365"/>
      <c r="AB943" s="365"/>
      <c r="AH943" s="365"/>
      <c r="AI943" s="365"/>
      <c r="AJ943" s="405"/>
      <c r="AK943" s="405"/>
      <c r="AL943" s="405"/>
      <c r="AM943" s="405"/>
      <c r="BN943" s="412"/>
      <c r="BO943" s="412"/>
      <c r="BP943" s="412"/>
      <c r="BQ943" s="412"/>
      <c r="BR943" s="412"/>
      <c r="BZ943" t="str">
        <f t="shared" si="76"/>
        <v/>
      </c>
    </row>
  </sheetData>
  <autoFilter ref="C3:BW943" xr:uid="{00000000-0009-0000-0000-000001000000}">
    <filterColumn colId="0">
      <filters blank="1">
        <filter val="Presencial"/>
      </filters>
    </filterColumn>
    <filterColumn colId="4">
      <filters blank="1">
        <dateGroupItem year="2026" month="3" dateTimeGrouping="month"/>
      </filters>
    </filterColumn>
    <filterColumn colId="8">
      <filters>
        <filter val="Interno"/>
      </filters>
    </filterColumn>
  </autoFilter>
  <mergeCells count="9">
    <mergeCell ref="BG2:BJ2"/>
    <mergeCell ref="BK2:BK3"/>
    <mergeCell ref="BL2:BL3"/>
    <mergeCell ref="AV2:AX2"/>
    <mergeCell ref="AY2:BA2"/>
    <mergeCell ref="BB2:BB3"/>
    <mergeCell ref="BC2:BD2"/>
    <mergeCell ref="BE2:BE3"/>
    <mergeCell ref="BF2:BF3"/>
  </mergeCells>
  <conditionalFormatting sqref="E1:E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BA41"/>
  <sheetViews>
    <sheetView workbookViewId="0">
      <pane xSplit="5" ySplit="3" topLeftCell="F4" activePane="bottomRight" state="frozen"/>
      <selection pane="bottomRight" activeCell="E23" sqref="E23"/>
      <selection pane="bottomLeft" activeCell="X358" sqref="X358"/>
      <selection pane="topRight" activeCell="X358" sqref="X358"/>
    </sheetView>
  </sheetViews>
  <sheetFormatPr defaultColWidth="8.625" defaultRowHeight="15.95"/>
  <cols>
    <col min="1" max="1" width="11.125" style="10" customWidth="1"/>
    <col min="2" max="13" width="7.625" style="10" customWidth="1"/>
    <col min="14" max="14" width="7.625" style="219" customWidth="1"/>
    <col min="15" max="18" width="7.625" style="10" customWidth="1"/>
    <col min="19" max="21" width="7.625" style="42" customWidth="1"/>
    <col min="22" max="25" width="7.625" style="10" customWidth="1"/>
    <col min="26" max="27" width="7.625" style="42" customWidth="1"/>
    <col min="28" max="31" width="7.625" style="10" customWidth="1"/>
    <col min="32" max="33" width="7.625" style="42" customWidth="1"/>
    <col min="34" max="37" width="7.625" style="10" customWidth="1"/>
    <col min="38" max="38" width="7.625" style="42" customWidth="1"/>
    <col min="39" max="39" width="1.625" style="42" customWidth="1"/>
    <col min="40" max="40" width="5.625" style="42" customWidth="1"/>
    <col min="41" max="41" width="5.5" style="10" customWidth="1"/>
    <col min="42" max="42" width="10.625" style="10" customWidth="1"/>
    <col min="43" max="43" width="7.125" style="10" customWidth="1"/>
    <col min="44" max="44" width="8.625" style="10"/>
    <col min="46" max="52" width="8.625" style="10"/>
    <col min="53" max="53" width="7.625" style="10" customWidth="1"/>
    <col min="54" max="16384" width="8.625" style="10"/>
  </cols>
  <sheetData>
    <row r="1" spans="1:53" ht="12" customHeight="1">
      <c r="A1" s="421"/>
      <c r="B1" s="142">
        <v>2022</v>
      </c>
      <c r="C1" s="142">
        <v>2023</v>
      </c>
      <c r="D1" s="142">
        <v>2024</v>
      </c>
      <c r="E1" s="142">
        <v>2025</v>
      </c>
      <c r="F1" s="142">
        <v>2026</v>
      </c>
      <c r="G1" s="143" t="s">
        <v>4079</v>
      </c>
      <c r="H1" s="142">
        <v>2022</v>
      </c>
      <c r="I1" s="142">
        <v>2023</v>
      </c>
      <c r="J1" s="142">
        <v>2024</v>
      </c>
      <c r="K1" s="142">
        <v>2025</v>
      </c>
      <c r="L1" s="142">
        <v>2026</v>
      </c>
      <c r="M1" s="143" t="s">
        <v>4079</v>
      </c>
      <c r="N1" s="144">
        <v>2022</v>
      </c>
      <c r="O1" s="142">
        <v>2023</v>
      </c>
      <c r="P1" s="142">
        <v>2024</v>
      </c>
      <c r="Q1" s="142">
        <v>2025</v>
      </c>
      <c r="R1" s="142">
        <v>2026</v>
      </c>
      <c r="S1" s="143" t="s">
        <v>4079</v>
      </c>
      <c r="T1" s="145"/>
      <c r="U1" s="410">
        <v>2022</v>
      </c>
      <c r="V1" s="142">
        <v>2023</v>
      </c>
      <c r="W1" s="142">
        <v>2024</v>
      </c>
      <c r="X1" s="142">
        <v>2025</v>
      </c>
      <c r="Y1" s="142">
        <v>2026</v>
      </c>
      <c r="Z1" s="143" t="s">
        <v>4079</v>
      </c>
      <c r="AA1" s="142">
        <v>2022</v>
      </c>
      <c r="AB1" s="142">
        <v>2023</v>
      </c>
      <c r="AC1" s="142">
        <v>2024</v>
      </c>
      <c r="AD1" s="142">
        <v>2025</v>
      </c>
      <c r="AE1" s="142">
        <v>2026</v>
      </c>
      <c r="AF1" s="143" t="s">
        <v>4079</v>
      </c>
      <c r="AG1" s="142">
        <v>2022</v>
      </c>
      <c r="AH1" s="142">
        <v>2023</v>
      </c>
      <c r="AI1" s="142">
        <v>2024</v>
      </c>
      <c r="AJ1" s="142">
        <v>2025</v>
      </c>
      <c r="AK1" s="142">
        <v>2026</v>
      </c>
      <c r="AL1" s="143" t="s">
        <v>4079</v>
      </c>
      <c r="AM1" s="146"/>
      <c r="AN1" s="147">
        <v>2022</v>
      </c>
      <c r="AO1" s="147">
        <v>2023</v>
      </c>
      <c r="AP1" s="148">
        <v>2023</v>
      </c>
      <c r="AQ1" s="149">
        <v>2024</v>
      </c>
      <c r="AR1" s="150">
        <v>2024</v>
      </c>
      <c r="AS1" s="412"/>
      <c r="AT1" s="412"/>
      <c r="AU1" s="412"/>
      <c r="AV1" s="412"/>
      <c r="AW1" s="412"/>
      <c r="AX1" s="409"/>
      <c r="AY1" s="412"/>
      <c r="AZ1" s="412"/>
      <c r="BA1" s="409"/>
    </row>
    <row r="2" spans="1:53" ht="12" customHeight="1" thickBot="1">
      <c r="A2" s="421"/>
      <c r="B2" s="423" t="s">
        <v>4080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5"/>
      <c r="T2" s="151"/>
      <c r="U2" s="423" t="s">
        <v>4081</v>
      </c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5"/>
      <c r="AM2" s="152"/>
      <c r="AN2" s="152"/>
      <c r="AO2" s="426" t="s">
        <v>4082</v>
      </c>
      <c r="AP2" s="427"/>
      <c r="AQ2" s="427"/>
      <c r="AR2" s="428"/>
      <c r="AS2" s="412"/>
      <c r="AT2" s="412"/>
      <c r="AU2" s="412"/>
      <c r="AV2" s="412"/>
      <c r="AW2" s="412"/>
      <c r="AX2" s="409"/>
      <c r="AY2" s="412"/>
      <c r="AZ2" s="412"/>
      <c r="BA2" s="409"/>
    </row>
    <row r="3" spans="1:53" s="160" customFormat="1" ht="36">
      <c r="A3" s="422"/>
      <c r="B3" s="429" t="s">
        <v>4083</v>
      </c>
      <c r="C3" s="429"/>
      <c r="D3" s="429"/>
      <c r="E3" s="429"/>
      <c r="F3" s="429"/>
      <c r="G3" s="143" t="s">
        <v>4079</v>
      </c>
      <c r="H3" s="429" t="s">
        <v>4084</v>
      </c>
      <c r="I3" s="429"/>
      <c r="J3" s="429"/>
      <c r="K3" s="429"/>
      <c r="L3" s="429"/>
      <c r="M3" s="143" t="s">
        <v>4079</v>
      </c>
      <c r="N3" s="429" t="s">
        <v>4085</v>
      </c>
      <c r="O3" s="429"/>
      <c r="P3" s="429"/>
      <c r="Q3" s="429"/>
      <c r="R3" s="429"/>
      <c r="S3" s="143" t="s">
        <v>4079</v>
      </c>
      <c r="T3" s="145"/>
      <c r="U3" s="430" t="s">
        <v>4083</v>
      </c>
      <c r="V3" s="430"/>
      <c r="W3" s="430"/>
      <c r="X3" s="430"/>
      <c r="Y3" s="431"/>
      <c r="Z3" s="153" t="s">
        <v>4079</v>
      </c>
      <c r="AA3" s="432" t="s">
        <v>4084</v>
      </c>
      <c r="AB3" s="430"/>
      <c r="AC3" s="430"/>
      <c r="AD3" s="430"/>
      <c r="AE3" s="431"/>
      <c r="AF3" s="154" t="s">
        <v>4079</v>
      </c>
      <c r="AG3" s="433" t="s">
        <v>4086</v>
      </c>
      <c r="AH3" s="430"/>
      <c r="AI3" s="430"/>
      <c r="AJ3" s="430"/>
      <c r="AK3" s="431"/>
      <c r="AL3" s="154" t="s">
        <v>4079</v>
      </c>
      <c r="AM3" s="155"/>
      <c r="AN3" s="156" t="s">
        <v>4087</v>
      </c>
      <c r="AO3" s="156" t="s">
        <v>4087</v>
      </c>
      <c r="AP3" s="157" t="s">
        <v>4088</v>
      </c>
      <c r="AQ3" s="158" t="s">
        <v>4087</v>
      </c>
      <c r="AR3" s="159" t="s">
        <v>4088</v>
      </c>
      <c r="AX3" s="411"/>
      <c r="BA3" s="411"/>
    </row>
    <row r="4" spans="1:53">
      <c r="A4" s="161" t="s">
        <v>4089</v>
      </c>
      <c r="B4" s="162">
        <f>55</f>
        <v>55</v>
      </c>
      <c r="C4" s="163">
        <f>92</f>
        <v>92</v>
      </c>
      <c r="D4" s="163">
        <v>79</v>
      </c>
      <c r="E4" s="163">
        <v>134</v>
      </c>
      <c r="F4" s="163">
        <v>99</v>
      </c>
      <c r="G4" s="164">
        <f>(F4-E4)/E4</f>
        <v>-0.26119402985074625</v>
      </c>
      <c r="H4" s="165">
        <f>16</f>
        <v>16</v>
      </c>
      <c r="I4" s="142">
        <f>34</f>
        <v>34</v>
      </c>
      <c r="J4" s="142">
        <v>62</v>
      </c>
      <c r="K4" s="142">
        <v>48</v>
      </c>
      <c r="L4" s="142">
        <v>85</v>
      </c>
      <c r="M4" s="164">
        <f>(L4-K4)/K4</f>
        <v>0.77083333333333337</v>
      </c>
      <c r="N4" s="166">
        <f>B4+H4</f>
        <v>71</v>
      </c>
      <c r="O4" s="167">
        <f>+C4+I4</f>
        <v>126</v>
      </c>
      <c r="P4" s="167">
        <f>+D4+J4</f>
        <v>141</v>
      </c>
      <c r="Q4" s="167">
        <f>+E4+K4</f>
        <v>182</v>
      </c>
      <c r="R4" s="167">
        <f>+F4+L4</f>
        <v>184</v>
      </c>
      <c r="S4" s="164">
        <f>(R4-Q4)/Q4</f>
        <v>1.098901098901099E-2</v>
      </c>
      <c r="T4" s="168"/>
      <c r="U4" s="169">
        <v>594</v>
      </c>
      <c r="V4" s="170">
        <v>1380</v>
      </c>
      <c r="W4" s="163">
        <v>1075</v>
      </c>
      <c r="X4" s="171">
        <v>1454</v>
      </c>
      <c r="Y4" s="171">
        <v>1315</v>
      </c>
      <c r="Z4" s="172">
        <f>(Y4-X4)/X4</f>
        <v>-9.5598349381017883E-2</v>
      </c>
      <c r="AA4" s="165">
        <f>46</f>
        <v>46</v>
      </c>
      <c r="AB4" s="173">
        <v>87</v>
      </c>
      <c r="AC4" s="142">
        <v>972</v>
      </c>
      <c r="AD4" s="408">
        <v>466</v>
      </c>
      <c r="AE4" s="408">
        <v>579</v>
      </c>
      <c r="AF4" s="172">
        <f>(AE4-AD4)/AD4</f>
        <v>0.24248927038626608</v>
      </c>
      <c r="AG4" s="166">
        <f>U4+AA4</f>
        <v>640</v>
      </c>
      <c r="AH4" s="167">
        <f t="shared" ref="AH4:AK15" si="0">+V4+AB4</f>
        <v>1467</v>
      </c>
      <c r="AI4" s="167">
        <f>+W4+AC4</f>
        <v>2047</v>
      </c>
      <c r="AJ4" s="167">
        <f>+X4+AD4</f>
        <v>1920</v>
      </c>
      <c r="AK4" s="167">
        <f>+Y4+AE4</f>
        <v>1894</v>
      </c>
      <c r="AL4" s="172">
        <f>(AK4-AJ4)/AJ4</f>
        <v>-1.3541666666666667E-2</v>
      </c>
      <c r="AM4" s="174"/>
      <c r="AN4" s="175"/>
      <c r="AO4" s="175">
        <v>31</v>
      </c>
      <c r="AP4" s="176">
        <f t="shared" ref="AP4:AP15" si="1">O4/AO4</f>
        <v>4.064516129032258</v>
      </c>
      <c r="AQ4" s="177">
        <v>41</v>
      </c>
      <c r="AR4" s="178">
        <f t="shared" ref="AR4:AR15" si="2">P4/AQ4</f>
        <v>3.4390243902439024</v>
      </c>
      <c r="AS4" s="412"/>
      <c r="AT4" s="412"/>
      <c r="AU4" s="412"/>
      <c r="AV4" s="412"/>
      <c r="AW4" s="412"/>
      <c r="AX4" s="142"/>
      <c r="AY4" s="412"/>
      <c r="AZ4" s="412"/>
      <c r="BA4" s="167"/>
    </row>
    <row r="5" spans="1:53">
      <c r="A5" s="161" t="s">
        <v>4090</v>
      </c>
      <c r="B5" s="162">
        <f>30</f>
        <v>30</v>
      </c>
      <c r="C5" s="163">
        <f>71</f>
        <v>71</v>
      </c>
      <c r="D5" s="163">
        <v>50</v>
      </c>
      <c r="E5" s="163">
        <v>108</v>
      </c>
      <c r="F5" s="163">
        <v>68</v>
      </c>
      <c r="G5" s="164">
        <f t="shared" ref="G5:G16" si="3">(F5-E5)/E5</f>
        <v>-0.37037037037037035</v>
      </c>
      <c r="H5" s="165">
        <f>25</f>
        <v>25</v>
      </c>
      <c r="I5" s="142">
        <f>22+3</f>
        <v>25</v>
      </c>
      <c r="J5" s="142">
        <v>43</v>
      </c>
      <c r="K5" s="142">
        <v>50</v>
      </c>
      <c r="L5" s="142">
        <v>84</v>
      </c>
      <c r="M5" s="164">
        <f t="shared" ref="M5:M16" si="4">(L5-K5)/K5</f>
        <v>0.68</v>
      </c>
      <c r="N5" s="166">
        <f t="shared" ref="N5:N13" si="5">B5+H5</f>
        <v>55</v>
      </c>
      <c r="O5" s="167">
        <f t="shared" ref="O5:R15" si="6">+C5+I5</f>
        <v>96</v>
      </c>
      <c r="P5" s="167">
        <f t="shared" si="6"/>
        <v>93</v>
      </c>
      <c r="Q5" s="167">
        <f t="shared" si="6"/>
        <v>158</v>
      </c>
      <c r="R5" s="167">
        <f t="shared" si="6"/>
        <v>152</v>
      </c>
      <c r="S5" s="164">
        <f t="shared" ref="S5:S16" si="7">(R5-Q5)/Q5</f>
        <v>-3.7974683544303799E-2</v>
      </c>
      <c r="T5" s="168"/>
      <c r="U5" s="169">
        <f>341+96</f>
        <v>437</v>
      </c>
      <c r="V5" s="170">
        <v>1002</v>
      </c>
      <c r="W5" s="163">
        <v>736</v>
      </c>
      <c r="X5" s="171">
        <v>1260</v>
      </c>
      <c r="Y5" s="171">
        <v>891</v>
      </c>
      <c r="Z5" s="172">
        <f t="shared" ref="Z5:Z16" si="8">(Y5-X5)/X5</f>
        <v>-0.29285714285714287</v>
      </c>
      <c r="AA5" s="165">
        <v>141</v>
      </c>
      <c r="AB5" s="173">
        <v>79</v>
      </c>
      <c r="AC5" s="142">
        <v>287</v>
      </c>
      <c r="AD5" s="408">
        <v>418</v>
      </c>
      <c r="AE5" s="408">
        <v>620</v>
      </c>
      <c r="AF5" s="172">
        <f t="shared" ref="AF5:AF15" si="9">(AE5-AD5)/AD5</f>
        <v>0.48325358851674644</v>
      </c>
      <c r="AG5" s="166">
        <f t="shared" ref="AG5:AG15" si="10">U5+AA5</f>
        <v>578</v>
      </c>
      <c r="AH5" s="167">
        <f t="shared" si="0"/>
        <v>1081</v>
      </c>
      <c r="AI5" s="167">
        <f t="shared" si="0"/>
        <v>1023</v>
      </c>
      <c r="AJ5" s="167">
        <f t="shared" si="0"/>
        <v>1678</v>
      </c>
      <c r="AK5" s="167">
        <f t="shared" si="0"/>
        <v>1511</v>
      </c>
      <c r="AL5" s="172">
        <f t="shared" ref="AL5:AL16" si="11">(AK5-AJ5)/AJ5</f>
        <v>-9.9523241954707992E-2</v>
      </c>
      <c r="AM5" s="174"/>
      <c r="AN5" s="175"/>
      <c r="AO5" s="175">
        <v>32</v>
      </c>
      <c r="AP5" s="176">
        <f t="shared" si="1"/>
        <v>3</v>
      </c>
      <c r="AQ5" s="177">
        <v>41</v>
      </c>
      <c r="AR5" s="178">
        <f t="shared" si="2"/>
        <v>2.2682926829268291</v>
      </c>
      <c r="AS5" s="412"/>
      <c r="AT5" s="412"/>
      <c r="AU5" s="412"/>
      <c r="AV5" s="412"/>
      <c r="AW5" s="412"/>
      <c r="AX5" s="142"/>
      <c r="AY5" s="412"/>
      <c r="AZ5" s="412"/>
      <c r="BA5" s="167"/>
    </row>
    <row r="6" spans="1:53">
      <c r="A6" s="161" t="s">
        <v>4091</v>
      </c>
      <c r="B6" s="162">
        <f>47</f>
        <v>47</v>
      </c>
      <c r="C6" s="163">
        <f>75</f>
        <v>75</v>
      </c>
      <c r="D6" s="163">
        <v>66</v>
      </c>
      <c r="E6" s="163">
        <v>106</v>
      </c>
      <c r="F6" s="163">
        <v>84</v>
      </c>
      <c r="G6" s="164">
        <f t="shared" si="3"/>
        <v>-0.20754716981132076</v>
      </c>
      <c r="H6" s="165">
        <f>20</f>
        <v>20</v>
      </c>
      <c r="I6" s="142">
        <f>42+2</f>
        <v>44</v>
      </c>
      <c r="J6" s="142">
        <v>78</v>
      </c>
      <c r="K6" s="142">
        <v>68</v>
      </c>
      <c r="L6" s="142">
        <v>111</v>
      </c>
      <c r="M6" s="164">
        <f t="shared" si="4"/>
        <v>0.63235294117647056</v>
      </c>
      <c r="N6" s="166">
        <f t="shared" si="5"/>
        <v>67</v>
      </c>
      <c r="O6" s="167">
        <f t="shared" si="6"/>
        <v>119</v>
      </c>
      <c r="P6" s="167">
        <f t="shared" si="6"/>
        <v>144</v>
      </c>
      <c r="Q6" s="167">
        <f t="shared" si="6"/>
        <v>174</v>
      </c>
      <c r="R6" s="167">
        <f t="shared" si="6"/>
        <v>195</v>
      </c>
      <c r="S6" s="164">
        <f t="shared" si="7"/>
        <v>0.1206896551724138</v>
      </c>
      <c r="T6" s="168"/>
      <c r="U6" s="169">
        <v>656</v>
      </c>
      <c r="V6" s="170">
        <v>1053</v>
      </c>
      <c r="W6" s="163">
        <v>738</v>
      </c>
      <c r="X6" s="171">
        <f>1362</f>
        <v>1362</v>
      </c>
      <c r="Y6" s="171">
        <v>1063</v>
      </c>
      <c r="Z6" s="172">
        <f t="shared" si="8"/>
        <v>-0.2195301027900147</v>
      </c>
      <c r="AA6" s="165">
        <v>87</v>
      </c>
      <c r="AB6" s="173">
        <v>181</v>
      </c>
      <c r="AC6" s="142">
        <v>929</v>
      </c>
      <c r="AD6" s="408">
        <f>397</f>
        <v>397</v>
      </c>
      <c r="AE6" s="408">
        <v>725</v>
      </c>
      <c r="AF6" s="172">
        <f t="shared" si="9"/>
        <v>0.82619647355163728</v>
      </c>
      <c r="AG6" s="166">
        <f t="shared" si="10"/>
        <v>743</v>
      </c>
      <c r="AH6" s="167">
        <f t="shared" si="0"/>
        <v>1234</v>
      </c>
      <c r="AI6" s="167">
        <f t="shared" si="0"/>
        <v>1667</v>
      </c>
      <c r="AJ6" s="167">
        <f t="shared" si="0"/>
        <v>1759</v>
      </c>
      <c r="AK6" s="167">
        <f t="shared" si="0"/>
        <v>1788</v>
      </c>
      <c r="AL6" s="172">
        <f t="shared" si="11"/>
        <v>1.6486640136441161E-2</v>
      </c>
      <c r="AM6" s="174"/>
      <c r="AN6" s="179"/>
      <c r="AO6" s="179">
        <v>32</v>
      </c>
      <c r="AP6" s="180">
        <f t="shared" si="1"/>
        <v>3.71875</v>
      </c>
      <c r="AQ6" s="181">
        <v>41</v>
      </c>
      <c r="AR6" s="182">
        <f t="shared" si="2"/>
        <v>3.5121951219512195</v>
      </c>
      <c r="AS6" s="412"/>
      <c r="AT6" s="412"/>
      <c r="AU6" s="412"/>
      <c r="AV6" s="412"/>
      <c r="AW6" s="412"/>
      <c r="AX6" s="181"/>
      <c r="AY6" s="412"/>
      <c r="AZ6" s="412"/>
      <c r="BA6" s="181"/>
    </row>
    <row r="7" spans="1:53" s="187" customFormat="1">
      <c r="A7" s="161" t="s">
        <v>4092</v>
      </c>
      <c r="B7" s="162">
        <f>67</f>
        <v>67</v>
      </c>
      <c r="C7" s="163">
        <f>65</f>
        <v>65</v>
      </c>
      <c r="D7" s="163">
        <v>66</v>
      </c>
      <c r="E7" s="163">
        <v>51</v>
      </c>
      <c r="F7" s="163"/>
      <c r="G7" s="164">
        <f t="shared" si="3"/>
        <v>-1</v>
      </c>
      <c r="H7" s="165">
        <f>24</f>
        <v>24</v>
      </c>
      <c r="I7" s="142">
        <f>33+5</f>
        <v>38</v>
      </c>
      <c r="J7" s="142">
        <v>73</v>
      </c>
      <c r="K7" s="142">
        <v>76</v>
      </c>
      <c r="L7" s="142"/>
      <c r="M7" s="164">
        <f t="shared" si="4"/>
        <v>-1</v>
      </c>
      <c r="N7" s="166">
        <f t="shared" si="5"/>
        <v>91</v>
      </c>
      <c r="O7" s="167">
        <f t="shared" si="6"/>
        <v>103</v>
      </c>
      <c r="P7" s="167">
        <f t="shared" si="6"/>
        <v>139</v>
      </c>
      <c r="Q7" s="167">
        <f t="shared" si="6"/>
        <v>127</v>
      </c>
      <c r="R7" s="167">
        <f t="shared" si="6"/>
        <v>0</v>
      </c>
      <c r="S7" s="164">
        <f t="shared" si="7"/>
        <v>-1</v>
      </c>
      <c r="T7" s="168"/>
      <c r="U7" s="169">
        <v>908</v>
      </c>
      <c r="V7" s="170">
        <v>748</v>
      </c>
      <c r="W7" s="163">
        <v>766</v>
      </c>
      <c r="X7" s="171">
        <v>589</v>
      </c>
      <c r="Y7" s="171"/>
      <c r="Z7" s="172">
        <f t="shared" si="8"/>
        <v>-1</v>
      </c>
      <c r="AA7" s="165">
        <v>120</v>
      </c>
      <c r="AB7" s="173">
        <v>167</v>
      </c>
      <c r="AC7" s="142">
        <v>405</v>
      </c>
      <c r="AD7" s="408">
        <v>544</v>
      </c>
      <c r="AE7" s="408"/>
      <c r="AF7" s="172">
        <f t="shared" si="9"/>
        <v>-1</v>
      </c>
      <c r="AG7" s="166">
        <f t="shared" si="10"/>
        <v>1028</v>
      </c>
      <c r="AH7" s="167">
        <f t="shared" si="0"/>
        <v>915</v>
      </c>
      <c r="AI7" s="167">
        <f t="shared" si="0"/>
        <v>1171</v>
      </c>
      <c r="AJ7" s="167">
        <f t="shared" si="0"/>
        <v>1133</v>
      </c>
      <c r="AK7" s="167">
        <f t="shared" si="0"/>
        <v>0</v>
      </c>
      <c r="AL7" s="172">
        <f t="shared" si="11"/>
        <v>-1</v>
      </c>
      <c r="AM7" s="174"/>
      <c r="AN7" s="183"/>
      <c r="AO7" s="183">
        <v>31</v>
      </c>
      <c r="AP7" s="184">
        <f t="shared" si="1"/>
        <v>3.3225806451612905</v>
      </c>
      <c r="AQ7" s="185">
        <v>41</v>
      </c>
      <c r="AR7" s="186">
        <f t="shared" si="2"/>
        <v>3.3902439024390243</v>
      </c>
      <c r="AS7" s="412"/>
      <c r="AT7" s="412"/>
      <c r="AX7" s="181"/>
      <c r="BA7" s="181"/>
    </row>
    <row r="8" spans="1:53">
      <c r="A8" s="161" t="s">
        <v>4093</v>
      </c>
      <c r="B8" s="162">
        <f>42</f>
        <v>42</v>
      </c>
      <c r="C8" s="163">
        <v>62</v>
      </c>
      <c r="D8" s="163">
        <v>71</v>
      </c>
      <c r="E8" s="163">
        <v>85</v>
      </c>
      <c r="F8" s="163"/>
      <c r="G8" s="164">
        <f t="shared" si="3"/>
        <v>-1</v>
      </c>
      <c r="H8" s="165">
        <f>28+4</f>
        <v>32</v>
      </c>
      <c r="I8" s="142">
        <f>34+6</f>
        <v>40</v>
      </c>
      <c r="J8" s="142">
        <v>89</v>
      </c>
      <c r="K8" s="142">
        <v>70</v>
      </c>
      <c r="L8" s="142"/>
      <c r="M8" s="164">
        <f t="shared" si="4"/>
        <v>-1</v>
      </c>
      <c r="N8" s="166">
        <f t="shared" si="5"/>
        <v>74</v>
      </c>
      <c r="O8" s="167">
        <f t="shared" si="6"/>
        <v>102</v>
      </c>
      <c r="P8" s="167">
        <f t="shared" si="6"/>
        <v>160</v>
      </c>
      <c r="Q8" s="167">
        <f t="shared" si="6"/>
        <v>155</v>
      </c>
      <c r="R8" s="167">
        <f t="shared" si="6"/>
        <v>0</v>
      </c>
      <c r="S8" s="164">
        <f t="shared" si="7"/>
        <v>-1</v>
      </c>
      <c r="T8" s="168"/>
      <c r="U8" s="169">
        <v>517</v>
      </c>
      <c r="V8" s="170">
        <v>653</v>
      </c>
      <c r="W8" s="163">
        <v>752</v>
      </c>
      <c r="X8" s="171">
        <v>1091</v>
      </c>
      <c r="Y8" s="171"/>
      <c r="Z8" s="172">
        <f t="shared" si="8"/>
        <v>-1</v>
      </c>
      <c r="AA8" s="165">
        <v>556</v>
      </c>
      <c r="AB8" s="173">
        <v>111</v>
      </c>
      <c r="AC8" s="142">
        <v>433</v>
      </c>
      <c r="AD8" s="408">
        <v>653</v>
      </c>
      <c r="AE8" s="408"/>
      <c r="AF8" s="172">
        <f t="shared" si="9"/>
        <v>-1</v>
      </c>
      <c r="AG8" s="166">
        <f t="shared" si="10"/>
        <v>1073</v>
      </c>
      <c r="AH8" s="167">
        <f t="shared" si="0"/>
        <v>764</v>
      </c>
      <c r="AI8" s="167">
        <f t="shared" si="0"/>
        <v>1185</v>
      </c>
      <c r="AJ8" s="167">
        <f t="shared" si="0"/>
        <v>1744</v>
      </c>
      <c r="AK8" s="167">
        <f t="shared" si="0"/>
        <v>0</v>
      </c>
      <c r="AL8" s="172">
        <f t="shared" si="11"/>
        <v>-1</v>
      </c>
      <c r="AM8" s="174"/>
      <c r="AN8" s="175"/>
      <c r="AO8" s="175">
        <v>33</v>
      </c>
      <c r="AP8" s="176">
        <f t="shared" si="1"/>
        <v>3.0909090909090908</v>
      </c>
      <c r="AQ8" s="177">
        <v>41</v>
      </c>
      <c r="AR8" s="178">
        <f t="shared" si="2"/>
        <v>3.9024390243902438</v>
      </c>
      <c r="AS8" s="412"/>
      <c r="AT8" s="412"/>
      <c r="AU8" s="412"/>
      <c r="AV8" s="412"/>
      <c r="AW8" s="412"/>
      <c r="AX8" s="142"/>
      <c r="AY8" s="412"/>
      <c r="AZ8" s="412"/>
      <c r="BA8" s="167"/>
    </row>
    <row r="9" spans="1:53">
      <c r="A9" s="161" t="s">
        <v>4094</v>
      </c>
      <c r="B9" s="162">
        <f>46</f>
        <v>46</v>
      </c>
      <c r="C9" s="163">
        <v>55</v>
      </c>
      <c r="D9" s="163">
        <v>105</v>
      </c>
      <c r="E9" s="163">
        <v>52</v>
      </c>
      <c r="F9" s="163"/>
      <c r="G9" s="164">
        <f t="shared" si="3"/>
        <v>-1</v>
      </c>
      <c r="H9" s="165">
        <f>26</f>
        <v>26</v>
      </c>
      <c r="I9" s="142">
        <f>32+4</f>
        <v>36</v>
      </c>
      <c r="J9" s="142">
        <v>49</v>
      </c>
      <c r="K9" s="142">
        <v>72</v>
      </c>
      <c r="L9" s="142"/>
      <c r="M9" s="164">
        <f t="shared" si="4"/>
        <v>-1</v>
      </c>
      <c r="N9" s="166">
        <f t="shared" si="5"/>
        <v>72</v>
      </c>
      <c r="O9" s="167">
        <f t="shared" si="6"/>
        <v>91</v>
      </c>
      <c r="P9" s="167">
        <f t="shared" si="6"/>
        <v>154</v>
      </c>
      <c r="Q9" s="167">
        <f t="shared" si="6"/>
        <v>124</v>
      </c>
      <c r="R9" s="167">
        <f t="shared" si="6"/>
        <v>0</v>
      </c>
      <c r="S9" s="164">
        <f t="shared" si="7"/>
        <v>-1</v>
      </c>
      <c r="T9" s="168"/>
      <c r="U9" s="169">
        <v>579</v>
      </c>
      <c r="V9" s="170">
        <v>617</v>
      </c>
      <c r="W9" s="163">
        <v>1238</v>
      </c>
      <c r="X9" s="171">
        <v>636</v>
      </c>
      <c r="Y9" s="171"/>
      <c r="Z9" s="172">
        <f t="shared" si="8"/>
        <v>-1</v>
      </c>
      <c r="AA9" s="165">
        <v>123</v>
      </c>
      <c r="AB9" s="173">
        <v>131</v>
      </c>
      <c r="AC9" s="142">
        <v>290</v>
      </c>
      <c r="AD9" s="408">
        <v>701</v>
      </c>
      <c r="AE9" s="408"/>
      <c r="AF9" s="172">
        <f t="shared" si="9"/>
        <v>-1</v>
      </c>
      <c r="AG9" s="166">
        <f t="shared" si="10"/>
        <v>702</v>
      </c>
      <c r="AH9" s="167">
        <f t="shared" si="0"/>
        <v>748</v>
      </c>
      <c r="AI9" s="167">
        <f t="shared" si="0"/>
        <v>1528</v>
      </c>
      <c r="AJ9" s="167">
        <f t="shared" si="0"/>
        <v>1337</v>
      </c>
      <c r="AK9" s="167">
        <f t="shared" si="0"/>
        <v>0</v>
      </c>
      <c r="AL9" s="172">
        <f t="shared" si="11"/>
        <v>-1</v>
      </c>
      <c r="AM9" s="174"/>
      <c r="AN9" s="175"/>
      <c r="AO9" s="175">
        <v>34</v>
      </c>
      <c r="AP9" s="176">
        <f t="shared" si="1"/>
        <v>2.6764705882352939</v>
      </c>
      <c r="AQ9" s="177">
        <v>41</v>
      </c>
      <c r="AR9" s="178">
        <f t="shared" si="2"/>
        <v>3.7560975609756095</v>
      </c>
      <c r="AS9" s="412"/>
      <c r="AT9" s="412"/>
      <c r="AU9" s="412"/>
      <c r="AV9" s="412"/>
      <c r="AW9" s="412"/>
      <c r="AX9" s="142"/>
      <c r="AY9" s="412"/>
      <c r="AZ9" s="412"/>
      <c r="BA9" s="167"/>
    </row>
    <row r="10" spans="1:53">
      <c r="A10" s="161" t="s">
        <v>4095</v>
      </c>
      <c r="B10" s="162">
        <f>53</f>
        <v>53</v>
      </c>
      <c r="C10" s="163">
        <f>51</f>
        <v>51</v>
      </c>
      <c r="D10" s="163">
        <v>66</v>
      </c>
      <c r="E10" s="163">
        <v>42</v>
      </c>
      <c r="F10" s="163"/>
      <c r="G10" s="164">
        <f t="shared" si="3"/>
        <v>-1</v>
      </c>
      <c r="H10" s="165">
        <f>29+1</f>
        <v>30</v>
      </c>
      <c r="I10" s="142">
        <f>52+6</f>
        <v>58</v>
      </c>
      <c r="J10" s="142">
        <v>67</v>
      </c>
      <c r="K10" s="142">
        <v>64</v>
      </c>
      <c r="L10" s="142"/>
      <c r="M10" s="164">
        <f t="shared" si="4"/>
        <v>-1</v>
      </c>
      <c r="N10" s="166">
        <f t="shared" si="5"/>
        <v>83</v>
      </c>
      <c r="O10" s="167">
        <f t="shared" si="6"/>
        <v>109</v>
      </c>
      <c r="P10" s="167">
        <f t="shared" si="6"/>
        <v>133</v>
      </c>
      <c r="Q10" s="167">
        <f t="shared" si="6"/>
        <v>106</v>
      </c>
      <c r="R10" s="167">
        <f t="shared" si="6"/>
        <v>0</v>
      </c>
      <c r="S10" s="164">
        <f t="shared" si="7"/>
        <v>-1</v>
      </c>
      <c r="T10" s="168"/>
      <c r="U10" s="169">
        <v>824</v>
      </c>
      <c r="V10" s="170">
        <v>615</v>
      </c>
      <c r="W10" s="163">
        <v>662</v>
      </c>
      <c r="X10" s="171">
        <v>512</v>
      </c>
      <c r="Y10" s="171"/>
      <c r="Z10" s="172">
        <f t="shared" si="8"/>
        <v>-1</v>
      </c>
      <c r="AA10" s="165">
        <v>122</v>
      </c>
      <c r="AB10" s="173">
        <v>265</v>
      </c>
      <c r="AC10" s="142">
        <v>281</v>
      </c>
      <c r="AD10" s="408">
        <v>470</v>
      </c>
      <c r="AE10" s="408"/>
      <c r="AF10" s="172">
        <f t="shared" si="9"/>
        <v>-1</v>
      </c>
      <c r="AG10" s="166">
        <f t="shared" si="10"/>
        <v>946</v>
      </c>
      <c r="AH10" s="167">
        <f t="shared" si="0"/>
        <v>880</v>
      </c>
      <c r="AI10" s="167">
        <f t="shared" si="0"/>
        <v>943</v>
      </c>
      <c r="AJ10" s="167">
        <f t="shared" si="0"/>
        <v>982</v>
      </c>
      <c r="AK10" s="167">
        <f t="shared" si="0"/>
        <v>0</v>
      </c>
      <c r="AL10" s="172">
        <f t="shared" si="11"/>
        <v>-1</v>
      </c>
      <c r="AM10" s="174"/>
      <c r="AN10" s="175"/>
      <c r="AO10" s="175">
        <v>33</v>
      </c>
      <c r="AP10" s="176">
        <f t="shared" si="1"/>
        <v>3.3030303030303032</v>
      </c>
      <c r="AQ10" s="177">
        <v>45</v>
      </c>
      <c r="AR10" s="178">
        <f t="shared" si="2"/>
        <v>2.9555555555555557</v>
      </c>
      <c r="AS10" s="412"/>
      <c r="AT10" s="412"/>
      <c r="AU10" s="412"/>
      <c r="AV10" s="412"/>
      <c r="AW10" s="412"/>
      <c r="AX10" s="142"/>
      <c r="AY10" s="412"/>
      <c r="AZ10" s="412"/>
      <c r="BA10" s="167"/>
    </row>
    <row r="11" spans="1:53">
      <c r="A11" s="161" t="s">
        <v>4096</v>
      </c>
      <c r="B11" s="162">
        <f>13</f>
        <v>13</v>
      </c>
      <c r="C11" s="162">
        <f>14</f>
        <v>14</v>
      </c>
      <c r="D11" s="162">
        <v>33</v>
      </c>
      <c r="E11" s="162">
        <v>30</v>
      </c>
      <c r="F11" s="162"/>
      <c r="G11" s="164">
        <f t="shared" si="3"/>
        <v>-1</v>
      </c>
      <c r="H11" s="165">
        <f>29</f>
        <v>29</v>
      </c>
      <c r="I11" s="165">
        <f>34+5</f>
        <v>39</v>
      </c>
      <c r="J11" s="165">
        <v>35</v>
      </c>
      <c r="K11" s="165">
        <v>47</v>
      </c>
      <c r="L11" s="165"/>
      <c r="M11" s="164">
        <f t="shared" si="4"/>
        <v>-1</v>
      </c>
      <c r="N11" s="166">
        <f t="shared" si="5"/>
        <v>42</v>
      </c>
      <c r="O11" s="166">
        <f>+C11+I11</f>
        <v>53</v>
      </c>
      <c r="P11" s="166">
        <v>68</v>
      </c>
      <c r="Q11" s="167">
        <f>+E11+K11</f>
        <v>77</v>
      </c>
      <c r="R11" s="167">
        <f t="shared" si="6"/>
        <v>0</v>
      </c>
      <c r="S11" s="164">
        <f t="shared" si="7"/>
        <v>-1</v>
      </c>
      <c r="T11" s="168"/>
      <c r="U11" s="169">
        <v>153</v>
      </c>
      <c r="V11" s="162">
        <v>144</v>
      </c>
      <c r="W11" s="162">
        <v>337</v>
      </c>
      <c r="X11" s="188">
        <v>451</v>
      </c>
      <c r="Y11" s="188"/>
      <c r="Z11" s="172">
        <f t="shared" si="8"/>
        <v>-1</v>
      </c>
      <c r="AA11" s="165">
        <v>111</v>
      </c>
      <c r="AB11" s="165">
        <v>106</v>
      </c>
      <c r="AC11" s="165">
        <v>102</v>
      </c>
      <c r="AD11" s="189">
        <v>246</v>
      </c>
      <c r="AE11" s="189"/>
      <c r="AF11" s="172">
        <f t="shared" si="9"/>
        <v>-1</v>
      </c>
      <c r="AG11" s="166">
        <f t="shared" si="10"/>
        <v>264</v>
      </c>
      <c r="AH11" s="166">
        <f t="shared" si="0"/>
        <v>250</v>
      </c>
      <c r="AI11" s="166">
        <f t="shared" si="0"/>
        <v>439</v>
      </c>
      <c r="AJ11" s="167">
        <f t="shared" si="0"/>
        <v>697</v>
      </c>
      <c r="AK11" s="167">
        <f t="shared" si="0"/>
        <v>0</v>
      </c>
      <c r="AL11" s="172">
        <f t="shared" si="11"/>
        <v>-1</v>
      </c>
      <c r="AM11" s="174"/>
      <c r="AN11" s="175"/>
      <c r="AO11" s="175">
        <v>32</v>
      </c>
      <c r="AP11" s="176">
        <f t="shared" si="1"/>
        <v>1.65625</v>
      </c>
      <c r="AQ11" s="177">
        <v>43</v>
      </c>
      <c r="AR11" s="178">
        <f t="shared" si="2"/>
        <v>1.5813953488372092</v>
      </c>
      <c r="AS11" s="412"/>
      <c r="AT11" s="412"/>
      <c r="AU11" s="412"/>
      <c r="AV11" s="412"/>
      <c r="AW11" s="412"/>
      <c r="AX11" s="185"/>
      <c r="AY11" s="412"/>
      <c r="AZ11" s="412"/>
      <c r="BA11" s="185"/>
    </row>
    <row r="12" spans="1:53">
      <c r="A12" s="161" t="s">
        <v>4097</v>
      </c>
      <c r="B12" s="162">
        <f>65</f>
        <v>65</v>
      </c>
      <c r="C12" s="162">
        <v>61</v>
      </c>
      <c r="D12" s="162">
        <v>85</v>
      </c>
      <c r="E12" s="162">
        <v>54</v>
      </c>
      <c r="F12" s="162"/>
      <c r="G12" s="164">
        <f t="shared" si="3"/>
        <v>-1</v>
      </c>
      <c r="H12" s="165">
        <f>47+2</f>
        <v>49</v>
      </c>
      <c r="I12" s="165">
        <v>47</v>
      </c>
      <c r="J12" s="165">
        <v>50</v>
      </c>
      <c r="K12" s="165">
        <v>85</v>
      </c>
      <c r="L12" s="165"/>
      <c r="M12" s="164">
        <f t="shared" si="4"/>
        <v>-1</v>
      </c>
      <c r="N12" s="166">
        <f t="shared" si="5"/>
        <v>114</v>
      </c>
      <c r="O12" s="166">
        <f>+C12+I12</f>
        <v>108</v>
      </c>
      <c r="P12" s="166">
        <f>+D12+J12</f>
        <v>135</v>
      </c>
      <c r="Q12" s="167">
        <f>+E12+K12</f>
        <v>139</v>
      </c>
      <c r="R12" s="167">
        <f t="shared" si="6"/>
        <v>0</v>
      </c>
      <c r="S12" s="164">
        <f t="shared" si="7"/>
        <v>-1</v>
      </c>
      <c r="T12" s="168"/>
      <c r="U12" s="169">
        <v>781</v>
      </c>
      <c r="V12" s="162">
        <v>685</v>
      </c>
      <c r="W12" s="162">
        <v>1030</v>
      </c>
      <c r="X12" s="188">
        <v>708</v>
      </c>
      <c r="Y12" s="188"/>
      <c r="Z12" s="172">
        <f t="shared" si="8"/>
        <v>-1</v>
      </c>
      <c r="AA12" s="165">
        <v>124</v>
      </c>
      <c r="AB12" s="165">
        <v>179</v>
      </c>
      <c r="AC12" s="165">
        <v>237</v>
      </c>
      <c r="AD12" s="189">
        <v>410</v>
      </c>
      <c r="AE12" s="189"/>
      <c r="AF12" s="172">
        <f t="shared" si="9"/>
        <v>-1</v>
      </c>
      <c r="AG12" s="166">
        <f t="shared" si="10"/>
        <v>905</v>
      </c>
      <c r="AH12" s="166">
        <f t="shared" si="0"/>
        <v>864</v>
      </c>
      <c r="AI12" s="166">
        <f t="shared" si="0"/>
        <v>1267</v>
      </c>
      <c r="AJ12" s="167">
        <f t="shared" si="0"/>
        <v>1118</v>
      </c>
      <c r="AK12" s="167">
        <f t="shared" si="0"/>
        <v>0</v>
      </c>
      <c r="AL12" s="172">
        <f t="shared" si="11"/>
        <v>-1</v>
      </c>
      <c r="AM12" s="174"/>
      <c r="AN12" s="183"/>
      <c r="AO12" s="183">
        <v>35</v>
      </c>
      <c r="AP12" s="184">
        <f t="shared" si="1"/>
        <v>3.0857142857142859</v>
      </c>
      <c r="AQ12" s="185">
        <v>41</v>
      </c>
      <c r="AR12" s="186">
        <f t="shared" si="2"/>
        <v>3.2926829268292681</v>
      </c>
      <c r="AS12" s="412"/>
      <c r="AT12" s="412"/>
      <c r="AU12" s="412"/>
      <c r="AV12" s="412"/>
      <c r="AW12" s="412"/>
      <c r="AX12" s="185"/>
      <c r="AY12" s="412"/>
      <c r="AZ12" s="412"/>
      <c r="BA12" s="185"/>
    </row>
    <row r="13" spans="1:53" s="187" customFormat="1">
      <c r="A13" s="161" t="s">
        <v>4098</v>
      </c>
      <c r="B13" s="162">
        <f>88</f>
        <v>88</v>
      </c>
      <c r="C13" s="163">
        <v>80</v>
      </c>
      <c r="D13" s="163">
        <v>136</v>
      </c>
      <c r="E13" s="163">
        <v>103</v>
      </c>
      <c r="F13" s="163"/>
      <c r="G13" s="164">
        <f t="shared" si="3"/>
        <v>-1</v>
      </c>
      <c r="H13" s="165">
        <f>47</f>
        <v>47</v>
      </c>
      <c r="I13" s="142">
        <v>64</v>
      </c>
      <c r="J13" s="142">
        <v>63</v>
      </c>
      <c r="K13" s="142">
        <v>111</v>
      </c>
      <c r="L13" s="142"/>
      <c r="M13" s="164">
        <f t="shared" si="4"/>
        <v>-1</v>
      </c>
      <c r="N13" s="166">
        <f t="shared" si="5"/>
        <v>135</v>
      </c>
      <c r="O13" s="166">
        <f>+C13+I13</f>
        <v>144</v>
      </c>
      <c r="P13" s="166">
        <f>+D13+J13</f>
        <v>199</v>
      </c>
      <c r="Q13" s="167">
        <f>+E13+K13</f>
        <v>214</v>
      </c>
      <c r="R13" s="167">
        <f t="shared" si="6"/>
        <v>0</v>
      </c>
      <c r="S13" s="164">
        <f t="shared" si="7"/>
        <v>-1</v>
      </c>
      <c r="T13" s="168"/>
      <c r="U13" s="169">
        <v>1104</v>
      </c>
      <c r="V13" s="170">
        <v>1012</v>
      </c>
      <c r="W13" s="163">
        <v>1612</v>
      </c>
      <c r="X13" s="171">
        <v>1271</v>
      </c>
      <c r="Y13" s="171"/>
      <c r="Z13" s="172">
        <f t="shared" si="8"/>
        <v>-1</v>
      </c>
      <c r="AA13" s="165">
        <v>414</v>
      </c>
      <c r="AB13" s="173">
        <v>560</v>
      </c>
      <c r="AC13" s="142">
        <v>322</v>
      </c>
      <c r="AD13" s="408">
        <v>1131</v>
      </c>
      <c r="AE13" s="408"/>
      <c r="AF13" s="172">
        <f t="shared" si="9"/>
        <v>-1</v>
      </c>
      <c r="AG13" s="166">
        <f t="shared" si="10"/>
        <v>1518</v>
      </c>
      <c r="AH13" s="167">
        <f t="shared" si="0"/>
        <v>1572</v>
      </c>
      <c r="AI13" s="167">
        <f t="shared" si="0"/>
        <v>1934</v>
      </c>
      <c r="AJ13" s="167">
        <f t="shared" si="0"/>
        <v>2402</v>
      </c>
      <c r="AK13" s="167">
        <f t="shared" si="0"/>
        <v>0</v>
      </c>
      <c r="AL13" s="172">
        <f t="shared" si="11"/>
        <v>-1</v>
      </c>
      <c r="AM13" s="174"/>
      <c r="AN13" s="179"/>
      <c r="AO13" s="179">
        <v>35</v>
      </c>
      <c r="AP13" s="180">
        <f t="shared" si="1"/>
        <v>4.1142857142857139</v>
      </c>
      <c r="AQ13" s="181">
        <v>42</v>
      </c>
      <c r="AR13" s="182">
        <f t="shared" si="2"/>
        <v>4.7380952380952381</v>
      </c>
      <c r="AX13" s="181"/>
      <c r="BA13" s="181"/>
    </row>
    <row r="14" spans="1:53" s="187" customFormat="1">
      <c r="A14" s="161" t="s">
        <v>4099</v>
      </c>
      <c r="B14" s="162">
        <f>124</f>
        <v>124</v>
      </c>
      <c r="C14" s="163">
        <v>102</v>
      </c>
      <c r="D14" s="163">
        <v>149</v>
      </c>
      <c r="E14" s="163">
        <f>149</f>
        <v>149</v>
      </c>
      <c r="F14" s="163"/>
      <c r="G14" s="164">
        <f t="shared" si="3"/>
        <v>-1</v>
      </c>
      <c r="H14" s="165">
        <f>39+2</f>
        <v>41</v>
      </c>
      <c r="I14" s="142">
        <v>55</v>
      </c>
      <c r="J14" s="142">
        <v>89</v>
      </c>
      <c r="K14" s="142">
        <v>131</v>
      </c>
      <c r="L14" s="142"/>
      <c r="M14" s="164">
        <f t="shared" si="4"/>
        <v>-1</v>
      </c>
      <c r="N14" s="166">
        <f>B14+H14</f>
        <v>165</v>
      </c>
      <c r="O14" s="166">
        <f>+C14+I14</f>
        <v>157</v>
      </c>
      <c r="P14" s="166">
        <f>+D14+J14</f>
        <v>238</v>
      </c>
      <c r="Q14" s="167">
        <f>+E14+K14</f>
        <v>280</v>
      </c>
      <c r="R14" s="167">
        <f t="shared" si="6"/>
        <v>0</v>
      </c>
      <c r="S14" s="164">
        <f t="shared" si="7"/>
        <v>-1</v>
      </c>
      <c r="T14" s="168"/>
      <c r="U14" s="169">
        <v>1521</v>
      </c>
      <c r="V14" s="170">
        <v>1288</v>
      </c>
      <c r="W14" s="163">
        <v>1877</v>
      </c>
      <c r="X14" s="171">
        <v>1970</v>
      </c>
      <c r="Y14" s="171"/>
      <c r="Z14" s="172">
        <f t="shared" si="8"/>
        <v>-1</v>
      </c>
      <c r="AA14" s="165">
        <v>188</v>
      </c>
      <c r="AB14" s="173">
        <v>377</v>
      </c>
      <c r="AC14" s="142">
        <f>792</f>
        <v>792</v>
      </c>
      <c r="AD14" s="408">
        <v>1633</v>
      </c>
      <c r="AE14" s="408"/>
      <c r="AF14" s="172">
        <f t="shared" si="9"/>
        <v>-1</v>
      </c>
      <c r="AG14" s="166">
        <f t="shared" si="10"/>
        <v>1709</v>
      </c>
      <c r="AH14" s="167">
        <f t="shared" si="0"/>
        <v>1665</v>
      </c>
      <c r="AI14" s="167">
        <f t="shared" si="0"/>
        <v>2669</v>
      </c>
      <c r="AJ14" s="167">
        <f t="shared" si="0"/>
        <v>3603</v>
      </c>
      <c r="AK14" s="167">
        <f t="shared" si="0"/>
        <v>0</v>
      </c>
      <c r="AL14" s="172">
        <f t="shared" si="11"/>
        <v>-1</v>
      </c>
      <c r="AM14" s="174"/>
      <c r="AN14" s="179"/>
      <c r="AO14" s="179">
        <v>41</v>
      </c>
      <c r="AP14" s="180">
        <f t="shared" si="1"/>
        <v>3.8292682926829267</v>
      </c>
      <c r="AQ14" s="181">
        <v>41</v>
      </c>
      <c r="AR14" s="182">
        <f t="shared" si="2"/>
        <v>5.8048780487804876</v>
      </c>
      <c r="AX14" s="181"/>
      <c r="BA14" s="181"/>
    </row>
    <row r="15" spans="1:53" s="187" customFormat="1" ht="17.100000000000001" thickBot="1">
      <c r="A15" s="161" t="s">
        <v>4100</v>
      </c>
      <c r="B15" s="163">
        <f>137</f>
        <v>137</v>
      </c>
      <c r="C15" s="163">
        <v>116</v>
      </c>
      <c r="D15" s="163">
        <v>169</v>
      </c>
      <c r="E15" s="163">
        <v>197</v>
      </c>
      <c r="F15" s="163"/>
      <c r="G15" s="164">
        <f t="shared" si="3"/>
        <v>-1</v>
      </c>
      <c r="H15" s="165">
        <f>36</f>
        <v>36</v>
      </c>
      <c r="I15" s="142">
        <v>61</v>
      </c>
      <c r="J15" s="142">
        <v>93</v>
      </c>
      <c r="K15" s="142">
        <v>146</v>
      </c>
      <c r="L15" s="142"/>
      <c r="M15" s="164">
        <f t="shared" si="4"/>
        <v>-1</v>
      </c>
      <c r="N15" s="166">
        <f>B15+H15</f>
        <v>173</v>
      </c>
      <c r="O15" s="166">
        <f>+C15+I15</f>
        <v>177</v>
      </c>
      <c r="P15" s="166">
        <f>+D15+J15</f>
        <v>262</v>
      </c>
      <c r="Q15" s="167">
        <f>+E15+K15</f>
        <v>343</v>
      </c>
      <c r="R15" s="167">
        <f t="shared" si="6"/>
        <v>0</v>
      </c>
      <c r="S15" s="164">
        <f t="shared" si="7"/>
        <v>-1</v>
      </c>
      <c r="T15" s="168"/>
      <c r="U15" s="190">
        <v>1824</v>
      </c>
      <c r="V15" s="191">
        <v>1544</v>
      </c>
      <c r="W15" s="192">
        <v>3338</v>
      </c>
      <c r="X15" s="193">
        <v>3112</v>
      </c>
      <c r="Y15" s="193"/>
      <c r="Z15" s="172">
        <f t="shared" si="8"/>
        <v>-1</v>
      </c>
      <c r="AA15" s="194">
        <v>117</v>
      </c>
      <c r="AB15" s="195">
        <v>411</v>
      </c>
      <c r="AC15" s="196">
        <v>671</v>
      </c>
      <c r="AD15" s="197">
        <v>1571</v>
      </c>
      <c r="AE15" s="197"/>
      <c r="AF15" s="172">
        <f t="shared" si="9"/>
        <v>-1</v>
      </c>
      <c r="AG15" s="166">
        <f t="shared" si="10"/>
        <v>1941</v>
      </c>
      <c r="AH15" s="167">
        <f t="shared" si="0"/>
        <v>1955</v>
      </c>
      <c r="AI15" s="167">
        <f>+W15+AC15</f>
        <v>4009</v>
      </c>
      <c r="AJ15" s="167">
        <f t="shared" si="0"/>
        <v>4683</v>
      </c>
      <c r="AK15" s="167">
        <f t="shared" si="0"/>
        <v>0</v>
      </c>
      <c r="AL15" s="172">
        <f t="shared" si="11"/>
        <v>-1</v>
      </c>
      <c r="AM15" s="198"/>
      <c r="AN15" s="199">
        <v>41</v>
      </c>
      <c r="AO15" s="199">
        <v>41</v>
      </c>
      <c r="AP15" s="200">
        <f t="shared" si="1"/>
        <v>4.3170731707317076</v>
      </c>
      <c r="AQ15" s="201">
        <v>41</v>
      </c>
      <c r="AR15" s="202">
        <f t="shared" si="2"/>
        <v>6.3902439024390247</v>
      </c>
      <c r="AX15" s="181"/>
      <c r="BA15" s="181"/>
    </row>
    <row r="16" spans="1:53" ht="27" thickBot="1">
      <c r="A16" s="203" t="s">
        <v>4101</v>
      </c>
      <c r="B16" s="204">
        <f>SUM(B4:B15)</f>
        <v>767</v>
      </c>
      <c r="C16" s="205">
        <f>SUM(C4:C15)</f>
        <v>844</v>
      </c>
      <c r="D16" s="205">
        <f>SUM(D4:D15)</f>
        <v>1075</v>
      </c>
      <c r="E16" s="205">
        <f>SUM(E4:E15)</f>
        <v>1111</v>
      </c>
      <c r="F16" s="205">
        <f>SUM(F4:F15)</f>
        <v>251</v>
      </c>
      <c r="G16" s="164">
        <f t="shared" si="3"/>
        <v>-0.77407740774077405</v>
      </c>
      <c r="H16" s="206">
        <f>SUM(H4:H15)</f>
        <v>375</v>
      </c>
      <c r="I16" s="205">
        <f>SUM(I4:I15)</f>
        <v>541</v>
      </c>
      <c r="J16" s="205">
        <f>SUM(J4:J15)</f>
        <v>791</v>
      </c>
      <c r="K16" s="205">
        <f>SUM(K4:K15)</f>
        <v>968</v>
      </c>
      <c r="L16" s="205">
        <f>SUM(L4:L15)</f>
        <v>280</v>
      </c>
      <c r="M16" s="164">
        <f t="shared" si="4"/>
        <v>-0.71074380165289253</v>
      </c>
      <c r="N16" s="206">
        <f>SUM(N4:N15)</f>
        <v>1142</v>
      </c>
      <c r="O16" s="205">
        <f>SUM(O4:O15)</f>
        <v>1385</v>
      </c>
      <c r="P16" s="205">
        <f>SUM(P4:P15)</f>
        <v>1866</v>
      </c>
      <c r="Q16" s="205">
        <f>SUM(Q4:Q15)</f>
        <v>2079</v>
      </c>
      <c r="R16" s="205">
        <f>SUM(R4:R15)</f>
        <v>531</v>
      </c>
      <c r="S16" s="164">
        <f t="shared" si="7"/>
        <v>-0.74458874458874458</v>
      </c>
      <c r="T16" s="207"/>
      <c r="U16" s="208">
        <f>SUM(U4:U15)</f>
        <v>9898</v>
      </c>
      <c r="V16" s="209">
        <f>SUM(V4:V15)</f>
        <v>10741</v>
      </c>
      <c r="W16" s="210">
        <f>SUM(W4:W15)</f>
        <v>14161</v>
      </c>
      <c r="X16" s="210">
        <f>SUM(X4:X15)</f>
        <v>14416</v>
      </c>
      <c r="Y16" s="210">
        <f>SUM(Y4:Y15)</f>
        <v>3269</v>
      </c>
      <c r="Z16" s="172">
        <f t="shared" si="8"/>
        <v>-0.77323806881243062</v>
      </c>
      <c r="AA16" s="211">
        <f>SUM(AA4:AA15)</f>
        <v>2149</v>
      </c>
      <c r="AB16" s="212">
        <f>SUM(AB4:AB15)</f>
        <v>2654</v>
      </c>
      <c r="AC16" s="210">
        <f>SUM(AC4:AC15)</f>
        <v>5721</v>
      </c>
      <c r="AD16" s="210">
        <f>SUM(AD4:AD15)</f>
        <v>8640</v>
      </c>
      <c r="AE16" s="213"/>
      <c r="AF16" s="172">
        <f>(AE16-AD16)/AD16</f>
        <v>-1</v>
      </c>
      <c r="AG16" s="214">
        <f>SUM(AG4:AG15)</f>
        <v>12047</v>
      </c>
      <c r="AH16" s="215">
        <f>SUM(AH4:AH15)</f>
        <v>13395</v>
      </c>
      <c r="AI16" s="216">
        <f>SUM(AI4:AI15)</f>
        <v>19882</v>
      </c>
      <c r="AJ16" s="216">
        <f>SUM(AJ4:AJ15)</f>
        <v>23056</v>
      </c>
      <c r="AK16" s="216">
        <f>SUM(AK4:AK15)</f>
        <v>5193</v>
      </c>
      <c r="AL16" s="172">
        <f t="shared" si="11"/>
        <v>-0.77476578764746706</v>
      </c>
      <c r="AM16" s="174"/>
      <c r="AN16" s="174"/>
      <c r="AO16" s="217"/>
      <c r="AP16" s="42"/>
      <c r="AQ16" s="217"/>
      <c r="AR16" s="42"/>
      <c r="AS16" s="412"/>
      <c r="AT16" s="412"/>
      <c r="AU16" s="412"/>
      <c r="AV16" s="412"/>
      <c r="AW16" s="412"/>
      <c r="AX16" s="205"/>
      <c r="AY16" s="412"/>
      <c r="AZ16" s="412"/>
      <c r="BA16" s="217"/>
    </row>
    <row r="17" spans="1:5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218"/>
      <c r="O17" s="42"/>
      <c r="P17" s="42"/>
      <c r="Q17" s="42"/>
      <c r="R17" s="42"/>
      <c r="V17" s="42"/>
      <c r="W17" s="42"/>
      <c r="X17" s="42"/>
      <c r="Y17" s="42"/>
      <c r="AB17" s="42"/>
      <c r="AC17" s="42"/>
      <c r="AD17" s="42"/>
      <c r="AE17" s="42"/>
      <c r="AH17" s="42"/>
      <c r="AI17" s="42"/>
      <c r="AJ17" s="42"/>
      <c r="AK17" s="42"/>
      <c r="AO17" s="42"/>
      <c r="AP17" s="42"/>
      <c r="AQ17" s="42"/>
      <c r="AR17" s="42"/>
      <c r="AS17" s="412"/>
      <c r="AT17" s="412"/>
      <c r="AU17" s="412"/>
      <c r="AV17" s="412"/>
      <c r="AW17" s="412"/>
      <c r="AX17" s="42"/>
      <c r="AY17" s="412"/>
      <c r="AZ17" s="412"/>
      <c r="BA17" s="42"/>
    </row>
    <row r="18" spans="1:53" ht="14.8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218"/>
      <c r="O18" s="42"/>
      <c r="P18" s="42"/>
      <c r="Q18" s="42"/>
      <c r="R18" s="42"/>
      <c r="V18" s="42"/>
      <c r="W18" s="42"/>
      <c r="X18" s="42"/>
      <c r="Y18" s="42"/>
      <c r="AB18" s="42"/>
      <c r="AC18" s="42"/>
      <c r="AD18" s="42"/>
      <c r="AE18" s="42"/>
      <c r="AH18" s="42"/>
      <c r="AI18" s="42"/>
      <c r="AJ18" s="42"/>
      <c r="AK18" s="42"/>
      <c r="AO18" s="42"/>
      <c r="AP18" s="42"/>
      <c r="AQ18" s="42"/>
      <c r="AR18" s="42"/>
      <c r="AS18" s="412"/>
      <c r="AT18" s="412"/>
      <c r="AU18" s="412"/>
      <c r="AV18" s="412"/>
      <c r="AW18" s="412"/>
      <c r="AX18" s="42"/>
      <c r="AY18" s="412"/>
      <c r="AZ18" s="412"/>
      <c r="BA18" s="42"/>
    </row>
    <row r="19" spans="1:5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218"/>
      <c r="O19" s="42"/>
      <c r="P19" s="42"/>
      <c r="Q19" s="42"/>
      <c r="R19" s="42"/>
      <c r="V19" s="42"/>
      <c r="W19" s="42"/>
      <c r="X19" s="42"/>
      <c r="Y19" s="42"/>
      <c r="AB19" s="42"/>
      <c r="AC19" s="42"/>
      <c r="AD19" s="42"/>
      <c r="AE19" s="42"/>
      <c r="AH19" s="42"/>
      <c r="AI19" s="42"/>
      <c r="AJ19" s="42"/>
      <c r="AK19" s="42"/>
      <c r="AO19" s="42"/>
      <c r="AP19" s="42"/>
      <c r="AQ19" s="42"/>
      <c r="AR19" s="42"/>
      <c r="AS19" s="412"/>
      <c r="AT19" s="412"/>
      <c r="AU19" s="412"/>
      <c r="AV19" s="412"/>
      <c r="AW19" s="412"/>
      <c r="AX19" s="42"/>
      <c r="AY19" s="412"/>
      <c r="AZ19" s="412"/>
      <c r="BA19" s="42"/>
    </row>
    <row r="20" spans="1:5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218"/>
      <c r="O20" s="42"/>
      <c r="P20" s="42"/>
      <c r="Q20" s="42"/>
      <c r="R20" s="42"/>
      <c r="V20" s="42"/>
      <c r="W20" s="42"/>
      <c r="X20" s="42"/>
      <c r="Y20" s="42"/>
      <c r="AB20" s="42"/>
      <c r="AC20" s="42"/>
      <c r="AD20" s="42"/>
      <c r="AE20" s="42"/>
      <c r="AH20" s="42"/>
      <c r="AI20" s="42"/>
      <c r="AJ20" s="42"/>
      <c r="AK20" s="42"/>
      <c r="AO20" s="42"/>
      <c r="AP20" s="42"/>
      <c r="AQ20" s="42"/>
      <c r="AR20" s="42"/>
      <c r="AS20" s="412"/>
      <c r="AT20" s="412"/>
      <c r="AU20" s="412"/>
      <c r="AV20" s="412"/>
      <c r="AW20" s="412"/>
      <c r="AX20" s="42"/>
      <c r="AY20" s="412"/>
      <c r="AZ20" s="412"/>
      <c r="BA20" s="42"/>
    </row>
    <row r="21" spans="1:5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218"/>
      <c r="O21" s="42"/>
      <c r="P21" s="42"/>
      <c r="Q21" s="42"/>
      <c r="R21" s="42"/>
      <c r="V21" s="42"/>
      <c r="W21" s="42"/>
      <c r="X21" s="42"/>
      <c r="Y21" s="42"/>
      <c r="AB21" s="42"/>
      <c r="AC21" s="42"/>
      <c r="AD21" s="42"/>
      <c r="AE21" s="42"/>
      <c r="AH21" s="42"/>
      <c r="AI21" s="42"/>
      <c r="AJ21" s="42"/>
      <c r="AK21" s="42"/>
      <c r="AO21" s="42"/>
      <c r="AP21" s="42"/>
      <c r="AQ21" s="42"/>
      <c r="AR21" s="42"/>
      <c r="AS21" s="412"/>
      <c r="AT21" s="412"/>
      <c r="AU21" s="412"/>
      <c r="AV21" s="412"/>
      <c r="AW21" s="412"/>
      <c r="AX21" s="42"/>
      <c r="AY21" s="412"/>
      <c r="AZ21" s="412"/>
      <c r="BA21" s="42"/>
    </row>
    <row r="22" spans="1:5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218"/>
      <c r="O22" s="42"/>
      <c r="P22" s="42"/>
      <c r="Q22" s="42"/>
      <c r="R22" s="42"/>
      <c r="V22" s="42"/>
      <c r="W22" s="42"/>
      <c r="X22" s="42"/>
      <c r="Y22" s="42"/>
      <c r="AB22" s="42"/>
      <c r="AC22" s="42"/>
      <c r="AD22" s="42"/>
      <c r="AE22" s="42"/>
      <c r="AH22" s="42"/>
      <c r="AI22" s="42"/>
      <c r="AJ22" s="42"/>
      <c r="AK22" s="42"/>
      <c r="AO22" s="42"/>
      <c r="AP22" s="42"/>
      <c r="AQ22" s="42"/>
      <c r="AR22" s="42"/>
      <c r="AS22" s="412"/>
      <c r="AT22" s="412"/>
      <c r="AU22" s="412"/>
      <c r="AV22" s="412"/>
      <c r="AW22" s="412"/>
      <c r="AX22" s="42"/>
      <c r="AY22" s="412"/>
      <c r="AZ22" s="412"/>
      <c r="BA22" s="42"/>
    </row>
    <row r="23" spans="1:5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218"/>
      <c r="O23" s="42"/>
      <c r="P23" s="42"/>
      <c r="Q23" s="42"/>
      <c r="R23" s="42"/>
      <c r="V23" s="42"/>
      <c r="W23" s="42"/>
      <c r="X23" s="42"/>
      <c r="Y23" s="42"/>
      <c r="AB23" s="42"/>
      <c r="AC23" s="42"/>
      <c r="AD23" s="42"/>
      <c r="AE23" s="42"/>
      <c r="AH23" s="42"/>
      <c r="AI23" s="42"/>
      <c r="AJ23" s="42"/>
      <c r="AK23" s="42"/>
      <c r="AO23" s="42"/>
      <c r="AP23" s="42"/>
      <c r="AQ23" s="42"/>
      <c r="AR23" s="42"/>
      <c r="AS23" s="412"/>
      <c r="AT23" s="412"/>
      <c r="AU23" s="412"/>
      <c r="AV23" s="412"/>
      <c r="AW23" s="412"/>
      <c r="AX23" s="42"/>
      <c r="AY23" s="412"/>
      <c r="AZ23" s="412"/>
      <c r="BA23" s="42"/>
    </row>
    <row r="24" spans="1:5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218"/>
      <c r="O24" s="42"/>
      <c r="P24" s="42"/>
      <c r="Q24" s="42"/>
      <c r="R24" s="42"/>
      <c r="V24" s="42"/>
      <c r="W24" s="42"/>
      <c r="X24" s="42"/>
      <c r="Y24" s="42"/>
      <c r="AB24" s="42"/>
      <c r="AC24" s="412"/>
      <c r="AD24" s="412"/>
      <c r="AE24" s="412"/>
      <c r="AH24" s="412"/>
      <c r="AI24" s="412"/>
      <c r="AJ24" s="412"/>
      <c r="AK24" s="412"/>
      <c r="AO24" s="412"/>
      <c r="AP24" s="412"/>
      <c r="AQ24" s="412"/>
      <c r="AR24" s="412"/>
      <c r="AT24" s="412"/>
      <c r="AU24" s="412"/>
      <c r="AV24" s="412"/>
      <c r="AW24" s="412"/>
      <c r="AX24" s="412"/>
      <c r="AY24" s="412"/>
      <c r="AZ24" s="412"/>
      <c r="BA24" s="412"/>
    </row>
    <row r="25" spans="1:5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218"/>
      <c r="O25" s="42"/>
      <c r="P25" s="42"/>
      <c r="Q25" s="42"/>
      <c r="R25" s="42"/>
      <c r="V25" s="42"/>
      <c r="W25" s="42"/>
      <c r="X25" s="42"/>
      <c r="Y25" s="42"/>
      <c r="AB25" s="42"/>
      <c r="AC25" s="412"/>
      <c r="AD25" s="412"/>
      <c r="AE25" s="412"/>
      <c r="AH25" s="412"/>
      <c r="AI25" s="412"/>
      <c r="AJ25" s="412"/>
      <c r="AK25" s="412"/>
      <c r="AO25" s="412"/>
      <c r="AP25" s="412"/>
      <c r="AQ25" s="412"/>
      <c r="AR25" s="412"/>
      <c r="AT25" s="412"/>
      <c r="AU25" s="412"/>
      <c r="AV25" s="412"/>
      <c r="AW25" s="412"/>
      <c r="AX25" s="412"/>
      <c r="AY25" s="412"/>
      <c r="AZ25" s="412"/>
      <c r="BA25" s="412"/>
    </row>
    <row r="26" spans="1:5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218"/>
      <c r="O26" s="42"/>
      <c r="P26" s="42"/>
      <c r="Q26" s="42"/>
      <c r="R26" s="42"/>
      <c r="V26" s="42"/>
      <c r="W26" s="42"/>
      <c r="X26" s="42"/>
      <c r="Y26" s="42"/>
      <c r="AB26" s="42"/>
      <c r="AC26" s="412"/>
      <c r="AD26" s="412"/>
      <c r="AE26" s="412"/>
      <c r="AH26" s="412"/>
      <c r="AI26" s="412"/>
      <c r="AJ26" s="412"/>
      <c r="AK26" s="412"/>
      <c r="AO26" s="412"/>
      <c r="AP26" s="412"/>
      <c r="AQ26" s="412"/>
      <c r="AR26" s="412"/>
      <c r="AT26" s="412"/>
      <c r="AU26" s="412"/>
      <c r="AV26" s="412"/>
      <c r="AW26" s="412"/>
      <c r="AX26" s="412"/>
      <c r="AY26" s="412"/>
      <c r="AZ26" s="412"/>
      <c r="BA26" s="412"/>
    </row>
    <row r="27" spans="1:5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218"/>
      <c r="O27" s="42"/>
      <c r="P27" s="42"/>
      <c r="Q27" s="42"/>
      <c r="R27" s="42"/>
      <c r="V27" s="42"/>
      <c r="W27" s="42"/>
      <c r="X27" s="42"/>
      <c r="Y27" s="42"/>
      <c r="AB27" s="42"/>
      <c r="AC27" s="412"/>
      <c r="AD27" s="412"/>
      <c r="AE27" s="412"/>
      <c r="AH27" s="412"/>
      <c r="AI27" s="412"/>
      <c r="AJ27" s="412"/>
      <c r="AK27" s="412"/>
      <c r="AO27" s="412"/>
      <c r="AP27" s="412"/>
      <c r="AQ27" s="412"/>
      <c r="AR27" s="412"/>
      <c r="AT27" s="412"/>
      <c r="AU27" s="412"/>
      <c r="AV27" s="412"/>
      <c r="AW27" s="412"/>
      <c r="AX27" s="412"/>
      <c r="AY27" s="412"/>
      <c r="AZ27" s="412"/>
      <c r="BA27" s="412"/>
    </row>
    <row r="28" spans="1:5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218"/>
      <c r="O28" s="42"/>
      <c r="P28" s="42"/>
      <c r="Q28" s="42"/>
      <c r="R28" s="42"/>
      <c r="V28" s="42"/>
      <c r="W28" s="42"/>
      <c r="X28" s="42"/>
      <c r="Y28" s="42"/>
      <c r="AB28" s="42"/>
      <c r="AC28" s="412"/>
      <c r="AD28" s="412"/>
      <c r="AE28" s="412"/>
      <c r="AH28" s="412"/>
      <c r="AI28" s="412"/>
      <c r="AJ28" s="412"/>
      <c r="AK28" s="412"/>
      <c r="AO28" s="412"/>
      <c r="AP28" s="412"/>
      <c r="AQ28" s="412"/>
      <c r="AR28" s="412"/>
      <c r="AT28" s="412"/>
      <c r="AU28" s="412"/>
      <c r="AV28" s="412"/>
      <c r="AW28" s="412"/>
      <c r="AX28" s="412"/>
      <c r="AY28" s="412"/>
      <c r="AZ28" s="412"/>
      <c r="BA28" s="412"/>
    </row>
    <row r="29" spans="1:5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218"/>
      <c r="O29" s="42"/>
      <c r="P29" s="42"/>
      <c r="Q29" s="42"/>
      <c r="R29" s="42"/>
      <c r="V29" s="42"/>
      <c r="W29" s="42"/>
      <c r="X29" s="42"/>
      <c r="Y29" s="42"/>
      <c r="AB29" s="42"/>
      <c r="AC29" s="412"/>
      <c r="AD29" s="412"/>
      <c r="AE29" s="412"/>
      <c r="AH29" s="412"/>
      <c r="AI29" s="412"/>
      <c r="AJ29" s="412"/>
      <c r="AK29" s="412"/>
      <c r="AO29" s="412"/>
      <c r="AP29" s="412"/>
      <c r="AQ29" s="412"/>
      <c r="AR29" s="412"/>
      <c r="AT29" s="412"/>
      <c r="AU29" s="412"/>
      <c r="AV29" s="412"/>
      <c r="AW29" s="412"/>
      <c r="AX29" s="412"/>
      <c r="AY29" s="412"/>
      <c r="AZ29" s="412"/>
      <c r="BA29" s="412"/>
    </row>
    <row r="30" spans="1:5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218"/>
      <c r="O30" s="42"/>
      <c r="P30" s="42"/>
      <c r="Q30" s="42"/>
      <c r="R30" s="42"/>
      <c r="V30" s="42"/>
      <c r="W30" s="42"/>
      <c r="X30" s="42"/>
      <c r="Y30" s="42"/>
      <c r="AB30" s="42"/>
      <c r="AC30" s="412"/>
      <c r="AD30" s="412"/>
      <c r="AE30" s="412"/>
      <c r="AH30" s="412"/>
      <c r="AI30" s="412"/>
      <c r="AJ30" s="412"/>
      <c r="AK30" s="412"/>
      <c r="AO30" s="412"/>
      <c r="AP30" s="412"/>
      <c r="AQ30" s="412"/>
      <c r="AR30" s="412"/>
      <c r="AT30" s="412"/>
      <c r="AU30" s="412"/>
      <c r="AV30" s="412"/>
      <c r="AW30" s="412"/>
      <c r="AX30" s="412"/>
      <c r="AY30" s="412"/>
      <c r="AZ30" s="412"/>
      <c r="BA30" s="412"/>
    </row>
    <row r="31" spans="1:5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218"/>
      <c r="O31" s="42"/>
      <c r="P31" s="42"/>
      <c r="Q31" s="42"/>
      <c r="R31" s="42"/>
      <c r="V31" s="42"/>
      <c r="W31" s="42"/>
      <c r="X31" s="42"/>
      <c r="Y31" s="42"/>
      <c r="AB31" s="42"/>
      <c r="AC31" s="412"/>
      <c r="AD31" s="412"/>
      <c r="AE31" s="412"/>
      <c r="AH31" s="412"/>
      <c r="AI31" s="412"/>
      <c r="AJ31" s="412"/>
      <c r="AK31" s="412"/>
      <c r="AO31" s="412"/>
      <c r="AP31" s="412"/>
      <c r="AQ31" s="412"/>
      <c r="AR31" s="412"/>
      <c r="AT31" s="412"/>
      <c r="AU31" s="412"/>
      <c r="AV31" s="412"/>
      <c r="AW31" s="412"/>
      <c r="AX31" s="412"/>
      <c r="AY31" s="412"/>
      <c r="AZ31" s="412"/>
      <c r="BA31" s="412"/>
    </row>
    <row r="32" spans="1:5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218"/>
      <c r="O32" s="42"/>
      <c r="P32" s="42"/>
      <c r="Q32" s="42"/>
      <c r="R32" s="42"/>
      <c r="V32" s="42"/>
      <c r="W32" s="42"/>
      <c r="X32" s="42"/>
      <c r="Y32" s="42"/>
      <c r="AB32" s="42"/>
      <c r="AC32" s="412"/>
      <c r="AD32" s="412"/>
      <c r="AE32" s="412"/>
      <c r="AH32" s="412"/>
      <c r="AI32" s="412"/>
      <c r="AJ32" s="412"/>
      <c r="AK32" s="412"/>
      <c r="AO32" s="412"/>
      <c r="AP32" s="412"/>
      <c r="AQ32" s="412"/>
      <c r="AR32" s="412"/>
      <c r="AT32" s="412"/>
      <c r="AU32" s="412"/>
      <c r="AV32" s="412"/>
      <c r="AW32" s="412"/>
      <c r="AX32" s="412"/>
      <c r="AY32" s="412"/>
      <c r="AZ32" s="412"/>
      <c r="BA32" s="412"/>
    </row>
    <row r="33" spans="1:28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218"/>
      <c r="O33" s="42"/>
      <c r="P33" s="42"/>
      <c r="Q33" s="42"/>
      <c r="R33" s="42"/>
      <c r="V33" s="42"/>
      <c r="W33" s="42"/>
      <c r="X33" s="42"/>
      <c r="Y33" s="42"/>
      <c r="AB33" s="42"/>
    </row>
    <row r="34" spans="1:28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218"/>
      <c r="O34" s="42"/>
      <c r="P34" s="42"/>
      <c r="Q34" s="42"/>
      <c r="R34" s="42"/>
      <c r="V34" s="42"/>
      <c r="W34" s="42"/>
      <c r="X34" s="42"/>
      <c r="Y34" s="42"/>
      <c r="AB34" s="42"/>
    </row>
    <row r="35" spans="1:28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218"/>
      <c r="O35" s="42"/>
      <c r="P35" s="42"/>
      <c r="Q35" s="42"/>
      <c r="R35" s="42"/>
      <c r="V35" s="42"/>
      <c r="W35" s="42"/>
      <c r="X35" s="42"/>
      <c r="Y35" s="42"/>
      <c r="AB35" s="42"/>
    </row>
    <row r="36" spans="1:28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218"/>
      <c r="O36" s="42"/>
      <c r="P36" s="42"/>
      <c r="Q36" s="42"/>
      <c r="R36" s="42"/>
      <c r="V36" s="42"/>
      <c r="W36" s="42"/>
      <c r="X36" s="42"/>
      <c r="Y36" s="42"/>
      <c r="AB36" s="42"/>
    </row>
    <row r="37" spans="1:28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218"/>
      <c r="O37" s="42"/>
      <c r="P37" s="42"/>
      <c r="Q37" s="42"/>
      <c r="R37" s="42"/>
      <c r="V37" s="42"/>
      <c r="W37" s="42"/>
      <c r="X37" s="42"/>
      <c r="Y37" s="42"/>
      <c r="AB37" s="42"/>
    </row>
    <row r="38" spans="1:2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218"/>
      <c r="O38" s="42"/>
      <c r="P38" s="42"/>
      <c r="Q38" s="42"/>
      <c r="R38" s="42"/>
      <c r="V38" s="42"/>
      <c r="W38" s="42"/>
      <c r="X38" s="42"/>
      <c r="Y38" s="42"/>
      <c r="AB38" s="42"/>
    </row>
    <row r="39" spans="1:28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218"/>
      <c r="O39" s="42"/>
      <c r="P39" s="42"/>
      <c r="Q39" s="42"/>
      <c r="R39" s="42"/>
      <c r="V39" s="42"/>
      <c r="W39" s="42"/>
      <c r="X39" s="42"/>
      <c r="Y39" s="42"/>
      <c r="AB39" s="42"/>
    </row>
    <row r="40" spans="1:28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218"/>
      <c r="O40" s="42"/>
      <c r="P40" s="42"/>
      <c r="Q40" s="42"/>
      <c r="R40" s="42"/>
      <c r="V40" s="42"/>
      <c r="W40" s="42"/>
      <c r="X40" s="42"/>
      <c r="Y40" s="42"/>
      <c r="AB40" s="42"/>
    </row>
    <row r="41" spans="1:28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218"/>
      <c r="O41" s="42"/>
      <c r="P41" s="42"/>
      <c r="Q41" s="42"/>
      <c r="R41" s="42"/>
      <c r="V41" s="42"/>
      <c r="W41" s="42"/>
      <c r="X41" s="42"/>
      <c r="Y41" s="42"/>
      <c r="AB41" s="42"/>
    </row>
  </sheetData>
  <autoFilter ref="A3:W166" xr:uid="{00000000-0009-0000-0000-000002000000}"/>
  <mergeCells count="10">
    <mergeCell ref="A1:A3"/>
    <mergeCell ref="B2:S2"/>
    <mergeCell ref="U2:AL2"/>
    <mergeCell ref="AO2:AR2"/>
    <mergeCell ref="B3:F3"/>
    <mergeCell ref="H3:L3"/>
    <mergeCell ref="N3:R3"/>
    <mergeCell ref="U3:Y3"/>
    <mergeCell ref="AA3:AE3"/>
    <mergeCell ref="AG3:A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"/>
  <sheetViews>
    <sheetView zoomScale="130" zoomScaleNormal="130" workbookViewId="0">
      <selection activeCell="D19" sqref="D19"/>
    </sheetView>
  </sheetViews>
  <sheetFormatPr defaultColWidth="8.875" defaultRowHeight="15.95"/>
  <cols>
    <col min="2" max="2" width="12.375" customWidth="1"/>
    <col min="3" max="3" width="15.625" customWidth="1"/>
    <col min="4" max="4" width="16.125" customWidth="1"/>
    <col min="5" max="5" width="15.5" customWidth="1"/>
    <col min="6" max="6" width="15.375" customWidth="1"/>
    <col min="7" max="7" width="14.125" customWidth="1"/>
    <col min="8" max="9" width="13.375" customWidth="1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7.100000000000001" thickBo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0.100000000000001" thickBot="1">
      <c r="A4" s="35"/>
      <c r="B4" s="35"/>
      <c r="C4" s="299" t="s">
        <v>4102</v>
      </c>
      <c r="D4" s="299" t="s">
        <v>4103</v>
      </c>
      <c r="E4" s="299" t="s">
        <v>4104</v>
      </c>
      <c r="F4" s="299" t="s">
        <v>4105</v>
      </c>
      <c r="G4" s="299" t="s">
        <v>4106</v>
      </c>
      <c r="H4" s="299" t="s">
        <v>4107</v>
      </c>
      <c r="I4" s="299" t="s">
        <v>4108</v>
      </c>
      <c r="J4" s="35"/>
      <c r="K4" s="35"/>
      <c r="L4" s="35"/>
      <c r="M4" s="35"/>
      <c r="N4" s="35"/>
    </row>
    <row r="5" spans="1:16" s="88" customFormat="1" ht="27.6" customHeight="1">
      <c r="A5" s="295"/>
      <c r="B5" s="302" t="s">
        <v>4109</v>
      </c>
      <c r="C5" s="303">
        <v>1</v>
      </c>
      <c r="D5" s="303">
        <v>0</v>
      </c>
      <c r="E5" s="303">
        <f>4</f>
        <v>4</v>
      </c>
      <c r="F5" s="303">
        <v>5</v>
      </c>
      <c r="G5" s="303">
        <v>0</v>
      </c>
      <c r="H5" s="303">
        <f>SUM(C5:G5)</f>
        <v>10</v>
      </c>
      <c r="I5" s="303">
        <v>1</v>
      </c>
      <c r="J5" s="295"/>
      <c r="K5" s="295"/>
      <c r="L5" s="295"/>
      <c r="M5" s="295"/>
      <c r="N5" s="295"/>
    </row>
    <row r="6" spans="1:16" s="88" customFormat="1" ht="27.6" customHeight="1">
      <c r="A6" s="295"/>
      <c r="B6" s="304" t="s">
        <v>4110</v>
      </c>
      <c r="C6" s="304">
        <v>1</v>
      </c>
      <c r="D6" s="304">
        <v>2</v>
      </c>
      <c r="E6" s="304">
        <v>5</v>
      </c>
      <c r="F6" s="304">
        <v>5</v>
      </c>
      <c r="G6" s="304">
        <v>0</v>
      </c>
      <c r="H6" s="304">
        <f t="shared" ref="H6:H10" si="0">SUM(C6:F6)</f>
        <v>13</v>
      </c>
      <c r="I6" s="304">
        <v>2</v>
      </c>
      <c r="J6" s="295"/>
      <c r="K6" s="295"/>
      <c r="L6" s="295"/>
      <c r="M6" s="295"/>
      <c r="N6" s="295"/>
    </row>
    <row r="7" spans="1:16" s="88" customFormat="1" ht="27.6" customHeight="1">
      <c r="A7" s="295"/>
      <c r="B7" s="305" t="s">
        <v>4111</v>
      </c>
      <c r="C7" s="305">
        <v>5</v>
      </c>
      <c r="D7" s="305">
        <v>2</v>
      </c>
      <c r="E7" s="305">
        <v>2</v>
      </c>
      <c r="F7" s="305">
        <v>2</v>
      </c>
      <c r="G7" s="305">
        <v>0</v>
      </c>
      <c r="H7" s="305">
        <f t="shared" si="0"/>
        <v>11</v>
      </c>
      <c r="I7" s="305">
        <v>5</v>
      </c>
      <c r="J7" s="295"/>
      <c r="K7" s="295"/>
      <c r="L7" s="295"/>
      <c r="M7" s="295"/>
      <c r="N7" s="295"/>
    </row>
    <row r="8" spans="1:16" s="88" customFormat="1" ht="27.6" customHeight="1">
      <c r="A8" s="295"/>
      <c r="B8" s="306" t="s">
        <v>4112</v>
      </c>
      <c r="C8" s="306">
        <v>2</v>
      </c>
      <c r="D8" s="306">
        <v>10</v>
      </c>
      <c r="E8" s="306">
        <v>9</v>
      </c>
      <c r="F8" s="306">
        <v>7</v>
      </c>
      <c r="G8" s="306">
        <v>0</v>
      </c>
      <c r="H8" s="306">
        <f t="shared" si="0"/>
        <v>28</v>
      </c>
      <c r="I8" s="306">
        <v>10</v>
      </c>
      <c r="J8" s="295"/>
      <c r="K8" s="295"/>
      <c r="L8" s="295"/>
      <c r="M8" s="295"/>
      <c r="N8" s="295"/>
    </row>
    <row r="9" spans="1:16" s="88" customFormat="1" ht="27.6" customHeight="1">
      <c r="A9" s="295"/>
      <c r="B9" s="307" t="s">
        <v>4113</v>
      </c>
      <c r="C9" s="307">
        <v>3</v>
      </c>
      <c r="D9" s="307">
        <v>6</v>
      </c>
      <c r="E9" s="307">
        <f>9</f>
        <v>9</v>
      </c>
      <c r="F9" s="307">
        <v>3</v>
      </c>
      <c r="G9" s="307">
        <v>0</v>
      </c>
      <c r="H9" s="307">
        <f t="shared" si="0"/>
        <v>21</v>
      </c>
      <c r="I9" s="307">
        <v>4</v>
      </c>
      <c r="J9" s="295"/>
      <c r="K9" s="295"/>
      <c r="L9" s="295"/>
      <c r="M9" s="295"/>
      <c r="N9" s="295"/>
    </row>
    <row r="10" spans="1:16" s="88" customFormat="1" ht="27.6" customHeight="1">
      <c r="A10" s="295"/>
      <c r="B10" s="308" t="s">
        <v>1334</v>
      </c>
      <c r="C10" s="308"/>
      <c r="D10" s="308"/>
      <c r="E10" s="308">
        <v>1</v>
      </c>
      <c r="F10" s="315"/>
      <c r="G10" s="308"/>
      <c r="H10" s="308">
        <f t="shared" si="0"/>
        <v>1</v>
      </c>
      <c r="I10" s="308"/>
      <c r="J10" s="295"/>
      <c r="K10" s="295"/>
      <c r="L10" s="295"/>
      <c r="M10" s="295"/>
      <c r="N10" s="295"/>
    </row>
    <row r="11" spans="1:16" s="88" customFormat="1" ht="27.6" customHeight="1">
      <c r="A11" s="295"/>
      <c r="B11" s="300" t="s">
        <v>4083</v>
      </c>
      <c r="C11" s="296">
        <f>SUM(C5:C10)</f>
        <v>12</v>
      </c>
      <c r="D11" s="296">
        <f t="shared" ref="D11:G11" si="1">SUM(D5:D10)</f>
        <v>20</v>
      </c>
      <c r="E11" s="296">
        <f t="shared" si="1"/>
        <v>30</v>
      </c>
      <c r="F11" s="296">
        <f t="shared" si="1"/>
        <v>22</v>
      </c>
      <c r="G11" s="296">
        <f t="shared" si="1"/>
        <v>0</v>
      </c>
      <c r="H11" s="296">
        <f>SUM(C11:F11)</f>
        <v>84</v>
      </c>
      <c r="I11" s="300"/>
      <c r="J11" s="295"/>
      <c r="K11" s="295"/>
      <c r="L11" s="295"/>
      <c r="M11" s="295"/>
      <c r="N11" s="295"/>
    </row>
    <row r="12" spans="1:16" ht="21">
      <c r="A12" s="35"/>
      <c r="B12" s="301" t="s">
        <v>2342</v>
      </c>
      <c r="C12" s="297">
        <v>24</v>
      </c>
      <c r="D12" s="297">
        <v>24</v>
      </c>
      <c r="E12" s="297">
        <v>23</v>
      </c>
      <c r="F12" s="297">
        <v>23</v>
      </c>
      <c r="G12" s="297">
        <v>17</v>
      </c>
      <c r="H12" s="297">
        <f>SUM(C12:G12)</f>
        <v>111</v>
      </c>
      <c r="I12" s="297"/>
      <c r="J12" s="35"/>
      <c r="K12" s="35"/>
      <c r="L12" s="35"/>
      <c r="M12" s="35"/>
      <c r="N12" s="35"/>
    </row>
    <row r="13" spans="1:16" ht="21.95" thickBot="1">
      <c r="A13" s="35"/>
      <c r="B13" s="298" t="s">
        <v>4107</v>
      </c>
      <c r="C13" s="298">
        <f>SUM(C11:C12)</f>
        <v>36</v>
      </c>
      <c r="D13" s="298">
        <f t="shared" ref="D13:G13" si="2">SUM(D11:D12)</f>
        <v>44</v>
      </c>
      <c r="E13" s="298">
        <f t="shared" si="2"/>
        <v>53</v>
      </c>
      <c r="F13" s="298">
        <f t="shared" si="2"/>
        <v>45</v>
      </c>
      <c r="G13" s="298">
        <f t="shared" si="2"/>
        <v>17</v>
      </c>
      <c r="H13" s="298">
        <f>SUM(C13:G13)</f>
        <v>195</v>
      </c>
      <c r="I13" s="298">
        <f>SUM(I5:I10)</f>
        <v>22</v>
      </c>
      <c r="J13" s="35"/>
      <c r="K13" s="35"/>
      <c r="L13" s="35"/>
      <c r="M13" s="35"/>
      <c r="N13" s="35"/>
    </row>
    <row r="14" spans="1:16">
      <c r="A14" s="35"/>
      <c r="B14" s="34"/>
      <c r="C14" s="34"/>
      <c r="D14" s="34"/>
      <c r="E14" s="34"/>
      <c r="F14" s="34"/>
      <c r="G14" s="34"/>
      <c r="H14" s="34"/>
      <c r="I14" s="34"/>
      <c r="J14" s="35"/>
      <c r="K14" s="35"/>
      <c r="L14" s="35"/>
      <c r="M14" s="35"/>
      <c r="N14" s="35"/>
    </row>
    <row r="15" spans="1:16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14">
      <c r="J23" s="35"/>
      <c r="K23" s="35"/>
      <c r="L23" s="35"/>
      <c r="M23" s="35"/>
      <c r="N23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V31"/>
  <sheetViews>
    <sheetView workbookViewId="0">
      <selection activeCell="I30" sqref="I30"/>
    </sheetView>
  </sheetViews>
  <sheetFormatPr defaultColWidth="8.875" defaultRowHeight="15.95"/>
  <cols>
    <col min="8" max="8" width="26.375" customWidth="1"/>
    <col min="9" max="9" width="12" bestFit="1" customWidth="1"/>
  </cols>
  <sheetData>
    <row r="5" spans="2:22">
      <c r="B5" s="365"/>
      <c r="C5" s="2"/>
      <c r="E5" s="2"/>
      <c r="F5" s="3"/>
      <c r="G5" s="3"/>
      <c r="H5" s="37"/>
      <c r="I5" s="34"/>
      <c r="J5" s="35"/>
      <c r="K5" s="35"/>
      <c r="L5" s="35"/>
      <c r="M5" s="2"/>
      <c r="N5" s="34"/>
      <c r="O5" s="35"/>
      <c r="P5" s="39"/>
      <c r="Q5" s="39"/>
      <c r="R5" s="39"/>
      <c r="S5" s="39"/>
      <c r="T5" s="40"/>
      <c r="U5" s="35"/>
      <c r="V5" s="36"/>
    </row>
    <row r="6" spans="2:22">
      <c r="B6" s="365"/>
      <c r="C6" s="439"/>
      <c r="D6" s="2"/>
      <c r="E6" s="2"/>
      <c r="F6" s="3"/>
      <c r="G6" s="3"/>
      <c r="H6" s="37"/>
      <c r="I6" s="440" t="s">
        <v>4114</v>
      </c>
      <c r="J6" s="441"/>
      <c r="K6" s="440" t="s">
        <v>4115</v>
      </c>
      <c r="L6" s="441"/>
      <c r="M6" s="41"/>
      <c r="N6" s="34"/>
      <c r="O6" s="35"/>
      <c r="P6" s="38"/>
      <c r="Q6" s="38"/>
      <c r="R6" s="38"/>
      <c r="S6" s="38"/>
      <c r="T6" s="40"/>
      <c r="U6" s="35"/>
      <c r="V6" s="36"/>
    </row>
    <row r="7" spans="2:22">
      <c r="B7" s="406"/>
      <c r="C7" s="439"/>
      <c r="D7" s="412"/>
      <c r="E7" s="412"/>
      <c r="F7" s="352"/>
      <c r="G7" s="352"/>
      <c r="H7" s="132"/>
      <c r="I7" s="434" t="s">
        <v>4080</v>
      </c>
      <c r="J7" s="434" t="s">
        <v>4081</v>
      </c>
      <c r="K7" s="434" t="s">
        <v>4080</v>
      </c>
      <c r="L7" s="434" t="s">
        <v>4081</v>
      </c>
      <c r="M7" s="434" t="s">
        <v>4116</v>
      </c>
      <c r="N7" s="434" t="s">
        <v>4117</v>
      </c>
      <c r="O7" s="434" t="s">
        <v>4118</v>
      </c>
      <c r="P7" s="436" t="s">
        <v>4119</v>
      </c>
      <c r="Q7" s="437"/>
      <c r="R7" s="437"/>
      <c r="S7" s="438"/>
      <c r="T7" s="434" t="s">
        <v>4120</v>
      </c>
      <c r="U7" s="434" t="s">
        <v>4121</v>
      </c>
      <c r="V7" s="434" t="s">
        <v>4122</v>
      </c>
    </row>
    <row r="8" spans="2:22" ht="33.950000000000003">
      <c r="B8" s="353" t="s">
        <v>4123</v>
      </c>
      <c r="C8" s="353" t="s">
        <v>4123</v>
      </c>
      <c r="D8" s="353" t="s">
        <v>4124</v>
      </c>
      <c r="E8" s="353" t="s">
        <v>4080</v>
      </c>
      <c r="F8" s="354" t="s">
        <v>4081</v>
      </c>
      <c r="G8" s="354"/>
      <c r="H8" s="132"/>
      <c r="I8" s="435"/>
      <c r="J8" s="435"/>
      <c r="K8" s="435"/>
      <c r="L8" s="435"/>
      <c r="M8" s="435"/>
      <c r="N8" s="435"/>
      <c r="O8" s="435"/>
      <c r="P8" s="61" t="s">
        <v>4125</v>
      </c>
      <c r="Q8" s="61" t="s">
        <v>4126</v>
      </c>
      <c r="R8" s="61" t="s">
        <v>4107</v>
      </c>
      <c r="S8" s="61" t="s">
        <v>4127</v>
      </c>
      <c r="T8" s="435"/>
      <c r="U8" s="435"/>
      <c r="V8" s="435"/>
    </row>
    <row r="9" spans="2:22">
      <c r="B9" s="34" t="s">
        <v>4080</v>
      </c>
      <c r="C9" s="34" t="s">
        <v>4081</v>
      </c>
      <c r="D9" s="355">
        <f>+F9/E9</f>
        <v>9.1692307692307686</v>
      </c>
      <c r="E9" s="34">
        <f>+I9+K9</f>
        <v>195</v>
      </c>
      <c r="F9" s="34">
        <f>+J9+L9</f>
        <v>1788</v>
      </c>
      <c r="G9" s="34"/>
      <c r="H9" s="133" t="s">
        <v>4128</v>
      </c>
      <c r="I9" s="45">
        <v>84</v>
      </c>
      <c r="J9" s="46">
        <f>SUM(J10:J15)</f>
        <v>1063</v>
      </c>
      <c r="K9" s="45">
        <v>111</v>
      </c>
      <c r="L9" s="45">
        <f>SUM(L10:L15)</f>
        <v>725</v>
      </c>
      <c r="M9" s="46">
        <f>J9+L9</f>
        <v>1788</v>
      </c>
      <c r="N9" s="47">
        <f t="shared" ref="N9:N15" si="0">+J9/I9</f>
        <v>12.654761904761905</v>
      </c>
      <c r="O9" s="44">
        <f>SUM(O10:O14)</f>
        <v>48</v>
      </c>
      <c r="P9" s="48">
        <f>SUM(P10:P14)</f>
        <v>1792</v>
      </c>
      <c r="Q9" s="48">
        <f>SUM(Q10:Q13)</f>
        <v>478</v>
      </c>
      <c r="R9" s="48">
        <f>SUM(R10:R14)</f>
        <v>2270</v>
      </c>
      <c r="S9" s="48"/>
      <c r="T9" s="43"/>
      <c r="U9" s="34"/>
      <c r="V9" s="49"/>
    </row>
    <row r="10" spans="2:22">
      <c r="B10" s="76">
        <f>+E10/E9</f>
        <v>5.128205128205128E-2</v>
      </c>
      <c r="C10" s="77">
        <f>+F10/F9</f>
        <v>0.10067114093959731</v>
      </c>
      <c r="D10" s="355">
        <f t="shared" ref="D10:D14" si="1">+F10/E10</f>
        <v>18</v>
      </c>
      <c r="E10" s="34">
        <f>+I10+K10</f>
        <v>10</v>
      </c>
      <c r="F10" s="34">
        <f>+J10+L10</f>
        <v>180</v>
      </c>
      <c r="G10" s="34" t="s">
        <v>4129</v>
      </c>
      <c r="H10" s="74" t="s">
        <v>4130</v>
      </c>
      <c r="I10" s="135">
        <v>10</v>
      </c>
      <c r="J10" s="33">
        <v>114</v>
      </c>
      <c r="K10" s="33">
        <v>0</v>
      </c>
      <c r="L10" s="33">
        <v>66</v>
      </c>
      <c r="M10" s="105">
        <f>SUM(J10+L10)</f>
        <v>180</v>
      </c>
      <c r="N10" s="51">
        <f>+J10/I10</f>
        <v>11.4</v>
      </c>
      <c r="O10" s="43">
        <v>7</v>
      </c>
      <c r="P10" s="66">
        <v>380</v>
      </c>
      <c r="Q10" s="66">
        <v>0</v>
      </c>
      <c r="R10" s="66">
        <f>SUM(P10+Q10)</f>
        <v>380</v>
      </c>
      <c r="S10" s="407">
        <f>+R10/R9</f>
        <v>0.16740088105726872</v>
      </c>
      <c r="T10" s="52">
        <f>(+P10+Q10)/O10</f>
        <v>54.285714285714285</v>
      </c>
      <c r="U10" s="52">
        <f>+I10/O10</f>
        <v>1.4285714285714286</v>
      </c>
      <c r="V10" s="53">
        <f>+I10/R10</f>
        <v>2.6315789473684209E-2</v>
      </c>
    </row>
    <row r="11" spans="2:22">
      <c r="B11" s="76">
        <f>+E11/E9</f>
        <v>0.1076923076923077</v>
      </c>
      <c r="C11" s="77">
        <f>+F11/F9</f>
        <v>0.18344519015659955</v>
      </c>
      <c r="D11" s="355">
        <f t="shared" si="1"/>
        <v>15.619047619047619</v>
      </c>
      <c r="E11" s="34">
        <f>+I11+K11</f>
        <v>21</v>
      </c>
      <c r="F11" s="34">
        <f t="shared" ref="F11:F15" si="2">+J11+L11</f>
        <v>328</v>
      </c>
      <c r="G11" s="34" t="s">
        <v>4126</v>
      </c>
      <c r="H11" s="74" t="s">
        <v>4131</v>
      </c>
      <c r="I11" s="356">
        <v>21</v>
      </c>
      <c r="J11" s="136">
        <v>232</v>
      </c>
      <c r="K11" s="136">
        <v>0</v>
      </c>
      <c r="L11" s="136">
        <v>96</v>
      </c>
      <c r="M11" s="105">
        <f>SUM(J11+L11)</f>
        <v>328</v>
      </c>
      <c r="N11" s="54">
        <f t="shared" si="0"/>
        <v>11.047619047619047</v>
      </c>
      <c r="O11" s="43">
        <v>14</v>
      </c>
      <c r="P11" s="66">
        <v>0</v>
      </c>
      <c r="Q11" s="66">
        <v>478</v>
      </c>
      <c r="R11" s="66">
        <f t="shared" ref="R11:R13" si="3">SUM(P11+Q11)</f>
        <v>478</v>
      </c>
      <c r="S11" s="407">
        <f>+R11/R9</f>
        <v>0.2105726872246696</v>
      </c>
      <c r="T11" s="52">
        <f>(+P11+Q11)/O11</f>
        <v>34.142857142857146</v>
      </c>
      <c r="U11" s="52">
        <f>+I11/O11</f>
        <v>1.5</v>
      </c>
      <c r="V11" s="53">
        <f>+I11/R11</f>
        <v>4.3933054393305436E-2</v>
      </c>
    </row>
    <row r="12" spans="2:22">
      <c r="B12" s="76">
        <f>+E12/E9</f>
        <v>0.14358974358974358</v>
      </c>
      <c r="C12" s="77">
        <f>+F12/F9</f>
        <v>0.33221476510067116</v>
      </c>
      <c r="D12" s="355">
        <f t="shared" si="1"/>
        <v>21.214285714285715</v>
      </c>
      <c r="E12" s="34">
        <f>+I12+K12</f>
        <v>28</v>
      </c>
      <c r="F12" s="34">
        <f t="shared" si="2"/>
        <v>594</v>
      </c>
      <c r="G12" s="34" t="s">
        <v>4132</v>
      </c>
      <c r="H12" s="74" t="s">
        <v>4133</v>
      </c>
      <c r="I12" s="136">
        <v>28</v>
      </c>
      <c r="J12" s="136">
        <v>377</v>
      </c>
      <c r="K12" s="136">
        <v>0</v>
      </c>
      <c r="L12" s="136">
        <v>217</v>
      </c>
      <c r="M12" s="105">
        <f t="shared" ref="M12:M15" si="4">SUM(J12+L12)</f>
        <v>594</v>
      </c>
      <c r="N12" s="54">
        <f t="shared" si="0"/>
        <v>13.464285714285714</v>
      </c>
      <c r="O12" s="43">
        <v>14</v>
      </c>
      <c r="P12" s="66">
        <v>590</v>
      </c>
      <c r="Q12" s="66">
        <v>0</v>
      </c>
      <c r="R12" s="66">
        <f t="shared" si="3"/>
        <v>590</v>
      </c>
      <c r="S12" s="407">
        <f>+R12/R9</f>
        <v>0.25991189427312777</v>
      </c>
      <c r="T12" s="52">
        <f>(+P12+Q12)/O12</f>
        <v>42.142857142857146</v>
      </c>
      <c r="U12" s="52">
        <f>+I12/O12</f>
        <v>2</v>
      </c>
      <c r="V12" s="53">
        <f>+I12/R12</f>
        <v>4.7457627118644069E-2</v>
      </c>
    </row>
    <row r="13" spans="2:22">
      <c r="B13" s="76">
        <f t="shared" ref="B13:B14" si="5">+E13/E10</f>
        <v>1.1000000000000001</v>
      </c>
      <c r="C13" s="77">
        <f>+F13/F9</f>
        <v>0.13646532438478748</v>
      </c>
      <c r="D13" s="355">
        <f t="shared" si="1"/>
        <v>22.181818181818183</v>
      </c>
      <c r="E13" s="34">
        <f t="shared" ref="E13:E14" si="6">+I13+K13</f>
        <v>11</v>
      </c>
      <c r="F13" s="34">
        <f t="shared" si="2"/>
        <v>244</v>
      </c>
      <c r="G13" s="34" t="s">
        <v>4134</v>
      </c>
      <c r="H13" s="74" t="s">
        <v>4135</v>
      </c>
      <c r="I13" s="136">
        <v>11</v>
      </c>
      <c r="J13" s="136">
        <v>156</v>
      </c>
      <c r="K13" s="136">
        <v>0</v>
      </c>
      <c r="L13" s="136">
        <v>88</v>
      </c>
      <c r="M13" s="105">
        <f t="shared" si="4"/>
        <v>244</v>
      </c>
      <c r="N13" s="54">
        <f t="shared" si="0"/>
        <v>14.181818181818182</v>
      </c>
      <c r="O13" s="43">
        <v>6</v>
      </c>
      <c r="P13" s="66">
        <v>466</v>
      </c>
      <c r="Q13" s="66">
        <v>0</v>
      </c>
      <c r="R13" s="66">
        <f t="shared" si="3"/>
        <v>466</v>
      </c>
      <c r="S13" s="407">
        <f>+R13/R9</f>
        <v>0.2052863436123348</v>
      </c>
      <c r="T13" s="52">
        <f>(+P13+Q13)/O13</f>
        <v>77.666666666666671</v>
      </c>
      <c r="U13" s="52">
        <f>+I13/O13</f>
        <v>1.8333333333333333</v>
      </c>
      <c r="V13" s="53">
        <f>+I13/R13</f>
        <v>2.3605150214592276E-2</v>
      </c>
    </row>
    <row r="14" spans="2:22">
      <c r="B14" s="76">
        <f t="shared" si="5"/>
        <v>0.61904761904761907</v>
      </c>
      <c r="C14" s="77">
        <f>+F14/F9</f>
        <v>0.23993288590604026</v>
      </c>
      <c r="D14" s="355">
        <f t="shared" si="1"/>
        <v>33</v>
      </c>
      <c r="E14" s="34">
        <f t="shared" si="6"/>
        <v>13</v>
      </c>
      <c r="F14" s="34">
        <f t="shared" si="2"/>
        <v>429</v>
      </c>
      <c r="G14" s="34" t="s">
        <v>4136</v>
      </c>
      <c r="H14" s="74" t="s">
        <v>4137</v>
      </c>
      <c r="I14" s="136">
        <v>13</v>
      </c>
      <c r="J14" s="136">
        <v>171</v>
      </c>
      <c r="K14" s="136">
        <v>0</v>
      </c>
      <c r="L14" s="136">
        <v>258</v>
      </c>
      <c r="M14" s="105">
        <f t="shared" si="4"/>
        <v>429</v>
      </c>
      <c r="N14" s="54">
        <f t="shared" si="0"/>
        <v>13.153846153846153</v>
      </c>
      <c r="O14" s="43">
        <v>7</v>
      </c>
      <c r="P14" s="66">
        <v>356</v>
      </c>
      <c r="Q14" s="66"/>
      <c r="R14" s="66">
        <f>SUM(P14:Q14)</f>
        <v>356</v>
      </c>
      <c r="S14" s="407"/>
      <c r="T14" s="52"/>
      <c r="U14" s="52">
        <f>+I14/O14</f>
        <v>1.8571428571428572</v>
      </c>
      <c r="V14" s="53">
        <f>+I14/R14</f>
        <v>3.6516853932584269E-2</v>
      </c>
    </row>
    <row r="15" spans="2:22">
      <c r="B15" s="37"/>
      <c r="C15" s="34"/>
      <c r="D15" s="35"/>
      <c r="E15" s="34">
        <f>+I15+K15</f>
        <v>1</v>
      </c>
      <c r="F15" s="34">
        <f t="shared" si="2"/>
        <v>13</v>
      </c>
      <c r="G15" s="34"/>
      <c r="H15" s="74" t="s">
        <v>1755</v>
      </c>
      <c r="I15" s="137">
        <v>1</v>
      </c>
      <c r="J15" s="138">
        <v>13</v>
      </c>
      <c r="K15" s="55"/>
      <c r="L15" s="55">
        <v>0</v>
      </c>
      <c r="M15" s="55">
        <f t="shared" si="4"/>
        <v>13</v>
      </c>
      <c r="N15" s="56">
        <f t="shared" si="0"/>
        <v>13</v>
      </c>
      <c r="O15" s="43"/>
      <c r="P15" s="57"/>
      <c r="Q15" s="57"/>
      <c r="R15" s="57"/>
      <c r="S15" s="71"/>
      <c r="T15" s="58"/>
      <c r="U15" s="59"/>
      <c r="V15" s="60"/>
    </row>
    <row r="19" spans="9:9">
      <c r="I19">
        <f>SUM(K9+I9)</f>
        <v>195</v>
      </c>
    </row>
    <row r="27" spans="9:9">
      <c r="I27" t="s">
        <v>4138</v>
      </c>
    </row>
    <row r="28" spans="9:9">
      <c r="I28" t="s">
        <v>4139</v>
      </c>
    </row>
    <row r="29" spans="9:9">
      <c r="I29" t="s">
        <v>4140</v>
      </c>
    </row>
    <row r="30" spans="9:9">
      <c r="I30" t="s">
        <v>4141</v>
      </c>
    </row>
    <row r="31" spans="9:9">
      <c r="I31" t="s">
        <v>4142</v>
      </c>
    </row>
  </sheetData>
  <mergeCells count="14">
    <mergeCell ref="C6:C7"/>
    <mergeCell ref="I6:J6"/>
    <mergeCell ref="K6:L6"/>
    <mergeCell ref="I7:I8"/>
    <mergeCell ref="J7:J8"/>
    <mergeCell ref="K7:K8"/>
    <mergeCell ref="L7:L8"/>
    <mergeCell ref="V7:V8"/>
    <mergeCell ref="M7:M8"/>
    <mergeCell ref="N7:N8"/>
    <mergeCell ref="O7:O8"/>
    <mergeCell ref="P7:S7"/>
    <mergeCell ref="T7:T8"/>
    <mergeCell ref="U7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Seepmode</dc:creator>
  <cp:keywords/>
  <dc:description/>
  <cp:lastModifiedBy>Usuário Convidado</cp:lastModifiedBy>
  <cp:revision/>
  <dcterms:created xsi:type="dcterms:W3CDTF">2025-01-11T11:46:10Z</dcterms:created>
  <dcterms:modified xsi:type="dcterms:W3CDTF">2026-05-08T10:16:24Z</dcterms:modified>
  <cp:category/>
  <cp:contentStatus/>
</cp:coreProperties>
</file>